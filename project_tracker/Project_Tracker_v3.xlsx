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Tasks" sheetId="2" state="visible" r:id="rId4"/>
    <sheet name="Dashboard" sheetId="3" state="visible" r:id="rId5"/>
    <sheet name="Gantt" sheetId="4" state="visible" r:id="rId6"/>
    <sheet name="G1 Digital twin" sheetId="5" state="visible" r:id="rId7"/>
    <sheet name="G2 SCooP" sheetId="6" state="visible" r:id="rId8"/>
    <sheet name="Testbed" sheetId="7" state="visible" r:id="rId9"/>
    <sheet name="Dual-Link comm" sheetId="8" state="visible" r:id="rId10"/>
    <sheet name="Semantic comm" sheetId="9" state="visible" r:id="rId11"/>
    <sheet name="GS-SLAM owner" sheetId="10" state="visible" r:id="rId12"/>
    <sheet name="Isaac Sim owner" sheetId="11" state="visible" r:id="rId13"/>
    <sheet name="Sensors owner" sheetId="12" state="visible" r:id="rId14"/>
    <sheet name="Scene detection owner" sheetId="13" state="visible" r:id="rId15"/>
    <sheet name="Sionna RT owner" sheetId="14" state="visible" r:id="rId16"/>
    <sheet name="SCooP owner" sheetId="15" state="visible" r:id="rId17"/>
    <sheet name="Dual-link owner" sheetId="16" state="visible" r:id="rId18"/>
    <sheet name="Semantic comm owner" sheetId="17" state="visible" r:id="rId19"/>
    <sheet name="Team" sheetId="18" state="visible" r:id="rId20"/>
    <sheet name="Problems" sheetId="19" state="visible" r:id="rId21"/>
    <sheet name="Weekly Log" sheetId="20" state="visible" r:id="rId22"/>
    <sheet name="People" sheetId="21" state="visible" r:id="rId23"/>
  </sheets>
  <definedNames>
    <definedName function="false" hidden="true" localSheetId="1" name="_xlnm._FilterDatabase" vbProcedure="false">Tasks!$A$3:$I$403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Formula: Start + 7 x Weeks - 3 (Friday of the last week). Red = past and not Complete.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Any Monday. Every sheet's timeline follows this cell.</t>
        </r>
      </text>
    </comment>
  </commentList>
</comments>
</file>

<file path=xl/sharedStrings.xml><?xml version="1.0" encoding="utf-8"?>
<sst xmlns="http://schemas.openxmlformats.org/spreadsheetml/2006/main" count="990" uniqueCount="355">
  <si>
    <t xml:space="preserve">How this tracker works</t>
  </si>
  <si>
    <t xml:space="preserve">Add a task</t>
  </si>
  <si>
    <t xml:space="preserve">Tasks sheet, any empty row: Goal, Task, Assigned to, Status, Start (a Monday), Weeks. That's all.</t>
  </si>
  <si>
    <t xml:space="preserve">It then appears</t>
  </si>
  <si>
    <t xml:space="preserve">on the person's sheet, on its goal's sheet, on Gantt and in Dashboard. Those sheets are automatic: don't type in them.</t>
  </si>
  <si>
    <t xml:space="preserve">Per person</t>
  </si>
  <si>
    <t xml:space="preserve">One tab per person (GS-SLAM owner, Isaac Sim owner, Sensors owner, ...): their tasks and Gantt bars.</t>
  </si>
  <si>
    <t xml:space="preserve">Per goal</t>
  </si>
  <si>
    <t xml:space="preserve">One tab per goal (G1 Digital twin, G2 SCooP, Testbed, Dual-Link comm, Semantic comm).</t>
  </si>
  <si>
    <t xml:space="preserve">Gantt</t>
  </si>
  <si>
    <t xml:space="preserve">All tasks. The timeline start (Gantt!C3) sets every sheet's timeline.</t>
  </si>
  <si>
    <t xml:space="preserve">People</t>
  </si>
  <si>
    <t xml:space="preserve">Put real names in People. Then Ctrl+H in Tasks: replace each placeholder (e.g. 'GS-SLAM owner') with the name, and rename the tab.</t>
  </si>
  <si>
    <t xml:space="preserve">New person</t>
  </si>
  <si>
    <t xml:space="preserve">Add the name in People; duplicate any person tab and change its C2 to =People!A&lt;row of the name&gt;.</t>
  </si>
  <si>
    <t xml:space="preserve">Colours</t>
  </si>
  <si>
    <t xml:space="preserve">Bars by Status: grey Not Started, yellow In Progress, orange Partially Completed, red Blocked, green Complete; dark blue = milestone. Red End date = overdue.</t>
  </si>
  <si>
    <t xml:space="preserve">ID (optional)</t>
  </si>
  <si>
    <t xml:space="preserve">An ID without '.' shows as a bold parent row; IDs containing '-M' are milestones. New tasks can leave ID empty.</t>
  </si>
  <si>
    <t xml:space="preserve">Google Sheets</t>
  </si>
  <si>
    <t xml:space="preserve">Upload to Drive, open, File &gt; Save as Google Sheets, share as Editor. Use only that copy.</t>
  </si>
  <si>
    <t xml:space="preserve">Limits</t>
  </si>
  <si>
    <t xml:space="preserve">Each person/goal tab lists up to 120 tasks; Tasks has room for 400 rows (Gantt shows all of them).</t>
  </si>
  <si>
    <t xml:space="preserve">Own file per person</t>
  </si>
  <si>
    <t xml:space="preserve">In Google Sheets: put names (and emails) in People, then Extensions &gt; Apps Script, paste split_per_person.gs, run setupPersonFiles.</t>
  </si>
  <si>
    <t xml:space="preserve">Each person gets 'Tasks - &lt;name&gt;' to edit; this file's Tasks then imports everyone's rows and stays the shared overview.</t>
  </si>
  <si>
    <t xml:space="preserve">After that, add or edit tasks in the person's file (you own every file, so you can add tasks for anyone).</t>
  </si>
  <si>
    <t xml:space="preserve">Tasks</t>
  </si>
  <si>
    <t xml:space="preserve">Add a task on any empty row: Goal, Task, Assigned to, Status, Start (a Monday), Weeks. It appears on that person's sheet, its goal's sheet and the Gantt by itself.</t>
  </si>
  <si>
    <t xml:space="preserve">ID</t>
  </si>
  <si>
    <t xml:space="preserve">Goal</t>
  </si>
  <si>
    <t xml:space="preserve">Task</t>
  </si>
  <si>
    <t xml:space="preserve">Assigned to</t>
  </si>
  <si>
    <t xml:space="preserve">Status</t>
  </si>
  <si>
    <t xml:space="preserve">Start</t>
  </si>
  <si>
    <t xml:space="preserve">Weeks</t>
  </si>
  <si>
    <t xml:space="preserve">End</t>
  </si>
  <si>
    <t xml:space="preserve">Notes</t>
  </si>
  <si>
    <t xml:space="preserve">key person</t>
  </si>
  <si>
    <t xml:space="preserve">key goal</t>
  </si>
  <si>
    <t xml:space="preserve">key all</t>
  </si>
  <si>
    <t xml:space="preserve">TB-1</t>
  </si>
  <si>
    <t xml:space="preserve">Shared SCooP testbed</t>
  </si>
  <si>
    <t xml:space="preserve">Hardware inventory &amp; specs</t>
  </si>
  <si>
    <t xml:space="preserve">Sensors &amp; platform owner</t>
  </si>
  <si>
    <t xml:space="preserve">Not Started</t>
  </si>
  <si>
    <t xml:space="preserve">TB-2</t>
  </si>
  <si>
    <t xml:space="preserve">Sensor calibration (all units)</t>
  </si>
  <si>
    <t xml:space="preserve">In Progress</t>
  </si>
  <si>
    <t xml:space="preserve">TB-2.1</t>
  </si>
  <si>
    <t xml:space="preserve">Sensor Calibration (LiDAR-Camera, LiDAR-IMU, Camera-Radar, Intrinsics, Realsense-Zed, Mobile-Infra Extrinsics)</t>
  </si>
  <si>
    <t xml:space="preserve">TB-2.2</t>
  </si>
  <si>
    <t xml:space="preserve">Calibration: LiDAR - Camera</t>
  </si>
  <si>
    <t xml:space="preserve">TB-2.3</t>
  </si>
  <si>
    <t xml:space="preserve">Calibration: LiDAR - IMU</t>
  </si>
  <si>
    <t xml:space="preserve">TB-2.4</t>
  </si>
  <si>
    <t xml:space="preserve">Calibration: RealSense - ZED</t>
  </si>
  <si>
    <t xml:space="preserve">TB-2.5</t>
  </si>
  <si>
    <t xml:space="preserve">Calibration: ZED - Arducam</t>
  </si>
  <si>
    <t xml:space="preserve">TB-2.6</t>
  </si>
  <si>
    <t xml:space="preserve">Calibration: Radars - ZED</t>
  </si>
  <si>
    <t xml:space="preserve">TB-3</t>
  </si>
  <si>
    <t xml:space="preserve">Time sync &amp; TF chain</t>
  </si>
  <si>
    <t xml:space="preserve">TB-4</t>
  </si>
  <si>
    <t xml:space="preserve">Wi-Fi &amp; comms logging</t>
  </si>
  <si>
    <t xml:space="preserve">TB-5</t>
  </si>
  <si>
    <t xml:space="preserve">Recording tooling fixes</t>
  </si>
  <si>
    <t xml:space="preserve">G2-DS-1</t>
  </si>
  <si>
    <t xml:space="preserve">G2 SCooP dataset &amp; paper</t>
  </si>
  <si>
    <t xml:space="preserve">Recording campaign</t>
  </si>
  <si>
    <t xml:space="preserve">SCooP owner</t>
  </si>
  <si>
    <t xml:space="preserve">Partially Completed</t>
  </si>
  <si>
    <t xml:space="preserve">Only Cameras and LiDAR mainly for calibration accuracy validation</t>
  </si>
  <si>
    <t xml:space="preserve">G2-DS-1.1</t>
  </si>
  <si>
    <t xml:space="preserve">Indoor Trajectory Sessions</t>
  </si>
  <si>
    <t xml:space="preserve">2 different datasets → detect change (in validation)</t>
  </si>
  <si>
    <t xml:space="preserve">G2-DS-1.2</t>
  </si>
  <si>
    <t xml:space="preserve">Outdoor Trajectory Sessions</t>
  </si>
  <si>
    <t xml:space="preserve">G2-DS-1.3</t>
  </si>
  <si>
    <t xml:space="preserve">Record sites 2 and 3</t>
  </si>
  <si>
    <t xml:space="preserve">G2-DS-1.4</t>
  </si>
  <si>
    <t xml:space="preserve">Calibration rosbag</t>
  </si>
  <si>
    <t xml:space="preserve">G2-DS-1.5</t>
  </si>
  <si>
    <t xml:space="preserve">Short test recordings</t>
  </si>
  <si>
    <t xml:space="preserve">G2-DS-2</t>
  </si>
  <si>
    <t xml:space="preserve">Per-pass processing</t>
  </si>
  <si>
    <t xml:space="preserve">rerun per new pass</t>
  </si>
  <si>
    <t xml:space="preserve">G2-DS-2.1</t>
  </si>
  <si>
    <t xml:space="preserve">Merging Sensor Data</t>
  </si>
  <si>
    <t xml:space="preserve">G2-DS-2.2</t>
  </si>
  <si>
    <t xml:space="preserve">Timestamp Alignment Post-Processing</t>
  </si>
  <si>
    <t xml:space="preserve">G2-DS-3</t>
  </si>
  <si>
    <t xml:space="preserve">Reference maps &amp; board networks per site</t>
  </si>
  <si>
    <t xml:space="preserve">G2-DS-3.1</t>
  </si>
  <si>
    <t xml:space="preserve">Localization and Mapping</t>
  </si>
  <si>
    <t xml:space="preserve">G2-DS-3.2</t>
  </si>
  <si>
    <t xml:space="preserve">Mesh Conversion</t>
  </si>
  <si>
    <t xml:space="preserve">Varying object resolution → zoom in, zoom out</t>
  </si>
  <si>
    <t xml:space="preserve">G2-DS-4</t>
  </si>
  <si>
    <t xml:space="preserve">Reference poses (map stages 03-10)</t>
  </si>
  <si>
    <t xml:space="preserve">G2-DS-5</t>
  </si>
  <si>
    <t xml:space="preserve">Ground-truth validation</t>
  </si>
  <si>
    <t xml:space="preserve">G2-DS-6</t>
  </si>
  <si>
    <t xml:space="preserve">Annotations</t>
  </si>
  <si>
    <t xml:space="preserve">G2-DS-6.1</t>
  </si>
  <si>
    <t xml:space="preserve">Label QA (Coverage &amp; Class Balance)</t>
  </si>
  <si>
    <t xml:space="preserve">G2-DS-7</t>
  </si>
  <si>
    <t xml:space="preserve">Collaboration geometry &amp; comm ground truth</t>
  </si>
  <si>
    <t xml:space="preserve">G2-DS-8</t>
  </si>
  <si>
    <t xml:space="preserve">Release</t>
  </si>
  <si>
    <t xml:space="preserve">G2-DS-8.1</t>
  </si>
  <si>
    <t xml:space="preserve">Dataset Packaging &amp; Documentation</t>
  </si>
  <si>
    <t xml:space="preserve">G2-DS-8.2</t>
  </si>
  <si>
    <t xml:space="preserve">Devkit</t>
  </si>
  <si>
    <t xml:space="preserve">G2-DS-8.3</t>
  </si>
  <si>
    <t xml:space="preserve">License, DOI, hosting</t>
  </si>
  <si>
    <t xml:space="preserve">G2-BP-A</t>
  </si>
  <si>
    <t xml:space="preserve">Ground-truth numbers (RESULTS_PLAN A0)</t>
  </si>
  <si>
    <t xml:space="preserve">G2-BP-B</t>
  </si>
  <si>
    <t xml:space="preserve">Inventory &amp; statistics tables (B)</t>
  </si>
  <si>
    <t xml:space="preserve">G2-BP-C</t>
  </si>
  <si>
    <t xml:space="preserve">Geometry validation (C)</t>
  </si>
  <si>
    <t xml:space="preserve">G2-BP-D</t>
  </si>
  <si>
    <t xml:space="preserve">T2 collaborative perception under 3 channels (D)</t>
  </si>
  <si>
    <t xml:space="preserve">G2-BP-E</t>
  </si>
  <si>
    <t xml:space="preserve">T1 collaborative SLAM (E)</t>
  </si>
  <si>
    <t xml:space="preserve">G2-BP-F</t>
  </si>
  <si>
    <t xml:space="preserve">Q2 regression (F)</t>
  </si>
  <si>
    <t xml:space="preserve">G2-BP-G</t>
  </si>
  <si>
    <t xml:space="preserve">Write-up (G)</t>
  </si>
  <si>
    <t xml:space="preserve">G2-M1</t>
  </si>
  <si>
    <t xml:space="preserve">Paper submitted (IJRR)</t>
  </si>
  <si>
    <t xml:space="preserve">G1-SP-1</t>
  </si>
  <si>
    <t xml:space="preserve">G1 ED305 live digital twin</t>
  </si>
  <si>
    <t xml:space="preserve">Sensor rig &amp; TF tree per robot</t>
  </si>
  <si>
    <t xml:space="preserve">G1-SP-2</t>
  </si>
  <si>
    <t xml:space="preserve">Odometry: front end + fusion filter</t>
  </si>
  <si>
    <t xml:space="preserve">G1-SP-3</t>
  </si>
  <si>
    <t xml:space="preserve">ED305 camera calibration in the room frame</t>
  </si>
  <si>
    <t xml:space="preserve">Blocked</t>
  </si>
  <si>
    <t xml:space="preserve">G1-SP-4</t>
  </si>
  <si>
    <t xml:space="preserve">ED305 coverage &amp; camera placement</t>
  </si>
  <si>
    <t xml:space="preserve">G1-SP-5</t>
  </si>
  <si>
    <t xml:space="preserve">Printed pan-tilt heads</t>
  </si>
  <si>
    <t xml:space="preserve">G1-SP-6</t>
  </si>
  <si>
    <t xml:space="preserve">ED305 camera time sync</t>
  </si>
  <si>
    <t xml:space="preserve">G1-GS-1</t>
  </si>
  <si>
    <t xml:space="preserve">Metric prior</t>
  </si>
  <si>
    <t xml:space="preserve">GS-SLAM owner</t>
  </si>
  <si>
    <t xml:space="preserve">G1-GS-2</t>
  </si>
  <si>
    <t xml:space="preserve">Tracking + keyframe gate</t>
  </si>
  <si>
    <t xml:space="preserve">G1-GS-3</t>
  </si>
  <si>
    <t xml:space="preserve">Mapping + loop closure</t>
  </si>
  <si>
    <t xml:space="preserve">G1-GS-3.1</t>
  </si>
  <si>
    <t xml:space="preserve">Dynamic-Object Filter (Pre-Registration)</t>
  </si>
  <si>
    <t xml:space="preserve">G1-GS-3.2</t>
  </si>
  <si>
    <t xml:space="preserve">Static Point Cloud Registration</t>
  </si>
  <si>
    <t xml:space="preserve">G1-GS-4</t>
  </si>
  <si>
    <t xml:space="preserve">Real-time budget</t>
  </si>
  <si>
    <t xml:space="preserve">G1-GS-5</t>
  </si>
  <si>
    <t xml:space="preserve">Map fusion (multi-robot)</t>
  </si>
  <si>
    <t xml:space="preserve">G1-GS-6</t>
  </si>
  <si>
    <t xml:space="preserve">Evaluation</t>
  </si>
  <si>
    <t xml:space="preserve">G1-SD-1</t>
  </si>
  <si>
    <t xml:space="preserve">Object asset library</t>
  </si>
  <si>
    <t xml:space="preserve">Scene detection owner</t>
  </si>
  <si>
    <t xml:space="preserve">G1-SD-2</t>
  </si>
  <si>
    <t xml:space="preserve">Object retrieval from G*</t>
  </si>
  <si>
    <t xml:space="preserve">Split up the metric map into objects</t>
  </si>
  <si>
    <t xml:space="preserve">G1-SD-2.1</t>
  </si>
  <si>
    <t xml:space="preserve">Object Detection &amp; Instance Identification (RGB / RGBD / LiDAR / Radar)</t>
  </si>
  <si>
    <t xml:space="preserve">G1-SD-2.2</t>
  </si>
  <si>
    <t xml:space="preserve">Radar + Panoptic Fusion Tracking</t>
  </si>
  <si>
    <t xml:space="preserve">G1-SD-3</t>
  </si>
  <si>
    <t xml:space="preserve">Decomposition: segments &amp; materials</t>
  </si>
  <si>
    <t xml:space="preserve">G1-SD-4</t>
  </si>
  <si>
    <t xml:space="preserve">Change detection</t>
  </si>
  <si>
    <t xml:space="preserve">G1-SD-4.1</t>
  </si>
  <si>
    <t xml:space="preserve">Change Detection (Object Moved / Appeared / Disappeared)</t>
  </si>
  <si>
    <t xml:space="preserve">G1-SD-5</t>
  </si>
  <si>
    <t xml:space="preserve">Maintenance with change history</t>
  </si>
  <si>
    <t xml:space="preserve">G1-SD-5.1</t>
  </si>
  <si>
    <t xml:space="preserve">Scene Graph &amp; Map Update on Change (with Change History)</t>
  </si>
  <si>
    <t xml:space="preserve">G1-SD-6</t>
  </si>
  <si>
    <t xml:space="preserve">USD edits to Isaac</t>
  </si>
  <si>
    <t xml:space="preserve">G1-SD-7</t>
  </si>
  <si>
    <t xml:space="preserve">Live targets from the ED305 cameras</t>
  </si>
  <si>
    <t xml:space="preserve">G1-IS-1</t>
  </si>
  <si>
    <t xml:space="preserve">ED305 USD stage in the room frame</t>
  </si>
  <si>
    <t xml:space="preserve">Isaac Sim owner</t>
  </si>
  <si>
    <t xml:space="preserve">G1-IS-2</t>
  </si>
  <si>
    <t xml:space="preserve">Robot + antenna prims, live pose</t>
  </si>
  <si>
    <t xml:space="preserve">G1-IS-3</t>
  </si>
  <si>
    <t xml:space="preserve">Gaussian layer</t>
  </si>
  <si>
    <t xml:space="preserve">G1-IS-4</t>
  </si>
  <si>
    <t xml:space="preserve">Mesh layer</t>
  </si>
  <si>
    <t xml:space="preserve">G1-IS-5</t>
  </si>
  <si>
    <t xml:space="preserve">Expected-view render</t>
  </si>
  <si>
    <t xml:space="preserve">G1-IS-6</t>
  </si>
  <si>
    <t xml:space="preserve">Apply live USD edits</t>
  </si>
  <si>
    <t xml:space="preserve">G1-IS-7</t>
  </si>
  <si>
    <t xml:space="preserve">Control commands to robots</t>
  </si>
  <si>
    <t xml:space="preserve">G1-IS-8</t>
  </si>
  <si>
    <t xml:space="preserve">Export to Sionna</t>
  </si>
  <si>
    <t xml:space="preserve">G1-SR-1</t>
  </si>
  <si>
    <t xml:space="preserve">Scene export USD -&gt; Mitsuba</t>
  </si>
  <si>
    <t xml:space="preserve">Sionna RT owner</t>
  </si>
  <si>
    <t xml:space="preserve">G1-SR-2</t>
  </si>
  <si>
    <t xml:space="preserve">Path solver, all Tx/Rx links</t>
  </si>
  <si>
    <t xml:space="preserve">G1-SR-3</t>
  </si>
  <si>
    <t xml:space="preserve">Channel output</t>
  </si>
  <si>
    <t xml:space="preserve">G1-SR-4</t>
  </si>
  <si>
    <t xml:space="preserve">Validate against measured channels</t>
  </si>
  <si>
    <t xml:space="preserve">G1-M1</t>
  </si>
  <si>
    <t xml:space="preserve">M1 Offline map in Isaac</t>
  </si>
  <si>
    <t xml:space="preserve">Team</t>
  </si>
  <si>
    <t xml:space="preserve">G1-M2</t>
  </si>
  <si>
    <t xml:space="preserve">M2 Live robot pose in Isaac</t>
  </si>
  <si>
    <t xml:space="preserve">G1-M3</t>
  </si>
  <si>
    <t xml:space="preserve">M3 Change loop</t>
  </si>
  <si>
    <t xml:space="preserve">G1-M4</t>
  </si>
  <si>
    <t xml:space="preserve">M4 Two robots, fused map</t>
  </si>
  <si>
    <t xml:space="preserve">G1-M5</t>
  </si>
  <si>
    <t xml:space="preserve">M5 ED305 targets live in the twin</t>
  </si>
  <si>
    <t xml:space="preserve">G1-M6</t>
  </si>
  <si>
    <t xml:space="preserve">M6 Radio channels from the live twin</t>
  </si>
  <si>
    <t xml:space="preserve">DL-1</t>
  </si>
  <si>
    <t xml:space="preserve">Dual-Link Communication</t>
  </si>
  <si>
    <t xml:space="preserve">Define dual-link architecture</t>
  </si>
  <si>
    <t xml:space="preserve">Dual-link owner</t>
  </si>
  <si>
    <t xml:space="preserve">DL-1.1</t>
  </si>
  <si>
    <t xml:space="preserve">Link Pairing Selection (WiFi + WiFi)</t>
  </si>
  <si>
    <t xml:space="preserve">DL-1.2</t>
  </si>
  <si>
    <t xml:space="preserve">QoS-Tiered Traffic-Steering Policy</t>
  </si>
  <si>
    <t xml:space="preserve">DL-2</t>
  </si>
  <si>
    <t xml:space="preserve">Build link monitor</t>
  </si>
  <si>
    <t xml:space="preserve">DL-2.1</t>
  </si>
  <si>
    <t xml:space="preserve">PER / MTU Tracking</t>
  </si>
  <si>
    <t xml:space="preserve">DL-2.2</t>
  </si>
  <si>
    <t xml:space="preserve">Throughput / RTT / Queue-Health Tracking</t>
  </si>
  <si>
    <t xml:space="preserve">DL-3</t>
  </si>
  <si>
    <t xml:space="preserve">Implement link compression</t>
  </si>
  <si>
    <t xml:space="preserve">DL-3.1</t>
  </si>
  <si>
    <t xml:space="preserve">Compression Module (Link-Monitor Reactive)</t>
  </si>
  <si>
    <t xml:space="preserve">DL-3.2</t>
  </si>
  <si>
    <t xml:space="preserve">Compression Threshold Tuning</t>
  </si>
  <si>
    <t xml:space="preserve">DL-4</t>
  </si>
  <si>
    <t xml:space="preserve">Validate Switching Strategies — WiFi1 + WiFi2</t>
  </si>
  <si>
    <t xml:space="preserve">DL-4.1</t>
  </si>
  <si>
    <t xml:space="preserve">Single-Link Baseline</t>
  </si>
  <si>
    <t xml:space="preserve">DL-4.2</t>
  </si>
  <si>
    <t xml:space="preserve">Full Topic Switchover</t>
  </si>
  <si>
    <t xml:space="preserve">DL-4.3</t>
  </si>
  <si>
    <t xml:space="preserve">True Dual-Link (QoS-Tiered Per-Topic)</t>
  </si>
  <si>
    <t xml:space="preserve">DL-5</t>
  </si>
  <si>
    <t xml:space="preserve">Extend to WiFi + 5G</t>
  </si>
  <si>
    <t xml:space="preserve">DL-5.1</t>
  </si>
  <si>
    <t xml:space="preserve">WiFi + 5G Link Pairing &amp; Switching Validation</t>
  </si>
  <si>
    <t xml:space="preserve">DL-5.2</t>
  </si>
  <si>
    <t xml:space="preserve">Application-Level Testing on WiFi + 5G</t>
  </si>
  <si>
    <t xml:space="preserve">DL-6</t>
  </si>
  <si>
    <t xml:space="preserve">Test failover &amp; reliability</t>
  </si>
  <si>
    <t xml:space="preserve">DL-6.1</t>
  </si>
  <si>
    <t xml:space="preserve">Failover Test Scenarios</t>
  </si>
  <si>
    <t xml:space="preserve">DL-6.2</t>
  </si>
  <si>
    <t xml:space="preserve">Availability / Latency Target Validation</t>
  </si>
  <si>
    <t xml:space="preserve">DL-7</t>
  </si>
  <si>
    <t xml:space="preserve">Integrate with digital twin</t>
  </si>
  <si>
    <t xml:space="preserve">DL-7.1</t>
  </si>
  <si>
    <t xml:space="preserve">Predictive Handover &lt;-&gt; Twin Tracking Wiring</t>
  </si>
  <si>
    <t xml:space="preserve">DL-7.2</t>
  </si>
  <si>
    <t xml:space="preserve">End-to-End Integration Test</t>
  </si>
  <si>
    <t xml:space="preserve">SC-1</t>
  </si>
  <si>
    <t xml:space="preserve">Semantic Communication</t>
  </si>
  <si>
    <t xml:space="preserve">Object Recognition (Camera Encoder/Decoder)</t>
  </si>
  <si>
    <t xml:space="preserve">Semantic comm owner</t>
  </si>
  <si>
    <t xml:space="preserve">SC-1.1</t>
  </si>
  <si>
    <t xml:space="preserve">Encoder + Decoder</t>
  </si>
  <si>
    <t xml:space="preserve">SC-1.2</t>
  </si>
  <si>
    <t xml:space="preserve">Accuracy Validation</t>
  </si>
  <si>
    <t xml:space="preserve">SC-2</t>
  </si>
  <si>
    <t xml:space="preserve">Build Core Framework</t>
  </si>
  <si>
    <t xml:space="preserve">SC-2.1</t>
  </si>
  <si>
    <t xml:space="preserve">Baseline 3-Stage Framework</t>
  </si>
  <si>
    <t xml:space="preserve">SC-2.2</t>
  </si>
  <si>
    <t xml:space="preserve">Realistic Channel Model</t>
  </si>
  <si>
    <t xml:space="preserve">SC-3</t>
  </si>
  <si>
    <t xml:space="preserve">Dynamic Bandwidth Management</t>
  </si>
  <si>
    <t xml:space="preserve">SC-3.1</t>
  </si>
  <si>
    <t xml:space="preserve">Semantic Allocation</t>
  </si>
  <si>
    <t xml:space="preserve">SC-3.2</t>
  </si>
  <si>
    <t xml:space="preserve">Physical Constraint Bounds</t>
  </si>
  <si>
    <t xml:space="preserve">SC-3.3</t>
  </si>
  <si>
    <t xml:space="preserve">Per-Modality Truncation</t>
  </si>
  <si>
    <t xml:space="preserve">SC-3.4</t>
  </si>
  <si>
    <t xml:space="preserve">Cost-Aware Feedback Loop</t>
  </si>
  <si>
    <t xml:space="preserve">SC-4</t>
  </si>
  <si>
    <t xml:space="preserve">Multi-Task Transmission</t>
  </si>
  <si>
    <t xml:space="preserve">SC-5</t>
  </si>
  <si>
    <t xml:space="preserve">Train &amp; Evaluate on Dataset</t>
  </si>
  <si>
    <t xml:space="preserve">SC-6</t>
  </si>
  <si>
    <t xml:space="preserve">Integrate with Dual-Link</t>
  </si>
  <si>
    <t xml:space="preserve">Dashboard</t>
  </si>
  <si>
    <t xml:space="preserve">Counts from Tasks. Nothing to edit.</t>
  </si>
  <si>
    <t xml:space="preserve">Complete</t>
  </si>
  <si>
    <t xml:space="preserve">No status</t>
  </si>
  <si>
    <t xml:space="preserve">Total</t>
  </si>
  <si>
    <t xml:space="preserve">Overdue</t>
  </si>
  <si>
    <t xml:space="preserve">Person</t>
  </si>
  <si>
    <t xml:space="preserve">Gantt: all tasks</t>
  </si>
  <si>
    <t xml:space="preserve">ALL</t>
  </si>
  <si>
    <t xml:space="preserve">Gantt starts (Monday):</t>
  </si>
  <si>
    <t xml:space="preserve">Tasks row</t>
  </si>
  <si>
    <t xml:space="preserve">Legend</t>
  </si>
  <si>
    <t xml:space="preserve">Milestone</t>
  </si>
  <si>
    <t xml:space="preserve">Today's week</t>
  </si>
  <si>
    <t xml:space="preserve">Red End = overdue</t>
  </si>
  <si>
    <t xml:space="preserve">Goal: G1 ED305 live digital twin</t>
  </si>
  <si>
    <t xml:space="preserve">Goal:</t>
  </si>
  <si>
    <t xml:space="preserve">Goal: G2 SCooP dataset &amp; paper</t>
  </si>
  <si>
    <t xml:space="preserve">Goal: Shared SCooP testbed</t>
  </si>
  <si>
    <t xml:space="preserve">Goal: Dual-Link Communication</t>
  </si>
  <si>
    <t xml:space="preserve">Goal: Semantic Communication</t>
  </si>
  <si>
    <t xml:space="preserve">Name:</t>
  </si>
  <si>
    <t xml:space="preserve">Problems</t>
  </si>
  <si>
    <t xml:space="preserve">Anything blocking work for more than a day. Set the task's Status to Blocked too.</t>
  </si>
  <si>
    <t xml:space="preserve">#</t>
  </si>
  <si>
    <t xml:space="preserve">Opened</t>
  </si>
  <si>
    <t xml:space="preserve">Severity</t>
  </si>
  <si>
    <t xml:space="preserve">What happened</t>
  </si>
  <si>
    <t xml:space="preserve">Fix / workaround</t>
  </si>
  <si>
    <t xml:space="preserve">Closed</t>
  </si>
  <si>
    <t xml:space="preserve">Weekly Log</t>
  </si>
  <si>
    <t xml:space="preserve">Every Friday, one row per person.</t>
  </si>
  <si>
    <t xml:space="preserve">Week (Monday)</t>
  </si>
  <si>
    <t xml:space="preserve">Done</t>
  </si>
  <si>
    <t xml:space="preserve">Next</t>
  </si>
  <si>
    <t xml:space="preserve">Blockers</t>
  </si>
  <si>
    <t xml:space="preserve">Type real names in column A. Then in Tasks use Edit &gt; Find and replace (Ctrl+H) to swap each placeholder for the real name, and rename that person's tab.</t>
  </si>
  <si>
    <t xml:space="preserve">Name</t>
  </si>
  <si>
    <t xml:space="preserve">Area</t>
  </si>
  <si>
    <t xml:space="preserve">Their sheet (tab)</t>
  </si>
  <si>
    <t xml:space="preserve">Email (optional)</t>
  </si>
  <si>
    <t xml:space="preserve">Their file</t>
  </si>
  <si>
    <t xml:space="preserve">Access (name = connected)</t>
  </si>
  <si>
    <t xml:space="preserve">GS-SLAM: metric prior, front/back end, map fusion</t>
  </si>
  <si>
    <t xml:space="preserve">Isaac Sim: USD stage, robot prims, layers, live edits</t>
  </si>
  <si>
    <t xml:space="preserve">Robots, sensors, odometry, calibration, sync, ED305 cameras, testbed</t>
  </si>
  <si>
    <t xml:space="preserve">Sensors owner</t>
  </si>
  <si>
    <t xml:space="preserve">Scene update: assets, retrieval, change detection</t>
  </si>
  <si>
    <t xml:space="preserve">Sionna RT: scene export, path solver, channels</t>
  </si>
  <si>
    <t xml:space="preserve">SCooP dataset, release and paper</t>
  </si>
  <si>
    <t xml:space="preserve">Dual-link communication</t>
  </si>
  <si>
    <t xml:space="preserve">Semantic communication</t>
  </si>
  <si>
    <t xml:space="preserve">Shared milestones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</si>
</sst>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\ yy"/>
    <numFmt numFmtId="166" formatCode="General"/>
    <numFmt numFmtId="167" formatCode="d\ mmm\ 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C0000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F4B183"/>
        <bgColor rgb="FFF4B6B6"/>
      </patternFill>
    </fill>
    <fill>
      <patternFill patternType="solid">
        <fgColor rgb="FFC00000"/>
        <bgColor rgb="FF800000"/>
      </patternFill>
    </fill>
    <fill>
      <patternFill patternType="solid">
        <fgColor rgb="FFA6A6A6"/>
        <bgColor rgb="FFBFBFBF"/>
      </patternFill>
    </fill>
    <fill>
      <patternFill patternType="solid">
        <fgColor rgb="FFF8CBAD"/>
        <bgColor rgb="FFF4B6B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E0E0E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  <dxf>
      <font>
        <b val="1"/>
      </font>
      <fill>
        <patternFill>
          <bgColor rgb="FFF2F2F2"/>
        </patternFill>
      </fill>
    </dxf>
    <dxf>
      <fill>
        <patternFill>
          <bgColor rgb="FF1F4E78"/>
        </patternFill>
      </fill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F4B183"/>
        </patternFill>
      </fill>
    </dxf>
    <dxf>
      <fill>
        <patternFill>
          <bgColor rgb="FFC00000"/>
        </patternFill>
      </fill>
    </dxf>
    <dxf>
      <fill>
        <patternFill>
          <bgColor rgb="FFA6A6A6"/>
        </patternFill>
      </fill>
    </dxf>
    <dxf>
      <font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4B18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6E0B4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/>
      <c r="B14" s="3"/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/>
      <c r="B16" s="3" t="s">
        <v>25</v>
      </c>
    </row>
    <row r="17" customFormat="false" ht="15" hidden="false" customHeight="false" outlineLevel="0" collapsed="false">
      <c r="A17" s="2"/>
      <c r="B17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true" outlineLevel="0" max="12" min="10" style="0" width="8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4" t="s">
        <v>28</v>
      </c>
    </row>
    <row r="3" customFormat="false" ht="21.75" hidden="false" customHeight="true" outlineLevel="0" collapsed="false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</row>
    <row r="4" customFormat="false" ht="15" hidden="false" customHeight="false" outlineLevel="0" collapsed="false">
      <c r="A4" s="6" t="s">
        <v>41</v>
      </c>
      <c r="B4" s="6" t="s">
        <v>42</v>
      </c>
      <c r="C4" s="3" t="s">
        <v>43</v>
      </c>
      <c r="D4" s="6" t="s">
        <v>44</v>
      </c>
      <c r="E4" s="6" t="s">
        <v>45</v>
      </c>
      <c r="F4" s="7" t="n">
        <v>46307</v>
      </c>
      <c r="G4" s="6" t="n">
        <v>2</v>
      </c>
      <c r="H4" s="8" t="n">
        <f aca="false">IF(OR($F4="",$G4=""),"",$F4+7*$G4-3)</f>
        <v>46318</v>
      </c>
      <c r="I4" s="3"/>
      <c r="J4" s="9" t="str">
        <f aca="false">IF(OR($C4="",$D4=""),"",$D4&amp;"|"&amp;COUNTIFS($D$4:$D4,$D4,$C$4:$C4,"?*"))</f>
        <v>Sensors &amp; platform owner|1</v>
      </c>
      <c r="K4" s="9" t="str">
        <f aca="false">IF(OR($C4="",$B4=""),"",$B4&amp;"|"&amp;COUNTIFS($B$4:$B4,$B4,$C$4:$C4,"?*"))</f>
        <v>Shared SCooP testbed|1</v>
      </c>
      <c r="L4" s="9" t="str">
        <f aca="false">IF($C4="","","ALL|"&amp;COUNTIF($C$4:$C4,"?*"))</f>
        <v>ALL|1</v>
      </c>
    </row>
    <row r="5" customFormat="false" ht="15" hidden="false" customHeight="false" outlineLevel="0" collapsed="false">
      <c r="A5" s="6" t="s">
        <v>46</v>
      </c>
      <c r="B5" s="6" t="s">
        <v>42</v>
      </c>
      <c r="C5" s="3" t="s">
        <v>47</v>
      </c>
      <c r="D5" s="6" t="s">
        <v>44</v>
      </c>
      <c r="E5" s="6" t="s">
        <v>48</v>
      </c>
      <c r="F5" s="7" t="n">
        <v>46195</v>
      </c>
      <c r="G5" s="6" t="n">
        <v>2</v>
      </c>
      <c r="H5" s="8" t="n">
        <f aca="false">IF(OR($F5="",$G5=""),"",$F5+7*$G5-3)</f>
        <v>46206</v>
      </c>
      <c r="I5" s="3"/>
      <c r="J5" s="9" t="str">
        <f aca="false">IF(OR($C5="",$D5=""),"",$D5&amp;"|"&amp;COUNTIFS($D$4:$D5,$D5,$C$4:$C5,"?*"))</f>
        <v>Sensors &amp; platform owner|2</v>
      </c>
      <c r="K5" s="9" t="str">
        <f aca="false">IF(OR($C5="",$B5=""),"",$B5&amp;"|"&amp;COUNTIFS($B$4:$B5,$B5,$C$4:$C5,"?*"))</f>
        <v>Shared SCooP testbed|2</v>
      </c>
      <c r="L5" s="9" t="str">
        <f aca="false">IF($C5="","","ALL|"&amp;COUNTIF($C$4:$C5,"?*"))</f>
        <v>ALL|2</v>
      </c>
    </row>
    <row r="6" customFormat="false" ht="23.85" hidden="false" customHeight="false" outlineLevel="0" collapsed="false">
      <c r="A6" s="6" t="s">
        <v>49</v>
      </c>
      <c r="B6" s="6" t="s">
        <v>42</v>
      </c>
      <c r="C6" s="3" t="s">
        <v>50</v>
      </c>
      <c r="D6" s="6" t="s">
        <v>44</v>
      </c>
      <c r="E6" s="6" t="s">
        <v>48</v>
      </c>
      <c r="F6" s="7" t="n">
        <v>46195</v>
      </c>
      <c r="G6" s="6" t="n">
        <v>2</v>
      </c>
      <c r="H6" s="8" t="n">
        <f aca="false">IF(OR($F6="",$G6=""),"",$F6+7*$G6-3)</f>
        <v>46206</v>
      </c>
      <c r="I6" s="3"/>
      <c r="J6" s="9" t="str">
        <f aca="false">IF(OR($C6="",$D6=""),"",$D6&amp;"|"&amp;COUNTIFS($D$4:$D6,$D6,$C$4:$C6,"?*"))</f>
        <v>Sensors &amp; platform owner|3</v>
      </c>
      <c r="K6" s="9" t="str">
        <f aca="false">IF(OR($C6="",$B6=""),"",$B6&amp;"|"&amp;COUNTIFS($B$4:$B6,$B6,$C$4:$C6,"?*"))</f>
        <v>Shared SCooP testbed|3</v>
      </c>
      <c r="L6" s="9" t="str">
        <f aca="false">IF($C6="","","ALL|"&amp;COUNTIF($C$4:$C6,"?*"))</f>
        <v>ALL|3</v>
      </c>
    </row>
    <row r="7" customFormat="false" ht="15" hidden="false" customHeight="false" outlineLevel="0" collapsed="false">
      <c r="A7" s="6" t="s">
        <v>51</v>
      </c>
      <c r="B7" s="6" t="s">
        <v>42</v>
      </c>
      <c r="C7" s="3" t="s">
        <v>52</v>
      </c>
      <c r="D7" s="6" t="s">
        <v>44</v>
      </c>
      <c r="E7" s="6"/>
      <c r="F7" s="7"/>
      <c r="G7" s="6"/>
      <c r="H7" s="8" t="str">
        <f aca="false">IF(OR($F7="",$G7=""),"",$F7+7*$G7-3)</f>
        <v/>
      </c>
      <c r="I7" s="3"/>
      <c r="J7" s="9" t="str">
        <f aca="false">IF(OR($C7="",$D7=""),"",$D7&amp;"|"&amp;COUNTIFS($D$4:$D7,$D7,$C$4:$C7,"?*"))</f>
        <v>Sensors &amp; platform owner|4</v>
      </c>
      <c r="K7" s="9" t="str">
        <f aca="false">IF(OR($C7="",$B7=""),"",$B7&amp;"|"&amp;COUNTIFS($B$4:$B7,$B7,$C$4:$C7,"?*"))</f>
        <v>Shared SCooP testbed|4</v>
      </c>
      <c r="L7" s="9" t="str">
        <f aca="false">IF($C7="","","ALL|"&amp;COUNTIF($C$4:$C7,"?*"))</f>
        <v>ALL|4</v>
      </c>
    </row>
    <row r="8" customFormat="false" ht="15" hidden="false" customHeight="false" outlineLevel="0" collapsed="false">
      <c r="A8" s="6" t="s">
        <v>53</v>
      </c>
      <c r="B8" s="6" t="s">
        <v>42</v>
      </c>
      <c r="C8" s="3" t="s">
        <v>54</v>
      </c>
      <c r="D8" s="6" t="s">
        <v>44</v>
      </c>
      <c r="E8" s="6"/>
      <c r="F8" s="7"/>
      <c r="G8" s="6"/>
      <c r="H8" s="8" t="str">
        <f aca="false">IF(OR($F8="",$G8=""),"",$F8+7*$G8-3)</f>
        <v/>
      </c>
      <c r="I8" s="3"/>
      <c r="J8" s="9" t="str">
        <f aca="false">IF(OR($C8="",$D8=""),"",$D8&amp;"|"&amp;COUNTIFS($D$4:$D8,$D8,$C$4:$C8,"?*"))</f>
        <v>Sensors &amp; platform owner|5</v>
      </c>
      <c r="K8" s="9" t="str">
        <f aca="false">IF(OR($C8="",$B8=""),"",$B8&amp;"|"&amp;COUNTIFS($B$4:$B8,$B8,$C$4:$C8,"?*"))</f>
        <v>Shared SCooP testbed|5</v>
      </c>
      <c r="L8" s="9" t="str">
        <f aca="false">IF($C8="","","ALL|"&amp;COUNTIF($C$4:$C8,"?*"))</f>
        <v>ALL|5</v>
      </c>
    </row>
    <row r="9" customFormat="false" ht="15" hidden="false" customHeight="false" outlineLevel="0" collapsed="false">
      <c r="A9" s="6" t="s">
        <v>55</v>
      </c>
      <c r="B9" s="6" t="s">
        <v>42</v>
      </c>
      <c r="C9" s="3" t="s">
        <v>56</v>
      </c>
      <c r="D9" s="6" t="s">
        <v>44</v>
      </c>
      <c r="E9" s="6"/>
      <c r="F9" s="7"/>
      <c r="G9" s="6"/>
      <c r="H9" s="8" t="str">
        <f aca="false">IF(OR($F9="",$G9=""),"",$F9+7*$G9-3)</f>
        <v/>
      </c>
      <c r="I9" s="3"/>
      <c r="J9" s="9" t="str">
        <f aca="false">IF(OR($C9="",$D9=""),"",$D9&amp;"|"&amp;COUNTIFS($D$4:$D9,$D9,$C$4:$C9,"?*"))</f>
        <v>Sensors &amp; platform owner|6</v>
      </c>
      <c r="K9" s="9" t="str">
        <f aca="false">IF(OR($C9="",$B9=""),"",$B9&amp;"|"&amp;COUNTIFS($B$4:$B9,$B9,$C$4:$C9,"?*"))</f>
        <v>Shared SCooP testbed|6</v>
      </c>
      <c r="L9" s="9" t="str">
        <f aca="false">IF($C9="","","ALL|"&amp;COUNTIF($C$4:$C9,"?*"))</f>
        <v>ALL|6</v>
      </c>
    </row>
    <row r="10" customFormat="false" ht="15" hidden="false" customHeight="false" outlineLevel="0" collapsed="false">
      <c r="A10" s="6" t="s">
        <v>57</v>
      </c>
      <c r="B10" s="6" t="s">
        <v>42</v>
      </c>
      <c r="C10" s="3" t="s">
        <v>58</v>
      </c>
      <c r="D10" s="6" t="s">
        <v>44</v>
      </c>
      <c r="E10" s="6"/>
      <c r="F10" s="7"/>
      <c r="G10" s="6"/>
      <c r="H10" s="8" t="str">
        <f aca="false">IF(OR($F10="",$G10=""),"",$F10+7*$G10-3)</f>
        <v/>
      </c>
      <c r="I10" s="3"/>
      <c r="J10" s="9" t="str">
        <f aca="false">IF(OR($C10="",$D10=""),"",$D10&amp;"|"&amp;COUNTIFS($D$4:$D10,$D10,$C$4:$C10,"?*"))</f>
        <v>Sensors &amp; platform owner|7</v>
      </c>
      <c r="K10" s="9" t="str">
        <f aca="false">IF(OR($C10="",$B10=""),"",$B10&amp;"|"&amp;COUNTIFS($B$4:$B10,$B10,$C$4:$C10,"?*"))</f>
        <v>Shared SCooP testbed|7</v>
      </c>
      <c r="L10" s="9" t="str">
        <f aca="false">IF($C10="","","ALL|"&amp;COUNTIF($C$4:$C10,"?*"))</f>
        <v>ALL|7</v>
      </c>
    </row>
    <row r="11" customFormat="false" ht="15" hidden="false" customHeight="false" outlineLevel="0" collapsed="false">
      <c r="A11" s="6" t="s">
        <v>59</v>
      </c>
      <c r="B11" s="6" t="s">
        <v>42</v>
      </c>
      <c r="C11" s="3" t="s">
        <v>60</v>
      </c>
      <c r="D11" s="6" t="s">
        <v>44</v>
      </c>
      <c r="E11" s="6"/>
      <c r="F11" s="7"/>
      <c r="G11" s="6"/>
      <c r="H11" s="8" t="str">
        <f aca="false">IF(OR($F11="",$G11=""),"",$F11+7*$G11-3)</f>
        <v/>
      </c>
      <c r="I11" s="3"/>
      <c r="J11" s="9" t="str">
        <f aca="false">IF(OR($C11="",$D11=""),"",$D11&amp;"|"&amp;COUNTIFS($D$4:$D11,$D11,$C$4:$C11,"?*"))</f>
        <v>Sensors &amp; platform owner|8</v>
      </c>
      <c r="K11" s="9" t="str">
        <f aca="false">IF(OR($C11="",$B11=""),"",$B11&amp;"|"&amp;COUNTIFS($B$4:$B11,$B11,$C$4:$C11,"?*"))</f>
        <v>Shared SCooP testbed|8</v>
      </c>
      <c r="L11" s="9" t="str">
        <f aca="false">IF($C11="","","ALL|"&amp;COUNTIF($C$4:$C11,"?*"))</f>
        <v>ALL|8</v>
      </c>
    </row>
    <row r="12" customFormat="false" ht="15" hidden="false" customHeight="false" outlineLevel="0" collapsed="false">
      <c r="A12" s="6" t="s">
        <v>61</v>
      </c>
      <c r="B12" s="6" t="s">
        <v>42</v>
      </c>
      <c r="C12" s="3" t="s">
        <v>62</v>
      </c>
      <c r="D12" s="6" t="s">
        <v>44</v>
      </c>
      <c r="E12" s="6" t="s">
        <v>48</v>
      </c>
      <c r="F12" s="7" t="n">
        <v>46202</v>
      </c>
      <c r="G12" s="6" t="n">
        <v>1</v>
      </c>
      <c r="H12" s="8" t="n">
        <f aca="false">IF(OR($F12="",$G12=""),"",$F12+7*$G12-3)</f>
        <v>46206</v>
      </c>
      <c r="I12" s="3"/>
      <c r="J12" s="9" t="str">
        <f aca="false">IF(OR($C12="",$D12=""),"",$D12&amp;"|"&amp;COUNTIFS($D$4:$D12,$D12,$C$4:$C12,"?*"))</f>
        <v>Sensors &amp; platform owner|9</v>
      </c>
      <c r="K12" s="9" t="str">
        <f aca="false">IF(OR($C12="",$B12=""),"",$B12&amp;"|"&amp;COUNTIFS($B$4:$B12,$B12,$C$4:$C12,"?*"))</f>
        <v>Shared SCooP testbed|9</v>
      </c>
      <c r="L12" s="9" t="str">
        <f aca="false">IF($C12="","","ALL|"&amp;COUNTIF($C$4:$C12,"?*"))</f>
        <v>ALL|9</v>
      </c>
    </row>
    <row r="13" customFormat="false" ht="15" hidden="false" customHeight="false" outlineLevel="0" collapsed="false">
      <c r="A13" s="6" t="s">
        <v>63</v>
      </c>
      <c r="B13" s="6" t="s">
        <v>42</v>
      </c>
      <c r="C13" s="3" t="s">
        <v>64</v>
      </c>
      <c r="D13" s="6" t="s">
        <v>44</v>
      </c>
      <c r="E13" s="6" t="s">
        <v>48</v>
      </c>
      <c r="F13" s="7" t="n">
        <v>46307</v>
      </c>
      <c r="G13" s="6" t="n">
        <v>2</v>
      </c>
      <c r="H13" s="8" t="n">
        <f aca="false">IF(OR($F13="",$G13=""),"",$F13+7*$G13-3)</f>
        <v>46318</v>
      </c>
      <c r="I13" s="3"/>
      <c r="J13" s="9" t="str">
        <f aca="false">IF(OR($C13="",$D13=""),"",$D13&amp;"|"&amp;COUNTIFS($D$4:$D13,$D13,$C$4:$C13,"?*"))</f>
        <v>Sensors &amp; platform owner|10</v>
      </c>
      <c r="K13" s="9" t="str">
        <f aca="false">IF(OR($C13="",$B13=""),"",$B13&amp;"|"&amp;COUNTIFS($B$4:$B13,$B13,$C$4:$C13,"?*"))</f>
        <v>Shared SCooP testbed|10</v>
      </c>
      <c r="L13" s="9" t="str">
        <f aca="false">IF($C13="","","ALL|"&amp;COUNTIF($C$4:$C13,"?*"))</f>
        <v>ALL|10</v>
      </c>
    </row>
    <row r="14" customFormat="false" ht="15" hidden="false" customHeight="false" outlineLevel="0" collapsed="false">
      <c r="A14" s="6" t="s">
        <v>65</v>
      </c>
      <c r="B14" s="6" t="s">
        <v>42</v>
      </c>
      <c r="C14" s="3" t="s">
        <v>66</v>
      </c>
      <c r="D14" s="6" t="s">
        <v>44</v>
      </c>
      <c r="E14" s="6" t="s">
        <v>45</v>
      </c>
      <c r="F14" s="7" t="n">
        <v>46307</v>
      </c>
      <c r="G14" s="6" t="n">
        <v>2</v>
      </c>
      <c r="H14" s="8" t="n">
        <f aca="false">IF(OR($F14="",$G14=""),"",$F14+7*$G14-3)</f>
        <v>46318</v>
      </c>
      <c r="I14" s="3"/>
      <c r="J14" s="9" t="str">
        <f aca="false">IF(OR($C14="",$D14=""),"",$D14&amp;"|"&amp;COUNTIFS($D$4:$D14,$D14,$C$4:$C14,"?*"))</f>
        <v>Sensors &amp; platform owner|11</v>
      </c>
      <c r="K14" s="9" t="str">
        <f aca="false">IF(OR($C14="",$B14=""),"",$B14&amp;"|"&amp;COUNTIFS($B$4:$B14,$B14,$C$4:$C14,"?*"))</f>
        <v>Shared SCooP testbed|11</v>
      </c>
      <c r="L14" s="9" t="str">
        <f aca="false">IF($C14="","","ALL|"&amp;COUNTIF($C$4:$C14,"?*"))</f>
        <v>ALL|11</v>
      </c>
    </row>
    <row r="15" customFormat="false" ht="23.85" hidden="false" customHeight="false" outlineLevel="0" collapsed="false">
      <c r="A15" s="6" t="s">
        <v>67</v>
      </c>
      <c r="B15" s="6" t="s">
        <v>68</v>
      </c>
      <c r="C15" s="3" t="s">
        <v>69</v>
      </c>
      <c r="D15" s="6" t="s">
        <v>70</v>
      </c>
      <c r="E15" s="6" t="s">
        <v>71</v>
      </c>
      <c r="F15" s="7" t="n">
        <v>46314</v>
      </c>
      <c r="G15" s="6" t="n">
        <v>6</v>
      </c>
      <c r="H15" s="8" t="n">
        <f aca="false">IF(OR($F15="",$G15=""),"",$F15+7*$G15-3)</f>
        <v>46353</v>
      </c>
      <c r="I15" s="3" t="s">
        <v>72</v>
      </c>
      <c r="J15" s="9" t="str">
        <f aca="false">IF(OR($C15="",$D15=""),"",$D15&amp;"|"&amp;COUNTIFS($D$4:$D15,$D15,$C$4:$C15,"?*"))</f>
        <v>SCooP owner|1</v>
      </c>
      <c r="K15" s="9" t="str">
        <f aca="false">IF(OR($C15="",$B15=""),"",$B15&amp;"|"&amp;COUNTIFS($B$4:$B15,$B15,$C$4:$C15,"?*"))</f>
        <v>G2 SCooP dataset &amp; paper|1</v>
      </c>
      <c r="L15" s="9" t="str">
        <f aca="false">IF($C15="","","ALL|"&amp;COUNTIF($C$4:$C15,"?*"))</f>
        <v>ALL|12</v>
      </c>
    </row>
    <row r="16" customFormat="false" ht="23.85" hidden="false" customHeight="false" outlineLevel="0" collapsed="false">
      <c r="A16" s="6" t="s">
        <v>73</v>
      </c>
      <c r="B16" s="6" t="s">
        <v>68</v>
      </c>
      <c r="C16" s="3" t="s">
        <v>74</v>
      </c>
      <c r="D16" s="6" t="s">
        <v>70</v>
      </c>
      <c r="E16" s="6" t="s">
        <v>71</v>
      </c>
      <c r="F16" s="7" t="n">
        <v>46202</v>
      </c>
      <c r="G16" s="6" t="n">
        <v>1</v>
      </c>
      <c r="H16" s="8" t="n">
        <f aca="false">IF(OR($F16="",$G16=""),"",$F16+7*$G16-3)</f>
        <v>46206</v>
      </c>
      <c r="I16" s="3" t="s">
        <v>75</v>
      </c>
      <c r="J16" s="9" t="str">
        <f aca="false">IF(OR($C16="",$D16=""),"",$D16&amp;"|"&amp;COUNTIFS($D$4:$D16,$D16,$C$4:$C16,"?*"))</f>
        <v>SCooP owner|2</v>
      </c>
      <c r="K16" s="9" t="str">
        <f aca="false">IF(OR($C16="",$B16=""),"",$B16&amp;"|"&amp;COUNTIFS($B$4:$B16,$B16,$C$4:$C16,"?*"))</f>
        <v>G2 SCooP dataset &amp; paper|2</v>
      </c>
      <c r="L16" s="9" t="str">
        <f aca="false">IF($C16="","","ALL|"&amp;COUNTIF($C$4:$C16,"?*"))</f>
        <v>ALL|13</v>
      </c>
    </row>
    <row r="17" customFormat="false" ht="15" hidden="false" customHeight="false" outlineLevel="0" collapsed="false">
      <c r="A17" s="6" t="s">
        <v>76</v>
      </c>
      <c r="B17" s="6" t="s">
        <v>68</v>
      </c>
      <c r="C17" s="3" t="s">
        <v>77</v>
      </c>
      <c r="D17" s="6" t="s">
        <v>70</v>
      </c>
      <c r="E17" s="6" t="s">
        <v>45</v>
      </c>
      <c r="F17" s="7"/>
      <c r="G17" s="6"/>
      <c r="H17" s="8" t="str">
        <f aca="false">IF(OR($F17="",$G17=""),"",$F17+7*$G17-3)</f>
        <v/>
      </c>
      <c r="I17" s="3"/>
      <c r="J17" s="9" t="str">
        <f aca="false">IF(OR($C17="",$D17=""),"",$D17&amp;"|"&amp;COUNTIFS($D$4:$D17,$D17,$C$4:$C17,"?*"))</f>
        <v>SCooP owner|3</v>
      </c>
      <c r="K17" s="9" t="str">
        <f aca="false">IF(OR($C17="",$B17=""),"",$B17&amp;"|"&amp;COUNTIFS($B$4:$B17,$B17,$C$4:$C17,"?*"))</f>
        <v>G2 SCooP dataset &amp; paper|3</v>
      </c>
      <c r="L17" s="9" t="str">
        <f aca="false">IF($C17="","","ALL|"&amp;COUNTIF($C$4:$C17,"?*"))</f>
        <v>ALL|14</v>
      </c>
    </row>
    <row r="18" customFormat="false" ht="15" hidden="false" customHeight="false" outlineLevel="0" collapsed="false">
      <c r="A18" s="6" t="s">
        <v>78</v>
      </c>
      <c r="B18" s="6" t="s">
        <v>68</v>
      </c>
      <c r="C18" s="3" t="s">
        <v>79</v>
      </c>
      <c r="D18" s="6" t="s">
        <v>70</v>
      </c>
      <c r="E18" s="6" t="s">
        <v>45</v>
      </c>
      <c r="F18" s="7" t="n">
        <v>46321</v>
      </c>
      <c r="G18" s="6" t="n">
        <v>4</v>
      </c>
      <c r="H18" s="8" t="n">
        <f aca="false">IF(OR($F18="",$G18=""),"",$F18+7*$G18-3)</f>
        <v>46346</v>
      </c>
      <c r="I18" s="3"/>
      <c r="J18" s="9" t="str">
        <f aca="false">IF(OR($C18="",$D18=""),"",$D18&amp;"|"&amp;COUNTIFS($D$4:$D18,$D18,$C$4:$C18,"?*"))</f>
        <v>SCooP owner|4</v>
      </c>
      <c r="K18" s="9" t="str">
        <f aca="false">IF(OR($C18="",$B18=""),"",$B18&amp;"|"&amp;COUNTIFS($B$4:$B18,$B18,$C$4:$C18,"?*"))</f>
        <v>G2 SCooP dataset &amp; paper|4</v>
      </c>
      <c r="L18" s="9" t="str">
        <f aca="false">IF($C18="","","ALL|"&amp;COUNTIF($C$4:$C18,"?*"))</f>
        <v>ALL|15</v>
      </c>
    </row>
    <row r="19" customFormat="false" ht="15" hidden="false" customHeight="false" outlineLevel="0" collapsed="false">
      <c r="A19" s="6" t="s">
        <v>80</v>
      </c>
      <c r="B19" s="6" t="s">
        <v>68</v>
      </c>
      <c r="C19" s="3" t="s">
        <v>81</v>
      </c>
      <c r="D19" s="6" t="s">
        <v>70</v>
      </c>
      <c r="E19" s="6"/>
      <c r="F19" s="7" t="n">
        <v>46314</v>
      </c>
      <c r="G19" s="6" t="n">
        <v>1</v>
      </c>
      <c r="H19" s="8" t="n">
        <f aca="false">IF(OR($F19="",$G19=""),"",$F19+7*$G19-3)</f>
        <v>46318</v>
      </c>
      <c r="I19" s="3"/>
      <c r="J19" s="9" t="str">
        <f aca="false">IF(OR($C19="",$D19=""),"",$D19&amp;"|"&amp;COUNTIFS($D$4:$D19,$D19,$C$4:$C19,"?*"))</f>
        <v>SCooP owner|5</v>
      </c>
      <c r="K19" s="9" t="str">
        <f aca="false">IF(OR($C19="",$B19=""),"",$B19&amp;"|"&amp;COUNTIFS($B$4:$B19,$B19,$C$4:$C19,"?*"))</f>
        <v>G2 SCooP dataset &amp; paper|5</v>
      </c>
      <c r="L19" s="9" t="str">
        <f aca="false">IF($C19="","","ALL|"&amp;COUNTIF($C$4:$C19,"?*"))</f>
        <v>ALL|16</v>
      </c>
    </row>
    <row r="20" customFormat="false" ht="15" hidden="false" customHeight="false" outlineLevel="0" collapsed="false">
      <c r="A20" s="6" t="s">
        <v>82</v>
      </c>
      <c r="B20" s="6" t="s">
        <v>68</v>
      </c>
      <c r="C20" s="3" t="s">
        <v>83</v>
      </c>
      <c r="D20" s="6" t="s">
        <v>70</v>
      </c>
      <c r="E20" s="6"/>
      <c r="F20" s="7" t="n">
        <v>46314</v>
      </c>
      <c r="G20" s="6" t="n">
        <v>1</v>
      </c>
      <c r="H20" s="8" t="n">
        <f aca="false">IF(OR($F20="",$G20=""),"",$F20+7*$G20-3)</f>
        <v>46318</v>
      </c>
      <c r="I20" s="3"/>
      <c r="J20" s="9" t="str">
        <f aca="false">IF(OR($C20="",$D20=""),"",$D20&amp;"|"&amp;COUNTIFS($D$4:$D20,$D20,$C$4:$C20,"?*"))</f>
        <v>SCooP owner|6</v>
      </c>
      <c r="K20" s="9" t="str">
        <f aca="false">IF(OR($C20="",$B20=""),"",$B20&amp;"|"&amp;COUNTIFS($B$4:$B20,$B20,$C$4:$C20,"?*"))</f>
        <v>G2 SCooP dataset &amp; paper|6</v>
      </c>
      <c r="L20" s="9" t="str">
        <f aca="false">IF($C20="","","ALL|"&amp;COUNTIF($C$4:$C20,"?*"))</f>
        <v>ALL|17</v>
      </c>
    </row>
    <row r="21" customFormat="false" ht="15" hidden="false" customHeight="false" outlineLevel="0" collapsed="false">
      <c r="A21" s="6" t="s">
        <v>84</v>
      </c>
      <c r="B21" s="6" t="s">
        <v>68</v>
      </c>
      <c r="C21" s="3" t="s">
        <v>85</v>
      </c>
      <c r="D21" s="6" t="s">
        <v>70</v>
      </c>
      <c r="E21" s="6" t="s">
        <v>48</v>
      </c>
      <c r="F21" s="7" t="n">
        <v>46307</v>
      </c>
      <c r="G21" s="6" t="n">
        <v>10</v>
      </c>
      <c r="H21" s="8" t="n">
        <f aca="false">IF(OR($F21="",$G21=""),"",$F21+7*$G21-3)</f>
        <v>46374</v>
      </c>
      <c r="I21" s="3" t="s">
        <v>86</v>
      </c>
      <c r="J21" s="9" t="str">
        <f aca="false">IF(OR($C21="",$D21=""),"",$D21&amp;"|"&amp;COUNTIFS($D$4:$D21,$D21,$C$4:$C21,"?*"))</f>
        <v>SCooP owner|7</v>
      </c>
      <c r="K21" s="9" t="str">
        <f aca="false">IF(OR($C21="",$B21=""),"",$B21&amp;"|"&amp;COUNTIFS($B$4:$B21,$B21,$C$4:$C21,"?*"))</f>
        <v>G2 SCooP dataset &amp; paper|7</v>
      </c>
      <c r="L21" s="9" t="str">
        <f aca="false">IF($C21="","","ALL|"&amp;COUNTIF($C$4:$C21,"?*"))</f>
        <v>ALL|18</v>
      </c>
    </row>
    <row r="22" customFormat="false" ht="15" hidden="false" customHeight="false" outlineLevel="0" collapsed="false">
      <c r="A22" s="6" t="s">
        <v>87</v>
      </c>
      <c r="B22" s="6" t="s">
        <v>68</v>
      </c>
      <c r="C22" s="3" t="s">
        <v>88</v>
      </c>
      <c r="D22" s="6" t="s">
        <v>70</v>
      </c>
      <c r="E22" s="6" t="s">
        <v>48</v>
      </c>
      <c r="F22" s="7" t="n">
        <v>46202</v>
      </c>
      <c r="G22" s="6" t="n">
        <v>1</v>
      </c>
      <c r="H22" s="8" t="n">
        <f aca="false">IF(OR($F22="",$G22=""),"",$F22+7*$G22-3)</f>
        <v>46206</v>
      </c>
      <c r="I22" s="3"/>
      <c r="J22" s="9" t="str">
        <f aca="false">IF(OR($C22="",$D22=""),"",$D22&amp;"|"&amp;COUNTIFS($D$4:$D22,$D22,$C$4:$C22,"?*"))</f>
        <v>SCooP owner|8</v>
      </c>
      <c r="K22" s="9" t="str">
        <f aca="false">IF(OR($C22="",$B22=""),"",$B22&amp;"|"&amp;COUNTIFS($B$4:$B22,$B22,$C$4:$C22,"?*"))</f>
        <v>G2 SCooP dataset &amp; paper|8</v>
      </c>
      <c r="L22" s="9" t="str">
        <f aca="false">IF($C22="","","ALL|"&amp;COUNTIF($C$4:$C22,"?*"))</f>
        <v>ALL|19</v>
      </c>
    </row>
    <row r="23" customFormat="false" ht="15" hidden="false" customHeight="false" outlineLevel="0" collapsed="false">
      <c r="A23" s="6" t="s">
        <v>89</v>
      </c>
      <c r="B23" s="6" t="s">
        <v>68</v>
      </c>
      <c r="C23" s="3" t="s">
        <v>90</v>
      </c>
      <c r="D23" s="6" t="s">
        <v>70</v>
      </c>
      <c r="E23" s="6" t="s">
        <v>45</v>
      </c>
      <c r="F23" s="7" t="n">
        <v>46202</v>
      </c>
      <c r="G23" s="6" t="n">
        <v>1</v>
      </c>
      <c r="H23" s="8" t="n">
        <f aca="false">IF(OR($F23="",$G23=""),"",$F23+7*$G23-3)</f>
        <v>46206</v>
      </c>
      <c r="I23" s="3"/>
      <c r="J23" s="9" t="str">
        <f aca="false">IF(OR($C23="",$D23=""),"",$D23&amp;"|"&amp;COUNTIFS($D$4:$D23,$D23,$C$4:$C23,"?*"))</f>
        <v>SCooP owner|9</v>
      </c>
      <c r="K23" s="9" t="str">
        <f aca="false">IF(OR($C23="",$B23=""),"",$B23&amp;"|"&amp;COUNTIFS($B$4:$B23,$B23,$C$4:$C23,"?*"))</f>
        <v>G2 SCooP dataset &amp; paper|9</v>
      </c>
      <c r="L23" s="9" t="str">
        <f aca="false">IF($C23="","","ALL|"&amp;COUNTIF($C$4:$C23,"?*"))</f>
        <v>ALL|20</v>
      </c>
    </row>
    <row r="24" customFormat="false" ht="15" hidden="false" customHeight="false" outlineLevel="0" collapsed="false">
      <c r="A24" s="6" t="s">
        <v>91</v>
      </c>
      <c r="B24" s="6" t="s">
        <v>68</v>
      </c>
      <c r="C24" s="3" t="s">
        <v>92</v>
      </c>
      <c r="D24" s="6" t="s">
        <v>70</v>
      </c>
      <c r="E24" s="6" t="s">
        <v>48</v>
      </c>
      <c r="F24" s="7" t="n">
        <v>46307</v>
      </c>
      <c r="G24" s="6" t="n">
        <v>8</v>
      </c>
      <c r="H24" s="8" t="n">
        <f aca="false">IF(OR($F24="",$G24=""),"",$F24+7*$G24-3)</f>
        <v>46360</v>
      </c>
      <c r="I24" s="3"/>
      <c r="J24" s="9" t="str">
        <f aca="false">IF(OR($C24="",$D24=""),"",$D24&amp;"|"&amp;COUNTIFS($D$4:$D24,$D24,$C$4:$C24,"?*"))</f>
        <v>SCooP owner|10</v>
      </c>
      <c r="K24" s="9" t="str">
        <f aca="false">IF(OR($C24="",$B24=""),"",$B24&amp;"|"&amp;COUNTIFS($B$4:$B24,$B24,$C$4:$C24,"?*"))</f>
        <v>G2 SCooP dataset &amp; paper|10</v>
      </c>
      <c r="L24" s="9" t="str">
        <f aca="false">IF($C24="","","ALL|"&amp;COUNTIF($C$4:$C24,"?*"))</f>
        <v>ALL|21</v>
      </c>
    </row>
    <row r="25" customFormat="false" ht="15" hidden="false" customHeight="false" outlineLevel="0" collapsed="false">
      <c r="A25" s="6" t="s">
        <v>93</v>
      </c>
      <c r="B25" s="6" t="s">
        <v>68</v>
      </c>
      <c r="C25" s="3" t="s">
        <v>94</v>
      </c>
      <c r="D25" s="6" t="s">
        <v>70</v>
      </c>
      <c r="E25" s="6" t="s">
        <v>45</v>
      </c>
      <c r="F25" s="7" t="n">
        <v>46202</v>
      </c>
      <c r="G25" s="6" t="n">
        <v>1</v>
      </c>
      <c r="H25" s="8" t="n">
        <f aca="false">IF(OR($F25="",$G25=""),"",$F25+7*$G25-3)</f>
        <v>46206</v>
      </c>
      <c r="I25" s="3"/>
      <c r="J25" s="9" t="str">
        <f aca="false">IF(OR($C25="",$D25=""),"",$D25&amp;"|"&amp;COUNTIFS($D$4:$D25,$D25,$C$4:$C25,"?*"))</f>
        <v>SCooP owner|11</v>
      </c>
      <c r="K25" s="9" t="str">
        <f aca="false">IF(OR($C25="",$B25=""),"",$B25&amp;"|"&amp;COUNTIFS($B$4:$B25,$B25,$C$4:$C25,"?*"))</f>
        <v>G2 SCooP dataset &amp; paper|11</v>
      </c>
      <c r="L25" s="9" t="str">
        <f aca="false">IF($C25="","","ALL|"&amp;COUNTIF($C$4:$C25,"?*"))</f>
        <v>ALL|22</v>
      </c>
    </row>
    <row r="26" customFormat="false" ht="15" hidden="false" customHeight="false" outlineLevel="0" collapsed="false">
      <c r="A26" s="6" t="s">
        <v>95</v>
      </c>
      <c r="B26" s="6" t="s">
        <v>68</v>
      </c>
      <c r="C26" s="3" t="s">
        <v>96</v>
      </c>
      <c r="D26" s="6" t="s">
        <v>70</v>
      </c>
      <c r="E26" s="6" t="s">
        <v>45</v>
      </c>
      <c r="F26" s="7" t="n">
        <v>46209</v>
      </c>
      <c r="G26" s="6" t="n">
        <v>2</v>
      </c>
      <c r="H26" s="8" t="n">
        <f aca="false">IF(OR($F26="",$G26=""),"",$F26+7*$G26-3)</f>
        <v>46220</v>
      </c>
      <c r="I26" s="3" t="s">
        <v>97</v>
      </c>
      <c r="J26" s="9" t="str">
        <f aca="false">IF(OR($C26="",$D26=""),"",$D26&amp;"|"&amp;COUNTIFS($D$4:$D26,$D26,$C$4:$C26,"?*"))</f>
        <v>SCooP owner|12</v>
      </c>
      <c r="K26" s="9" t="str">
        <f aca="false">IF(OR($C26="",$B26=""),"",$B26&amp;"|"&amp;COUNTIFS($B$4:$B26,$B26,$C$4:$C26,"?*"))</f>
        <v>G2 SCooP dataset &amp; paper|12</v>
      </c>
      <c r="L26" s="9" t="str">
        <f aca="false">IF($C26="","","ALL|"&amp;COUNTIF($C$4:$C26,"?*"))</f>
        <v>ALL|23</v>
      </c>
    </row>
    <row r="27" customFormat="false" ht="15" hidden="false" customHeight="false" outlineLevel="0" collapsed="false">
      <c r="A27" s="6" t="s">
        <v>98</v>
      </c>
      <c r="B27" s="6" t="s">
        <v>68</v>
      </c>
      <c r="C27" s="3" t="s">
        <v>99</v>
      </c>
      <c r="D27" s="6" t="s">
        <v>70</v>
      </c>
      <c r="E27" s="6" t="s">
        <v>48</v>
      </c>
      <c r="F27" s="7" t="n">
        <v>46307</v>
      </c>
      <c r="G27" s="6" t="n">
        <v>6</v>
      </c>
      <c r="H27" s="8" t="n">
        <f aca="false">IF(OR($F27="",$G27=""),"",$F27+7*$G27-3)</f>
        <v>46346</v>
      </c>
      <c r="I27" s="3"/>
      <c r="J27" s="9" t="str">
        <f aca="false">IF(OR($C27="",$D27=""),"",$D27&amp;"|"&amp;COUNTIFS($D$4:$D27,$D27,$C$4:$C27,"?*"))</f>
        <v>SCooP owner|13</v>
      </c>
      <c r="K27" s="9" t="str">
        <f aca="false">IF(OR($C27="",$B27=""),"",$B27&amp;"|"&amp;COUNTIFS($B$4:$B27,$B27,$C$4:$C27,"?*"))</f>
        <v>G2 SCooP dataset &amp; paper|13</v>
      </c>
      <c r="L27" s="9" t="str">
        <f aca="false">IF($C27="","","ALL|"&amp;COUNTIF($C$4:$C27,"?*"))</f>
        <v>ALL|24</v>
      </c>
    </row>
    <row r="28" customFormat="false" ht="15" hidden="false" customHeight="false" outlineLevel="0" collapsed="false">
      <c r="A28" s="6" t="s">
        <v>100</v>
      </c>
      <c r="B28" s="6" t="s">
        <v>68</v>
      </c>
      <c r="C28" s="3" t="s">
        <v>101</v>
      </c>
      <c r="D28" s="6" t="s">
        <v>70</v>
      </c>
      <c r="E28" s="6" t="s">
        <v>45</v>
      </c>
      <c r="F28" s="7" t="n">
        <v>46342</v>
      </c>
      <c r="G28" s="6" t="n">
        <v>3</v>
      </c>
      <c r="H28" s="8" t="n">
        <f aca="false">IF(OR($F28="",$G28=""),"",$F28+7*$G28-3)</f>
        <v>46360</v>
      </c>
      <c r="I28" s="3"/>
      <c r="J28" s="9" t="str">
        <f aca="false">IF(OR($C28="",$D28=""),"",$D28&amp;"|"&amp;COUNTIFS($D$4:$D28,$D28,$C$4:$C28,"?*"))</f>
        <v>SCooP owner|14</v>
      </c>
      <c r="K28" s="9" t="str">
        <f aca="false">IF(OR($C28="",$B28=""),"",$B28&amp;"|"&amp;COUNTIFS($B$4:$B28,$B28,$C$4:$C28,"?*"))</f>
        <v>G2 SCooP dataset &amp; paper|14</v>
      </c>
      <c r="L28" s="9" t="str">
        <f aca="false">IF($C28="","","ALL|"&amp;COUNTIF($C$4:$C28,"?*"))</f>
        <v>ALL|25</v>
      </c>
    </row>
    <row r="29" customFormat="false" ht="15" hidden="false" customHeight="false" outlineLevel="0" collapsed="false">
      <c r="A29" s="6" t="s">
        <v>102</v>
      </c>
      <c r="B29" s="6" t="s">
        <v>68</v>
      </c>
      <c r="C29" s="3" t="s">
        <v>103</v>
      </c>
      <c r="D29" s="6" t="s">
        <v>70</v>
      </c>
      <c r="E29" s="6" t="s">
        <v>45</v>
      </c>
      <c r="F29" s="7" t="n">
        <v>46335</v>
      </c>
      <c r="G29" s="6" t="n">
        <v>7</v>
      </c>
      <c r="H29" s="8" t="n">
        <f aca="false">IF(OR($F29="",$G29=""),"",$F29+7*$G29-3)</f>
        <v>46381</v>
      </c>
      <c r="I29" s="3"/>
      <c r="J29" s="9" t="str">
        <f aca="false">IF(OR($C29="",$D29=""),"",$D29&amp;"|"&amp;COUNTIFS($D$4:$D29,$D29,$C$4:$C29,"?*"))</f>
        <v>SCooP owner|15</v>
      </c>
      <c r="K29" s="9" t="str">
        <f aca="false">IF(OR($C29="",$B29=""),"",$B29&amp;"|"&amp;COUNTIFS($B$4:$B29,$B29,$C$4:$C29,"?*"))</f>
        <v>G2 SCooP dataset &amp; paper|15</v>
      </c>
      <c r="L29" s="9" t="str">
        <f aca="false">IF($C29="","","ALL|"&amp;COUNTIF($C$4:$C29,"?*"))</f>
        <v>ALL|26</v>
      </c>
    </row>
    <row r="30" customFormat="false" ht="15" hidden="false" customHeight="false" outlineLevel="0" collapsed="false">
      <c r="A30" s="6" t="s">
        <v>104</v>
      </c>
      <c r="B30" s="6" t="s">
        <v>68</v>
      </c>
      <c r="C30" s="3" t="s">
        <v>105</v>
      </c>
      <c r="D30" s="6" t="s">
        <v>70</v>
      </c>
      <c r="E30" s="6" t="s">
        <v>45</v>
      </c>
      <c r="F30" s="7"/>
      <c r="G30" s="6"/>
      <c r="H30" s="8" t="str">
        <f aca="false">IF(OR($F30="",$G30=""),"",$F30+7*$G30-3)</f>
        <v/>
      </c>
      <c r="I30" s="3"/>
      <c r="J30" s="9" t="str">
        <f aca="false">IF(OR($C30="",$D30=""),"",$D30&amp;"|"&amp;COUNTIFS($D$4:$D30,$D30,$C$4:$C30,"?*"))</f>
        <v>SCooP owner|16</v>
      </c>
      <c r="K30" s="9" t="str">
        <f aca="false">IF(OR($C30="",$B30=""),"",$B30&amp;"|"&amp;COUNTIFS($B$4:$B30,$B30,$C$4:$C30,"?*"))</f>
        <v>G2 SCooP dataset &amp; paper|16</v>
      </c>
      <c r="L30" s="9" t="str">
        <f aca="false">IF($C30="","","ALL|"&amp;COUNTIF($C$4:$C30,"?*"))</f>
        <v>ALL|27</v>
      </c>
    </row>
    <row r="31" customFormat="false" ht="15" hidden="false" customHeight="false" outlineLevel="0" collapsed="false">
      <c r="A31" s="6" t="s">
        <v>106</v>
      </c>
      <c r="B31" s="6" t="s">
        <v>68</v>
      </c>
      <c r="C31" s="3" t="s">
        <v>107</v>
      </c>
      <c r="D31" s="6" t="s">
        <v>70</v>
      </c>
      <c r="E31" s="6" t="s">
        <v>45</v>
      </c>
      <c r="F31" s="7" t="n">
        <v>46349</v>
      </c>
      <c r="G31" s="6" t="n">
        <v>5</v>
      </c>
      <c r="H31" s="8" t="n">
        <f aca="false">IF(OR($F31="",$G31=""),"",$F31+7*$G31-3)</f>
        <v>46381</v>
      </c>
      <c r="I31" s="3"/>
      <c r="J31" s="9" t="str">
        <f aca="false">IF(OR($C31="",$D31=""),"",$D31&amp;"|"&amp;COUNTIFS($D$4:$D31,$D31,$C$4:$C31,"?*"))</f>
        <v>SCooP owner|17</v>
      </c>
      <c r="K31" s="9" t="str">
        <f aca="false">IF(OR($C31="",$B31=""),"",$B31&amp;"|"&amp;COUNTIFS($B$4:$B31,$B31,$C$4:$C31,"?*"))</f>
        <v>G2 SCooP dataset &amp; paper|17</v>
      </c>
      <c r="L31" s="9" t="str">
        <f aca="false">IF($C31="","","ALL|"&amp;COUNTIF($C$4:$C31,"?*"))</f>
        <v>ALL|28</v>
      </c>
    </row>
    <row r="32" customFormat="false" ht="15" hidden="false" customHeight="false" outlineLevel="0" collapsed="false">
      <c r="A32" s="6" t="s">
        <v>108</v>
      </c>
      <c r="B32" s="6" t="s">
        <v>68</v>
      </c>
      <c r="C32" s="3" t="s">
        <v>109</v>
      </c>
      <c r="D32" s="6" t="s">
        <v>70</v>
      </c>
      <c r="E32" s="6" t="s">
        <v>45</v>
      </c>
      <c r="F32" s="7" t="n">
        <v>46384</v>
      </c>
      <c r="G32" s="6" t="n">
        <v>5</v>
      </c>
      <c r="H32" s="8" t="n">
        <f aca="false">IF(OR($F32="",$G32=""),"",$F32+7*$G32-3)</f>
        <v>46416</v>
      </c>
      <c r="I32" s="3"/>
      <c r="J32" s="9" t="str">
        <f aca="false">IF(OR($C32="",$D32=""),"",$D32&amp;"|"&amp;COUNTIFS($D$4:$D32,$D32,$C$4:$C32,"?*"))</f>
        <v>SCooP owner|18</v>
      </c>
      <c r="K32" s="9" t="str">
        <f aca="false">IF(OR($C32="",$B32=""),"",$B32&amp;"|"&amp;COUNTIFS($B$4:$B32,$B32,$C$4:$C32,"?*"))</f>
        <v>G2 SCooP dataset &amp; paper|18</v>
      </c>
      <c r="L32" s="9" t="str">
        <f aca="false">IF($C32="","","ALL|"&amp;COUNTIF($C$4:$C32,"?*"))</f>
        <v>ALL|29</v>
      </c>
    </row>
    <row r="33" customFormat="false" ht="15" hidden="false" customHeight="false" outlineLevel="0" collapsed="false">
      <c r="A33" s="6" t="s">
        <v>110</v>
      </c>
      <c r="B33" s="6" t="s">
        <v>68</v>
      </c>
      <c r="C33" s="3" t="s">
        <v>111</v>
      </c>
      <c r="D33" s="6" t="s">
        <v>70</v>
      </c>
      <c r="E33" s="6" t="s">
        <v>45</v>
      </c>
      <c r="F33" s="7"/>
      <c r="G33" s="6"/>
      <c r="H33" s="8" t="str">
        <f aca="false">IF(OR($F33="",$G33=""),"",$F33+7*$G33-3)</f>
        <v/>
      </c>
      <c r="I33" s="3"/>
      <c r="J33" s="9" t="str">
        <f aca="false">IF(OR($C33="",$D33=""),"",$D33&amp;"|"&amp;COUNTIFS($D$4:$D33,$D33,$C$4:$C33,"?*"))</f>
        <v>SCooP owner|19</v>
      </c>
      <c r="K33" s="9" t="str">
        <f aca="false">IF(OR($C33="",$B33=""),"",$B33&amp;"|"&amp;COUNTIFS($B$4:$B33,$B33,$C$4:$C33,"?*"))</f>
        <v>G2 SCooP dataset &amp; paper|19</v>
      </c>
      <c r="L33" s="9" t="str">
        <f aca="false">IF($C33="","","ALL|"&amp;COUNTIF($C$4:$C33,"?*"))</f>
        <v>ALL|30</v>
      </c>
    </row>
    <row r="34" customFormat="false" ht="15" hidden="false" customHeight="false" outlineLevel="0" collapsed="false">
      <c r="A34" s="6" t="s">
        <v>112</v>
      </c>
      <c r="B34" s="6" t="s">
        <v>68</v>
      </c>
      <c r="C34" s="3" t="s">
        <v>113</v>
      </c>
      <c r="D34" s="6" t="s">
        <v>70</v>
      </c>
      <c r="E34" s="6" t="s">
        <v>45</v>
      </c>
      <c r="F34" s="7" t="n">
        <v>46384</v>
      </c>
      <c r="G34" s="6" t="n">
        <v>4</v>
      </c>
      <c r="H34" s="8" t="n">
        <f aca="false">IF(OR($F34="",$G34=""),"",$F34+7*$G34-3)</f>
        <v>46409</v>
      </c>
      <c r="I34" s="3"/>
      <c r="J34" s="9" t="str">
        <f aca="false">IF(OR($C34="",$D34=""),"",$D34&amp;"|"&amp;COUNTIFS($D$4:$D34,$D34,$C$4:$C34,"?*"))</f>
        <v>SCooP owner|20</v>
      </c>
      <c r="K34" s="9" t="str">
        <f aca="false">IF(OR($C34="",$B34=""),"",$B34&amp;"|"&amp;COUNTIFS($B$4:$B34,$B34,$C$4:$C34,"?*"))</f>
        <v>G2 SCooP dataset &amp; paper|20</v>
      </c>
      <c r="L34" s="9" t="str">
        <f aca="false">IF($C34="","","ALL|"&amp;COUNTIF($C$4:$C34,"?*"))</f>
        <v>ALL|31</v>
      </c>
    </row>
    <row r="35" customFormat="false" ht="15" hidden="false" customHeight="false" outlineLevel="0" collapsed="false">
      <c r="A35" s="6" t="s">
        <v>114</v>
      </c>
      <c r="B35" s="6" t="s">
        <v>68</v>
      </c>
      <c r="C35" s="3" t="s">
        <v>115</v>
      </c>
      <c r="D35" s="6" t="s">
        <v>70</v>
      </c>
      <c r="E35" s="6" t="s">
        <v>45</v>
      </c>
      <c r="F35" s="7" t="n">
        <v>46398</v>
      </c>
      <c r="G35" s="6" t="n">
        <v>2</v>
      </c>
      <c r="H35" s="8" t="n">
        <f aca="false">IF(OR($F35="",$G35=""),"",$F35+7*$G35-3)</f>
        <v>46409</v>
      </c>
      <c r="I35" s="3"/>
      <c r="J35" s="9" t="str">
        <f aca="false">IF(OR($C35="",$D35=""),"",$D35&amp;"|"&amp;COUNTIFS($D$4:$D35,$D35,$C$4:$C35,"?*"))</f>
        <v>SCooP owner|21</v>
      </c>
      <c r="K35" s="9" t="str">
        <f aca="false">IF(OR($C35="",$B35=""),"",$B35&amp;"|"&amp;COUNTIFS($B$4:$B35,$B35,$C$4:$C35,"?*"))</f>
        <v>G2 SCooP dataset &amp; paper|21</v>
      </c>
      <c r="L35" s="9" t="str">
        <f aca="false">IF($C35="","","ALL|"&amp;COUNTIF($C$4:$C35,"?*"))</f>
        <v>ALL|32</v>
      </c>
    </row>
    <row r="36" customFormat="false" ht="15" hidden="false" customHeight="false" outlineLevel="0" collapsed="false">
      <c r="A36" s="6" t="s">
        <v>116</v>
      </c>
      <c r="B36" s="6" t="s">
        <v>68</v>
      </c>
      <c r="C36" s="3" t="s">
        <v>117</v>
      </c>
      <c r="D36" s="6" t="s">
        <v>70</v>
      </c>
      <c r="E36" s="6" t="s">
        <v>45</v>
      </c>
      <c r="F36" s="7" t="n">
        <v>46314</v>
      </c>
      <c r="G36" s="6" t="n">
        <v>3</v>
      </c>
      <c r="H36" s="8" t="n">
        <f aca="false">IF(OR($F36="",$G36=""),"",$F36+7*$G36-3)</f>
        <v>46332</v>
      </c>
      <c r="I36" s="3"/>
      <c r="J36" s="9" t="str">
        <f aca="false">IF(OR($C36="",$D36=""),"",$D36&amp;"|"&amp;COUNTIFS($D$4:$D36,$D36,$C$4:$C36,"?*"))</f>
        <v>SCooP owner|22</v>
      </c>
      <c r="K36" s="9" t="str">
        <f aca="false">IF(OR($C36="",$B36=""),"",$B36&amp;"|"&amp;COUNTIFS($B$4:$B36,$B36,$C$4:$C36,"?*"))</f>
        <v>G2 SCooP dataset &amp; paper|22</v>
      </c>
      <c r="L36" s="9" t="str">
        <f aca="false">IF($C36="","","ALL|"&amp;COUNTIF($C$4:$C36,"?*"))</f>
        <v>ALL|33</v>
      </c>
    </row>
    <row r="37" customFormat="false" ht="15" hidden="false" customHeight="false" outlineLevel="0" collapsed="false">
      <c r="A37" s="6" t="s">
        <v>118</v>
      </c>
      <c r="B37" s="6" t="s">
        <v>68</v>
      </c>
      <c r="C37" s="3" t="s">
        <v>119</v>
      </c>
      <c r="D37" s="6" t="s">
        <v>70</v>
      </c>
      <c r="E37" s="6" t="s">
        <v>45</v>
      </c>
      <c r="F37" s="7" t="n">
        <v>46342</v>
      </c>
      <c r="G37" s="6" t="n">
        <v>3</v>
      </c>
      <c r="H37" s="8" t="n">
        <f aca="false">IF(OR($F37="",$G37=""),"",$F37+7*$G37-3)</f>
        <v>46360</v>
      </c>
      <c r="I37" s="3"/>
      <c r="J37" s="9" t="str">
        <f aca="false">IF(OR($C37="",$D37=""),"",$D37&amp;"|"&amp;COUNTIFS($D$4:$D37,$D37,$C$4:$C37,"?*"))</f>
        <v>SCooP owner|23</v>
      </c>
      <c r="K37" s="9" t="str">
        <f aca="false">IF(OR($C37="",$B37=""),"",$B37&amp;"|"&amp;COUNTIFS($B$4:$B37,$B37,$C$4:$C37,"?*"))</f>
        <v>G2 SCooP dataset &amp; paper|23</v>
      </c>
      <c r="L37" s="9" t="str">
        <f aca="false">IF($C37="","","ALL|"&amp;COUNTIF($C$4:$C37,"?*"))</f>
        <v>ALL|34</v>
      </c>
    </row>
    <row r="38" customFormat="false" ht="15" hidden="false" customHeight="false" outlineLevel="0" collapsed="false">
      <c r="A38" s="6" t="s">
        <v>120</v>
      </c>
      <c r="B38" s="6" t="s">
        <v>68</v>
      </c>
      <c r="C38" s="3" t="s">
        <v>121</v>
      </c>
      <c r="D38" s="6" t="s">
        <v>70</v>
      </c>
      <c r="E38" s="6" t="s">
        <v>45</v>
      </c>
      <c r="F38" s="7" t="n">
        <v>46363</v>
      </c>
      <c r="G38" s="6" t="n">
        <v>3</v>
      </c>
      <c r="H38" s="8" t="n">
        <f aca="false">IF(OR($F38="",$G38=""),"",$F38+7*$G38-3)</f>
        <v>46381</v>
      </c>
      <c r="I38" s="3"/>
      <c r="J38" s="9" t="str">
        <f aca="false">IF(OR($C38="",$D38=""),"",$D38&amp;"|"&amp;COUNTIFS($D$4:$D38,$D38,$C$4:$C38,"?*"))</f>
        <v>SCooP owner|24</v>
      </c>
      <c r="K38" s="9" t="str">
        <f aca="false">IF(OR($C38="",$B38=""),"",$B38&amp;"|"&amp;COUNTIFS($B$4:$B38,$B38,$C$4:$C38,"?*"))</f>
        <v>G2 SCooP dataset &amp; paper|24</v>
      </c>
      <c r="L38" s="9" t="str">
        <f aca="false">IF($C38="","","ALL|"&amp;COUNTIF($C$4:$C38,"?*"))</f>
        <v>ALL|35</v>
      </c>
    </row>
    <row r="39" customFormat="false" ht="15" hidden="false" customHeight="false" outlineLevel="0" collapsed="false">
      <c r="A39" s="6" t="s">
        <v>122</v>
      </c>
      <c r="B39" s="6" t="s">
        <v>68</v>
      </c>
      <c r="C39" s="3" t="s">
        <v>123</v>
      </c>
      <c r="D39" s="6" t="s">
        <v>70</v>
      </c>
      <c r="E39" s="6" t="s">
        <v>45</v>
      </c>
      <c r="F39" s="7" t="n">
        <v>46363</v>
      </c>
      <c r="G39" s="6" t="n">
        <v>5</v>
      </c>
      <c r="H39" s="8" t="n">
        <f aca="false">IF(OR($F39="",$G39=""),"",$F39+7*$G39-3)</f>
        <v>46395</v>
      </c>
      <c r="I39" s="3"/>
      <c r="J39" s="9" t="str">
        <f aca="false">IF(OR($C39="",$D39=""),"",$D39&amp;"|"&amp;COUNTIFS($D$4:$D39,$D39,$C$4:$C39,"?*"))</f>
        <v>SCooP owner|25</v>
      </c>
      <c r="K39" s="9" t="str">
        <f aca="false">IF(OR($C39="",$B39=""),"",$B39&amp;"|"&amp;COUNTIFS($B$4:$B39,$B39,$C$4:$C39,"?*"))</f>
        <v>G2 SCooP dataset &amp; paper|25</v>
      </c>
      <c r="L39" s="9" t="str">
        <f aca="false">IF($C39="","","ALL|"&amp;COUNTIF($C$4:$C39,"?*"))</f>
        <v>ALL|36</v>
      </c>
    </row>
    <row r="40" customFormat="false" ht="15" hidden="false" customHeight="false" outlineLevel="0" collapsed="false">
      <c r="A40" s="6" t="s">
        <v>124</v>
      </c>
      <c r="B40" s="6" t="s">
        <v>68</v>
      </c>
      <c r="C40" s="3" t="s">
        <v>125</v>
      </c>
      <c r="D40" s="6" t="s">
        <v>70</v>
      </c>
      <c r="E40" s="6" t="s">
        <v>45</v>
      </c>
      <c r="F40" s="7" t="n">
        <v>46363</v>
      </c>
      <c r="G40" s="6" t="n">
        <v>5</v>
      </c>
      <c r="H40" s="8" t="n">
        <f aca="false">IF(OR($F40="",$G40=""),"",$F40+7*$G40-3)</f>
        <v>46395</v>
      </c>
      <c r="I40" s="3"/>
      <c r="J40" s="9" t="str">
        <f aca="false">IF(OR($C40="",$D40=""),"",$D40&amp;"|"&amp;COUNTIFS($D$4:$D40,$D40,$C$4:$C40,"?*"))</f>
        <v>SCooP owner|26</v>
      </c>
      <c r="K40" s="9" t="str">
        <f aca="false">IF(OR($C40="",$B40=""),"",$B40&amp;"|"&amp;COUNTIFS($B$4:$B40,$B40,$C$4:$C40,"?*"))</f>
        <v>G2 SCooP dataset &amp; paper|26</v>
      </c>
      <c r="L40" s="9" t="str">
        <f aca="false">IF($C40="","","ALL|"&amp;COUNTIF($C$4:$C40,"?*"))</f>
        <v>ALL|37</v>
      </c>
    </row>
    <row r="41" customFormat="false" ht="15" hidden="false" customHeight="false" outlineLevel="0" collapsed="false">
      <c r="A41" s="6" t="s">
        <v>126</v>
      </c>
      <c r="B41" s="6" t="s">
        <v>68</v>
      </c>
      <c r="C41" s="3" t="s">
        <v>127</v>
      </c>
      <c r="D41" s="6" t="s">
        <v>70</v>
      </c>
      <c r="E41" s="6" t="s">
        <v>45</v>
      </c>
      <c r="F41" s="7" t="n">
        <v>46398</v>
      </c>
      <c r="G41" s="6" t="n">
        <v>2</v>
      </c>
      <c r="H41" s="8" t="n">
        <f aca="false">IF(OR($F41="",$G41=""),"",$F41+7*$G41-3)</f>
        <v>46409</v>
      </c>
      <c r="I41" s="3"/>
      <c r="J41" s="9" t="str">
        <f aca="false">IF(OR($C41="",$D41=""),"",$D41&amp;"|"&amp;COUNTIFS($D$4:$D41,$D41,$C$4:$C41,"?*"))</f>
        <v>SCooP owner|27</v>
      </c>
      <c r="K41" s="9" t="str">
        <f aca="false">IF(OR($C41="",$B41=""),"",$B41&amp;"|"&amp;COUNTIFS($B$4:$B41,$B41,$C$4:$C41,"?*"))</f>
        <v>G2 SCooP dataset &amp; paper|27</v>
      </c>
      <c r="L41" s="9" t="str">
        <f aca="false">IF($C41="","","ALL|"&amp;COUNTIF($C$4:$C41,"?*"))</f>
        <v>ALL|38</v>
      </c>
    </row>
    <row r="42" customFormat="false" ht="15" hidden="false" customHeight="false" outlineLevel="0" collapsed="false">
      <c r="A42" s="6" t="s">
        <v>128</v>
      </c>
      <c r="B42" s="6" t="s">
        <v>68</v>
      </c>
      <c r="C42" s="3" t="s">
        <v>129</v>
      </c>
      <c r="D42" s="6" t="s">
        <v>70</v>
      </c>
      <c r="E42" s="6" t="s">
        <v>45</v>
      </c>
      <c r="F42" s="7" t="n">
        <v>46398</v>
      </c>
      <c r="G42" s="6" t="n">
        <v>4</v>
      </c>
      <c r="H42" s="8" t="n">
        <f aca="false">IF(OR($F42="",$G42=""),"",$F42+7*$G42-3)</f>
        <v>46423</v>
      </c>
      <c r="I42" s="3"/>
      <c r="J42" s="9" t="str">
        <f aca="false">IF(OR($C42="",$D42=""),"",$D42&amp;"|"&amp;COUNTIFS($D$4:$D42,$D42,$C$4:$C42,"?*"))</f>
        <v>SCooP owner|28</v>
      </c>
      <c r="K42" s="9" t="str">
        <f aca="false">IF(OR($C42="",$B42=""),"",$B42&amp;"|"&amp;COUNTIFS($B$4:$B42,$B42,$C$4:$C42,"?*"))</f>
        <v>G2 SCooP dataset &amp; paper|28</v>
      </c>
      <c r="L42" s="9" t="str">
        <f aca="false">IF($C42="","","ALL|"&amp;COUNTIF($C$4:$C42,"?*"))</f>
        <v>ALL|39</v>
      </c>
    </row>
    <row r="43" customFormat="false" ht="15" hidden="false" customHeight="false" outlineLevel="0" collapsed="false">
      <c r="A43" s="6" t="s">
        <v>130</v>
      </c>
      <c r="B43" s="6" t="s">
        <v>68</v>
      </c>
      <c r="C43" s="3" t="s">
        <v>131</v>
      </c>
      <c r="D43" s="6" t="s">
        <v>70</v>
      </c>
      <c r="E43" s="6" t="s">
        <v>45</v>
      </c>
      <c r="F43" s="7" t="n">
        <v>46426</v>
      </c>
      <c r="G43" s="6" t="n">
        <v>1</v>
      </c>
      <c r="H43" s="8" t="n">
        <f aca="false">IF(OR($F43="",$G43=""),"",$F43+7*$G43-3)</f>
        <v>46430</v>
      </c>
      <c r="I43" s="3"/>
      <c r="J43" s="9" t="str">
        <f aca="false">IF(OR($C43="",$D43=""),"",$D43&amp;"|"&amp;COUNTIFS($D$4:$D43,$D43,$C$4:$C43,"?*"))</f>
        <v>SCooP owner|29</v>
      </c>
      <c r="K43" s="9" t="str">
        <f aca="false">IF(OR($C43="",$B43=""),"",$B43&amp;"|"&amp;COUNTIFS($B$4:$B43,$B43,$C$4:$C43,"?*"))</f>
        <v>G2 SCooP dataset &amp; paper|29</v>
      </c>
      <c r="L43" s="9" t="str">
        <f aca="false">IF($C43="","","ALL|"&amp;COUNTIF($C$4:$C43,"?*"))</f>
        <v>ALL|40</v>
      </c>
    </row>
    <row r="44" customFormat="false" ht="15" hidden="false" customHeight="false" outlineLevel="0" collapsed="false">
      <c r="A44" s="6" t="s">
        <v>132</v>
      </c>
      <c r="B44" s="6" t="s">
        <v>133</v>
      </c>
      <c r="C44" s="3" t="s">
        <v>134</v>
      </c>
      <c r="D44" s="6" t="s">
        <v>44</v>
      </c>
      <c r="E44" s="6" t="s">
        <v>45</v>
      </c>
      <c r="F44" s="7" t="n">
        <v>46307</v>
      </c>
      <c r="G44" s="6" t="n">
        <v>2</v>
      </c>
      <c r="H44" s="8" t="n">
        <f aca="false">IF(OR($F44="",$G44=""),"",$F44+7*$G44-3)</f>
        <v>46318</v>
      </c>
      <c r="I44" s="3"/>
      <c r="J44" s="9" t="str">
        <f aca="false">IF(OR($C44="",$D44=""),"",$D44&amp;"|"&amp;COUNTIFS($D$4:$D44,$D44,$C$4:$C44,"?*"))</f>
        <v>Sensors &amp; platform owner|12</v>
      </c>
      <c r="K44" s="9" t="str">
        <f aca="false">IF(OR($C44="",$B44=""),"",$B44&amp;"|"&amp;COUNTIFS($B$4:$B44,$B44,$C$4:$C44,"?*"))</f>
        <v>G1 ED305 live digital twin|1</v>
      </c>
      <c r="L44" s="9" t="str">
        <f aca="false">IF($C44="","","ALL|"&amp;COUNTIF($C$4:$C44,"?*"))</f>
        <v>ALL|41</v>
      </c>
    </row>
    <row r="45" customFormat="false" ht="15" hidden="false" customHeight="false" outlineLevel="0" collapsed="false">
      <c r="A45" s="6" t="s">
        <v>135</v>
      </c>
      <c r="B45" s="6" t="s">
        <v>133</v>
      </c>
      <c r="C45" s="3" t="s">
        <v>136</v>
      </c>
      <c r="D45" s="6" t="s">
        <v>44</v>
      </c>
      <c r="E45" s="6" t="s">
        <v>45</v>
      </c>
      <c r="F45" s="7" t="n">
        <v>46314</v>
      </c>
      <c r="G45" s="6" t="n">
        <v>4</v>
      </c>
      <c r="H45" s="8" t="n">
        <f aca="false">IF(OR($F45="",$G45=""),"",$F45+7*$G45-3)</f>
        <v>46339</v>
      </c>
      <c r="I45" s="3"/>
      <c r="J45" s="9" t="str">
        <f aca="false">IF(OR($C45="",$D45=""),"",$D45&amp;"|"&amp;COUNTIFS($D$4:$D45,$D45,$C$4:$C45,"?*"))</f>
        <v>Sensors &amp; platform owner|13</v>
      </c>
      <c r="K45" s="9" t="str">
        <f aca="false">IF(OR($C45="",$B45=""),"",$B45&amp;"|"&amp;COUNTIFS($B$4:$B45,$B45,$C$4:$C45,"?*"))</f>
        <v>G1 ED305 live digital twin|2</v>
      </c>
      <c r="L45" s="9" t="str">
        <f aca="false">IF($C45="","","ALL|"&amp;COUNTIF($C$4:$C45,"?*"))</f>
        <v>ALL|42</v>
      </c>
    </row>
    <row r="46" customFormat="false" ht="15" hidden="false" customHeight="false" outlineLevel="0" collapsed="false">
      <c r="A46" s="6" t="s">
        <v>137</v>
      </c>
      <c r="B46" s="6" t="s">
        <v>133</v>
      </c>
      <c r="C46" s="3" t="s">
        <v>138</v>
      </c>
      <c r="D46" s="6" t="s">
        <v>44</v>
      </c>
      <c r="E46" s="6" t="s">
        <v>139</v>
      </c>
      <c r="F46" s="7" t="n">
        <v>46307</v>
      </c>
      <c r="G46" s="6" t="n">
        <v>2</v>
      </c>
      <c r="H46" s="8" t="n">
        <f aca="false">IF(OR($F46="",$G46=""),"",$F46+7*$G46-3)</f>
        <v>46318</v>
      </c>
      <c r="I46" s="3"/>
      <c r="J46" s="9" t="str">
        <f aca="false">IF(OR($C46="",$D46=""),"",$D46&amp;"|"&amp;COUNTIFS($D$4:$D46,$D46,$C$4:$C46,"?*"))</f>
        <v>Sensors &amp; platform owner|14</v>
      </c>
      <c r="K46" s="9" t="str">
        <f aca="false">IF(OR($C46="",$B46=""),"",$B46&amp;"|"&amp;COUNTIFS($B$4:$B46,$B46,$C$4:$C46,"?*"))</f>
        <v>G1 ED305 live digital twin|3</v>
      </c>
      <c r="L46" s="9" t="str">
        <f aca="false">IF($C46="","","ALL|"&amp;COUNTIF($C$4:$C46,"?*"))</f>
        <v>ALL|43</v>
      </c>
    </row>
    <row r="47" customFormat="false" ht="15" hidden="false" customHeight="false" outlineLevel="0" collapsed="false">
      <c r="A47" s="6" t="s">
        <v>140</v>
      </c>
      <c r="B47" s="6" t="s">
        <v>133</v>
      </c>
      <c r="C47" s="3" t="s">
        <v>141</v>
      </c>
      <c r="D47" s="6" t="s">
        <v>44</v>
      </c>
      <c r="E47" s="6" t="s">
        <v>48</v>
      </c>
      <c r="F47" s="7" t="n">
        <v>46321</v>
      </c>
      <c r="G47" s="6" t="n">
        <v>3</v>
      </c>
      <c r="H47" s="8" t="n">
        <f aca="false">IF(OR($F47="",$G47=""),"",$F47+7*$G47-3)</f>
        <v>46339</v>
      </c>
      <c r="I47" s="3"/>
      <c r="J47" s="9" t="str">
        <f aca="false">IF(OR($C47="",$D47=""),"",$D47&amp;"|"&amp;COUNTIFS($D$4:$D47,$D47,$C$4:$C47,"?*"))</f>
        <v>Sensors &amp; platform owner|15</v>
      </c>
      <c r="K47" s="9" t="str">
        <f aca="false">IF(OR($C47="",$B47=""),"",$B47&amp;"|"&amp;COUNTIFS($B$4:$B47,$B47,$C$4:$C47,"?*"))</f>
        <v>G1 ED305 live digital twin|4</v>
      </c>
      <c r="L47" s="9" t="str">
        <f aca="false">IF($C47="","","ALL|"&amp;COUNTIF($C$4:$C47,"?*"))</f>
        <v>ALL|44</v>
      </c>
    </row>
    <row r="48" customFormat="false" ht="15" hidden="false" customHeight="false" outlineLevel="0" collapsed="false">
      <c r="A48" s="6" t="s">
        <v>142</v>
      </c>
      <c r="B48" s="6" t="s">
        <v>133</v>
      </c>
      <c r="C48" s="3" t="s">
        <v>143</v>
      </c>
      <c r="D48" s="6" t="s">
        <v>44</v>
      </c>
      <c r="E48" s="6" t="s">
        <v>45</v>
      </c>
      <c r="F48" s="7" t="n">
        <v>46314</v>
      </c>
      <c r="G48" s="6" t="n">
        <v>3</v>
      </c>
      <c r="H48" s="8" t="n">
        <f aca="false">IF(OR($F48="",$G48=""),"",$F48+7*$G48-3)</f>
        <v>46332</v>
      </c>
      <c r="I48" s="3"/>
      <c r="J48" s="9" t="str">
        <f aca="false">IF(OR($C48="",$D48=""),"",$D48&amp;"|"&amp;COUNTIFS($D$4:$D48,$D48,$C$4:$C48,"?*"))</f>
        <v>Sensors &amp; platform owner|16</v>
      </c>
      <c r="K48" s="9" t="str">
        <f aca="false">IF(OR($C48="",$B48=""),"",$B48&amp;"|"&amp;COUNTIFS($B$4:$B48,$B48,$C$4:$C48,"?*"))</f>
        <v>G1 ED305 live digital twin|5</v>
      </c>
      <c r="L48" s="9" t="str">
        <f aca="false">IF($C48="","","ALL|"&amp;COUNTIF($C$4:$C48,"?*"))</f>
        <v>ALL|45</v>
      </c>
    </row>
    <row r="49" customFormat="false" ht="15" hidden="false" customHeight="false" outlineLevel="0" collapsed="false">
      <c r="A49" s="6" t="s">
        <v>144</v>
      </c>
      <c r="B49" s="6" t="s">
        <v>133</v>
      </c>
      <c r="C49" s="3" t="s">
        <v>145</v>
      </c>
      <c r="D49" s="6" t="s">
        <v>44</v>
      </c>
      <c r="E49" s="6" t="s">
        <v>45</v>
      </c>
      <c r="F49" s="7" t="n">
        <v>46321</v>
      </c>
      <c r="G49" s="6" t="n">
        <v>2</v>
      </c>
      <c r="H49" s="8" t="n">
        <f aca="false">IF(OR($F49="",$G49=""),"",$F49+7*$G49-3)</f>
        <v>46332</v>
      </c>
      <c r="I49" s="3"/>
      <c r="J49" s="9" t="str">
        <f aca="false">IF(OR($C49="",$D49=""),"",$D49&amp;"|"&amp;COUNTIFS($D$4:$D49,$D49,$C$4:$C49,"?*"))</f>
        <v>Sensors &amp; platform owner|17</v>
      </c>
      <c r="K49" s="9" t="str">
        <f aca="false">IF(OR($C49="",$B49=""),"",$B49&amp;"|"&amp;COUNTIFS($B$4:$B49,$B49,$C$4:$C49,"?*"))</f>
        <v>G1 ED305 live digital twin|6</v>
      </c>
      <c r="L49" s="9" t="str">
        <f aca="false">IF($C49="","","ALL|"&amp;COUNTIF($C$4:$C49,"?*"))</f>
        <v>ALL|46</v>
      </c>
    </row>
    <row r="50" customFormat="false" ht="15" hidden="false" customHeight="false" outlineLevel="0" collapsed="false">
      <c r="A50" s="6" t="s">
        <v>146</v>
      </c>
      <c r="B50" s="6" t="s">
        <v>133</v>
      </c>
      <c r="C50" s="3" t="s">
        <v>147</v>
      </c>
      <c r="D50" s="6" t="s">
        <v>148</v>
      </c>
      <c r="E50" s="6" t="s">
        <v>45</v>
      </c>
      <c r="F50" s="7" t="n">
        <v>46307</v>
      </c>
      <c r="G50" s="6" t="n">
        <v>2</v>
      </c>
      <c r="H50" s="8" t="n">
        <f aca="false">IF(OR($F50="",$G50=""),"",$F50+7*$G50-3)</f>
        <v>46318</v>
      </c>
      <c r="I50" s="3"/>
      <c r="J50" s="9" t="str">
        <f aca="false">IF(OR($C50="",$D50=""),"",$D50&amp;"|"&amp;COUNTIFS($D$4:$D50,$D50,$C$4:$C50,"?*"))</f>
        <v>GS-SLAM owner|1</v>
      </c>
      <c r="K50" s="9" t="str">
        <f aca="false">IF(OR($C50="",$B50=""),"",$B50&amp;"|"&amp;COUNTIFS($B$4:$B50,$B50,$C$4:$C50,"?*"))</f>
        <v>G1 ED305 live digital twin|7</v>
      </c>
      <c r="L50" s="9" t="str">
        <f aca="false">IF($C50="","","ALL|"&amp;COUNTIF($C$4:$C50,"?*"))</f>
        <v>ALL|47</v>
      </c>
    </row>
    <row r="51" customFormat="false" ht="15" hidden="false" customHeight="false" outlineLevel="0" collapsed="false">
      <c r="A51" s="6" t="s">
        <v>149</v>
      </c>
      <c r="B51" s="6" t="s">
        <v>133</v>
      </c>
      <c r="C51" s="3" t="s">
        <v>150</v>
      </c>
      <c r="D51" s="6" t="s">
        <v>148</v>
      </c>
      <c r="E51" s="6" t="s">
        <v>45</v>
      </c>
      <c r="F51" s="7" t="n">
        <v>46314</v>
      </c>
      <c r="G51" s="6" t="n">
        <v>4</v>
      </c>
      <c r="H51" s="8" t="n">
        <f aca="false">IF(OR($F51="",$G51=""),"",$F51+7*$G51-3)</f>
        <v>46339</v>
      </c>
      <c r="I51" s="3"/>
      <c r="J51" s="9" t="str">
        <f aca="false">IF(OR($C51="",$D51=""),"",$D51&amp;"|"&amp;COUNTIFS($D$4:$D51,$D51,$C$4:$C51,"?*"))</f>
        <v>GS-SLAM owner|2</v>
      </c>
      <c r="K51" s="9" t="str">
        <f aca="false">IF(OR($C51="",$B51=""),"",$B51&amp;"|"&amp;COUNTIFS($B$4:$B51,$B51,$C$4:$C51,"?*"))</f>
        <v>G1 ED305 live digital twin|8</v>
      </c>
      <c r="L51" s="9" t="str">
        <f aca="false">IF($C51="","","ALL|"&amp;COUNTIF($C$4:$C51,"?*"))</f>
        <v>ALL|48</v>
      </c>
    </row>
    <row r="52" customFormat="false" ht="15" hidden="false" customHeight="false" outlineLevel="0" collapsed="false">
      <c r="A52" s="6" t="s">
        <v>151</v>
      </c>
      <c r="B52" s="6" t="s">
        <v>133</v>
      </c>
      <c r="C52" s="3" t="s">
        <v>152</v>
      </c>
      <c r="D52" s="6" t="s">
        <v>148</v>
      </c>
      <c r="E52" s="6" t="s">
        <v>45</v>
      </c>
      <c r="F52" s="7" t="n">
        <v>46328</v>
      </c>
      <c r="G52" s="6" t="n">
        <v>4</v>
      </c>
      <c r="H52" s="8" t="n">
        <f aca="false">IF(OR($F52="",$G52=""),"",$F52+7*$G52-3)</f>
        <v>46353</v>
      </c>
      <c r="I52" s="3"/>
      <c r="J52" s="9" t="str">
        <f aca="false">IF(OR($C52="",$D52=""),"",$D52&amp;"|"&amp;COUNTIFS($D$4:$D52,$D52,$C$4:$C52,"?*"))</f>
        <v>GS-SLAM owner|3</v>
      </c>
      <c r="K52" s="9" t="str">
        <f aca="false">IF(OR($C52="",$B52=""),"",$B52&amp;"|"&amp;COUNTIFS($B$4:$B52,$B52,$C$4:$C52,"?*"))</f>
        <v>G1 ED305 live digital twin|9</v>
      </c>
      <c r="L52" s="9" t="str">
        <f aca="false">IF($C52="","","ALL|"&amp;COUNTIF($C$4:$C52,"?*"))</f>
        <v>ALL|49</v>
      </c>
    </row>
    <row r="53" customFormat="false" ht="15" hidden="false" customHeight="false" outlineLevel="0" collapsed="false">
      <c r="A53" s="6" t="s">
        <v>153</v>
      </c>
      <c r="B53" s="6" t="s">
        <v>133</v>
      </c>
      <c r="C53" s="3" t="s">
        <v>154</v>
      </c>
      <c r="D53" s="6" t="s">
        <v>148</v>
      </c>
      <c r="E53" s="6" t="s">
        <v>45</v>
      </c>
      <c r="F53" s="7" t="n">
        <v>46202</v>
      </c>
      <c r="G53" s="6" t="n">
        <v>1</v>
      </c>
      <c r="H53" s="8" t="n">
        <f aca="false">IF(OR($F53="",$G53=""),"",$F53+7*$G53-3)</f>
        <v>46206</v>
      </c>
      <c r="I53" s="3"/>
      <c r="J53" s="9" t="str">
        <f aca="false">IF(OR($C53="",$D53=""),"",$D53&amp;"|"&amp;COUNTIFS($D$4:$D53,$D53,$C$4:$C53,"?*"))</f>
        <v>GS-SLAM owner|4</v>
      </c>
      <c r="K53" s="9" t="str">
        <f aca="false">IF(OR($C53="",$B53=""),"",$B53&amp;"|"&amp;COUNTIFS($B$4:$B53,$B53,$C$4:$C53,"?*"))</f>
        <v>G1 ED305 live digital twin|10</v>
      </c>
      <c r="L53" s="9" t="str">
        <f aca="false">IF($C53="","","ALL|"&amp;COUNTIF($C$4:$C53,"?*"))</f>
        <v>ALL|50</v>
      </c>
    </row>
    <row r="54" customFormat="false" ht="15" hidden="false" customHeight="false" outlineLevel="0" collapsed="false">
      <c r="A54" s="6" t="s">
        <v>155</v>
      </c>
      <c r="B54" s="6" t="s">
        <v>133</v>
      </c>
      <c r="C54" s="3" t="s">
        <v>156</v>
      </c>
      <c r="D54" s="6" t="s">
        <v>148</v>
      </c>
      <c r="E54" s="6" t="s">
        <v>45</v>
      </c>
      <c r="F54" s="7" t="n">
        <v>46202</v>
      </c>
      <c r="G54" s="6" t="n">
        <v>1</v>
      </c>
      <c r="H54" s="8" t="n">
        <f aca="false">IF(OR($F54="",$G54=""),"",$F54+7*$G54-3)</f>
        <v>46206</v>
      </c>
      <c r="I54" s="3"/>
      <c r="J54" s="9" t="str">
        <f aca="false">IF(OR($C54="",$D54=""),"",$D54&amp;"|"&amp;COUNTIFS($D$4:$D54,$D54,$C$4:$C54,"?*"))</f>
        <v>GS-SLAM owner|5</v>
      </c>
      <c r="K54" s="9" t="str">
        <f aca="false">IF(OR($C54="",$B54=""),"",$B54&amp;"|"&amp;COUNTIFS($B$4:$B54,$B54,$C$4:$C54,"?*"))</f>
        <v>G1 ED305 live digital twin|11</v>
      </c>
      <c r="L54" s="9" t="str">
        <f aca="false">IF($C54="","","ALL|"&amp;COUNTIF($C$4:$C54,"?*"))</f>
        <v>ALL|51</v>
      </c>
    </row>
    <row r="55" customFormat="false" ht="15" hidden="false" customHeight="false" outlineLevel="0" collapsed="false">
      <c r="A55" s="6" t="s">
        <v>157</v>
      </c>
      <c r="B55" s="6" t="s">
        <v>133</v>
      </c>
      <c r="C55" s="3" t="s">
        <v>158</v>
      </c>
      <c r="D55" s="6" t="s">
        <v>148</v>
      </c>
      <c r="E55" s="6" t="s">
        <v>45</v>
      </c>
      <c r="F55" s="7" t="n">
        <v>46349</v>
      </c>
      <c r="G55" s="6" t="n">
        <v>2</v>
      </c>
      <c r="H55" s="8" t="n">
        <f aca="false">IF(OR($F55="",$G55=""),"",$F55+7*$G55-3)</f>
        <v>46360</v>
      </c>
      <c r="I55" s="3"/>
      <c r="J55" s="9" t="str">
        <f aca="false">IF(OR($C55="",$D55=""),"",$D55&amp;"|"&amp;COUNTIFS($D$4:$D55,$D55,$C$4:$C55,"?*"))</f>
        <v>GS-SLAM owner|6</v>
      </c>
      <c r="K55" s="9" t="str">
        <f aca="false">IF(OR($C55="",$B55=""),"",$B55&amp;"|"&amp;COUNTIFS($B$4:$B55,$B55,$C$4:$C55,"?*"))</f>
        <v>G1 ED305 live digital twin|12</v>
      </c>
      <c r="L55" s="9" t="str">
        <f aca="false">IF($C55="","","ALL|"&amp;COUNTIF($C$4:$C55,"?*"))</f>
        <v>ALL|52</v>
      </c>
    </row>
    <row r="56" customFormat="false" ht="15" hidden="false" customHeight="false" outlineLevel="0" collapsed="false">
      <c r="A56" s="6" t="s">
        <v>159</v>
      </c>
      <c r="B56" s="6" t="s">
        <v>133</v>
      </c>
      <c r="C56" s="3" t="s">
        <v>160</v>
      </c>
      <c r="D56" s="6" t="s">
        <v>148</v>
      </c>
      <c r="E56" s="6" t="s">
        <v>45</v>
      </c>
      <c r="F56" s="7" t="n">
        <v>46356</v>
      </c>
      <c r="G56" s="6" t="n">
        <v>4</v>
      </c>
      <c r="H56" s="8" t="n">
        <f aca="false">IF(OR($F56="",$G56=""),"",$F56+7*$G56-3)</f>
        <v>46381</v>
      </c>
      <c r="I56" s="3"/>
      <c r="J56" s="9" t="str">
        <f aca="false">IF(OR($C56="",$D56=""),"",$D56&amp;"|"&amp;COUNTIFS($D$4:$D56,$D56,$C$4:$C56,"?*"))</f>
        <v>GS-SLAM owner|7</v>
      </c>
      <c r="K56" s="9" t="str">
        <f aca="false">IF(OR($C56="",$B56=""),"",$B56&amp;"|"&amp;COUNTIFS($B$4:$B56,$B56,$C$4:$C56,"?*"))</f>
        <v>G1 ED305 live digital twin|13</v>
      </c>
      <c r="L56" s="9" t="str">
        <f aca="false">IF($C56="","","ALL|"&amp;COUNTIF($C$4:$C56,"?*"))</f>
        <v>ALL|53</v>
      </c>
    </row>
    <row r="57" customFormat="false" ht="15" hidden="false" customHeight="false" outlineLevel="0" collapsed="false">
      <c r="A57" s="6" t="s">
        <v>161</v>
      </c>
      <c r="B57" s="6" t="s">
        <v>133</v>
      </c>
      <c r="C57" s="3" t="s">
        <v>162</v>
      </c>
      <c r="D57" s="6" t="s">
        <v>148</v>
      </c>
      <c r="E57" s="6" t="s">
        <v>45</v>
      </c>
      <c r="F57" s="7" t="n">
        <v>46377</v>
      </c>
      <c r="G57" s="6" t="n">
        <v>2</v>
      </c>
      <c r="H57" s="8" t="n">
        <f aca="false">IF(OR($F57="",$G57=""),"",$F57+7*$G57-3)</f>
        <v>46388</v>
      </c>
      <c r="I57" s="3"/>
      <c r="J57" s="9" t="str">
        <f aca="false">IF(OR($C57="",$D57=""),"",$D57&amp;"|"&amp;COUNTIFS($D$4:$D57,$D57,$C$4:$C57,"?*"))</f>
        <v>GS-SLAM owner|8</v>
      </c>
      <c r="K57" s="9" t="str">
        <f aca="false">IF(OR($C57="",$B57=""),"",$B57&amp;"|"&amp;COUNTIFS($B$4:$B57,$B57,$C$4:$C57,"?*"))</f>
        <v>G1 ED305 live digital twin|14</v>
      </c>
      <c r="L57" s="9" t="str">
        <f aca="false">IF($C57="","","ALL|"&amp;COUNTIF($C$4:$C57,"?*"))</f>
        <v>ALL|54</v>
      </c>
    </row>
    <row r="58" customFormat="false" ht="15" hidden="false" customHeight="false" outlineLevel="0" collapsed="false">
      <c r="A58" s="6" t="s">
        <v>163</v>
      </c>
      <c r="B58" s="6" t="s">
        <v>133</v>
      </c>
      <c r="C58" s="3" t="s">
        <v>164</v>
      </c>
      <c r="D58" s="6" t="s">
        <v>165</v>
      </c>
      <c r="E58" s="6" t="s">
        <v>45</v>
      </c>
      <c r="F58" s="7" t="n">
        <v>46307</v>
      </c>
      <c r="G58" s="6" t="n">
        <v>3</v>
      </c>
      <c r="H58" s="8" t="n">
        <f aca="false">IF(OR($F58="",$G58=""),"",$F58+7*$G58-3)</f>
        <v>46325</v>
      </c>
      <c r="I58" s="3"/>
      <c r="J58" s="9" t="str">
        <f aca="false">IF(OR($C58="",$D58=""),"",$D58&amp;"|"&amp;COUNTIFS($D$4:$D58,$D58,$C$4:$C58,"?*"))</f>
        <v>Scene detection owner|1</v>
      </c>
      <c r="K58" s="9" t="str">
        <f aca="false">IF(OR($C58="",$B58=""),"",$B58&amp;"|"&amp;COUNTIFS($B$4:$B58,$B58,$C$4:$C58,"?*"))</f>
        <v>G1 ED305 live digital twin|15</v>
      </c>
      <c r="L58" s="9" t="str">
        <f aca="false">IF($C58="","","ALL|"&amp;COUNTIF($C$4:$C58,"?*"))</f>
        <v>ALL|55</v>
      </c>
    </row>
    <row r="59" customFormat="false" ht="15" hidden="false" customHeight="false" outlineLevel="0" collapsed="false">
      <c r="A59" s="6" t="s">
        <v>166</v>
      </c>
      <c r="B59" s="6" t="s">
        <v>133</v>
      </c>
      <c r="C59" s="3" t="s">
        <v>167</v>
      </c>
      <c r="D59" s="6" t="s">
        <v>165</v>
      </c>
      <c r="E59" s="6" t="s">
        <v>45</v>
      </c>
      <c r="F59" s="7" t="n">
        <v>46328</v>
      </c>
      <c r="G59" s="6" t="n">
        <v>4</v>
      </c>
      <c r="H59" s="8" t="n">
        <f aca="false">IF(OR($F59="",$G59=""),"",$F59+7*$G59-3)</f>
        <v>46353</v>
      </c>
      <c r="I59" s="3" t="s">
        <v>168</v>
      </c>
      <c r="J59" s="9" t="str">
        <f aca="false">IF(OR($C59="",$D59=""),"",$D59&amp;"|"&amp;COUNTIFS($D$4:$D59,$D59,$C$4:$C59,"?*"))</f>
        <v>Scene detection owner|2</v>
      </c>
      <c r="K59" s="9" t="str">
        <f aca="false">IF(OR($C59="",$B59=""),"",$B59&amp;"|"&amp;COUNTIFS($B$4:$B59,$B59,$C$4:$C59,"?*"))</f>
        <v>G1 ED305 live digital twin|16</v>
      </c>
      <c r="L59" s="9" t="str">
        <f aca="false">IF($C59="","","ALL|"&amp;COUNTIF($C$4:$C59,"?*"))</f>
        <v>ALL|56</v>
      </c>
    </row>
    <row r="60" customFormat="false" ht="23.85" hidden="false" customHeight="false" outlineLevel="0" collapsed="false">
      <c r="A60" s="6" t="s">
        <v>169</v>
      </c>
      <c r="B60" s="6" t="s">
        <v>133</v>
      </c>
      <c r="C60" s="3" t="s">
        <v>170</v>
      </c>
      <c r="D60" s="6" t="s">
        <v>165</v>
      </c>
      <c r="E60" s="6" t="s">
        <v>45</v>
      </c>
      <c r="F60" s="7" t="n">
        <v>46209</v>
      </c>
      <c r="G60" s="6" t="n">
        <v>2</v>
      </c>
      <c r="H60" s="8" t="n">
        <f aca="false">IF(OR($F60="",$G60=""),"",$F60+7*$G60-3)</f>
        <v>46220</v>
      </c>
      <c r="I60" s="3"/>
      <c r="J60" s="9" t="str">
        <f aca="false">IF(OR($C60="",$D60=""),"",$D60&amp;"|"&amp;COUNTIFS($D$4:$D60,$D60,$C$4:$C60,"?*"))</f>
        <v>Scene detection owner|3</v>
      </c>
      <c r="K60" s="9" t="str">
        <f aca="false">IF(OR($C60="",$B60=""),"",$B60&amp;"|"&amp;COUNTIFS($B$4:$B60,$B60,$C$4:$C60,"?*"))</f>
        <v>G1 ED305 live digital twin|17</v>
      </c>
      <c r="L60" s="9" t="str">
        <f aca="false">IF($C60="","","ALL|"&amp;COUNTIF($C$4:$C60,"?*"))</f>
        <v>ALL|57</v>
      </c>
    </row>
    <row r="61" customFormat="false" ht="15" hidden="false" customHeight="false" outlineLevel="0" collapsed="false">
      <c r="A61" s="6" t="s">
        <v>171</v>
      </c>
      <c r="B61" s="6" t="s">
        <v>133</v>
      </c>
      <c r="C61" s="3" t="s">
        <v>172</v>
      </c>
      <c r="D61" s="6" t="s">
        <v>165</v>
      </c>
      <c r="E61" s="6" t="s">
        <v>45</v>
      </c>
      <c r="F61" s="7" t="n">
        <v>46209</v>
      </c>
      <c r="G61" s="6" t="n">
        <v>2</v>
      </c>
      <c r="H61" s="8" t="n">
        <f aca="false">IF(OR($F61="",$G61=""),"",$F61+7*$G61-3)</f>
        <v>46220</v>
      </c>
      <c r="I61" s="3"/>
      <c r="J61" s="9" t="str">
        <f aca="false">IF(OR($C61="",$D61=""),"",$D61&amp;"|"&amp;COUNTIFS($D$4:$D61,$D61,$C$4:$C61,"?*"))</f>
        <v>Scene detection owner|4</v>
      </c>
      <c r="K61" s="9" t="str">
        <f aca="false">IF(OR($C61="",$B61=""),"",$B61&amp;"|"&amp;COUNTIFS($B$4:$B61,$B61,$C$4:$C61,"?*"))</f>
        <v>G1 ED305 live digital twin|18</v>
      </c>
      <c r="L61" s="9" t="str">
        <f aca="false">IF($C61="","","ALL|"&amp;COUNTIF($C$4:$C61,"?*"))</f>
        <v>ALL|58</v>
      </c>
    </row>
    <row r="62" customFormat="false" ht="15" hidden="false" customHeight="false" outlineLevel="0" collapsed="false">
      <c r="A62" s="6" t="s">
        <v>173</v>
      </c>
      <c r="B62" s="6" t="s">
        <v>133</v>
      </c>
      <c r="C62" s="3" t="s">
        <v>174</v>
      </c>
      <c r="D62" s="6" t="s">
        <v>165</v>
      </c>
      <c r="E62" s="6" t="s">
        <v>45</v>
      </c>
      <c r="F62" s="7" t="n">
        <v>46335</v>
      </c>
      <c r="G62" s="6" t="n">
        <v>4</v>
      </c>
      <c r="H62" s="8" t="n">
        <f aca="false">IF(OR($F62="",$G62=""),"",$F62+7*$G62-3)</f>
        <v>46360</v>
      </c>
      <c r="I62" s="3"/>
      <c r="J62" s="9" t="str">
        <f aca="false">IF(OR($C62="",$D62=""),"",$D62&amp;"|"&amp;COUNTIFS($D$4:$D62,$D62,$C$4:$C62,"?*"))</f>
        <v>Scene detection owner|5</v>
      </c>
      <c r="K62" s="9" t="str">
        <f aca="false">IF(OR($C62="",$B62=""),"",$B62&amp;"|"&amp;COUNTIFS($B$4:$B62,$B62,$C$4:$C62,"?*"))</f>
        <v>G1 ED305 live digital twin|19</v>
      </c>
      <c r="L62" s="9" t="str">
        <f aca="false">IF($C62="","","ALL|"&amp;COUNTIF($C$4:$C62,"?*"))</f>
        <v>ALL|59</v>
      </c>
    </row>
    <row r="63" customFormat="false" ht="15" hidden="false" customHeight="false" outlineLevel="0" collapsed="false">
      <c r="A63" s="6" t="s">
        <v>175</v>
      </c>
      <c r="B63" s="6" t="s">
        <v>133</v>
      </c>
      <c r="C63" s="3" t="s">
        <v>176</v>
      </c>
      <c r="D63" s="6" t="s">
        <v>165</v>
      </c>
      <c r="E63" s="6" t="s">
        <v>45</v>
      </c>
      <c r="F63" s="7" t="n">
        <v>46356</v>
      </c>
      <c r="G63" s="6" t="n">
        <v>4</v>
      </c>
      <c r="H63" s="8" t="n">
        <f aca="false">IF(OR($F63="",$G63=""),"",$F63+7*$G63-3)</f>
        <v>46381</v>
      </c>
      <c r="I63" s="3"/>
      <c r="J63" s="9" t="str">
        <f aca="false">IF(OR($C63="",$D63=""),"",$D63&amp;"|"&amp;COUNTIFS($D$4:$D63,$D63,$C$4:$C63,"?*"))</f>
        <v>Scene detection owner|6</v>
      </c>
      <c r="K63" s="9" t="str">
        <f aca="false">IF(OR($C63="",$B63=""),"",$B63&amp;"|"&amp;COUNTIFS($B$4:$B63,$B63,$C$4:$C63,"?*"))</f>
        <v>G1 ED305 live digital twin|20</v>
      </c>
      <c r="L63" s="9" t="str">
        <f aca="false">IF($C63="","","ALL|"&amp;COUNTIF($C$4:$C63,"?*"))</f>
        <v>ALL|60</v>
      </c>
    </row>
    <row r="64" customFormat="false" ht="15" hidden="false" customHeight="false" outlineLevel="0" collapsed="false">
      <c r="A64" s="6" t="s">
        <v>177</v>
      </c>
      <c r="B64" s="6" t="s">
        <v>133</v>
      </c>
      <c r="C64" s="3" t="s">
        <v>178</v>
      </c>
      <c r="D64" s="6" t="s">
        <v>165</v>
      </c>
      <c r="E64" s="6" t="s">
        <v>45</v>
      </c>
      <c r="F64" s="7" t="n">
        <v>46223</v>
      </c>
      <c r="G64" s="6" t="n">
        <v>1</v>
      </c>
      <c r="H64" s="8" t="n">
        <f aca="false">IF(OR($F64="",$G64=""),"",$F64+7*$G64-3)</f>
        <v>46227</v>
      </c>
      <c r="I64" s="3"/>
      <c r="J64" s="9" t="str">
        <f aca="false">IF(OR($C64="",$D64=""),"",$D64&amp;"|"&amp;COUNTIFS($D$4:$D64,$D64,$C$4:$C64,"?*"))</f>
        <v>Scene detection owner|7</v>
      </c>
      <c r="K64" s="9" t="str">
        <f aca="false">IF(OR($C64="",$B64=""),"",$B64&amp;"|"&amp;COUNTIFS($B$4:$B64,$B64,$C$4:$C64,"?*"))</f>
        <v>G1 ED305 live digital twin|21</v>
      </c>
      <c r="L64" s="9" t="str">
        <f aca="false">IF($C64="","","ALL|"&amp;COUNTIF($C$4:$C64,"?*"))</f>
        <v>ALL|61</v>
      </c>
    </row>
    <row r="65" customFormat="false" ht="15" hidden="false" customHeight="false" outlineLevel="0" collapsed="false">
      <c r="A65" s="6" t="s">
        <v>179</v>
      </c>
      <c r="B65" s="6" t="s">
        <v>133</v>
      </c>
      <c r="C65" s="3" t="s">
        <v>180</v>
      </c>
      <c r="D65" s="6" t="s">
        <v>165</v>
      </c>
      <c r="E65" s="6" t="s">
        <v>45</v>
      </c>
      <c r="F65" s="7" t="n">
        <v>46370</v>
      </c>
      <c r="G65" s="6" t="n">
        <v>3</v>
      </c>
      <c r="H65" s="8" t="n">
        <f aca="false">IF(OR($F65="",$G65=""),"",$F65+7*$G65-3)</f>
        <v>46388</v>
      </c>
      <c r="I65" s="3"/>
      <c r="J65" s="9" t="str">
        <f aca="false">IF(OR($C65="",$D65=""),"",$D65&amp;"|"&amp;COUNTIFS($D$4:$D65,$D65,$C$4:$C65,"?*"))</f>
        <v>Scene detection owner|8</v>
      </c>
      <c r="K65" s="9" t="str">
        <f aca="false">IF(OR($C65="",$B65=""),"",$B65&amp;"|"&amp;COUNTIFS($B$4:$B65,$B65,$C$4:$C65,"?*"))</f>
        <v>G1 ED305 live digital twin|22</v>
      </c>
      <c r="L65" s="9" t="str">
        <f aca="false">IF($C65="","","ALL|"&amp;COUNTIF($C$4:$C65,"?*"))</f>
        <v>ALL|62</v>
      </c>
    </row>
    <row r="66" customFormat="false" ht="15" hidden="false" customHeight="false" outlineLevel="0" collapsed="false">
      <c r="A66" s="6" t="s">
        <v>181</v>
      </c>
      <c r="B66" s="6" t="s">
        <v>133</v>
      </c>
      <c r="C66" s="3" t="s">
        <v>182</v>
      </c>
      <c r="D66" s="6" t="s">
        <v>165</v>
      </c>
      <c r="E66" s="6" t="s">
        <v>45</v>
      </c>
      <c r="F66" s="7" t="n">
        <v>46223</v>
      </c>
      <c r="G66" s="6" t="n">
        <v>2</v>
      </c>
      <c r="H66" s="8" t="n">
        <f aca="false">IF(OR($F66="",$G66=""),"",$F66+7*$G66-3)</f>
        <v>46234</v>
      </c>
      <c r="I66" s="3"/>
      <c r="J66" s="9" t="str">
        <f aca="false">IF(OR($C66="",$D66=""),"",$D66&amp;"|"&amp;COUNTIFS($D$4:$D66,$D66,$C$4:$C66,"?*"))</f>
        <v>Scene detection owner|9</v>
      </c>
      <c r="K66" s="9" t="str">
        <f aca="false">IF(OR($C66="",$B66=""),"",$B66&amp;"|"&amp;COUNTIFS($B$4:$B66,$B66,$C$4:$C66,"?*"))</f>
        <v>G1 ED305 live digital twin|23</v>
      </c>
      <c r="L66" s="9" t="str">
        <f aca="false">IF($C66="","","ALL|"&amp;COUNTIF($C$4:$C66,"?*"))</f>
        <v>ALL|63</v>
      </c>
    </row>
    <row r="67" customFormat="false" ht="15" hidden="false" customHeight="false" outlineLevel="0" collapsed="false">
      <c r="A67" s="6" t="s">
        <v>183</v>
      </c>
      <c r="B67" s="6" t="s">
        <v>133</v>
      </c>
      <c r="C67" s="3" t="s">
        <v>184</v>
      </c>
      <c r="D67" s="6" t="s">
        <v>165</v>
      </c>
      <c r="E67" s="6" t="s">
        <v>45</v>
      </c>
      <c r="F67" s="7" t="n">
        <v>46370</v>
      </c>
      <c r="G67" s="6" t="n">
        <v>3</v>
      </c>
      <c r="H67" s="8" t="n">
        <f aca="false">IF(OR($F67="",$G67=""),"",$F67+7*$G67-3)</f>
        <v>46388</v>
      </c>
      <c r="I67" s="3"/>
      <c r="J67" s="9" t="str">
        <f aca="false">IF(OR($C67="",$D67=""),"",$D67&amp;"|"&amp;COUNTIFS($D$4:$D67,$D67,$C$4:$C67,"?*"))</f>
        <v>Scene detection owner|10</v>
      </c>
      <c r="K67" s="9" t="str">
        <f aca="false">IF(OR($C67="",$B67=""),"",$B67&amp;"|"&amp;COUNTIFS($B$4:$B67,$B67,$C$4:$C67,"?*"))</f>
        <v>G1 ED305 live digital twin|24</v>
      </c>
      <c r="L67" s="9" t="str">
        <f aca="false">IF($C67="","","ALL|"&amp;COUNTIF($C$4:$C67,"?*"))</f>
        <v>ALL|64</v>
      </c>
    </row>
    <row r="68" customFormat="false" ht="15" hidden="false" customHeight="false" outlineLevel="0" collapsed="false">
      <c r="A68" s="6" t="s">
        <v>185</v>
      </c>
      <c r="B68" s="6" t="s">
        <v>133</v>
      </c>
      <c r="C68" s="3" t="s">
        <v>186</v>
      </c>
      <c r="D68" s="6" t="s">
        <v>165</v>
      </c>
      <c r="E68" s="6" t="s">
        <v>45</v>
      </c>
      <c r="F68" s="7" t="n">
        <v>46349</v>
      </c>
      <c r="G68" s="6" t="n">
        <v>4</v>
      </c>
      <c r="H68" s="8" t="n">
        <f aca="false">IF(OR($F68="",$G68=""),"",$F68+7*$G68-3)</f>
        <v>46374</v>
      </c>
      <c r="I68" s="3"/>
      <c r="J68" s="9" t="str">
        <f aca="false">IF(OR($C68="",$D68=""),"",$D68&amp;"|"&amp;COUNTIFS($D$4:$D68,$D68,$C$4:$C68,"?*"))</f>
        <v>Scene detection owner|11</v>
      </c>
      <c r="K68" s="9" t="str">
        <f aca="false">IF(OR($C68="",$B68=""),"",$B68&amp;"|"&amp;COUNTIFS($B$4:$B68,$B68,$C$4:$C68,"?*"))</f>
        <v>G1 ED305 live digital twin|25</v>
      </c>
      <c r="L68" s="9" t="str">
        <f aca="false">IF($C68="","","ALL|"&amp;COUNTIF($C$4:$C68,"?*"))</f>
        <v>ALL|65</v>
      </c>
    </row>
    <row r="69" customFormat="false" ht="15" hidden="false" customHeight="false" outlineLevel="0" collapsed="false">
      <c r="A69" s="6" t="s">
        <v>187</v>
      </c>
      <c r="B69" s="6" t="s">
        <v>133</v>
      </c>
      <c r="C69" s="3" t="s">
        <v>188</v>
      </c>
      <c r="D69" s="6" t="s">
        <v>189</v>
      </c>
      <c r="E69" s="6" t="s">
        <v>45</v>
      </c>
      <c r="F69" s="7" t="n">
        <v>46307</v>
      </c>
      <c r="G69" s="6" t="n">
        <v>3</v>
      </c>
      <c r="H69" s="8" t="n">
        <f aca="false">IF(OR($F69="",$G69=""),"",$F69+7*$G69-3)</f>
        <v>46325</v>
      </c>
      <c r="I69" s="3"/>
      <c r="J69" s="9" t="str">
        <f aca="false">IF(OR($C69="",$D69=""),"",$D69&amp;"|"&amp;COUNTIFS($D$4:$D69,$D69,$C$4:$C69,"?*"))</f>
        <v>Isaac Sim owner|1</v>
      </c>
      <c r="K69" s="9" t="str">
        <f aca="false">IF(OR($C69="",$B69=""),"",$B69&amp;"|"&amp;COUNTIFS($B$4:$B69,$B69,$C$4:$C69,"?*"))</f>
        <v>G1 ED305 live digital twin|26</v>
      </c>
      <c r="L69" s="9" t="str">
        <f aca="false">IF($C69="","","ALL|"&amp;COUNTIF($C$4:$C69,"?*"))</f>
        <v>ALL|66</v>
      </c>
    </row>
    <row r="70" customFormat="false" ht="15" hidden="false" customHeight="false" outlineLevel="0" collapsed="false">
      <c r="A70" s="6" t="s">
        <v>190</v>
      </c>
      <c r="B70" s="6" t="s">
        <v>133</v>
      </c>
      <c r="C70" s="3" t="s">
        <v>191</v>
      </c>
      <c r="D70" s="6" t="s">
        <v>189</v>
      </c>
      <c r="E70" s="6" t="s">
        <v>45</v>
      </c>
      <c r="F70" s="7" t="n">
        <v>46321</v>
      </c>
      <c r="G70" s="6" t="n">
        <v>3</v>
      </c>
      <c r="H70" s="8" t="n">
        <f aca="false">IF(OR($F70="",$G70=""),"",$F70+7*$G70-3)</f>
        <v>46339</v>
      </c>
      <c r="I70" s="3"/>
      <c r="J70" s="9" t="str">
        <f aca="false">IF(OR($C70="",$D70=""),"",$D70&amp;"|"&amp;COUNTIFS($D$4:$D70,$D70,$C$4:$C70,"?*"))</f>
        <v>Isaac Sim owner|2</v>
      </c>
      <c r="K70" s="9" t="str">
        <f aca="false">IF(OR($C70="",$B70=""),"",$B70&amp;"|"&amp;COUNTIFS($B$4:$B70,$B70,$C$4:$C70,"?*"))</f>
        <v>G1 ED305 live digital twin|27</v>
      </c>
      <c r="L70" s="9" t="str">
        <f aca="false">IF($C70="","","ALL|"&amp;COUNTIF($C$4:$C70,"?*"))</f>
        <v>ALL|67</v>
      </c>
    </row>
    <row r="71" customFormat="false" ht="15" hidden="false" customHeight="false" outlineLevel="0" collapsed="false">
      <c r="A71" s="6" t="s">
        <v>192</v>
      </c>
      <c r="B71" s="6" t="s">
        <v>133</v>
      </c>
      <c r="C71" s="3" t="s">
        <v>193</v>
      </c>
      <c r="D71" s="6" t="s">
        <v>189</v>
      </c>
      <c r="E71" s="6" t="s">
        <v>45</v>
      </c>
      <c r="F71" s="7" t="n">
        <v>46335</v>
      </c>
      <c r="G71" s="6" t="n">
        <v>3</v>
      </c>
      <c r="H71" s="8" t="n">
        <f aca="false">IF(OR($F71="",$G71=""),"",$F71+7*$G71-3)</f>
        <v>46353</v>
      </c>
      <c r="I71" s="3"/>
      <c r="J71" s="9" t="str">
        <f aca="false">IF(OR($C71="",$D71=""),"",$D71&amp;"|"&amp;COUNTIFS($D$4:$D71,$D71,$C$4:$C71,"?*"))</f>
        <v>Isaac Sim owner|3</v>
      </c>
      <c r="K71" s="9" t="str">
        <f aca="false">IF(OR($C71="",$B71=""),"",$B71&amp;"|"&amp;COUNTIFS($B$4:$B71,$B71,$C$4:$C71,"?*"))</f>
        <v>G1 ED305 live digital twin|28</v>
      </c>
      <c r="L71" s="9" t="str">
        <f aca="false">IF($C71="","","ALL|"&amp;COUNTIF($C$4:$C71,"?*"))</f>
        <v>ALL|68</v>
      </c>
    </row>
    <row r="72" customFormat="false" ht="15" hidden="false" customHeight="false" outlineLevel="0" collapsed="false">
      <c r="A72" s="6" t="s">
        <v>194</v>
      </c>
      <c r="B72" s="6" t="s">
        <v>133</v>
      </c>
      <c r="C72" s="3" t="s">
        <v>195</v>
      </c>
      <c r="D72" s="6" t="s">
        <v>189</v>
      </c>
      <c r="E72" s="6" t="s">
        <v>45</v>
      </c>
      <c r="F72" s="7" t="n">
        <v>46328</v>
      </c>
      <c r="G72" s="6" t="n">
        <v>3</v>
      </c>
      <c r="H72" s="8" t="n">
        <f aca="false">IF(OR($F72="",$G72=""),"",$F72+7*$G72-3)</f>
        <v>46346</v>
      </c>
      <c r="I72" s="3"/>
      <c r="J72" s="9" t="str">
        <f aca="false">IF(OR($C72="",$D72=""),"",$D72&amp;"|"&amp;COUNTIFS($D$4:$D72,$D72,$C$4:$C72,"?*"))</f>
        <v>Isaac Sim owner|4</v>
      </c>
      <c r="K72" s="9" t="str">
        <f aca="false">IF(OR($C72="",$B72=""),"",$B72&amp;"|"&amp;COUNTIFS($B$4:$B72,$B72,$C$4:$C72,"?*"))</f>
        <v>G1 ED305 live digital twin|29</v>
      </c>
      <c r="L72" s="9" t="str">
        <f aca="false">IF($C72="","","ALL|"&amp;COUNTIF($C$4:$C72,"?*"))</f>
        <v>ALL|69</v>
      </c>
    </row>
    <row r="73" customFormat="false" ht="15" hidden="false" customHeight="false" outlineLevel="0" collapsed="false">
      <c r="A73" s="6" t="s">
        <v>196</v>
      </c>
      <c r="B73" s="6" t="s">
        <v>133</v>
      </c>
      <c r="C73" s="3" t="s">
        <v>197</v>
      </c>
      <c r="D73" s="6" t="s">
        <v>189</v>
      </c>
      <c r="E73" s="6" t="s">
        <v>45</v>
      </c>
      <c r="F73" s="7" t="n">
        <v>46349</v>
      </c>
      <c r="G73" s="6" t="n">
        <v>3</v>
      </c>
      <c r="H73" s="8" t="n">
        <f aca="false">IF(OR($F73="",$G73=""),"",$F73+7*$G73-3)</f>
        <v>46367</v>
      </c>
      <c r="I73" s="3"/>
      <c r="J73" s="9" t="str">
        <f aca="false">IF(OR($C73="",$D73=""),"",$D73&amp;"|"&amp;COUNTIFS($D$4:$D73,$D73,$C$4:$C73,"?*"))</f>
        <v>Isaac Sim owner|5</v>
      </c>
      <c r="K73" s="9" t="str">
        <f aca="false">IF(OR($C73="",$B73=""),"",$B73&amp;"|"&amp;COUNTIFS($B$4:$B73,$B73,$C$4:$C73,"?*"))</f>
        <v>G1 ED305 live digital twin|30</v>
      </c>
      <c r="L73" s="9" t="str">
        <f aca="false">IF($C73="","","ALL|"&amp;COUNTIF($C$4:$C73,"?*"))</f>
        <v>ALL|70</v>
      </c>
    </row>
    <row r="74" customFormat="false" ht="15" hidden="false" customHeight="false" outlineLevel="0" collapsed="false">
      <c r="A74" s="6" t="s">
        <v>198</v>
      </c>
      <c r="B74" s="6" t="s">
        <v>133</v>
      </c>
      <c r="C74" s="3" t="s">
        <v>199</v>
      </c>
      <c r="D74" s="6" t="s">
        <v>189</v>
      </c>
      <c r="E74" s="6" t="s">
        <v>45</v>
      </c>
      <c r="F74" s="7" t="n">
        <v>46370</v>
      </c>
      <c r="G74" s="6" t="n">
        <v>3</v>
      </c>
      <c r="H74" s="8" t="n">
        <f aca="false">IF(OR($F74="",$G74=""),"",$F74+7*$G74-3)</f>
        <v>46388</v>
      </c>
      <c r="I74" s="3"/>
      <c r="J74" s="9" t="str">
        <f aca="false">IF(OR($C74="",$D74=""),"",$D74&amp;"|"&amp;COUNTIFS($D$4:$D74,$D74,$C$4:$C74,"?*"))</f>
        <v>Isaac Sim owner|6</v>
      </c>
      <c r="K74" s="9" t="str">
        <f aca="false">IF(OR($C74="",$B74=""),"",$B74&amp;"|"&amp;COUNTIFS($B$4:$B74,$B74,$C$4:$C74,"?*"))</f>
        <v>G1 ED305 live digital twin|31</v>
      </c>
      <c r="L74" s="9" t="str">
        <f aca="false">IF($C74="","","ALL|"&amp;COUNTIF($C$4:$C74,"?*"))</f>
        <v>ALL|71</v>
      </c>
    </row>
    <row r="75" customFormat="false" ht="15" hidden="false" customHeight="false" outlineLevel="0" collapsed="false">
      <c r="A75" s="6" t="s">
        <v>200</v>
      </c>
      <c r="B75" s="6" t="s">
        <v>133</v>
      </c>
      <c r="C75" s="3" t="s">
        <v>201</v>
      </c>
      <c r="D75" s="6" t="s">
        <v>189</v>
      </c>
      <c r="E75" s="6" t="s">
        <v>45</v>
      </c>
      <c r="F75" s="7" t="n">
        <v>46391</v>
      </c>
      <c r="G75" s="6" t="n">
        <v>2</v>
      </c>
      <c r="H75" s="8" t="n">
        <f aca="false">IF(OR($F75="",$G75=""),"",$F75+7*$G75-3)</f>
        <v>46402</v>
      </c>
      <c r="I75" s="3"/>
      <c r="J75" s="9" t="str">
        <f aca="false">IF(OR($C75="",$D75=""),"",$D75&amp;"|"&amp;COUNTIFS($D$4:$D75,$D75,$C$4:$C75,"?*"))</f>
        <v>Isaac Sim owner|7</v>
      </c>
      <c r="K75" s="9" t="str">
        <f aca="false">IF(OR($C75="",$B75=""),"",$B75&amp;"|"&amp;COUNTIFS($B$4:$B75,$B75,$C$4:$C75,"?*"))</f>
        <v>G1 ED305 live digital twin|32</v>
      </c>
      <c r="L75" s="9" t="str">
        <f aca="false">IF($C75="","","ALL|"&amp;COUNTIF($C$4:$C75,"?*"))</f>
        <v>ALL|72</v>
      </c>
    </row>
    <row r="76" customFormat="false" ht="15" hidden="false" customHeight="false" outlineLevel="0" collapsed="false">
      <c r="A76" s="6" t="s">
        <v>202</v>
      </c>
      <c r="B76" s="6" t="s">
        <v>133</v>
      </c>
      <c r="C76" s="3" t="s">
        <v>203</v>
      </c>
      <c r="D76" s="6" t="s">
        <v>189</v>
      </c>
      <c r="E76" s="6" t="s">
        <v>45</v>
      </c>
      <c r="F76" s="7" t="n">
        <v>46356</v>
      </c>
      <c r="G76" s="6" t="n">
        <v>2</v>
      </c>
      <c r="H76" s="8" t="n">
        <f aca="false">IF(OR($F76="",$G76=""),"",$F76+7*$G76-3)</f>
        <v>46367</v>
      </c>
      <c r="I76" s="3"/>
      <c r="J76" s="9" t="str">
        <f aca="false">IF(OR($C76="",$D76=""),"",$D76&amp;"|"&amp;COUNTIFS($D$4:$D76,$D76,$C$4:$C76,"?*"))</f>
        <v>Isaac Sim owner|8</v>
      </c>
      <c r="K76" s="9" t="str">
        <f aca="false">IF(OR($C76="",$B76=""),"",$B76&amp;"|"&amp;COUNTIFS($B$4:$B76,$B76,$C$4:$C76,"?*"))</f>
        <v>G1 ED305 live digital twin|33</v>
      </c>
      <c r="L76" s="9" t="str">
        <f aca="false">IF($C76="","","ALL|"&amp;COUNTIF($C$4:$C76,"?*"))</f>
        <v>ALL|73</v>
      </c>
    </row>
    <row r="77" customFormat="false" ht="15" hidden="false" customHeight="false" outlineLevel="0" collapsed="false">
      <c r="A77" s="6" t="s">
        <v>204</v>
      </c>
      <c r="B77" s="6" t="s">
        <v>133</v>
      </c>
      <c r="C77" s="3" t="s">
        <v>205</v>
      </c>
      <c r="D77" s="6" t="s">
        <v>206</v>
      </c>
      <c r="E77" s="6" t="s">
        <v>45</v>
      </c>
      <c r="F77" s="7" t="n">
        <v>46363</v>
      </c>
      <c r="G77" s="6" t="n">
        <v>2</v>
      </c>
      <c r="H77" s="8" t="n">
        <f aca="false">IF(OR($F77="",$G77=""),"",$F77+7*$G77-3)</f>
        <v>46374</v>
      </c>
      <c r="I77" s="3"/>
      <c r="J77" s="9" t="str">
        <f aca="false">IF(OR($C77="",$D77=""),"",$D77&amp;"|"&amp;COUNTIFS($D$4:$D77,$D77,$C$4:$C77,"?*"))</f>
        <v>Sionna RT owner|1</v>
      </c>
      <c r="K77" s="9" t="str">
        <f aca="false">IF(OR($C77="",$B77=""),"",$B77&amp;"|"&amp;COUNTIFS($B$4:$B77,$B77,$C$4:$C77,"?*"))</f>
        <v>G1 ED305 live digital twin|34</v>
      </c>
      <c r="L77" s="9" t="str">
        <f aca="false">IF($C77="","","ALL|"&amp;COUNTIF($C$4:$C77,"?*"))</f>
        <v>ALL|74</v>
      </c>
    </row>
    <row r="78" customFormat="false" ht="15" hidden="false" customHeight="false" outlineLevel="0" collapsed="false">
      <c r="A78" s="6" t="s">
        <v>207</v>
      </c>
      <c r="B78" s="6" t="s">
        <v>133</v>
      </c>
      <c r="C78" s="3" t="s">
        <v>208</v>
      </c>
      <c r="D78" s="6" t="s">
        <v>206</v>
      </c>
      <c r="E78" s="6" t="s">
        <v>45</v>
      </c>
      <c r="F78" s="7" t="n">
        <v>46370</v>
      </c>
      <c r="G78" s="6" t="n">
        <v>3</v>
      </c>
      <c r="H78" s="8" t="n">
        <f aca="false">IF(OR($F78="",$G78=""),"",$F78+7*$G78-3)</f>
        <v>46388</v>
      </c>
      <c r="I78" s="3"/>
      <c r="J78" s="9" t="str">
        <f aca="false">IF(OR($C78="",$D78=""),"",$D78&amp;"|"&amp;COUNTIFS($D$4:$D78,$D78,$C$4:$C78,"?*"))</f>
        <v>Sionna RT owner|2</v>
      </c>
      <c r="K78" s="9" t="str">
        <f aca="false">IF(OR($C78="",$B78=""),"",$B78&amp;"|"&amp;COUNTIFS($B$4:$B78,$B78,$C$4:$C78,"?*"))</f>
        <v>G1 ED305 live digital twin|35</v>
      </c>
      <c r="L78" s="9" t="str">
        <f aca="false">IF($C78="","","ALL|"&amp;COUNTIF($C$4:$C78,"?*"))</f>
        <v>ALL|75</v>
      </c>
    </row>
    <row r="79" customFormat="false" ht="15" hidden="false" customHeight="false" outlineLevel="0" collapsed="false">
      <c r="A79" s="6" t="s">
        <v>209</v>
      </c>
      <c r="B79" s="6" t="s">
        <v>133</v>
      </c>
      <c r="C79" s="3" t="s">
        <v>210</v>
      </c>
      <c r="D79" s="6" t="s">
        <v>206</v>
      </c>
      <c r="E79" s="6" t="s">
        <v>45</v>
      </c>
      <c r="F79" s="7" t="n">
        <v>46384</v>
      </c>
      <c r="G79" s="6" t="n">
        <v>2</v>
      </c>
      <c r="H79" s="8" t="n">
        <f aca="false">IF(OR($F79="",$G79=""),"",$F79+7*$G79-3)</f>
        <v>46395</v>
      </c>
      <c r="I79" s="3"/>
      <c r="J79" s="9" t="str">
        <f aca="false">IF(OR($C79="",$D79=""),"",$D79&amp;"|"&amp;COUNTIFS($D$4:$D79,$D79,$C$4:$C79,"?*"))</f>
        <v>Sionna RT owner|3</v>
      </c>
      <c r="K79" s="9" t="str">
        <f aca="false">IF(OR($C79="",$B79=""),"",$B79&amp;"|"&amp;COUNTIFS($B$4:$B79,$B79,$C$4:$C79,"?*"))</f>
        <v>G1 ED305 live digital twin|36</v>
      </c>
      <c r="L79" s="9" t="str">
        <f aca="false">IF($C79="","","ALL|"&amp;COUNTIF($C$4:$C79,"?*"))</f>
        <v>ALL|76</v>
      </c>
    </row>
    <row r="80" customFormat="false" ht="15" hidden="false" customHeight="false" outlineLevel="0" collapsed="false">
      <c r="A80" s="6" t="s">
        <v>211</v>
      </c>
      <c r="B80" s="6" t="s">
        <v>133</v>
      </c>
      <c r="C80" s="3" t="s">
        <v>212</v>
      </c>
      <c r="D80" s="6" t="s">
        <v>206</v>
      </c>
      <c r="E80" s="6" t="s">
        <v>45</v>
      </c>
      <c r="F80" s="7" t="n">
        <v>46391</v>
      </c>
      <c r="G80" s="6" t="n">
        <v>3</v>
      </c>
      <c r="H80" s="8" t="n">
        <f aca="false">IF(OR($F80="",$G80=""),"",$F80+7*$G80-3)</f>
        <v>46409</v>
      </c>
      <c r="I80" s="3"/>
      <c r="J80" s="9" t="str">
        <f aca="false">IF(OR($C80="",$D80=""),"",$D80&amp;"|"&amp;COUNTIFS($D$4:$D80,$D80,$C$4:$C80,"?*"))</f>
        <v>Sionna RT owner|4</v>
      </c>
      <c r="K80" s="9" t="str">
        <f aca="false">IF(OR($C80="",$B80=""),"",$B80&amp;"|"&amp;COUNTIFS($B$4:$B80,$B80,$C$4:$C80,"?*"))</f>
        <v>G1 ED305 live digital twin|37</v>
      </c>
      <c r="L80" s="9" t="str">
        <f aca="false">IF($C80="","","ALL|"&amp;COUNTIF($C$4:$C80,"?*"))</f>
        <v>ALL|77</v>
      </c>
    </row>
    <row r="81" customFormat="false" ht="15" hidden="false" customHeight="false" outlineLevel="0" collapsed="false">
      <c r="A81" s="6" t="s">
        <v>213</v>
      </c>
      <c r="B81" s="6" t="s">
        <v>133</v>
      </c>
      <c r="C81" s="3" t="s">
        <v>214</v>
      </c>
      <c r="D81" s="6" t="s">
        <v>215</v>
      </c>
      <c r="E81" s="6" t="s">
        <v>45</v>
      </c>
      <c r="F81" s="7" t="n">
        <v>46349</v>
      </c>
      <c r="G81" s="6" t="n">
        <v>1</v>
      </c>
      <c r="H81" s="8" t="n">
        <f aca="false">IF(OR($F81="",$G81=""),"",$F81+7*$G81-3)</f>
        <v>46353</v>
      </c>
      <c r="I81" s="3"/>
      <c r="J81" s="9" t="str">
        <f aca="false">IF(OR($C81="",$D81=""),"",$D81&amp;"|"&amp;COUNTIFS($D$4:$D81,$D81,$C$4:$C81,"?*"))</f>
        <v>Team|1</v>
      </c>
      <c r="K81" s="9" t="str">
        <f aca="false">IF(OR($C81="",$B81=""),"",$B81&amp;"|"&amp;COUNTIFS($B$4:$B81,$B81,$C$4:$C81,"?*"))</f>
        <v>G1 ED305 live digital twin|38</v>
      </c>
      <c r="L81" s="9" t="str">
        <f aca="false">IF($C81="","","ALL|"&amp;COUNTIF($C$4:$C81,"?*"))</f>
        <v>ALL|78</v>
      </c>
    </row>
    <row r="82" customFormat="false" ht="15" hidden="false" customHeight="false" outlineLevel="0" collapsed="false">
      <c r="A82" s="6" t="s">
        <v>216</v>
      </c>
      <c r="B82" s="6" t="s">
        <v>133</v>
      </c>
      <c r="C82" s="3" t="s">
        <v>217</v>
      </c>
      <c r="D82" s="6" t="s">
        <v>215</v>
      </c>
      <c r="E82" s="6" t="s">
        <v>45</v>
      </c>
      <c r="F82" s="7" t="n">
        <v>46363</v>
      </c>
      <c r="G82" s="6" t="n">
        <v>1</v>
      </c>
      <c r="H82" s="8" t="n">
        <f aca="false">IF(OR($F82="",$G82=""),"",$F82+7*$G82-3)</f>
        <v>46367</v>
      </c>
      <c r="I82" s="3"/>
      <c r="J82" s="9" t="str">
        <f aca="false">IF(OR($C82="",$D82=""),"",$D82&amp;"|"&amp;COUNTIFS($D$4:$D82,$D82,$C$4:$C82,"?*"))</f>
        <v>Team|2</v>
      </c>
      <c r="K82" s="9" t="str">
        <f aca="false">IF(OR($C82="",$B82=""),"",$B82&amp;"|"&amp;COUNTIFS($B$4:$B82,$B82,$C$4:$C82,"?*"))</f>
        <v>G1 ED305 live digital twin|39</v>
      </c>
      <c r="L82" s="9" t="str">
        <f aca="false">IF($C82="","","ALL|"&amp;COUNTIF($C$4:$C82,"?*"))</f>
        <v>ALL|79</v>
      </c>
    </row>
    <row r="83" customFormat="false" ht="15" hidden="false" customHeight="false" outlineLevel="0" collapsed="false">
      <c r="A83" s="6" t="s">
        <v>218</v>
      </c>
      <c r="B83" s="6" t="s">
        <v>133</v>
      </c>
      <c r="C83" s="3" t="s">
        <v>219</v>
      </c>
      <c r="D83" s="6" t="s">
        <v>215</v>
      </c>
      <c r="E83" s="6" t="s">
        <v>45</v>
      </c>
      <c r="F83" s="7" t="n">
        <v>46391</v>
      </c>
      <c r="G83" s="6" t="n">
        <v>1</v>
      </c>
      <c r="H83" s="8" t="n">
        <f aca="false">IF(OR($F83="",$G83=""),"",$F83+7*$G83-3)</f>
        <v>46395</v>
      </c>
      <c r="I83" s="3"/>
      <c r="J83" s="9" t="str">
        <f aca="false">IF(OR($C83="",$D83=""),"",$D83&amp;"|"&amp;COUNTIFS($D$4:$D83,$D83,$C$4:$C83,"?*"))</f>
        <v>Team|3</v>
      </c>
      <c r="K83" s="9" t="str">
        <f aca="false">IF(OR($C83="",$B83=""),"",$B83&amp;"|"&amp;COUNTIFS($B$4:$B83,$B83,$C$4:$C83,"?*"))</f>
        <v>G1 ED305 live digital twin|40</v>
      </c>
      <c r="L83" s="9" t="str">
        <f aca="false">IF($C83="","","ALL|"&amp;COUNTIF($C$4:$C83,"?*"))</f>
        <v>ALL|80</v>
      </c>
    </row>
    <row r="84" customFormat="false" ht="15" hidden="false" customHeight="false" outlineLevel="0" collapsed="false">
      <c r="A84" s="6" t="s">
        <v>220</v>
      </c>
      <c r="B84" s="6" t="s">
        <v>133</v>
      </c>
      <c r="C84" s="3" t="s">
        <v>221</v>
      </c>
      <c r="D84" s="6" t="s">
        <v>215</v>
      </c>
      <c r="E84" s="6" t="s">
        <v>45</v>
      </c>
      <c r="F84" s="7" t="n">
        <v>46391</v>
      </c>
      <c r="G84" s="6" t="n">
        <v>1</v>
      </c>
      <c r="H84" s="8" t="n">
        <f aca="false">IF(OR($F84="",$G84=""),"",$F84+7*$G84-3)</f>
        <v>46395</v>
      </c>
      <c r="I84" s="3"/>
      <c r="J84" s="9" t="str">
        <f aca="false">IF(OR($C84="",$D84=""),"",$D84&amp;"|"&amp;COUNTIFS($D$4:$D84,$D84,$C$4:$C84,"?*"))</f>
        <v>Team|4</v>
      </c>
      <c r="K84" s="9" t="str">
        <f aca="false">IF(OR($C84="",$B84=""),"",$B84&amp;"|"&amp;COUNTIFS($B$4:$B84,$B84,$C$4:$C84,"?*"))</f>
        <v>G1 ED305 live digital twin|41</v>
      </c>
      <c r="L84" s="9" t="str">
        <f aca="false">IF($C84="","","ALL|"&amp;COUNTIF($C$4:$C84,"?*"))</f>
        <v>ALL|81</v>
      </c>
    </row>
    <row r="85" customFormat="false" ht="15" hidden="false" customHeight="false" outlineLevel="0" collapsed="false">
      <c r="A85" s="6" t="s">
        <v>222</v>
      </c>
      <c r="B85" s="6" t="s">
        <v>133</v>
      </c>
      <c r="C85" s="3" t="s">
        <v>223</v>
      </c>
      <c r="D85" s="6" t="s">
        <v>215</v>
      </c>
      <c r="E85" s="6" t="s">
        <v>45</v>
      </c>
      <c r="F85" s="7" t="n">
        <v>46398</v>
      </c>
      <c r="G85" s="6" t="n">
        <v>1</v>
      </c>
      <c r="H85" s="8" t="n">
        <f aca="false">IF(OR($F85="",$G85=""),"",$F85+7*$G85-3)</f>
        <v>46402</v>
      </c>
      <c r="I85" s="3"/>
      <c r="J85" s="9" t="str">
        <f aca="false">IF(OR($C85="",$D85=""),"",$D85&amp;"|"&amp;COUNTIFS($D$4:$D85,$D85,$C$4:$C85,"?*"))</f>
        <v>Team|5</v>
      </c>
      <c r="K85" s="9" t="str">
        <f aca="false">IF(OR($C85="",$B85=""),"",$B85&amp;"|"&amp;COUNTIFS($B$4:$B85,$B85,$C$4:$C85,"?*"))</f>
        <v>G1 ED305 live digital twin|42</v>
      </c>
      <c r="L85" s="9" t="str">
        <f aca="false">IF($C85="","","ALL|"&amp;COUNTIF($C$4:$C85,"?*"))</f>
        <v>ALL|82</v>
      </c>
    </row>
    <row r="86" customFormat="false" ht="15" hidden="false" customHeight="false" outlineLevel="0" collapsed="false">
      <c r="A86" s="6" t="s">
        <v>224</v>
      </c>
      <c r="B86" s="6" t="s">
        <v>133</v>
      </c>
      <c r="C86" s="3" t="s">
        <v>225</v>
      </c>
      <c r="D86" s="6" t="s">
        <v>215</v>
      </c>
      <c r="E86" s="6" t="s">
        <v>45</v>
      </c>
      <c r="F86" s="7" t="n">
        <v>46405</v>
      </c>
      <c r="G86" s="6" t="n">
        <v>1</v>
      </c>
      <c r="H86" s="8" t="n">
        <f aca="false">IF(OR($F86="",$G86=""),"",$F86+7*$G86-3)</f>
        <v>46409</v>
      </c>
      <c r="I86" s="3"/>
      <c r="J86" s="9" t="str">
        <f aca="false">IF(OR($C86="",$D86=""),"",$D86&amp;"|"&amp;COUNTIFS($D$4:$D86,$D86,$C$4:$C86,"?*"))</f>
        <v>Team|6</v>
      </c>
      <c r="K86" s="9" t="str">
        <f aca="false">IF(OR($C86="",$B86=""),"",$B86&amp;"|"&amp;COUNTIFS($B$4:$B86,$B86,$C$4:$C86,"?*"))</f>
        <v>G1 ED305 live digital twin|43</v>
      </c>
      <c r="L86" s="9" t="str">
        <f aca="false">IF($C86="","","ALL|"&amp;COUNTIF($C$4:$C86,"?*"))</f>
        <v>ALL|83</v>
      </c>
    </row>
    <row r="87" customFormat="false" ht="15" hidden="false" customHeight="false" outlineLevel="0" collapsed="false">
      <c r="A87" s="6" t="s">
        <v>226</v>
      </c>
      <c r="B87" s="6" t="s">
        <v>227</v>
      </c>
      <c r="C87" s="3" t="s">
        <v>228</v>
      </c>
      <c r="D87" s="6" t="s">
        <v>229</v>
      </c>
      <c r="E87" s="6" t="s">
        <v>71</v>
      </c>
      <c r="F87" s="7" t="n">
        <v>46195</v>
      </c>
      <c r="G87" s="6" t="n">
        <v>1</v>
      </c>
      <c r="H87" s="8" t="n">
        <f aca="false">IF(OR($F87="",$G87=""),"",$F87+7*$G87-3)</f>
        <v>46199</v>
      </c>
      <c r="I87" s="3"/>
      <c r="J87" s="9" t="str">
        <f aca="false">IF(OR($C87="",$D87=""),"",$D87&amp;"|"&amp;COUNTIFS($D$4:$D87,$D87,$C$4:$C87,"?*"))</f>
        <v>Dual-link owner|1</v>
      </c>
      <c r="K87" s="9" t="str">
        <f aca="false">IF(OR($C87="",$B87=""),"",$B87&amp;"|"&amp;COUNTIFS($B$4:$B87,$B87,$C$4:$C87,"?*"))</f>
        <v>Dual-Link Communication|1</v>
      </c>
      <c r="L87" s="9" t="str">
        <f aca="false">IF($C87="","","ALL|"&amp;COUNTIF($C$4:$C87,"?*"))</f>
        <v>ALL|84</v>
      </c>
    </row>
    <row r="88" customFormat="false" ht="15" hidden="false" customHeight="false" outlineLevel="0" collapsed="false">
      <c r="A88" s="6" t="s">
        <v>230</v>
      </c>
      <c r="B88" s="6" t="s">
        <v>227</v>
      </c>
      <c r="C88" s="3" t="s">
        <v>231</v>
      </c>
      <c r="D88" s="6" t="s">
        <v>229</v>
      </c>
      <c r="E88" s="6" t="s">
        <v>71</v>
      </c>
      <c r="F88" s="7" t="n">
        <v>46195</v>
      </c>
      <c r="G88" s="6" t="n">
        <v>1</v>
      </c>
      <c r="H88" s="8" t="n">
        <f aca="false">IF(OR($F88="",$G88=""),"",$F88+7*$G88-3)</f>
        <v>46199</v>
      </c>
      <c r="I88" s="3"/>
      <c r="J88" s="9" t="str">
        <f aca="false">IF(OR($C88="",$D88=""),"",$D88&amp;"|"&amp;COUNTIFS($D$4:$D88,$D88,$C$4:$C88,"?*"))</f>
        <v>Dual-link owner|2</v>
      </c>
      <c r="K88" s="9" t="str">
        <f aca="false">IF(OR($C88="",$B88=""),"",$B88&amp;"|"&amp;COUNTIFS($B$4:$B88,$B88,$C$4:$C88,"?*"))</f>
        <v>Dual-Link Communication|2</v>
      </c>
      <c r="L88" s="9" t="str">
        <f aca="false">IF($C88="","","ALL|"&amp;COUNTIF($C$4:$C88,"?*"))</f>
        <v>ALL|85</v>
      </c>
    </row>
    <row r="89" customFormat="false" ht="15" hidden="false" customHeight="false" outlineLevel="0" collapsed="false">
      <c r="A89" s="6" t="s">
        <v>232</v>
      </c>
      <c r="B89" s="6" t="s">
        <v>227</v>
      </c>
      <c r="C89" s="3" t="s">
        <v>233</v>
      </c>
      <c r="D89" s="6" t="s">
        <v>229</v>
      </c>
      <c r="E89" s="6" t="s">
        <v>71</v>
      </c>
      <c r="F89" s="7" t="n">
        <v>46195</v>
      </c>
      <c r="G89" s="6" t="n">
        <v>1</v>
      </c>
      <c r="H89" s="8" t="n">
        <f aca="false">IF(OR($F89="",$G89=""),"",$F89+7*$G89-3)</f>
        <v>46199</v>
      </c>
      <c r="I89" s="3"/>
      <c r="J89" s="9" t="str">
        <f aca="false">IF(OR($C89="",$D89=""),"",$D89&amp;"|"&amp;COUNTIFS($D$4:$D89,$D89,$C$4:$C89,"?*"))</f>
        <v>Dual-link owner|3</v>
      </c>
      <c r="K89" s="9" t="str">
        <f aca="false">IF(OR($C89="",$B89=""),"",$B89&amp;"|"&amp;COUNTIFS($B$4:$B89,$B89,$C$4:$C89,"?*"))</f>
        <v>Dual-Link Communication|3</v>
      </c>
      <c r="L89" s="9" t="str">
        <f aca="false">IF($C89="","","ALL|"&amp;COUNTIF($C$4:$C89,"?*"))</f>
        <v>ALL|86</v>
      </c>
    </row>
    <row r="90" customFormat="false" ht="15" hidden="false" customHeight="false" outlineLevel="0" collapsed="false">
      <c r="A90" s="6" t="s">
        <v>234</v>
      </c>
      <c r="B90" s="6" t="s">
        <v>227</v>
      </c>
      <c r="C90" s="3" t="s">
        <v>235</v>
      </c>
      <c r="D90" s="6" t="s">
        <v>229</v>
      </c>
      <c r="E90" s="6" t="s">
        <v>71</v>
      </c>
      <c r="F90" s="7" t="n">
        <v>46195</v>
      </c>
      <c r="G90" s="6" t="n">
        <v>1</v>
      </c>
      <c r="H90" s="8" t="n">
        <f aca="false">IF(OR($F90="",$G90=""),"",$F90+7*$G90-3)</f>
        <v>46199</v>
      </c>
      <c r="I90" s="3"/>
      <c r="J90" s="9" t="str">
        <f aca="false">IF(OR($C90="",$D90=""),"",$D90&amp;"|"&amp;COUNTIFS($D$4:$D90,$D90,$C$4:$C90,"?*"))</f>
        <v>Dual-link owner|4</v>
      </c>
      <c r="K90" s="9" t="str">
        <f aca="false">IF(OR($C90="",$B90=""),"",$B90&amp;"|"&amp;COUNTIFS($B$4:$B90,$B90,$C$4:$C90,"?*"))</f>
        <v>Dual-Link Communication|4</v>
      </c>
      <c r="L90" s="9" t="str">
        <f aca="false">IF($C90="","","ALL|"&amp;COUNTIF($C$4:$C90,"?*"))</f>
        <v>ALL|87</v>
      </c>
    </row>
    <row r="91" customFormat="false" ht="15" hidden="false" customHeight="false" outlineLevel="0" collapsed="false">
      <c r="A91" s="6" t="s">
        <v>236</v>
      </c>
      <c r="B91" s="6" t="s">
        <v>227</v>
      </c>
      <c r="C91" s="3" t="s">
        <v>237</v>
      </c>
      <c r="D91" s="6" t="s">
        <v>229</v>
      </c>
      <c r="E91" s="6" t="s">
        <v>71</v>
      </c>
      <c r="F91" s="7" t="n">
        <v>46195</v>
      </c>
      <c r="G91" s="6" t="n">
        <v>1</v>
      </c>
      <c r="H91" s="8" t="n">
        <f aca="false">IF(OR($F91="",$G91=""),"",$F91+7*$G91-3)</f>
        <v>46199</v>
      </c>
      <c r="I91" s="3"/>
      <c r="J91" s="9" t="str">
        <f aca="false">IF(OR($C91="",$D91=""),"",$D91&amp;"|"&amp;COUNTIFS($D$4:$D91,$D91,$C$4:$C91,"?*"))</f>
        <v>Dual-link owner|5</v>
      </c>
      <c r="K91" s="9" t="str">
        <f aca="false">IF(OR($C91="",$B91=""),"",$B91&amp;"|"&amp;COUNTIFS($B$4:$B91,$B91,$C$4:$C91,"?*"))</f>
        <v>Dual-Link Communication|5</v>
      </c>
      <c r="L91" s="9" t="str">
        <f aca="false">IF($C91="","","ALL|"&amp;COUNTIF($C$4:$C91,"?*"))</f>
        <v>ALL|88</v>
      </c>
    </row>
    <row r="92" customFormat="false" ht="15" hidden="false" customHeight="false" outlineLevel="0" collapsed="false">
      <c r="A92" s="6" t="s">
        <v>238</v>
      </c>
      <c r="B92" s="6" t="s">
        <v>227</v>
      </c>
      <c r="C92" s="3" t="s">
        <v>239</v>
      </c>
      <c r="D92" s="6" t="s">
        <v>229</v>
      </c>
      <c r="E92" s="6" t="s">
        <v>71</v>
      </c>
      <c r="F92" s="7" t="n">
        <v>46195</v>
      </c>
      <c r="G92" s="6" t="n">
        <v>1</v>
      </c>
      <c r="H92" s="8" t="n">
        <f aca="false">IF(OR($F92="",$G92=""),"",$F92+7*$G92-3)</f>
        <v>46199</v>
      </c>
      <c r="I92" s="3"/>
      <c r="J92" s="9" t="str">
        <f aca="false">IF(OR($C92="",$D92=""),"",$D92&amp;"|"&amp;COUNTIFS($D$4:$D92,$D92,$C$4:$C92,"?*"))</f>
        <v>Dual-link owner|6</v>
      </c>
      <c r="K92" s="9" t="str">
        <f aca="false">IF(OR($C92="",$B92=""),"",$B92&amp;"|"&amp;COUNTIFS($B$4:$B92,$B92,$C$4:$C92,"?*"))</f>
        <v>Dual-Link Communication|6</v>
      </c>
      <c r="L92" s="9" t="str">
        <f aca="false">IF($C92="","","ALL|"&amp;COUNTIF($C$4:$C92,"?*"))</f>
        <v>ALL|89</v>
      </c>
    </row>
    <row r="93" customFormat="false" ht="15" hidden="false" customHeight="false" outlineLevel="0" collapsed="false">
      <c r="A93" s="6" t="s">
        <v>240</v>
      </c>
      <c r="B93" s="6" t="s">
        <v>227</v>
      </c>
      <c r="C93" s="3" t="s">
        <v>241</v>
      </c>
      <c r="D93" s="6" t="s">
        <v>229</v>
      </c>
      <c r="E93" s="6" t="s">
        <v>48</v>
      </c>
      <c r="F93" s="7" t="n">
        <v>46195</v>
      </c>
      <c r="G93" s="6" t="n">
        <v>1</v>
      </c>
      <c r="H93" s="8" t="n">
        <f aca="false">IF(OR($F93="",$G93=""),"",$F93+7*$G93-3)</f>
        <v>46199</v>
      </c>
      <c r="I93" s="3"/>
      <c r="J93" s="9" t="str">
        <f aca="false">IF(OR($C93="",$D93=""),"",$D93&amp;"|"&amp;COUNTIFS($D$4:$D93,$D93,$C$4:$C93,"?*"))</f>
        <v>Dual-link owner|7</v>
      </c>
      <c r="K93" s="9" t="str">
        <f aca="false">IF(OR($C93="",$B93=""),"",$B93&amp;"|"&amp;COUNTIFS($B$4:$B93,$B93,$C$4:$C93,"?*"))</f>
        <v>Dual-Link Communication|7</v>
      </c>
      <c r="L93" s="9" t="str">
        <f aca="false">IF($C93="","","ALL|"&amp;COUNTIF($C$4:$C93,"?*"))</f>
        <v>ALL|90</v>
      </c>
    </row>
    <row r="94" customFormat="false" ht="15" hidden="false" customHeight="false" outlineLevel="0" collapsed="false">
      <c r="A94" s="6" t="s">
        <v>242</v>
      </c>
      <c r="B94" s="6" t="s">
        <v>227</v>
      </c>
      <c r="C94" s="3" t="s">
        <v>243</v>
      </c>
      <c r="D94" s="6" t="s">
        <v>229</v>
      </c>
      <c r="E94" s="6" t="s">
        <v>71</v>
      </c>
      <c r="F94" s="7" t="n">
        <v>46195</v>
      </c>
      <c r="G94" s="6" t="n">
        <v>1</v>
      </c>
      <c r="H94" s="8" t="n">
        <f aca="false">IF(OR($F94="",$G94=""),"",$F94+7*$G94-3)</f>
        <v>46199</v>
      </c>
      <c r="I94" s="3"/>
      <c r="J94" s="9" t="str">
        <f aca="false">IF(OR($C94="",$D94=""),"",$D94&amp;"|"&amp;COUNTIFS($D$4:$D94,$D94,$C$4:$C94,"?*"))</f>
        <v>Dual-link owner|8</v>
      </c>
      <c r="K94" s="9" t="str">
        <f aca="false">IF(OR($C94="",$B94=""),"",$B94&amp;"|"&amp;COUNTIFS($B$4:$B94,$B94,$C$4:$C94,"?*"))</f>
        <v>Dual-Link Communication|8</v>
      </c>
      <c r="L94" s="9" t="str">
        <f aca="false">IF($C94="","","ALL|"&amp;COUNTIF($C$4:$C94,"?*"))</f>
        <v>ALL|91</v>
      </c>
    </row>
    <row r="95" customFormat="false" ht="15" hidden="false" customHeight="false" outlineLevel="0" collapsed="false">
      <c r="A95" s="6" t="s">
        <v>244</v>
      </c>
      <c r="B95" s="6" t="s">
        <v>227</v>
      </c>
      <c r="C95" s="3" t="s">
        <v>245</v>
      </c>
      <c r="D95" s="6" t="s">
        <v>229</v>
      </c>
      <c r="E95" s="6" t="s">
        <v>48</v>
      </c>
      <c r="F95" s="7" t="n">
        <v>46195</v>
      </c>
      <c r="G95" s="6" t="n">
        <v>1</v>
      </c>
      <c r="H95" s="8" t="n">
        <f aca="false">IF(OR($F95="",$G95=""),"",$F95+7*$G95-3)</f>
        <v>46199</v>
      </c>
      <c r="I95" s="3"/>
      <c r="J95" s="9" t="str">
        <f aca="false">IF(OR($C95="",$D95=""),"",$D95&amp;"|"&amp;COUNTIFS($D$4:$D95,$D95,$C$4:$C95,"?*"))</f>
        <v>Dual-link owner|9</v>
      </c>
      <c r="K95" s="9" t="str">
        <f aca="false">IF(OR($C95="",$B95=""),"",$B95&amp;"|"&amp;COUNTIFS($B$4:$B95,$B95,$C$4:$C95,"?*"))</f>
        <v>Dual-Link Communication|9</v>
      </c>
      <c r="L95" s="9" t="str">
        <f aca="false">IF($C95="","","ALL|"&amp;COUNTIF($C$4:$C95,"?*"))</f>
        <v>ALL|92</v>
      </c>
    </row>
    <row r="96" customFormat="false" ht="15" hidden="false" customHeight="false" outlineLevel="0" collapsed="false">
      <c r="A96" s="6" t="s">
        <v>246</v>
      </c>
      <c r="B96" s="6" t="s">
        <v>227</v>
      </c>
      <c r="C96" s="3" t="s">
        <v>247</v>
      </c>
      <c r="D96" s="6" t="s">
        <v>229</v>
      </c>
      <c r="E96" s="6" t="s">
        <v>45</v>
      </c>
      <c r="F96" s="7" t="n">
        <v>46195</v>
      </c>
      <c r="G96" s="6" t="n">
        <v>1</v>
      </c>
      <c r="H96" s="8" t="n">
        <f aca="false">IF(OR($F96="",$G96=""),"",$F96+7*$G96-3)</f>
        <v>46199</v>
      </c>
      <c r="I96" s="3"/>
      <c r="J96" s="9" t="str">
        <f aca="false">IF(OR($C96="",$D96=""),"",$D96&amp;"|"&amp;COUNTIFS($D$4:$D96,$D96,$C$4:$C96,"?*"))</f>
        <v>Dual-link owner|10</v>
      </c>
      <c r="K96" s="9" t="str">
        <f aca="false">IF(OR($C96="",$B96=""),"",$B96&amp;"|"&amp;COUNTIFS($B$4:$B96,$B96,$C$4:$C96,"?*"))</f>
        <v>Dual-Link Communication|10</v>
      </c>
      <c r="L96" s="9" t="str">
        <f aca="false">IF($C96="","","ALL|"&amp;COUNTIF($C$4:$C96,"?*"))</f>
        <v>ALL|93</v>
      </c>
    </row>
    <row r="97" customFormat="false" ht="15" hidden="false" customHeight="false" outlineLevel="0" collapsed="false">
      <c r="A97" s="6" t="s">
        <v>248</v>
      </c>
      <c r="B97" s="6" t="s">
        <v>227</v>
      </c>
      <c r="C97" s="3" t="s">
        <v>249</v>
      </c>
      <c r="D97" s="6" t="s">
        <v>229</v>
      </c>
      <c r="E97" s="6" t="s">
        <v>45</v>
      </c>
      <c r="F97" s="7" t="n">
        <v>46195</v>
      </c>
      <c r="G97" s="6" t="n">
        <v>1</v>
      </c>
      <c r="H97" s="8" t="n">
        <f aca="false">IF(OR($F97="",$G97=""),"",$F97+7*$G97-3)</f>
        <v>46199</v>
      </c>
      <c r="I97" s="3"/>
      <c r="J97" s="9" t="str">
        <f aca="false">IF(OR($C97="",$D97=""),"",$D97&amp;"|"&amp;COUNTIFS($D$4:$D97,$D97,$C$4:$C97,"?*"))</f>
        <v>Dual-link owner|11</v>
      </c>
      <c r="K97" s="9" t="str">
        <f aca="false">IF(OR($C97="",$B97=""),"",$B97&amp;"|"&amp;COUNTIFS($B$4:$B97,$B97,$C$4:$C97,"?*"))</f>
        <v>Dual-Link Communication|11</v>
      </c>
      <c r="L97" s="9" t="str">
        <f aca="false">IF($C97="","","ALL|"&amp;COUNTIF($C$4:$C97,"?*"))</f>
        <v>ALL|94</v>
      </c>
    </row>
    <row r="98" customFormat="false" ht="15" hidden="false" customHeight="false" outlineLevel="0" collapsed="false">
      <c r="A98" s="6" t="s">
        <v>250</v>
      </c>
      <c r="B98" s="6" t="s">
        <v>227</v>
      </c>
      <c r="C98" s="3" t="s">
        <v>251</v>
      </c>
      <c r="D98" s="6" t="s">
        <v>229</v>
      </c>
      <c r="E98" s="6" t="s">
        <v>45</v>
      </c>
      <c r="F98" s="7" t="n">
        <v>46195</v>
      </c>
      <c r="G98" s="6" t="n">
        <v>1</v>
      </c>
      <c r="H98" s="8" t="n">
        <f aca="false">IF(OR($F98="",$G98=""),"",$F98+7*$G98-3)</f>
        <v>46199</v>
      </c>
      <c r="I98" s="3"/>
      <c r="J98" s="9" t="str">
        <f aca="false">IF(OR($C98="",$D98=""),"",$D98&amp;"|"&amp;COUNTIFS($D$4:$D98,$D98,$C$4:$C98,"?*"))</f>
        <v>Dual-link owner|12</v>
      </c>
      <c r="K98" s="9" t="str">
        <f aca="false">IF(OR($C98="",$B98=""),"",$B98&amp;"|"&amp;COUNTIFS($B$4:$B98,$B98,$C$4:$C98,"?*"))</f>
        <v>Dual-Link Communication|12</v>
      </c>
      <c r="L98" s="9" t="str">
        <f aca="false">IF($C98="","","ALL|"&amp;COUNTIF($C$4:$C98,"?*"))</f>
        <v>ALL|95</v>
      </c>
    </row>
    <row r="99" customFormat="false" ht="15" hidden="false" customHeight="false" outlineLevel="0" collapsed="false">
      <c r="A99" s="6" t="s">
        <v>252</v>
      </c>
      <c r="B99" s="6" t="s">
        <v>227</v>
      </c>
      <c r="C99" s="3" t="s">
        <v>253</v>
      </c>
      <c r="D99" s="6" t="s">
        <v>229</v>
      </c>
      <c r="E99" s="6" t="s">
        <v>45</v>
      </c>
      <c r="F99" s="7" t="n">
        <v>46202</v>
      </c>
      <c r="G99" s="6" t="n">
        <v>1</v>
      </c>
      <c r="H99" s="8" t="n">
        <f aca="false">IF(OR($F99="",$G99=""),"",$F99+7*$G99-3)</f>
        <v>46206</v>
      </c>
      <c r="I99" s="3"/>
      <c r="J99" s="9" t="str">
        <f aca="false">IF(OR($C99="",$D99=""),"",$D99&amp;"|"&amp;COUNTIFS($D$4:$D99,$D99,$C$4:$C99,"?*"))</f>
        <v>Dual-link owner|13</v>
      </c>
      <c r="K99" s="9" t="str">
        <f aca="false">IF(OR($C99="",$B99=""),"",$B99&amp;"|"&amp;COUNTIFS($B$4:$B99,$B99,$C$4:$C99,"?*"))</f>
        <v>Dual-Link Communication|13</v>
      </c>
      <c r="L99" s="9" t="str">
        <f aca="false">IF($C99="","","ALL|"&amp;COUNTIF($C$4:$C99,"?*"))</f>
        <v>ALL|96</v>
      </c>
    </row>
    <row r="100" customFormat="false" ht="15" hidden="false" customHeight="false" outlineLevel="0" collapsed="false">
      <c r="A100" s="6" t="s">
        <v>254</v>
      </c>
      <c r="B100" s="6" t="s">
        <v>227</v>
      </c>
      <c r="C100" s="3" t="s">
        <v>255</v>
      </c>
      <c r="D100" s="6" t="s">
        <v>229</v>
      </c>
      <c r="E100" s="6" t="s">
        <v>45</v>
      </c>
      <c r="F100" s="7" t="n">
        <v>46202</v>
      </c>
      <c r="G100" s="6" t="n">
        <v>2</v>
      </c>
      <c r="H100" s="8" t="n">
        <f aca="false">IF(OR($F100="",$G100=""),"",$F100+7*$G100-3)</f>
        <v>46213</v>
      </c>
      <c r="I100" s="3"/>
      <c r="J100" s="9" t="str">
        <f aca="false">IF(OR($C100="",$D100=""),"",$D100&amp;"|"&amp;COUNTIFS($D$4:$D100,$D100,$C$4:$C100,"?*"))</f>
        <v>Dual-link owner|14</v>
      </c>
      <c r="K100" s="9" t="str">
        <f aca="false">IF(OR($C100="",$B100=""),"",$B100&amp;"|"&amp;COUNTIFS($B$4:$B100,$B100,$C$4:$C100,"?*"))</f>
        <v>Dual-Link Communication|14</v>
      </c>
      <c r="L100" s="9" t="str">
        <f aca="false">IF($C100="","","ALL|"&amp;COUNTIF($C$4:$C100,"?*"))</f>
        <v>ALL|97</v>
      </c>
    </row>
    <row r="101" customFormat="false" ht="15" hidden="false" customHeight="false" outlineLevel="0" collapsed="false">
      <c r="A101" s="6" t="s">
        <v>256</v>
      </c>
      <c r="B101" s="6" t="s">
        <v>227</v>
      </c>
      <c r="C101" s="3" t="s">
        <v>257</v>
      </c>
      <c r="D101" s="6" t="s">
        <v>229</v>
      </c>
      <c r="E101" s="6" t="s">
        <v>45</v>
      </c>
      <c r="F101" s="7" t="n">
        <v>46202</v>
      </c>
      <c r="G101" s="6" t="n">
        <v>1</v>
      </c>
      <c r="H101" s="8" t="n">
        <f aca="false">IF(OR($F101="",$G101=""),"",$F101+7*$G101-3)</f>
        <v>46206</v>
      </c>
      <c r="I101" s="3"/>
      <c r="J101" s="9" t="str">
        <f aca="false">IF(OR($C101="",$D101=""),"",$D101&amp;"|"&amp;COUNTIFS($D$4:$D101,$D101,$C$4:$C101,"?*"))</f>
        <v>Dual-link owner|15</v>
      </c>
      <c r="K101" s="9" t="str">
        <f aca="false">IF(OR($C101="",$B101=""),"",$B101&amp;"|"&amp;COUNTIFS($B$4:$B101,$B101,$C$4:$C101,"?*"))</f>
        <v>Dual-Link Communication|15</v>
      </c>
      <c r="L101" s="9" t="str">
        <f aca="false">IF($C101="","","ALL|"&amp;COUNTIF($C$4:$C101,"?*"))</f>
        <v>ALL|98</v>
      </c>
    </row>
    <row r="102" customFormat="false" ht="15" hidden="false" customHeight="false" outlineLevel="0" collapsed="false">
      <c r="A102" s="6" t="s">
        <v>258</v>
      </c>
      <c r="B102" s="6" t="s">
        <v>227</v>
      </c>
      <c r="C102" s="3" t="s">
        <v>259</v>
      </c>
      <c r="D102" s="6" t="s">
        <v>229</v>
      </c>
      <c r="E102" s="6" t="s">
        <v>45</v>
      </c>
      <c r="F102" s="7" t="n">
        <v>46209</v>
      </c>
      <c r="G102" s="6" t="n">
        <v>1</v>
      </c>
      <c r="H102" s="8" t="n">
        <f aca="false">IF(OR($F102="",$G102=""),"",$F102+7*$G102-3)</f>
        <v>46213</v>
      </c>
      <c r="I102" s="3"/>
      <c r="J102" s="9" t="str">
        <f aca="false">IF(OR($C102="",$D102=""),"",$D102&amp;"|"&amp;COUNTIFS($D$4:$D102,$D102,$C$4:$C102,"?*"))</f>
        <v>Dual-link owner|16</v>
      </c>
      <c r="K102" s="9" t="str">
        <f aca="false">IF(OR($C102="",$B102=""),"",$B102&amp;"|"&amp;COUNTIFS($B$4:$B102,$B102,$C$4:$C102,"?*"))</f>
        <v>Dual-Link Communication|16</v>
      </c>
      <c r="L102" s="9" t="str">
        <f aca="false">IF($C102="","","ALL|"&amp;COUNTIF($C$4:$C102,"?*"))</f>
        <v>ALL|99</v>
      </c>
    </row>
    <row r="103" customFormat="false" ht="15" hidden="false" customHeight="false" outlineLevel="0" collapsed="false">
      <c r="A103" s="6" t="s">
        <v>260</v>
      </c>
      <c r="B103" s="6" t="s">
        <v>227</v>
      </c>
      <c r="C103" s="3" t="s">
        <v>261</v>
      </c>
      <c r="D103" s="6" t="s">
        <v>229</v>
      </c>
      <c r="E103" s="6" t="s">
        <v>45</v>
      </c>
      <c r="F103" s="7" t="n">
        <v>46216</v>
      </c>
      <c r="G103" s="6" t="n">
        <v>1</v>
      </c>
      <c r="H103" s="8" t="n">
        <f aca="false">IF(OR($F103="",$G103=""),"",$F103+7*$G103-3)</f>
        <v>46220</v>
      </c>
      <c r="I103" s="3"/>
      <c r="J103" s="9" t="str">
        <f aca="false">IF(OR($C103="",$D103=""),"",$D103&amp;"|"&amp;COUNTIFS($D$4:$D103,$D103,$C$4:$C103,"?*"))</f>
        <v>Dual-link owner|17</v>
      </c>
      <c r="K103" s="9" t="str">
        <f aca="false">IF(OR($C103="",$B103=""),"",$B103&amp;"|"&amp;COUNTIFS($B$4:$B103,$B103,$C$4:$C103,"?*"))</f>
        <v>Dual-Link Communication|17</v>
      </c>
      <c r="L103" s="9" t="str">
        <f aca="false">IF($C103="","","ALL|"&amp;COUNTIF($C$4:$C103,"?*"))</f>
        <v>ALL|100</v>
      </c>
    </row>
    <row r="104" customFormat="false" ht="15" hidden="false" customHeight="false" outlineLevel="0" collapsed="false">
      <c r="A104" s="6" t="s">
        <v>262</v>
      </c>
      <c r="B104" s="6" t="s">
        <v>227</v>
      </c>
      <c r="C104" s="3" t="s">
        <v>263</v>
      </c>
      <c r="D104" s="6" t="s">
        <v>229</v>
      </c>
      <c r="E104" s="6" t="s">
        <v>45</v>
      </c>
      <c r="F104" s="7" t="n">
        <v>46216</v>
      </c>
      <c r="G104" s="6" t="n">
        <v>1</v>
      </c>
      <c r="H104" s="8" t="n">
        <f aca="false">IF(OR($F104="",$G104=""),"",$F104+7*$G104-3)</f>
        <v>46220</v>
      </c>
      <c r="I104" s="3"/>
      <c r="J104" s="9" t="str">
        <f aca="false">IF(OR($C104="",$D104=""),"",$D104&amp;"|"&amp;COUNTIFS($D$4:$D104,$D104,$C$4:$C104,"?*"))</f>
        <v>Dual-link owner|18</v>
      </c>
      <c r="K104" s="9" t="str">
        <f aca="false">IF(OR($C104="",$B104=""),"",$B104&amp;"|"&amp;COUNTIFS($B$4:$B104,$B104,$C$4:$C104,"?*"))</f>
        <v>Dual-Link Communication|18</v>
      </c>
      <c r="L104" s="9" t="str">
        <f aca="false">IF($C104="","","ALL|"&amp;COUNTIF($C$4:$C104,"?*"))</f>
        <v>ALL|101</v>
      </c>
    </row>
    <row r="105" customFormat="false" ht="15" hidden="false" customHeight="false" outlineLevel="0" collapsed="false">
      <c r="A105" s="6" t="s">
        <v>264</v>
      </c>
      <c r="B105" s="6" t="s">
        <v>227</v>
      </c>
      <c r="C105" s="3" t="s">
        <v>265</v>
      </c>
      <c r="D105" s="6" t="s">
        <v>229</v>
      </c>
      <c r="E105" s="6" t="s">
        <v>45</v>
      </c>
      <c r="F105" s="7" t="n">
        <v>46216</v>
      </c>
      <c r="G105" s="6" t="n">
        <v>1</v>
      </c>
      <c r="H105" s="8" t="n">
        <f aca="false">IF(OR($F105="",$G105=""),"",$F105+7*$G105-3)</f>
        <v>46220</v>
      </c>
      <c r="I105" s="3"/>
      <c r="J105" s="9" t="str">
        <f aca="false">IF(OR($C105="",$D105=""),"",$D105&amp;"|"&amp;COUNTIFS($D$4:$D105,$D105,$C$4:$C105,"?*"))</f>
        <v>Dual-link owner|19</v>
      </c>
      <c r="K105" s="9" t="str">
        <f aca="false">IF(OR($C105="",$B105=""),"",$B105&amp;"|"&amp;COUNTIFS($B$4:$B105,$B105,$C$4:$C105,"?*"))</f>
        <v>Dual-Link Communication|19</v>
      </c>
      <c r="L105" s="9" t="str">
        <f aca="false">IF($C105="","","ALL|"&amp;COUNTIF($C$4:$C105,"?*"))</f>
        <v>ALL|102</v>
      </c>
    </row>
    <row r="106" customFormat="false" ht="15" hidden="false" customHeight="false" outlineLevel="0" collapsed="false">
      <c r="A106" s="6" t="s">
        <v>266</v>
      </c>
      <c r="B106" s="6" t="s">
        <v>227</v>
      </c>
      <c r="C106" s="3" t="s">
        <v>267</v>
      </c>
      <c r="D106" s="6" t="s">
        <v>229</v>
      </c>
      <c r="E106" s="6" t="s">
        <v>45</v>
      </c>
      <c r="F106" s="7" t="n">
        <v>46223</v>
      </c>
      <c r="G106" s="6" t="n">
        <v>2</v>
      </c>
      <c r="H106" s="8" t="n">
        <f aca="false">IF(OR($F106="",$G106=""),"",$F106+7*$G106-3)</f>
        <v>46234</v>
      </c>
      <c r="I106" s="3"/>
      <c r="J106" s="9" t="str">
        <f aca="false">IF(OR($C106="",$D106=""),"",$D106&amp;"|"&amp;COUNTIFS($D$4:$D106,$D106,$C$4:$C106,"?*"))</f>
        <v>Dual-link owner|20</v>
      </c>
      <c r="K106" s="9" t="str">
        <f aca="false">IF(OR($C106="",$B106=""),"",$B106&amp;"|"&amp;COUNTIFS($B$4:$B106,$B106,$C$4:$C106,"?*"))</f>
        <v>Dual-Link Communication|20</v>
      </c>
      <c r="L106" s="9" t="str">
        <f aca="false">IF($C106="","","ALL|"&amp;COUNTIF($C$4:$C106,"?*"))</f>
        <v>ALL|103</v>
      </c>
    </row>
    <row r="107" customFormat="false" ht="15" hidden="false" customHeight="false" outlineLevel="0" collapsed="false">
      <c r="A107" s="6" t="s">
        <v>268</v>
      </c>
      <c r="B107" s="6" t="s">
        <v>227</v>
      </c>
      <c r="C107" s="3" t="s">
        <v>269</v>
      </c>
      <c r="D107" s="6" t="s">
        <v>229</v>
      </c>
      <c r="E107" s="6" t="s">
        <v>45</v>
      </c>
      <c r="F107" s="7" t="n">
        <v>46223</v>
      </c>
      <c r="G107" s="6" t="n">
        <v>1</v>
      </c>
      <c r="H107" s="8" t="n">
        <f aca="false">IF(OR($F107="",$G107=""),"",$F107+7*$G107-3)</f>
        <v>46227</v>
      </c>
      <c r="I107" s="3"/>
      <c r="J107" s="9" t="str">
        <f aca="false">IF(OR($C107="",$D107=""),"",$D107&amp;"|"&amp;COUNTIFS($D$4:$D107,$D107,$C$4:$C107,"?*"))</f>
        <v>Dual-link owner|21</v>
      </c>
      <c r="K107" s="9" t="str">
        <f aca="false">IF(OR($C107="",$B107=""),"",$B107&amp;"|"&amp;COUNTIFS($B$4:$B107,$B107,$C$4:$C107,"?*"))</f>
        <v>Dual-Link Communication|21</v>
      </c>
      <c r="L107" s="9" t="str">
        <f aca="false">IF($C107="","","ALL|"&amp;COUNTIF($C$4:$C107,"?*"))</f>
        <v>ALL|104</v>
      </c>
    </row>
    <row r="108" customFormat="false" ht="15" hidden="false" customHeight="false" outlineLevel="0" collapsed="false">
      <c r="A108" s="6" t="s">
        <v>270</v>
      </c>
      <c r="B108" s="6" t="s">
        <v>227</v>
      </c>
      <c r="C108" s="3" t="s">
        <v>271</v>
      </c>
      <c r="D108" s="6" t="s">
        <v>229</v>
      </c>
      <c r="E108" s="6" t="s">
        <v>45</v>
      </c>
      <c r="F108" s="7" t="n">
        <v>46230</v>
      </c>
      <c r="G108" s="6" t="n">
        <v>1</v>
      </c>
      <c r="H108" s="8" t="n">
        <f aca="false">IF(OR($F108="",$G108=""),"",$F108+7*$G108-3)</f>
        <v>46234</v>
      </c>
      <c r="I108" s="3"/>
      <c r="J108" s="9" t="str">
        <f aca="false">IF(OR($C108="",$D108=""),"",$D108&amp;"|"&amp;COUNTIFS($D$4:$D108,$D108,$C$4:$C108,"?*"))</f>
        <v>Dual-link owner|22</v>
      </c>
      <c r="K108" s="9" t="str">
        <f aca="false">IF(OR($C108="",$B108=""),"",$B108&amp;"|"&amp;COUNTIFS($B$4:$B108,$B108,$C$4:$C108,"?*"))</f>
        <v>Dual-Link Communication|22</v>
      </c>
      <c r="L108" s="9" t="str">
        <f aca="false">IF($C108="","","ALL|"&amp;COUNTIF($C$4:$C108,"?*"))</f>
        <v>ALL|105</v>
      </c>
    </row>
    <row r="109" customFormat="false" ht="15" hidden="false" customHeight="false" outlineLevel="0" collapsed="false">
      <c r="A109" s="6" t="s">
        <v>272</v>
      </c>
      <c r="B109" s="6" t="s">
        <v>273</v>
      </c>
      <c r="C109" s="3" t="s">
        <v>274</v>
      </c>
      <c r="D109" s="6" t="s">
        <v>275</v>
      </c>
      <c r="E109" s="6" t="s">
        <v>45</v>
      </c>
      <c r="F109" s="7" t="n">
        <v>46195</v>
      </c>
      <c r="G109" s="6" t="n">
        <v>2</v>
      </c>
      <c r="H109" s="8" t="n">
        <f aca="false">IF(OR($F109="",$G109=""),"",$F109+7*$G109-3)</f>
        <v>46206</v>
      </c>
      <c r="I109" s="3"/>
      <c r="J109" s="9" t="str">
        <f aca="false">IF(OR($C109="",$D109=""),"",$D109&amp;"|"&amp;COUNTIFS($D$4:$D109,$D109,$C$4:$C109,"?*"))</f>
        <v>Semantic comm owner|1</v>
      </c>
      <c r="K109" s="9" t="str">
        <f aca="false">IF(OR($C109="",$B109=""),"",$B109&amp;"|"&amp;COUNTIFS($B$4:$B109,$B109,$C$4:$C109,"?*"))</f>
        <v>Semantic Communication|1</v>
      </c>
      <c r="L109" s="9" t="str">
        <f aca="false">IF($C109="","","ALL|"&amp;COUNTIF($C$4:$C109,"?*"))</f>
        <v>ALL|106</v>
      </c>
    </row>
    <row r="110" customFormat="false" ht="15" hidden="false" customHeight="false" outlineLevel="0" collapsed="false">
      <c r="A110" s="6" t="s">
        <v>276</v>
      </c>
      <c r="B110" s="6" t="s">
        <v>273</v>
      </c>
      <c r="C110" s="3" t="s">
        <v>277</v>
      </c>
      <c r="D110" s="6" t="s">
        <v>275</v>
      </c>
      <c r="E110" s="6" t="s">
        <v>45</v>
      </c>
      <c r="F110" s="7" t="n">
        <v>46195</v>
      </c>
      <c r="G110" s="6" t="n">
        <v>2</v>
      </c>
      <c r="H110" s="8" t="n">
        <f aca="false">IF(OR($F110="",$G110=""),"",$F110+7*$G110-3)</f>
        <v>46206</v>
      </c>
      <c r="I110" s="3"/>
      <c r="J110" s="9" t="str">
        <f aca="false">IF(OR($C110="",$D110=""),"",$D110&amp;"|"&amp;COUNTIFS($D$4:$D110,$D110,$C$4:$C110,"?*"))</f>
        <v>Semantic comm owner|2</v>
      </c>
      <c r="K110" s="9" t="str">
        <f aca="false">IF(OR($C110="",$B110=""),"",$B110&amp;"|"&amp;COUNTIFS($B$4:$B110,$B110,$C$4:$C110,"?*"))</f>
        <v>Semantic Communication|2</v>
      </c>
      <c r="L110" s="9" t="str">
        <f aca="false">IF($C110="","","ALL|"&amp;COUNTIF($C$4:$C110,"?*"))</f>
        <v>ALL|107</v>
      </c>
    </row>
    <row r="111" customFormat="false" ht="15" hidden="false" customHeight="false" outlineLevel="0" collapsed="false">
      <c r="A111" s="6" t="s">
        <v>278</v>
      </c>
      <c r="B111" s="6" t="s">
        <v>273</v>
      </c>
      <c r="C111" s="3" t="s">
        <v>279</v>
      </c>
      <c r="D111" s="6" t="s">
        <v>275</v>
      </c>
      <c r="E111" s="6" t="s">
        <v>45</v>
      </c>
      <c r="F111" s="7" t="n">
        <v>46202</v>
      </c>
      <c r="G111" s="6" t="n">
        <v>1</v>
      </c>
      <c r="H111" s="8" t="n">
        <f aca="false">IF(OR($F111="",$G111=""),"",$F111+7*$G111-3)</f>
        <v>46206</v>
      </c>
      <c r="I111" s="3"/>
      <c r="J111" s="9" t="str">
        <f aca="false">IF(OR($C111="",$D111=""),"",$D111&amp;"|"&amp;COUNTIFS($D$4:$D111,$D111,$C$4:$C111,"?*"))</f>
        <v>Semantic comm owner|3</v>
      </c>
      <c r="K111" s="9" t="str">
        <f aca="false">IF(OR($C111="",$B111=""),"",$B111&amp;"|"&amp;COUNTIFS($B$4:$B111,$B111,$C$4:$C111,"?*"))</f>
        <v>Semantic Communication|3</v>
      </c>
      <c r="L111" s="9" t="str">
        <f aca="false">IF($C111="","","ALL|"&amp;COUNTIF($C$4:$C111,"?*"))</f>
        <v>ALL|108</v>
      </c>
    </row>
    <row r="112" customFormat="false" ht="15" hidden="false" customHeight="false" outlineLevel="0" collapsed="false">
      <c r="A112" s="6" t="s">
        <v>280</v>
      </c>
      <c r="B112" s="6" t="s">
        <v>273</v>
      </c>
      <c r="C112" s="3" t="s">
        <v>281</v>
      </c>
      <c r="D112" s="6" t="s">
        <v>275</v>
      </c>
      <c r="E112" s="6" t="s">
        <v>45</v>
      </c>
      <c r="F112" s="7" t="n">
        <v>46209</v>
      </c>
      <c r="G112" s="6" t="n">
        <v>2</v>
      </c>
      <c r="H112" s="8" t="n">
        <f aca="false">IF(OR($F112="",$G112=""),"",$F112+7*$G112-3)</f>
        <v>46220</v>
      </c>
      <c r="I112" s="3"/>
      <c r="J112" s="9" t="str">
        <f aca="false">IF(OR($C112="",$D112=""),"",$D112&amp;"|"&amp;COUNTIFS($D$4:$D112,$D112,$C$4:$C112,"?*"))</f>
        <v>Semantic comm owner|4</v>
      </c>
      <c r="K112" s="9" t="str">
        <f aca="false">IF(OR($C112="",$B112=""),"",$B112&amp;"|"&amp;COUNTIFS($B$4:$B112,$B112,$C$4:$C112,"?*"))</f>
        <v>Semantic Communication|4</v>
      </c>
      <c r="L112" s="9" t="str">
        <f aca="false">IF($C112="","","ALL|"&amp;COUNTIF($C$4:$C112,"?*"))</f>
        <v>ALL|109</v>
      </c>
    </row>
    <row r="113" customFormat="false" ht="15" hidden="false" customHeight="false" outlineLevel="0" collapsed="false">
      <c r="A113" s="6" t="s">
        <v>282</v>
      </c>
      <c r="B113" s="6" t="s">
        <v>273</v>
      </c>
      <c r="C113" s="3" t="s">
        <v>283</v>
      </c>
      <c r="D113" s="6" t="s">
        <v>275</v>
      </c>
      <c r="E113" s="6" t="s">
        <v>45</v>
      </c>
      <c r="F113" s="7" t="n">
        <v>46209</v>
      </c>
      <c r="G113" s="6" t="n">
        <v>2</v>
      </c>
      <c r="H113" s="8" t="n">
        <f aca="false">IF(OR($F113="",$G113=""),"",$F113+7*$G113-3)</f>
        <v>46220</v>
      </c>
      <c r="I113" s="3"/>
      <c r="J113" s="9" t="str">
        <f aca="false">IF(OR($C113="",$D113=""),"",$D113&amp;"|"&amp;COUNTIFS($D$4:$D113,$D113,$C$4:$C113,"?*"))</f>
        <v>Semantic comm owner|5</v>
      </c>
      <c r="K113" s="9" t="str">
        <f aca="false">IF(OR($C113="",$B113=""),"",$B113&amp;"|"&amp;COUNTIFS($B$4:$B113,$B113,$C$4:$C113,"?*"))</f>
        <v>Semantic Communication|5</v>
      </c>
      <c r="L113" s="9" t="str">
        <f aca="false">IF($C113="","","ALL|"&amp;COUNTIF($C$4:$C113,"?*"))</f>
        <v>ALL|110</v>
      </c>
    </row>
    <row r="114" customFormat="false" ht="15" hidden="false" customHeight="false" outlineLevel="0" collapsed="false">
      <c r="A114" s="6" t="s">
        <v>284</v>
      </c>
      <c r="B114" s="6" t="s">
        <v>273</v>
      </c>
      <c r="C114" s="3" t="s">
        <v>285</v>
      </c>
      <c r="D114" s="6" t="s">
        <v>275</v>
      </c>
      <c r="E114" s="6" t="s">
        <v>45</v>
      </c>
      <c r="F114" s="7" t="n">
        <v>46216</v>
      </c>
      <c r="G114" s="6" t="n">
        <v>1</v>
      </c>
      <c r="H114" s="8" t="n">
        <f aca="false">IF(OR($F114="",$G114=""),"",$F114+7*$G114-3)</f>
        <v>46220</v>
      </c>
      <c r="I114" s="3"/>
      <c r="J114" s="9" t="str">
        <f aca="false">IF(OR($C114="",$D114=""),"",$D114&amp;"|"&amp;COUNTIFS($D$4:$D114,$D114,$C$4:$C114,"?*"))</f>
        <v>Semantic comm owner|6</v>
      </c>
      <c r="K114" s="9" t="str">
        <f aca="false">IF(OR($C114="",$B114=""),"",$B114&amp;"|"&amp;COUNTIFS($B$4:$B114,$B114,$C$4:$C114,"?*"))</f>
        <v>Semantic Communication|6</v>
      </c>
      <c r="L114" s="9" t="str">
        <f aca="false">IF($C114="","","ALL|"&amp;COUNTIF($C$4:$C114,"?*"))</f>
        <v>ALL|111</v>
      </c>
    </row>
    <row r="115" customFormat="false" ht="15" hidden="false" customHeight="false" outlineLevel="0" collapsed="false">
      <c r="A115" s="6" t="s">
        <v>286</v>
      </c>
      <c r="B115" s="6" t="s">
        <v>273</v>
      </c>
      <c r="C115" s="3" t="s">
        <v>287</v>
      </c>
      <c r="D115" s="6" t="s">
        <v>275</v>
      </c>
      <c r="E115" s="6" t="s">
        <v>45</v>
      </c>
      <c r="F115" s="7"/>
      <c r="G115" s="6"/>
      <c r="H115" s="8" t="str">
        <f aca="false">IF(OR($F115="",$G115=""),"",$F115+7*$G115-3)</f>
        <v/>
      </c>
      <c r="I115" s="3"/>
      <c r="J115" s="9" t="str">
        <f aca="false">IF(OR($C115="",$D115=""),"",$D115&amp;"|"&amp;COUNTIFS($D$4:$D115,$D115,$C$4:$C115,"?*"))</f>
        <v>Semantic comm owner|7</v>
      </c>
      <c r="K115" s="9" t="str">
        <f aca="false">IF(OR($C115="",$B115=""),"",$B115&amp;"|"&amp;COUNTIFS($B$4:$B115,$B115,$C$4:$C115,"?*"))</f>
        <v>Semantic Communication|7</v>
      </c>
      <c r="L115" s="9" t="str">
        <f aca="false">IF($C115="","","ALL|"&amp;COUNTIF($C$4:$C115,"?*"))</f>
        <v>ALL|112</v>
      </c>
    </row>
    <row r="116" customFormat="false" ht="15" hidden="false" customHeight="false" outlineLevel="0" collapsed="false">
      <c r="A116" s="6" t="s">
        <v>288</v>
      </c>
      <c r="B116" s="6" t="s">
        <v>273</v>
      </c>
      <c r="C116" s="3" t="s">
        <v>289</v>
      </c>
      <c r="D116" s="6" t="s">
        <v>275</v>
      </c>
      <c r="E116" s="6" t="s">
        <v>45</v>
      </c>
      <c r="F116" s="7"/>
      <c r="G116" s="6"/>
      <c r="H116" s="8" t="str">
        <f aca="false">IF(OR($F116="",$G116=""),"",$F116+7*$G116-3)</f>
        <v/>
      </c>
      <c r="I116" s="3"/>
      <c r="J116" s="9" t="str">
        <f aca="false">IF(OR($C116="",$D116=""),"",$D116&amp;"|"&amp;COUNTIFS($D$4:$D116,$D116,$C$4:$C116,"?*"))</f>
        <v>Semantic comm owner|8</v>
      </c>
      <c r="K116" s="9" t="str">
        <f aca="false">IF(OR($C116="",$B116=""),"",$B116&amp;"|"&amp;COUNTIFS($B$4:$B116,$B116,$C$4:$C116,"?*"))</f>
        <v>Semantic Communication|8</v>
      </c>
      <c r="L116" s="9" t="str">
        <f aca="false">IF($C116="","","ALL|"&amp;COUNTIF($C$4:$C116,"?*"))</f>
        <v>ALL|113</v>
      </c>
    </row>
    <row r="117" customFormat="false" ht="15" hidden="false" customHeight="false" outlineLevel="0" collapsed="false">
      <c r="A117" s="6" t="s">
        <v>290</v>
      </c>
      <c r="B117" s="6" t="s">
        <v>273</v>
      </c>
      <c r="C117" s="3" t="s">
        <v>291</v>
      </c>
      <c r="D117" s="6" t="s">
        <v>275</v>
      </c>
      <c r="E117" s="6" t="s">
        <v>45</v>
      </c>
      <c r="F117" s="7"/>
      <c r="G117" s="6"/>
      <c r="H117" s="8" t="str">
        <f aca="false">IF(OR($F117="",$G117=""),"",$F117+7*$G117-3)</f>
        <v/>
      </c>
      <c r="I117" s="3"/>
      <c r="J117" s="9" t="str">
        <f aca="false">IF(OR($C117="",$D117=""),"",$D117&amp;"|"&amp;COUNTIFS($D$4:$D117,$D117,$C$4:$C117,"?*"))</f>
        <v>Semantic comm owner|9</v>
      </c>
      <c r="K117" s="9" t="str">
        <f aca="false">IF(OR($C117="",$B117=""),"",$B117&amp;"|"&amp;COUNTIFS($B$4:$B117,$B117,$C$4:$C117,"?*"))</f>
        <v>Semantic Communication|9</v>
      </c>
      <c r="L117" s="9" t="str">
        <f aca="false">IF($C117="","","ALL|"&amp;COUNTIF($C$4:$C117,"?*"))</f>
        <v>ALL|114</v>
      </c>
    </row>
    <row r="118" customFormat="false" ht="15" hidden="false" customHeight="false" outlineLevel="0" collapsed="false">
      <c r="A118" s="6" t="s">
        <v>292</v>
      </c>
      <c r="B118" s="6" t="s">
        <v>273</v>
      </c>
      <c r="C118" s="3" t="s">
        <v>293</v>
      </c>
      <c r="D118" s="6" t="s">
        <v>275</v>
      </c>
      <c r="E118" s="6" t="s">
        <v>45</v>
      </c>
      <c r="F118" s="7"/>
      <c r="G118" s="6"/>
      <c r="H118" s="8" t="str">
        <f aca="false">IF(OR($F118="",$G118=""),"",$F118+7*$G118-3)</f>
        <v/>
      </c>
      <c r="I118" s="3"/>
      <c r="J118" s="9" t="str">
        <f aca="false">IF(OR($C118="",$D118=""),"",$D118&amp;"|"&amp;COUNTIFS($D$4:$D118,$D118,$C$4:$C118,"?*"))</f>
        <v>Semantic comm owner|10</v>
      </c>
      <c r="K118" s="9" t="str">
        <f aca="false">IF(OR($C118="",$B118=""),"",$B118&amp;"|"&amp;COUNTIFS($B$4:$B118,$B118,$C$4:$C118,"?*"))</f>
        <v>Semantic Communication|10</v>
      </c>
      <c r="L118" s="9" t="str">
        <f aca="false">IF($C118="","","ALL|"&amp;COUNTIF($C$4:$C118,"?*"))</f>
        <v>ALL|115</v>
      </c>
    </row>
    <row r="119" customFormat="false" ht="15" hidden="false" customHeight="false" outlineLevel="0" collapsed="false">
      <c r="A119" s="6" t="s">
        <v>294</v>
      </c>
      <c r="B119" s="6" t="s">
        <v>273</v>
      </c>
      <c r="C119" s="3" t="s">
        <v>295</v>
      </c>
      <c r="D119" s="6" t="s">
        <v>275</v>
      </c>
      <c r="E119" s="6" t="s">
        <v>45</v>
      </c>
      <c r="F119" s="7"/>
      <c r="G119" s="6"/>
      <c r="H119" s="8" t="str">
        <f aca="false">IF(OR($F119="",$G119=""),"",$F119+7*$G119-3)</f>
        <v/>
      </c>
      <c r="I119" s="3"/>
      <c r="J119" s="9" t="str">
        <f aca="false">IF(OR($C119="",$D119=""),"",$D119&amp;"|"&amp;COUNTIFS($D$4:$D119,$D119,$C$4:$C119,"?*"))</f>
        <v>Semantic comm owner|11</v>
      </c>
      <c r="K119" s="9" t="str">
        <f aca="false">IF(OR($C119="",$B119=""),"",$B119&amp;"|"&amp;COUNTIFS($B$4:$B119,$B119,$C$4:$C119,"?*"))</f>
        <v>Semantic Communication|11</v>
      </c>
      <c r="L119" s="9" t="str">
        <f aca="false">IF($C119="","","ALL|"&amp;COUNTIF($C$4:$C119,"?*"))</f>
        <v>ALL|116</v>
      </c>
    </row>
    <row r="120" customFormat="false" ht="15" hidden="false" customHeight="false" outlineLevel="0" collapsed="false">
      <c r="A120" s="6" t="s">
        <v>296</v>
      </c>
      <c r="B120" s="6" t="s">
        <v>273</v>
      </c>
      <c r="C120" s="3" t="s">
        <v>297</v>
      </c>
      <c r="D120" s="6" t="s">
        <v>275</v>
      </c>
      <c r="E120" s="6" t="s">
        <v>45</v>
      </c>
      <c r="F120" s="7"/>
      <c r="G120" s="6"/>
      <c r="H120" s="8" t="str">
        <f aca="false">IF(OR($F120="",$G120=""),"",$F120+7*$G120-3)</f>
        <v/>
      </c>
      <c r="I120" s="3"/>
      <c r="J120" s="9" t="str">
        <f aca="false">IF(OR($C120="",$D120=""),"",$D120&amp;"|"&amp;COUNTIFS($D$4:$D120,$D120,$C$4:$C120,"?*"))</f>
        <v>Semantic comm owner|12</v>
      </c>
      <c r="K120" s="9" t="str">
        <f aca="false">IF(OR($C120="",$B120=""),"",$B120&amp;"|"&amp;COUNTIFS($B$4:$B120,$B120,$C$4:$C120,"?*"))</f>
        <v>Semantic Communication|12</v>
      </c>
      <c r="L120" s="9" t="str">
        <f aca="false">IF($C120="","","ALL|"&amp;COUNTIF($C$4:$C120,"?*"))</f>
        <v>ALL|117</v>
      </c>
    </row>
    <row r="121" customFormat="false" ht="15" hidden="false" customHeight="false" outlineLevel="0" collapsed="false">
      <c r="A121" s="6" t="s">
        <v>298</v>
      </c>
      <c r="B121" s="6" t="s">
        <v>273</v>
      </c>
      <c r="C121" s="3" t="s">
        <v>299</v>
      </c>
      <c r="D121" s="6" t="s">
        <v>275</v>
      </c>
      <c r="E121" s="6" t="s">
        <v>45</v>
      </c>
      <c r="F121" s="7"/>
      <c r="G121" s="6"/>
      <c r="H121" s="8" t="str">
        <f aca="false">IF(OR($F121="",$G121=""),"",$F121+7*$G121-3)</f>
        <v/>
      </c>
      <c r="I121" s="3"/>
      <c r="J121" s="9" t="str">
        <f aca="false">IF(OR($C121="",$D121=""),"",$D121&amp;"|"&amp;COUNTIFS($D$4:$D121,$D121,$C$4:$C121,"?*"))</f>
        <v>Semantic comm owner|13</v>
      </c>
      <c r="K121" s="9" t="str">
        <f aca="false">IF(OR($C121="",$B121=""),"",$B121&amp;"|"&amp;COUNTIFS($B$4:$B121,$B121,$C$4:$C121,"?*"))</f>
        <v>Semantic Communication|13</v>
      </c>
      <c r="L121" s="9" t="str">
        <f aca="false">IF($C121="","","ALL|"&amp;COUNTIF($C$4:$C121,"?*"))</f>
        <v>ALL|118</v>
      </c>
    </row>
    <row r="122" customFormat="false" ht="15" hidden="false" customHeight="false" outlineLevel="0" collapsed="false">
      <c r="A122" s="6" t="s">
        <v>300</v>
      </c>
      <c r="B122" s="6" t="s">
        <v>273</v>
      </c>
      <c r="C122" s="3" t="s">
        <v>301</v>
      </c>
      <c r="D122" s="6" t="s">
        <v>275</v>
      </c>
      <c r="E122" s="6" t="s">
        <v>45</v>
      </c>
      <c r="F122" s="7"/>
      <c r="G122" s="6"/>
      <c r="H122" s="8" t="str">
        <f aca="false">IF(OR($F122="",$G122=""),"",$F122+7*$G122-3)</f>
        <v/>
      </c>
      <c r="I122" s="3"/>
      <c r="J122" s="9" t="str">
        <f aca="false">IF(OR($C122="",$D122=""),"",$D122&amp;"|"&amp;COUNTIFS($D$4:$D122,$D122,$C$4:$C122,"?*"))</f>
        <v>Semantic comm owner|14</v>
      </c>
      <c r="K122" s="9" t="str">
        <f aca="false">IF(OR($C122="",$B122=""),"",$B122&amp;"|"&amp;COUNTIFS($B$4:$B122,$B122,$C$4:$C122,"?*"))</f>
        <v>Semantic Communication|14</v>
      </c>
      <c r="L122" s="9" t="str">
        <f aca="false">IF($C122="","","ALL|"&amp;COUNTIF($C$4:$C122,"?*"))</f>
        <v>ALL|119</v>
      </c>
    </row>
    <row r="123" customFormat="false" ht="15" hidden="false" customHeight="false" outlineLevel="0" collapsed="false">
      <c r="A123" s="6"/>
      <c r="B123" s="6"/>
      <c r="C123" s="3"/>
      <c r="D123" s="6"/>
      <c r="E123" s="6"/>
      <c r="F123" s="7"/>
      <c r="G123" s="6"/>
      <c r="H123" s="8" t="str">
        <f aca="false">IF(OR($F123="",$G123=""),"",$F123+7*$G123-3)</f>
        <v/>
      </c>
      <c r="I123" s="3"/>
      <c r="J123" s="9" t="str">
        <f aca="false">IF(OR($C123="",$D123=""),"",$D123&amp;"|"&amp;COUNTIFS($D$4:$D123,$D123,$C$4:$C123,"?*"))</f>
        <v/>
      </c>
      <c r="K123" s="9" t="str">
        <f aca="false">IF(OR($C123="",$B123=""),"",$B123&amp;"|"&amp;COUNTIFS($B$4:$B123,$B123,$C$4:$C123,"?*"))</f>
        <v/>
      </c>
      <c r="L123" s="9" t="str">
        <f aca="false">IF($C123="","","ALL|"&amp;COUNTIF($C$4:$C123,"?*"))</f>
        <v/>
      </c>
    </row>
    <row r="124" customFormat="false" ht="15" hidden="false" customHeight="false" outlineLevel="0" collapsed="false">
      <c r="A124" s="6"/>
      <c r="B124" s="6"/>
      <c r="C124" s="3"/>
      <c r="D124" s="6"/>
      <c r="E124" s="6"/>
      <c r="F124" s="7"/>
      <c r="G124" s="6"/>
      <c r="H124" s="8" t="str">
        <f aca="false">IF(OR($F124="",$G124=""),"",$F124+7*$G124-3)</f>
        <v/>
      </c>
      <c r="I124" s="3"/>
      <c r="J124" s="9" t="str">
        <f aca="false">IF(OR($C124="",$D124=""),"",$D124&amp;"|"&amp;COUNTIFS($D$4:$D124,$D124,$C$4:$C124,"?*"))</f>
        <v/>
      </c>
      <c r="K124" s="9" t="str">
        <f aca="false">IF(OR($C124="",$B124=""),"",$B124&amp;"|"&amp;COUNTIFS($B$4:$B124,$B124,$C$4:$C124,"?*"))</f>
        <v/>
      </c>
      <c r="L124" s="9" t="str">
        <f aca="false">IF($C124="","","ALL|"&amp;COUNTIF($C$4:$C124,"?*"))</f>
        <v/>
      </c>
    </row>
    <row r="125" customFormat="false" ht="15" hidden="false" customHeight="false" outlineLevel="0" collapsed="false">
      <c r="A125" s="6"/>
      <c r="B125" s="6"/>
      <c r="C125" s="3"/>
      <c r="D125" s="6"/>
      <c r="E125" s="6"/>
      <c r="F125" s="7"/>
      <c r="G125" s="6"/>
      <c r="H125" s="8" t="str">
        <f aca="false">IF(OR($F125="",$G125=""),"",$F125+7*$G125-3)</f>
        <v/>
      </c>
      <c r="I125" s="3"/>
      <c r="J125" s="9" t="str">
        <f aca="false">IF(OR($C125="",$D125=""),"",$D125&amp;"|"&amp;COUNTIFS($D$4:$D125,$D125,$C$4:$C125,"?*"))</f>
        <v/>
      </c>
      <c r="K125" s="9" t="str">
        <f aca="false">IF(OR($C125="",$B125=""),"",$B125&amp;"|"&amp;COUNTIFS($B$4:$B125,$B125,$C$4:$C125,"?*"))</f>
        <v/>
      </c>
      <c r="L125" s="9" t="str">
        <f aca="false">IF($C125="","","ALL|"&amp;COUNTIF($C$4:$C125,"?*"))</f>
        <v/>
      </c>
    </row>
    <row r="126" customFormat="false" ht="15" hidden="false" customHeight="false" outlineLevel="0" collapsed="false">
      <c r="A126" s="6"/>
      <c r="B126" s="6"/>
      <c r="C126" s="3"/>
      <c r="D126" s="6"/>
      <c r="E126" s="6"/>
      <c r="F126" s="7"/>
      <c r="G126" s="6"/>
      <c r="H126" s="8" t="str">
        <f aca="false">IF(OR($F126="",$G126=""),"",$F126+7*$G126-3)</f>
        <v/>
      </c>
      <c r="I126" s="3"/>
      <c r="J126" s="9" t="str">
        <f aca="false">IF(OR($C126="",$D126=""),"",$D126&amp;"|"&amp;COUNTIFS($D$4:$D126,$D126,$C$4:$C126,"?*"))</f>
        <v/>
      </c>
      <c r="K126" s="9" t="str">
        <f aca="false">IF(OR($C126="",$B126=""),"",$B126&amp;"|"&amp;COUNTIFS($B$4:$B126,$B126,$C$4:$C126,"?*"))</f>
        <v/>
      </c>
      <c r="L126" s="9" t="str">
        <f aca="false">IF($C126="","","ALL|"&amp;COUNTIF($C$4:$C126,"?*"))</f>
        <v/>
      </c>
    </row>
    <row r="127" customFormat="false" ht="15" hidden="false" customHeight="false" outlineLevel="0" collapsed="false">
      <c r="A127" s="6"/>
      <c r="B127" s="6"/>
      <c r="C127" s="3"/>
      <c r="D127" s="6"/>
      <c r="E127" s="6"/>
      <c r="F127" s="7"/>
      <c r="G127" s="6"/>
      <c r="H127" s="8" t="str">
        <f aca="false">IF(OR($F127="",$G127=""),"",$F127+7*$G127-3)</f>
        <v/>
      </c>
      <c r="I127" s="3"/>
      <c r="J127" s="9" t="str">
        <f aca="false">IF(OR($C127="",$D127=""),"",$D127&amp;"|"&amp;COUNTIFS($D$4:$D127,$D127,$C$4:$C127,"?*"))</f>
        <v/>
      </c>
      <c r="K127" s="9" t="str">
        <f aca="false">IF(OR($C127="",$B127=""),"",$B127&amp;"|"&amp;COUNTIFS($B$4:$B127,$B127,$C$4:$C127,"?*"))</f>
        <v/>
      </c>
      <c r="L127" s="9" t="str">
        <f aca="false">IF($C127="","","ALL|"&amp;COUNTIF($C$4:$C127,"?*"))</f>
        <v/>
      </c>
    </row>
    <row r="128" customFormat="false" ht="15" hidden="false" customHeight="false" outlineLevel="0" collapsed="false">
      <c r="A128" s="6"/>
      <c r="B128" s="6"/>
      <c r="C128" s="3"/>
      <c r="D128" s="6"/>
      <c r="E128" s="6"/>
      <c r="F128" s="7"/>
      <c r="G128" s="6"/>
      <c r="H128" s="8" t="str">
        <f aca="false">IF(OR($F128="",$G128=""),"",$F128+7*$G128-3)</f>
        <v/>
      </c>
      <c r="I128" s="3"/>
      <c r="J128" s="9" t="str">
        <f aca="false">IF(OR($C128="",$D128=""),"",$D128&amp;"|"&amp;COUNTIFS($D$4:$D128,$D128,$C$4:$C128,"?*"))</f>
        <v/>
      </c>
      <c r="K128" s="9" t="str">
        <f aca="false">IF(OR($C128="",$B128=""),"",$B128&amp;"|"&amp;COUNTIFS($B$4:$B128,$B128,$C$4:$C128,"?*"))</f>
        <v/>
      </c>
      <c r="L128" s="9" t="str">
        <f aca="false">IF($C128="","","ALL|"&amp;COUNTIF($C$4:$C128,"?*"))</f>
        <v/>
      </c>
    </row>
    <row r="129" customFormat="false" ht="15" hidden="false" customHeight="false" outlineLevel="0" collapsed="false">
      <c r="A129" s="6"/>
      <c r="B129" s="6"/>
      <c r="C129" s="3"/>
      <c r="D129" s="6"/>
      <c r="E129" s="6"/>
      <c r="F129" s="7"/>
      <c r="G129" s="6"/>
      <c r="H129" s="8" t="str">
        <f aca="false">IF(OR($F129="",$G129=""),"",$F129+7*$G129-3)</f>
        <v/>
      </c>
      <c r="I129" s="3"/>
      <c r="J129" s="9" t="str">
        <f aca="false">IF(OR($C129="",$D129=""),"",$D129&amp;"|"&amp;COUNTIFS($D$4:$D129,$D129,$C$4:$C129,"?*"))</f>
        <v/>
      </c>
      <c r="K129" s="9" t="str">
        <f aca="false">IF(OR($C129="",$B129=""),"",$B129&amp;"|"&amp;COUNTIFS($B$4:$B129,$B129,$C$4:$C129,"?*"))</f>
        <v/>
      </c>
      <c r="L129" s="9" t="str">
        <f aca="false">IF($C129="","","ALL|"&amp;COUNTIF($C$4:$C129,"?*"))</f>
        <v/>
      </c>
    </row>
    <row r="130" customFormat="false" ht="15" hidden="false" customHeight="false" outlineLevel="0" collapsed="false">
      <c r="A130" s="6"/>
      <c r="B130" s="6"/>
      <c r="C130" s="3"/>
      <c r="D130" s="6"/>
      <c r="E130" s="6"/>
      <c r="F130" s="7"/>
      <c r="G130" s="6"/>
      <c r="H130" s="8" t="str">
        <f aca="false">IF(OR($F130="",$G130=""),"",$F130+7*$G130-3)</f>
        <v/>
      </c>
      <c r="I130" s="3"/>
      <c r="J130" s="9" t="str">
        <f aca="false">IF(OR($C130="",$D130=""),"",$D130&amp;"|"&amp;COUNTIFS($D$4:$D130,$D130,$C$4:$C130,"?*"))</f>
        <v/>
      </c>
      <c r="K130" s="9" t="str">
        <f aca="false">IF(OR($C130="",$B130=""),"",$B130&amp;"|"&amp;COUNTIFS($B$4:$B130,$B130,$C$4:$C130,"?*"))</f>
        <v/>
      </c>
      <c r="L130" s="9" t="str">
        <f aca="false">IF($C130="","","ALL|"&amp;COUNTIF($C$4:$C130,"?*"))</f>
        <v/>
      </c>
    </row>
    <row r="131" customFormat="false" ht="15" hidden="false" customHeight="false" outlineLevel="0" collapsed="false">
      <c r="A131" s="6"/>
      <c r="B131" s="6"/>
      <c r="C131" s="3"/>
      <c r="D131" s="6"/>
      <c r="E131" s="6"/>
      <c r="F131" s="7"/>
      <c r="G131" s="6"/>
      <c r="H131" s="8" t="str">
        <f aca="false">IF(OR($F131="",$G131=""),"",$F131+7*$G131-3)</f>
        <v/>
      </c>
      <c r="I131" s="3"/>
      <c r="J131" s="9" t="str">
        <f aca="false">IF(OR($C131="",$D131=""),"",$D131&amp;"|"&amp;COUNTIFS($D$4:$D131,$D131,$C$4:$C131,"?*"))</f>
        <v/>
      </c>
      <c r="K131" s="9" t="str">
        <f aca="false">IF(OR($C131="",$B131=""),"",$B131&amp;"|"&amp;COUNTIFS($B$4:$B131,$B131,$C$4:$C131,"?*"))</f>
        <v/>
      </c>
      <c r="L131" s="9" t="str">
        <f aca="false">IF($C131="","","ALL|"&amp;COUNTIF($C$4:$C131,"?*"))</f>
        <v/>
      </c>
    </row>
    <row r="132" customFormat="false" ht="15" hidden="false" customHeight="false" outlineLevel="0" collapsed="false">
      <c r="A132" s="6"/>
      <c r="B132" s="6"/>
      <c r="C132" s="3"/>
      <c r="D132" s="6"/>
      <c r="E132" s="6"/>
      <c r="F132" s="7"/>
      <c r="G132" s="6"/>
      <c r="H132" s="8" t="str">
        <f aca="false">IF(OR($F132="",$G132=""),"",$F132+7*$G132-3)</f>
        <v/>
      </c>
      <c r="I132" s="3"/>
      <c r="J132" s="9" t="str">
        <f aca="false">IF(OR($C132="",$D132=""),"",$D132&amp;"|"&amp;COUNTIFS($D$4:$D132,$D132,$C$4:$C132,"?*"))</f>
        <v/>
      </c>
      <c r="K132" s="9" t="str">
        <f aca="false">IF(OR($C132="",$B132=""),"",$B132&amp;"|"&amp;COUNTIFS($B$4:$B132,$B132,$C$4:$C132,"?*"))</f>
        <v/>
      </c>
      <c r="L132" s="9" t="str">
        <f aca="false">IF($C132="","","ALL|"&amp;COUNTIF($C$4:$C132,"?*"))</f>
        <v/>
      </c>
    </row>
    <row r="133" customFormat="false" ht="15" hidden="false" customHeight="false" outlineLevel="0" collapsed="false">
      <c r="A133" s="6"/>
      <c r="B133" s="6"/>
      <c r="C133" s="3"/>
      <c r="D133" s="6"/>
      <c r="E133" s="6"/>
      <c r="F133" s="7"/>
      <c r="G133" s="6"/>
      <c r="H133" s="8" t="str">
        <f aca="false">IF(OR($F133="",$G133=""),"",$F133+7*$G133-3)</f>
        <v/>
      </c>
      <c r="I133" s="3"/>
      <c r="J133" s="9" t="str">
        <f aca="false">IF(OR($C133="",$D133=""),"",$D133&amp;"|"&amp;COUNTIFS($D$4:$D133,$D133,$C$4:$C133,"?*"))</f>
        <v/>
      </c>
      <c r="K133" s="9" t="str">
        <f aca="false">IF(OR($C133="",$B133=""),"",$B133&amp;"|"&amp;COUNTIFS($B$4:$B133,$B133,$C$4:$C133,"?*"))</f>
        <v/>
      </c>
      <c r="L133" s="9" t="str">
        <f aca="false">IF($C133="","","ALL|"&amp;COUNTIF($C$4:$C133,"?*"))</f>
        <v/>
      </c>
    </row>
    <row r="134" customFormat="false" ht="15" hidden="false" customHeight="false" outlineLevel="0" collapsed="false">
      <c r="A134" s="6"/>
      <c r="B134" s="6"/>
      <c r="C134" s="3"/>
      <c r="D134" s="6"/>
      <c r="E134" s="6"/>
      <c r="F134" s="7"/>
      <c r="G134" s="6"/>
      <c r="H134" s="8" t="str">
        <f aca="false">IF(OR($F134="",$G134=""),"",$F134+7*$G134-3)</f>
        <v/>
      </c>
      <c r="I134" s="3"/>
      <c r="J134" s="9" t="str">
        <f aca="false">IF(OR($C134="",$D134=""),"",$D134&amp;"|"&amp;COUNTIFS($D$4:$D134,$D134,$C$4:$C134,"?*"))</f>
        <v/>
      </c>
      <c r="K134" s="9" t="str">
        <f aca="false">IF(OR($C134="",$B134=""),"",$B134&amp;"|"&amp;COUNTIFS($B$4:$B134,$B134,$C$4:$C134,"?*"))</f>
        <v/>
      </c>
      <c r="L134" s="9" t="str">
        <f aca="false">IF($C134="","","ALL|"&amp;COUNTIF($C$4:$C134,"?*"))</f>
        <v/>
      </c>
    </row>
    <row r="135" customFormat="false" ht="15" hidden="false" customHeight="false" outlineLevel="0" collapsed="false">
      <c r="A135" s="6"/>
      <c r="B135" s="6"/>
      <c r="C135" s="3"/>
      <c r="D135" s="6"/>
      <c r="E135" s="6"/>
      <c r="F135" s="7"/>
      <c r="G135" s="6"/>
      <c r="H135" s="8" t="str">
        <f aca="false">IF(OR($F135="",$G135=""),"",$F135+7*$G135-3)</f>
        <v/>
      </c>
      <c r="I135" s="3"/>
      <c r="J135" s="9" t="str">
        <f aca="false">IF(OR($C135="",$D135=""),"",$D135&amp;"|"&amp;COUNTIFS($D$4:$D135,$D135,$C$4:$C135,"?*"))</f>
        <v/>
      </c>
      <c r="K135" s="9" t="str">
        <f aca="false">IF(OR($C135="",$B135=""),"",$B135&amp;"|"&amp;COUNTIFS($B$4:$B135,$B135,$C$4:$C135,"?*"))</f>
        <v/>
      </c>
      <c r="L135" s="9" t="str">
        <f aca="false">IF($C135="","","ALL|"&amp;COUNTIF($C$4:$C135,"?*"))</f>
        <v/>
      </c>
    </row>
    <row r="136" customFormat="false" ht="15" hidden="false" customHeight="false" outlineLevel="0" collapsed="false">
      <c r="A136" s="6"/>
      <c r="B136" s="6"/>
      <c r="C136" s="3"/>
      <c r="D136" s="6"/>
      <c r="E136" s="6"/>
      <c r="F136" s="7"/>
      <c r="G136" s="6"/>
      <c r="H136" s="8" t="str">
        <f aca="false">IF(OR($F136="",$G136=""),"",$F136+7*$G136-3)</f>
        <v/>
      </c>
      <c r="I136" s="3"/>
      <c r="J136" s="9" t="str">
        <f aca="false">IF(OR($C136="",$D136=""),"",$D136&amp;"|"&amp;COUNTIFS($D$4:$D136,$D136,$C$4:$C136,"?*"))</f>
        <v/>
      </c>
      <c r="K136" s="9" t="str">
        <f aca="false">IF(OR($C136="",$B136=""),"",$B136&amp;"|"&amp;COUNTIFS($B$4:$B136,$B136,$C$4:$C136,"?*"))</f>
        <v/>
      </c>
      <c r="L136" s="9" t="str">
        <f aca="false">IF($C136="","","ALL|"&amp;COUNTIF($C$4:$C136,"?*"))</f>
        <v/>
      </c>
    </row>
    <row r="137" customFormat="false" ht="15" hidden="false" customHeight="false" outlineLevel="0" collapsed="false">
      <c r="A137" s="6"/>
      <c r="B137" s="6"/>
      <c r="C137" s="3"/>
      <c r="D137" s="6"/>
      <c r="E137" s="6"/>
      <c r="F137" s="7"/>
      <c r="G137" s="6"/>
      <c r="H137" s="8" t="str">
        <f aca="false">IF(OR($F137="",$G137=""),"",$F137+7*$G137-3)</f>
        <v/>
      </c>
      <c r="I137" s="3"/>
      <c r="J137" s="9" t="str">
        <f aca="false">IF(OR($C137="",$D137=""),"",$D137&amp;"|"&amp;COUNTIFS($D$4:$D137,$D137,$C$4:$C137,"?*"))</f>
        <v/>
      </c>
      <c r="K137" s="9" t="str">
        <f aca="false">IF(OR($C137="",$B137=""),"",$B137&amp;"|"&amp;COUNTIFS($B$4:$B137,$B137,$C$4:$C137,"?*"))</f>
        <v/>
      </c>
      <c r="L137" s="9" t="str">
        <f aca="false">IF($C137="","","ALL|"&amp;COUNTIF($C$4:$C137,"?*"))</f>
        <v/>
      </c>
    </row>
    <row r="138" customFormat="false" ht="15" hidden="false" customHeight="false" outlineLevel="0" collapsed="false">
      <c r="A138" s="6"/>
      <c r="B138" s="6"/>
      <c r="C138" s="3"/>
      <c r="D138" s="6"/>
      <c r="E138" s="6"/>
      <c r="F138" s="7"/>
      <c r="G138" s="6"/>
      <c r="H138" s="8" t="str">
        <f aca="false">IF(OR($F138="",$G138=""),"",$F138+7*$G138-3)</f>
        <v/>
      </c>
      <c r="I138" s="3"/>
      <c r="J138" s="9" t="str">
        <f aca="false">IF(OR($C138="",$D138=""),"",$D138&amp;"|"&amp;COUNTIFS($D$4:$D138,$D138,$C$4:$C138,"?*"))</f>
        <v/>
      </c>
      <c r="K138" s="9" t="str">
        <f aca="false">IF(OR($C138="",$B138=""),"",$B138&amp;"|"&amp;COUNTIFS($B$4:$B138,$B138,$C$4:$C138,"?*"))</f>
        <v/>
      </c>
      <c r="L138" s="9" t="str">
        <f aca="false">IF($C138="","","ALL|"&amp;COUNTIF($C$4:$C138,"?*"))</f>
        <v/>
      </c>
    </row>
    <row r="139" customFormat="false" ht="15" hidden="false" customHeight="false" outlineLevel="0" collapsed="false">
      <c r="A139" s="6"/>
      <c r="B139" s="6"/>
      <c r="C139" s="3"/>
      <c r="D139" s="6"/>
      <c r="E139" s="6"/>
      <c r="F139" s="7"/>
      <c r="G139" s="6"/>
      <c r="H139" s="8" t="str">
        <f aca="false">IF(OR($F139="",$G139=""),"",$F139+7*$G139-3)</f>
        <v/>
      </c>
      <c r="I139" s="3"/>
      <c r="J139" s="9" t="str">
        <f aca="false">IF(OR($C139="",$D139=""),"",$D139&amp;"|"&amp;COUNTIFS($D$4:$D139,$D139,$C$4:$C139,"?*"))</f>
        <v/>
      </c>
      <c r="K139" s="9" t="str">
        <f aca="false">IF(OR($C139="",$B139=""),"",$B139&amp;"|"&amp;COUNTIFS($B$4:$B139,$B139,$C$4:$C139,"?*"))</f>
        <v/>
      </c>
      <c r="L139" s="9" t="str">
        <f aca="false">IF($C139="","","ALL|"&amp;COUNTIF($C$4:$C139,"?*"))</f>
        <v/>
      </c>
    </row>
    <row r="140" customFormat="false" ht="15" hidden="false" customHeight="false" outlineLevel="0" collapsed="false">
      <c r="A140" s="6"/>
      <c r="B140" s="6"/>
      <c r="C140" s="3"/>
      <c r="D140" s="6"/>
      <c r="E140" s="6"/>
      <c r="F140" s="7"/>
      <c r="G140" s="6"/>
      <c r="H140" s="8" t="str">
        <f aca="false">IF(OR($F140="",$G140=""),"",$F140+7*$G140-3)</f>
        <v/>
      </c>
      <c r="I140" s="3"/>
      <c r="J140" s="9" t="str">
        <f aca="false">IF(OR($C140="",$D140=""),"",$D140&amp;"|"&amp;COUNTIFS($D$4:$D140,$D140,$C$4:$C140,"?*"))</f>
        <v/>
      </c>
      <c r="K140" s="9" t="str">
        <f aca="false">IF(OR($C140="",$B140=""),"",$B140&amp;"|"&amp;COUNTIFS($B$4:$B140,$B140,$C$4:$C140,"?*"))</f>
        <v/>
      </c>
      <c r="L140" s="9" t="str">
        <f aca="false">IF($C140="","","ALL|"&amp;COUNTIF($C$4:$C140,"?*"))</f>
        <v/>
      </c>
    </row>
    <row r="141" customFormat="false" ht="15" hidden="false" customHeight="false" outlineLevel="0" collapsed="false">
      <c r="A141" s="6"/>
      <c r="B141" s="6"/>
      <c r="C141" s="3"/>
      <c r="D141" s="6"/>
      <c r="E141" s="6"/>
      <c r="F141" s="7"/>
      <c r="G141" s="6"/>
      <c r="H141" s="8" t="str">
        <f aca="false">IF(OR($F141="",$G141=""),"",$F141+7*$G141-3)</f>
        <v/>
      </c>
      <c r="I141" s="3"/>
      <c r="J141" s="9" t="str">
        <f aca="false">IF(OR($C141="",$D141=""),"",$D141&amp;"|"&amp;COUNTIFS($D$4:$D141,$D141,$C$4:$C141,"?*"))</f>
        <v/>
      </c>
      <c r="K141" s="9" t="str">
        <f aca="false">IF(OR($C141="",$B141=""),"",$B141&amp;"|"&amp;COUNTIFS($B$4:$B141,$B141,$C$4:$C141,"?*"))</f>
        <v/>
      </c>
      <c r="L141" s="9" t="str">
        <f aca="false">IF($C141="","","ALL|"&amp;COUNTIF($C$4:$C141,"?*"))</f>
        <v/>
      </c>
    </row>
    <row r="142" customFormat="false" ht="15" hidden="false" customHeight="false" outlineLevel="0" collapsed="false">
      <c r="A142" s="6"/>
      <c r="B142" s="6"/>
      <c r="C142" s="3"/>
      <c r="D142" s="6"/>
      <c r="E142" s="6"/>
      <c r="F142" s="7"/>
      <c r="G142" s="6"/>
      <c r="H142" s="8" t="str">
        <f aca="false">IF(OR($F142="",$G142=""),"",$F142+7*$G142-3)</f>
        <v/>
      </c>
      <c r="I142" s="3"/>
      <c r="J142" s="9" t="str">
        <f aca="false">IF(OR($C142="",$D142=""),"",$D142&amp;"|"&amp;COUNTIFS($D$4:$D142,$D142,$C$4:$C142,"?*"))</f>
        <v/>
      </c>
      <c r="K142" s="9" t="str">
        <f aca="false">IF(OR($C142="",$B142=""),"",$B142&amp;"|"&amp;COUNTIFS($B$4:$B142,$B142,$C$4:$C142,"?*"))</f>
        <v/>
      </c>
      <c r="L142" s="9" t="str">
        <f aca="false">IF($C142="","","ALL|"&amp;COUNTIF($C$4:$C142,"?*"))</f>
        <v/>
      </c>
    </row>
    <row r="143" customFormat="false" ht="15" hidden="false" customHeight="false" outlineLevel="0" collapsed="false">
      <c r="A143" s="6"/>
      <c r="B143" s="6"/>
      <c r="C143" s="3"/>
      <c r="D143" s="6"/>
      <c r="E143" s="6"/>
      <c r="F143" s="7"/>
      <c r="G143" s="6"/>
      <c r="H143" s="8" t="str">
        <f aca="false">IF(OR($F143="",$G143=""),"",$F143+7*$G143-3)</f>
        <v/>
      </c>
      <c r="I143" s="3"/>
      <c r="J143" s="9" t="str">
        <f aca="false">IF(OR($C143="",$D143=""),"",$D143&amp;"|"&amp;COUNTIFS($D$4:$D143,$D143,$C$4:$C143,"?*"))</f>
        <v/>
      </c>
      <c r="K143" s="9" t="str">
        <f aca="false">IF(OR($C143="",$B143=""),"",$B143&amp;"|"&amp;COUNTIFS($B$4:$B143,$B143,$C$4:$C143,"?*"))</f>
        <v/>
      </c>
      <c r="L143" s="9" t="str">
        <f aca="false">IF($C143="","","ALL|"&amp;COUNTIF($C$4:$C143,"?*"))</f>
        <v/>
      </c>
    </row>
    <row r="144" customFormat="false" ht="15" hidden="false" customHeight="false" outlineLevel="0" collapsed="false">
      <c r="A144" s="6"/>
      <c r="B144" s="6"/>
      <c r="C144" s="3"/>
      <c r="D144" s="6"/>
      <c r="E144" s="6"/>
      <c r="F144" s="7"/>
      <c r="G144" s="6"/>
      <c r="H144" s="8" t="str">
        <f aca="false">IF(OR($F144="",$G144=""),"",$F144+7*$G144-3)</f>
        <v/>
      </c>
      <c r="I144" s="3"/>
      <c r="J144" s="9" t="str">
        <f aca="false">IF(OR($C144="",$D144=""),"",$D144&amp;"|"&amp;COUNTIFS($D$4:$D144,$D144,$C$4:$C144,"?*"))</f>
        <v/>
      </c>
      <c r="K144" s="9" t="str">
        <f aca="false">IF(OR($C144="",$B144=""),"",$B144&amp;"|"&amp;COUNTIFS($B$4:$B144,$B144,$C$4:$C144,"?*"))</f>
        <v/>
      </c>
      <c r="L144" s="9" t="str">
        <f aca="false">IF($C144="","","ALL|"&amp;COUNTIF($C$4:$C144,"?*"))</f>
        <v/>
      </c>
    </row>
    <row r="145" customFormat="false" ht="15" hidden="false" customHeight="false" outlineLevel="0" collapsed="false">
      <c r="A145" s="6"/>
      <c r="B145" s="6"/>
      <c r="C145" s="3"/>
      <c r="D145" s="6"/>
      <c r="E145" s="6"/>
      <c r="F145" s="7"/>
      <c r="G145" s="6"/>
      <c r="H145" s="8" t="str">
        <f aca="false">IF(OR($F145="",$G145=""),"",$F145+7*$G145-3)</f>
        <v/>
      </c>
      <c r="I145" s="3"/>
      <c r="J145" s="9" t="str">
        <f aca="false">IF(OR($C145="",$D145=""),"",$D145&amp;"|"&amp;COUNTIFS($D$4:$D145,$D145,$C$4:$C145,"?*"))</f>
        <v/>
      </c>
      <c r="K145" s="9" t="str">
        <f aca="false">IF(OR($C145="",$B145=""),"",$B145&amp;"|"&amp;COUNTIFS($B$4:$B145,$B145,$C$4:$C145,"?*"))</f>
        <v/>
      </c>
      <c r="L145" s="9" t="str">
        <f aca="false">IF($C145="","","ALL|"&amp;COUNTIF($C$4:$C145,"?*"))</f>
        <v/>
      </c>
    </row>
    <row r="146" customFormat="false" ht="15" hidden="false" customHeight="false" outlineLevel="0" collapsed="false">
      <c r="A146" s="6"/>
      <c r="B146" s="6"/>
      <c r="C146" s="3"/>
      <c r="D146" s="6"/>
      <c r="E146" s="6"/>
      <c r="F146" s="7"/>
      <c r="G146" s="6"/>
      <c r="H146" s="8" t="str">
        <f aca="false">IF(OR($F146="",$G146=""),"",$F146+7*$G146-3)</f>
        <v/>
      </c>
      <c r="I146" s="3"/>
      <c r="J146" s="9" t="str">
        <f aca="false">IF(OR($C146="",$D146=""),"",$D146&amp;"|"&amp;COUNTIFS($D$4:$D146,$D146,$C$4:$C146,"?*"))</f>
        <v/>
      </c>
      <c r="K146" s="9" t="str">
        <f aca="false">IF(OR($C146="",$B146=""),"",$B146&amp;"|"&amp;COUNTIFS($B$4:$B146,$B146,$C$4:$C146,"?*"))</f>
        <v/>
      </c>
      <c r="L146" s="9" t="str">
        <f aca="false">IF($C146="","","ALL|"&amp;COUNTIF($C$4:$C146,"?*"))</f>
        <v/>
      </c>
    </row>
    <row r="147" customFormat="false" ht="15" hidden="false" customHeight="false" outlineLevel="0" collapsed="false">
      <c r="A147" s="6"/>
      <c r="B147" s="6"/>
      <c r="C147" s="3"/>
      <c r="D147" s="6"/>
      <c r="E147" s="6"/>
      <c r="F147" s="7"/>
      <c r="G147" s="6"/>
      <c r="H147" s="8" t="str">
        <f aca="false">IF(OR($F147="",$G147=""),"",$F147+7*$G147-3)</f>
        <v/>
      </c>
      <c r="I147" s="3"/>
      <c r="J147" s="9" t="str">
        <f aca="false">IF(OR($C147="",$D147=""),"",$D147&amp;"|"&amp;COUNTIFS($D$4:$D147,$D147,$C$4:$C147,"?*"))</f>
        <v/>
      </c>
      <c r="K147" s="9" t="str">
        <f aca="false">IF(OR($C147="",$B147=""),"",$B147&amp;"|"&amp;COUNTIFS($B$4:$B147,$B147,$C$4:$C147,"?*"))</f>
        <v/>
      </c>
      <c r="L147" s="9" t="str">
        <f aca="false">IF($C147="","","ALL|"&amp;COUNTIF($C$4:$C147,"?*"))</f>
        <v/>
      </c>
    </row>
    <row r="148" customFormat="false" ht="15" hidden="false" customHeight="false" outlineLevel="0" collapsed="false">
      <c r="A148" s="6"/>
      <c r="B148" s="6"/>
      <c r="C148" s="3"/>
      <c r="D148" s="6"/>
      <c r="E148" s="6"/>
      <c r="F148" s="7"/>
      <c r="G148" s="6"/>
      <c r="H148" s="8" t="str">
        <f aca="false">IF(OR($F148="",$G148=""),"",$F148+7*$G148-3)</f>
        <v/>
      </c>
      <c r="I148" s="3"/>
      <c r="J148" s="9" t="str">
        <f aca="false">IF(OR($C148="",$D148=""),"",$D148&amp;"|"&amp;COUNTIFS($D$4:$D148,$D148,$C$4:$C148,"?*"))</f>
        <v/>
      </c>
      <c r="K148" s="9" t="str">
        <f aca="false">IF(OR($C148="",$B148=""),"",$B148&amp;"|"&amp;COUNTIFS($B$4:$B148,$B148,$C$4:$C148,"?*"))</f>
        <v/>
      </c>
      <c r="L148" s="9" t="str">
        <f aca="false">IF($C148="","","ALL|"&amp;COUNTIF($C$4:$C148,"?*"))</f>
        <v/>
      </c>
    </row>
    <row r="149" customFormat="false" ht="15" hidden="false" customHeight="false" outlineLevel="0" collapsed="false">
      <c r="A149" s="6"/>
      <c r="B149" s="6"/>
      <c r="C149" s="3"/>
      <c r="D149" s="6"/>
      <c r="E149" s="6"/>
      <c r="F149" s="7"/>
      <c r="G149" s="6"/>
      <c r="H149" s="8" t="str">
        <f aca="false">IF(OR($F149="",$G149=""),"",$F149+7*$G149-3)</f>
        <v/>
      </c>
      <c r="I149" s="3"/>
      <c r="J149" s="9" t="str">
        <f aca="false">IF(OR($C149="",$D149=""),"",$D149&amp;"|"&amp;COUNTIFS($D$4:$D149,$D149,$C$4:$C149,"?*"))</f>
        <v/>
      </c>
      <c r="K149" s="9" t="str">
        <f aca="false">IF(OR($C149="",$B149=""),"",$B149&amp;"|"&amp;COUNTIFS($B$4:$B149,$B149,$C$4:$C149,"?*"))</f>
        <v/>
      </c>
      <c r="L149" s="9" t="str">
        <f aca="false">IF($C149="","","ALL|"&amp;COUNTIF($C$4:$C149,"?*"))</f>
        <v/>
      </c>
    </row>
    <row r="150" customFormat="false" ht="15" hidden="false" customHeight="false" outlineLevel="0" collapsed="false">
      <c r="A150" s="6"/>
      <c r="B150" s="6"/>
      <c r="C150" s="3"/>
      <c r="D150" s="6"/>
      <c r="E150" s="6"/>
      <c r="F150" s="7"/>
      <c r="G150" s="6"/>
      <c r="H150" s="8" t="str">
        <f aca="false">IF(OR($F150="",$G150=""),"",$F150+7*$G150-3)</f>
        <v/>
      </c>
      <c r="I150" s="3"/>
      <c r="J150" s="9" t="str">
        <f aca="false">IF(OR($C150="",$D150=""),"",$D150&amp;"|"&amp;COUNTIFS($D$4:$D150,$D150,$C$4:$C150,"?*"))</f>
        <v/>
      </c>
      <c r="K150" s="9" t="str">
        <f aca="false">IF(OR($C150="",$B150=""),"",$B150&amp;"|"&amp;COUNTIFS($B$4:$B150,$B150,$C$4:$C150,"?*"))</f>
        <v/>
      </c>
      <c r="L150" s="9" t="str">
        <f aca="false">IF($C150="","","ALL|"&amp;COUNTIF($C$4:$C150,"?*"))</f>
        <v/>
      </c>
    </row>
    <row r="151" customFormat="false" ht="15" hidden="false" customHeight="false" outlineLevel="0" collapsed="false">
      <c r="A151" s="6"/>
      <c r="B151" s="6"/>
      <c r="C151" s="3"/>
      <c r="D151" s="6"/>
      <c r="E151" s="6"/>
      <c r="F151" s="7"/>
      <c r="G151" s="6"/>
      <c r="H151" s="8" t="str">
        <f aca="false">IF(OR($F151="",$G151=""),"",$F151+7*$G151-3)</f>
        <v/>
      </c>
      <c r="I151" s="3"/>
      <c r="J151" s="9" t="str">
        <f aca="false">IF(OR($C151="",$D151=""),"",$D151&amp;"|"&amp;COUNTIFS($D$4:$D151,$D151,$C$4:$C151,"?*"))</f>
        <v/>
      </c>
      <c r="K151" s="9" t="str">
        <f aca="false">IF(OR($C151="",$B151=""),"",$B151&amp;"|"&amp;COUNTIFS($B$4:$B151,$B151,$C$4:$C151,"?*"))</f>
        <v/>
      </c>
      <c r="L151" s="9" t="str">
        <f aca="false">IF($C151="","","ALL|"&amp;COUNTIF($C$4:$C151,"?*"))</f>
        <v/>
      </c>
    </row>
    <row r="152" customFormat="false" ht="15" hidden="false" customHeight="false" outlineLevel="0" collapsed="false">
      <c r="A152" s="6"/>
      <c r="B152" s="6"/>
      <c r="C152" s="3"/>
      <c r="D152" s="6"/>
      <c r="E152" s="6"/>
      <c r="F152" s="7"/>
      <c r="G152" s="6"/>
      <c r="H152" s="8" t="str">
        <f aca="false">IF(OR($F152="",$G152=""),"",$F152+7*$G152-3)</f>
        <v/>
      </c>
      <c r="I152" s="3"/>
      <c r="J152" s="9" t="str">
        <f aca="false">IF(OR($C152="",$D152=""),"",$D152&amp;"|"&amp;COUNTIFS($D$4:$D152,$D152,$C$4:$C152,"?*"))</f>
        <v/>
      </c>
      <c r="K152" s="9" t="str">
        <f aca="false">IF(OR($C152="",$B152=""),"",$B152&amp;"|"&amp;COUNTIFS($B$4:$B152,$B152,$C$4:$C152,"?*"))</f>
        <v/>
      </c>
      <c r="L152" s="9" t="str">
        <f aca="false">IF($C152="","","ALL|"&amp;COUNTIF($C$4:$C152,"?*"))</f>
        <v/>
      </c>
    </row>
    <row r="153" customFormat="false" ht="15" hidden="false" customHeight="false" outlineLevel="0" collapsed="false">
      <c r="A153" s="6"/>
      <c r="B153" s="6"/>
      <c r="C153" s="3"/>
      <c r="D153" s="6"/>
      <c r="E153" s="6"/>
      <c r="F153" s="7"/>
      <c r="G153" s="6"/>
      <c r="H153" s="8" t="str">
        <f aca="false">IF(OR($F153="",$G153=""),"",$F153+7*$G153-3)</f>
        <v/>
      </c>
      <c r="I153" s="3"/>
      <c r="J153" s="9" t="str">
        <f aca="false">IF(OR($C153="",$D153=""),"",$D153&amp;"|"&amp;COUNTIFS($D$4:$D153,$D153,$C$4:$C153,"?*"))</f>
        <v/>
      </c>
      <c r="K153" s="9" t="str">
        <f aca="false">IF(OR($C153="",$B153=""),"",$B153&amp;"|"&amp;COUNTIFS($B$4:$B153,$B153,$C$4:$C153,"?*"))</f>
        <v/>
      </c>
      <c r="L153" s="9" t="str">
        <f aca="false">IF($C153="","","ALL|"&amp;COUNTIF($C$4:$C153,"?*"))</f>
        <v/>
      </c>
    </row>
    <row r="154" customFormat="false" ht="15" hidden="false" customHeight="false" outlineLevel="0" collapsed="false">
      <c r="A154" s="6"/>
      <c r="B154" s="6"/>
      <c r="C154" s="3"/>
      <c r="D154" s="6"/>
      <c r="E154" s="6"/>
      <c r="F154" s="7"/>
      <c r="G154" s="6"/>
      <c r="H154" s="8" t="str">
        <f aca="false">IF(OR($F154="",$G154=""),"",$F154+7*$G154-3)</f>
        <v/>
      </c>
      <c r="I154" s="3"/>
      <c r="J154" s="9" t="str">
        <f aca="false">IF(OR($C154="",$D154=""),"",$D154&amp;"|"&amp;COUNTIFS($D$4:$D154,$D154,$C$4:$C154,"?*"))</f>
        <v/>
      </c>
      <c r="K154" s="9" t="str">
        <f aca="false">IF(OR($C154="",$B154=""),"",$B154&amp;"|"&amp;COUNTIFS($B$4:$B154,$B154,$C$4:$C154,"?*"))</f>
        <v/>
      </c>
      <c r="L154" s="9" t="str">
        <f aca="false">IF($C154="","","ALL|"&amp;COUNTIF($C$4:$C154,"?*"))</f>
        <v/>
      </c>
    </row>
    <row r="155" customFormat="false" ht="15" hidden="false" customHeight="false" outlineLevel="0" collapsed="false">
      <c r="A155" s="6"/>
      <c r="B155" s="6"/>
      <c r="C155" s="3"/>
      <c r="D155" s="6"/>
      <c r="E155" s="6"/>
      <c r="F155" s="7"/>
      <c r="G155" s="6"/>
      <c r="H155" s="8" t="str">
        <f aca="false">IF(OR($F155="",$G155=""),"",$F155+7*$G155-3)</f>
        <v/>
      </c>
      <c r="I155" s="3"/>
      <c r="J155" s="9" t="str">
        <f aca="false">IF(OR($C155="",$D155=""),"",$D155&amp;"|"&amp;COUNTIFS($D$4:$D155,$D155,$C$4:$C155,"?*"))</f>
        <v/>
      </c>
      <c r="K155" s="9" t="str">
        <f aca="false">IF(OR($C155="",$B155=""),"",$B155&amp;"|"&amp;COUNTIFS($B$4:$B155,$B155,$C$4:$C155,"?*"))</f>
        <v/>
      </c>
      <c r="L155" s="9" t="str">
        <f aca="false">IF($C155="","","ALL|"&amp;COUNTIF($C$4:$C155,"?*"))</f>
        <v/>
      </c>
    </row>
    <row r="156" customFormat="false" ht="15" hidden="false" customHeight="false" outlineLevel="0" collapsed="false">
      <c r="A156" s="6"/>
      <c r="B156" s="6"/>
      <c r="C156" s="3"/>
      <c r="D156" s="6"/>
      <c r="E156" s="6"/>
      <c r="F156" s="7"/>
      <c r="G156" s="6"/>
      <c r="H156" s="8" t="str">
        <f aca="false">IF(OR($F156="",$G156=""),"",$F156+7*$G156-3)</f>
        <v/>
      </c>
      <c r="I156" s="3"/>
      <c r="J156" s="9" t="str">
        <f aca="false">IF(OR($C156="",$D156=""),"",$D156&amp;"|"&amp;COUNTIFS($D$4:$D156,$D156,$C$4:$C156,"?*"))</f>
        <v/>
      </c>
      <c r="K156" s="9" t="str">
        <f aca="false">IF(OR($C156="",$B156=""),"",$B156&amp;"|"&amp;COUNTIFS($B$4:$B156,$B156,$C$4:$C156,"?*"))</f>
        <v/>
      </c>
      <c r="L156" s="9" t="str">
        <f aca="false">IF($C156="","","ALL|"&amp;COUNTIF($C$4:$C156,"?*"))</f>
        <v/>
      </c>
    </row>
    <row r="157" customFormat="false" ht="15" hidden="false" customHeight="false" outlineLevel="0" collapsed="false">
      <c r="A157" s="6"/>
      <c r="B157" s="6"/>
      <c r="C157" s="3"/>
      <c r="D157" s="6"/>
      <c r="E157" s="6"/>
      <c r="F157" s="7"/>
      <c r="G157" s="6"/>
      <c r="H157" s="8" t="str">
        <f aca="false">IF(OR($F157="",$G157=""),"",$F157+7*$G157-3)</f>
        <v/>
      </c>
      <c r="I157" s="3"/>
      <c r="J157" s="9" t="str">
        <f aca="false">IF(OR($C157="",$D157=""),"",$D157&amp;"|"&amp;COUNTIFS($D$4:$D157,$D157,$C$4:$C157,"?*"))</f>
        <v/>
      </c>
      <c r="K157" s="9" t="str">
        <f aca="false">IF(OR($C157="",$B157=""),"",$B157&amp;"|"&amp;COUNTIFS($B$4:$B157,$B157,$C$4:$C157,"?*"))</f>
        <v/>
      </c>
      <c r="L157" s="9" t="str">
        <f aca="false">IF($C157="","","ALL|"&amp;COUNTIF($C$4:$C157,"?*"))</f>
        <v/>
      </c>
    </row>
    <row r="158" customFormat="false" ht="15" hidden="false" customHeight="false" outlineLevel="0" collapsed="false">
      <c r="A158" s="6"/>
      <c r="B158" s="6"/>
      <c r="C158" s="3"/>
      <c r="D158" s="6"/>
      <c r="E158" s="6"/>
      <c r="F158" s="7"/>
      <c r="G158" s="6"/>
      <c r="H158" s="8" t="str">
        <f aca="false">IF(OR($F158="",$G158=""),"",$F158+7*$G158-3)</f>
        <v/>
      </c>
      <c r="I158" s="3"/>
      <c r="J158" s="9" t="str">
        <f aca="false">IF(OR($C158="",$D158=""),"",$D158&amp;"|"&amp;COUNTIFS($D$4:$D158,$D158,$C$4:$C158,"?*"))</f>
        <v/>
      </c>
      <c r="K158" s="9" t="str">
        <f aca="false">IF(OR($C158="",$B158=""),"",$B158&amp;"|"&amp;COUNTIFS($B$4:$B158,$B158,$C$4:$C158,"?*"))</f>
        <v/>
      </c>
      <c r="L158" s="9" t="str">
        <f aca="false">IF($C158="","","ALL|"&amp;COUNTIF($C$4:$C158,"?*"))</f>
        <v/>
      </c>
    </row>
    <row r="159" customFormat="false" ht="15" hidden="false" customHeight="false" outlineLevel="0" collapsed="false">
      <c r="A159" s="6"/>
      <c r="B159" s="6"/>
      <c r="C159" s="3"/>
      <c r="D159" s="6"/>
      <c r="E159" s="6"/>
      <c r="F159" s="7"/>
      <c r="G159" s="6"/>
      <c r="H159" s="8" t="str">
        <f aca="false">IF(OR($F159="",$G159=""),"",$F159+7*$G159-3)</f>
        <v/>
      </c>
      <c r="I159" s="3"/>
      <c r="J159" s="9" t="str">
        <f aca="false">IF(OR($C159="",$D159=""),"",$D159&amp;"|"&amp;COUNTIFS($D$4:$D159,$D159,$C$4:$C159,"?*"))</f>
        <v/>
      </c>
      <c r="K159" s="9" t="str">
        <f aca="false">IF(OR($C159="",$B159=""),"",$B159&amp;"|"&amp;COUNTIFS($B$4:$B159,$B159,$C$4:$C159,"?*"))</f>
        <v/>
      </c>
      <c r="L159" s="9" t="str">
        <f aca="false">IF($C159="","","ALL|"&amp;COUNTIF($C$4:$C159,"?*"))</f>
        <v/>
      </c>
    </row>
    <row r="160" customFormat="false" ht="15" hidden="false" customHeight="false" outlineLevel="0" collapsed="false">
      <c r="A160" s="6"/>
      <c r="B160" s="6"/>
      <c r="C160" s="3"/>
      <c r="D160" s="6"/>
      <c r="E160" s="6"/>
      <c r="F160" s="7"/>
      <c r="G160" s="6"/>
      <c r="H160" s="8" t="str">
        <f aca="false">IF(OR($F160="",$G160=""),"",$F160+7*$G160-3)</f>
        <v/>
      </c>
      <c r="I160" s="3"/>
      <c r="J160" s="9" t="str">
        <f aca="false">IF(OR($C160="",$D160=""),"",$D160&amp;"|"&amp;COUNTIFS($D$4:$D160,$D160,$C$4:$C160,"?*"))</f>
        <v/>
      </c>
      <c r="K160" s="9" t="str">
        <f aca="false">IF(OR($C160="",$B160=""),"",$B160&amp;"|"&amp;COUNTIFS($B$4:$B160,$B160,$C$4:$C160,"?*"))</f>
        <v/>
      </c>
      <c r="L160" s="9" t="str">
        <f aca="false">IF($C160="","","ALL|"&amp;COUNTIF($C$4:$C160,"?*"))</f>
        <v/>
      </c>
    </row>
    <row r="161" customFormat="false" ht="15" hidden="false" customHeight="false" outlineLevel="0" collapsed="false">
      <c r="A161" s="6"/>
      <c r="B161" s="6"/>
      <c r="C161" s="3"/>
      <c r="D161" s="6"/>
      <c r="E161" s="6"/>
      <c r="F161" s="7"/>
      <c r="G161" s="6"/>
      <c r="H161" s="8" t="str">
        <f aca="false">IF(OR($F161="",$G161=""),"",$F161+7*$G161-3)</f>
        <v/>
      </c>
      <c r="I161" s="3"/>
      <c r="J161" s="9" t="str">
        <f aca="false">IF(OR($C161="",$D161=""),"",$D161&amp;"|"&amp;COUNTIFS($D$4:$D161,$D161,$C$4:$C161,"?*"))</f>
        <v/>
      </c>
      <c r="K161" s="9" t="str">
        <f aca="false">IF(OR($C161="",$B161=""),"",$B161&amp;"|"&amp;COUNTIFS($B$4:$B161,$B161,$C$4:$C161,"?*"))</f>
        <v/>
      </c>
      <c r="L161" s="9" t="str">
        <f aca="false">IF($C161="","","ALL|"&amp;COUNTIF($C$4:$C161,"?*"))</f>
        <v/>
      </c>
    </row>
    <row r="162" customFormat="false" ht="15" hidden="false" customHeight="false" outlineLevel="0" collapsed="false">
      <c r="A162" s="6"/>
      <c r="B162" s="6"/>
      <c r="C162" s="3"/>
      <c r="D162" s="6"/>
      <c r="E162" s="6"/>
      <c r="F162" s="7"/>
      <c r="G162" s="6"/>
      <c r="H162" s="8" t="str">
        <f aca="false">IF(OR($F162="",$G162=""),"",$F162+7*$G162-3)</f>
        <v/>
      </c>
      <c r="I162" s="3"/>
      <c r="J162" s="9" t="str">
        <f aca="false">IF(OR($C162="",$D162=""),"",$D162&amp;"|"&amp;COUNTIFS($D$4:$D162,$D162,$C$4:$C162,"?*"))</f>
        <v/>
      </c>
      <c r="K162" s="9" t="str">
        <f aca="false">IF(OR($C162="",$B162=""),"",$B162&amp;"|"&amp;COUNTIFS($B$4:$B162,$B162,$C$4:$C162,"?*"))</f>
        <v/>
      </c>
      <c r="L162" s="9" t="str">
        <f aca="false">IF($C162="","","ALL|"&amp;COUNTIF($C$4:$C162,"?*"))</f>
        <v/>
      </c>
    </row>
    <row r="163" customFormat="false" ht="15" hidden="false" customHeight="false" outlineLevel="0" collapsed="false">
      <c r="A163" s="6"/>
      <c r="B163" s="6"/>
      <c r="C163" s="3"/>
      <c r="D163" s="6"/>
      <c r="E163" s="6"/>
      <c r="F163" s="7"/>
      <c r="G163" s="6"/>
      <c r="H163" s="8" t="str">
        <f aca="false">IF(OR($F163="",$G163=""),"",$F163+7*$G163-3)</f>
        <v/>
      </c>
      <c r="I163" s="3"/>
      <c r="J163" s="9" t="str">
        <f aca="false">IF(OR($C163="",$D163=""),"",$D163&amp;"|"&amp;COUNTIFS($D$4:$D163,$D163,$C$4:$C163,"?*"))</f>
        <v/>
      </c>
      <c r="K163" s="9" t="str">
        <f aca="false">IF(OR($C163="",$B163=""),"",$B163&amp;"|"&amp;COUNTIFS($B$4:$B163,$B163,$C$4:$C163,"?*"))</f>
        <v/>
      </c>
      <c r="L163" s="9" t="str">
        <f aca="false">IF($C163="","","ALL|"&amp;COUNTIF($C$4:$C163,"?*"))</f>
        <v/>
      </c>
    </row>
    <row r="164" customFormat="false" ht="15" hidden="false" customHeight="false" outlineLevel="0" collapsed="false">
      <c r="A164" s="6"/>
      <c r="B164" s="6"/>
      <c r="C164" s="3"/>
      <c r="D164" s="6"/>
      <c r="E164" s="6"/>
      <c r="F164" s="7"/>
      <c r="G164" s="6"/>
      <c r="H164" s="8" t="str">
        <f aca="false">IF(OR($F164="",$G164=""),"",$F164+7*$G164-3)</f>
        <v/>
      </c>
      <c r="I164" s="3"/>
      <c r="J164" s="9" t="str">
        <f aca="false">IF(OR($C164="",$D164=""),"",$D164&amp;"|"&amp;COUNTIFS($D$4:$D164,$D164,$C$4:$C164,"?*"))</f>
        <v/>
      </c>
      <c r="K164" s="9" t="str">
        <f aca="false">IF(OR($C164="",$B164=""),"",$B164&amp;"|"&amp;COUNTIFS($B$4:$B164,$B164,$C$4:$C164,"?*"))</f>
        <v/>
      </c>
      <c r="L164" s="9" t="str">
        <f aca="false">IF($C164="","","ALL|"&amp;COUNTIF($C$4:$C164,"?*"))</f>
        <v/>
      </c>
    </row>
    <row r="165" customFormat="false" ht="15" hidden="false" customHeight="false" outlineLevel="0" collapsed="false">
      <c r="A165" s="6"/>
      <c r="B165" s="6"/>
      <c r="C165" s="3"/>
      <c r="D165" s="6"/>
      <c r="E165" s="6"/>
      <c r="F165" s="7"/>
      <c r="G165" s="6"/>
      <c r="H165" s="8" t="str">
        <f aca="false">IF(OR($F165="",$G165=""),"",$F165+7*$G165-3)</f>
        <v/>
      </c>
      <c r="I165" s="3"/>
      <c r="J165" s="9" t="str">
        <f aca="false">IF(OR($C165="",$D165=""),"",$D165&amp;"|"&amp;COUNTIFS($D$4:$D165,$D165,$C$4:$C165,"?*"))</f>
        <v/>
      </c>
      <c r="K165" s="9" t="str">
        <f aca="false">IF(OR($C165="",$B165=""),"",$B165&amp;"|"&amp;COUNTIFS($B$4:$B165,$B165,$C$4:$C165,"?*"))</f>
        <v/>
      </c>
      <c r="L165" s="9" t="str">
        <f aca="false">IF($C165="","","ALL|"&amp;COUNTIF($C$4:$C165,"?*"))</f>
        <v/>
      </c>
    </row>
    <row r="166" customFormat="false" ht="15" hidden="false" customHeight="false" outlineLevel="0" collapsed="false">
      <c r="A166" s="6"/>
      <c r="B166" s="6"/>
      <c r="C166" s="3"/>
      <c r="D166" s="6"/>
      <c r="E166" s="6"/>
      <c r="F166" s="7"/>
      <c r="G166" s="6"/>
      <c r="H166" s="8" t="str">
        <f aca="false">IF(OR($F166="",$G166=""),"",$F166+7*$G166-3)</f>
        <v/>
      </c>
      <c r="I166" s="3"/>
      <c r="J166" s="9" t="str">
        <f aca="false">IF(OR($C166="",$D166=""),"",$D166&amp;"|"&amp;COUNTIFS($D$4:$D166,$D166,$C$4:$C166,"?*"))</f>
        <v/>
      </c>
      <c r="K166" s="9" t="str">
        <f aca="false">IF(OR($C166="",$B166=""),"",$B166&amp;"|"&amp;COUNTIFS($B$4:$B166,$B166,$C$4:$C166,"?*"))</f>
        <v/>
      </c>
      <c r="L166" s="9" t="str">
        <f aca="false">IF($C166="","","ALL|"&amp;COUNTIF($C$4:$C166,"?*"))</f>
        <v/>
      </c>
    </row>
    <row r="167" customFormat="false" ht="15" hidden="false" customHeight="false" outlineLevel="0" collapsed="false">
      <c r="A167" s="6"/>
      <c r="B167" s="6"/>
      <c r="C167" s="3"/>
      <c r="D167" s="6"/>
      <c r="E167" s="6"/>
      <c r="F167" s="7"/>
      <c r="G167" s="6"/>
      <c r="H167" s="8" t="str">
        <f aca="false">IF(OR($F167="",$G167=""),"",$F167+7*$G167-3)</f>
        <v/>
      </c>
      <c r="I167" s="3"/>
      <c r="J167" s="9" t="str">
        <f aca="false">IF(OR($C167="",$D167=""),"",$D167&amp;"|"&amp;COUNTIFS($D$4:$D167,$D167,$C$4:$C167,"?*"))</f>
        <v/>
      </c>
      <c r="K167" s="9" t="str">
        <f aca="false">IF(OR($C167="",$B167=""),"",$B167&amp;"|"&amp;COUNTIFS($B$4:$B167,$B167,$C$4:$C167,"?*"))</f>
        <v/>
      </c>
      <c r="L167" s="9" t="str">
        <f aca="false">IF($C167="","","ALL|"&amp;COUNTIF($C$4:$C167,"?*"))</f>
        <v/>
      </c>
    </row>
    <row r="168" customFormat="false" ht="15" hidden="false" customHeight="false" outlineLevel="0" collapsed="false">
      <c r="A168" s="6"/>
      <c r="B168" s="6"/>
      <c r="C168" s="3"/>
      <c r="D168" s="6"/>
      <c r="E168" s="6"/>
      <c r="F168" s="7"/>
      <c r="G168" s="6"/>
      <c r="H168" s="8" t="str">
        <f aca="false">IF(OR($F168="",$G168=""),"",$F168+7*$G168-3)</f>
        <v/>
      </c>
      <c r="I168" s="3"/>
      <c r="J168" s="9" t="str">
        <f aca="false">IF(OR($C168="",$D168=""),"",$D168&amp;"|"&amp;COUNTIFS($D$4:$D168,$D168,$C$4:$C168,"?*"))</f>
        <v/>
      </c>
      <c r="K168" s="9" t="str">
        <f aca="false">IF(OR($C168="",$B168=""),"",$B168&amp;"|"&amp;COUNTIFS($B$4:$B168,$B168,$C$4:$C168,"?*"))</f>
        <v/>
      </c>
      <c r="L168" s="9" t="str">
        <f aca="false">IF($C168="","","ALL|"&amp;COUNTIF($C$4:$C168,"?*"))</f>
        <v/>
      </c>
    </row>
    <row r="169" customFormat="false" ht="15" hidden="false" customHeight="false" outlineLevel="0" collapsed="false">
      <c r="A169" s="6"/>
      <c r="B169" s="6"/>
      <c r="C169" s="3"/>
      <c r="D169" s="6"/>
      <c r="E169" s="6"/>
      <c r="F169" s="7"/>
      <c r="G169" s="6"/>
      <c r="H169" s="8" t="str">
        <f aca="false">IF(OR($F169="",$G169=""),"",$F169+7*$G169-3)</f>
        <v/>
      </c>
      <c r="I169" s="3"/>
      <c r="J169" s="9" t="str">
        <f aca="false">IF(OR($C169="",$D169=""),"",$D169&amp;"|"&amp;COUNTIFS($D$4:$D169,$D169,$C$4:$C169,"?*"))</f>
        <v/>
      </c>
      <c r="K169" s="9" t="str">
        <f aca="false">IF(OR($C169="",$B169=""),"",$B169&amp;"|"&amp;COUNTIFS($B$4:$B169,$B169,$C$4:$C169,"?*"))</f>
        <v/>
      </c>
      <c r="L169" s="9" t="str">
        <f aca="false">IF($C169="","","ALL|"&amp;COUNTIF($C$4:$C169,"?*"))</f>
        <v/>
      </c>
    </row>
    <row r="170" customFormat="false" ht="15" hidden="false" customHeight="false" outlineLevel="0" collapsed="false">
      <c r="A170" s="6"/>
      <c r="B170" s="6"/>
      <c r="C170" s="3"/>
      <c r="D170" s="6"/>
      <c r="E170" s="6"/>
      <c r="F170" s="7"/>
      <c r="G170" s="6"/>
      <c r="H170" s="8" t="str">
        <f aca="false">IF(OR($F170="",$G170=""),"",$F170+7*$G170-3)</f>
        <v/>
      </c>
      <c r="I170" s="3"/>
      <c r="J170" s="9" t="str">
        <f aca="false">IF(OR($C170="",$D170=""),"",$D170&amp;"|"&amp;COUNTIFS($D$4:$D170,$D170,$C$4:$C170,"?*"))</f>
        <v/>
      </c>
      <c r="K170" s="9" t="str">
        <f aca="false">IF(OR($C170="",$B170=""),"",$B170&amp;"|"&amp;COUNTIFS($B$4:$B170,$B170,$C$4:$C170,"?*"))</f>
        <v/>
      </c>
      <c r="L170" s="9" t="str">
        <f aca="false">IF($C170="","","ALL|"&amp;COUNTIF($C$4:$C170,"?*"))</f>
        <v/>
      </c>
    </row>
    <row r="171" customFormat="false" ht="15" hidden="false" customHeight="false" outlineLevel="0" collapsed="false">
      <c r="A171" s="6"/>
      <c r="B171" s="6"/>
      <c r="C171" s="3"/>
      <c r="D171" s="6"/>
      <c r="E171" s="6"/>
      <c r="F171" s="7"/>
      <c r="G171" s="6"/>
      <c r="H171" s="8" t="str">
        <f aca="false">IF(OR($F171="",$G171=""),"",$F171+7*$G171-3)</f>
        <v/>
      </c>
      <c r="I171" s="3"/>
      <c r="J171" s="9" t="str">
        <f aca="false">IF(OR($C171="",$D171=""),"",$D171&amp;"|"&amp;COUNTIFS($D$4:$D171,$D171,$C$4:$C171,"?*"))</f>
        <v/>
      </c>
      <c r="K171" s="9" t="str">
        <f aca="false">IF(OR($C171="",$B171=""),"",$B171&amp;"|"&amp;COUNTIFS($B$4:$B171,$B171,$C$4:$C171,"?*"))</f>
        <v/>
      </c>
      <c r="L171" s="9" t="str">
        <f aca="false">IF($C171="","","ALL|"&amp;COUNTIF($C$4:$C171,"?*"))</f>
        <v/>
      </c>
    </row>
    <row r="172" customFormat="false" ht="15" hidden="false" customHeight="false" outlineLevel="0" collapsed="false">
      <c r="A172" s="6"/>
      <c r="B172" s="6"/>
      <c r="C172" s="3"/>
      <c r="D172" s="6"/>
      <c r="E172" s="6"/>
      <c r="F172" s="7"/>
      <c r="G172" s="6"/>
      <c r="H172" s="8" t="str">
        <f aca="false">IF(OR($F172="",$G172=""),"",$F172+7*$G172-3)</f>
        <v/>
      </c>
      <c r="I172" s="3"/>
      <c r="J172" s="9" t="str">
        <f aca="false">IF(OR($C172="",$D172=""),"",$D172&amp;"|"&amp;COUNTIFS($D$4:$D172,$D172,$C$4:$C172,"?*"))</f>
        <v/>
      </c>
      <c r="K172" s="9" t="str">
        <f aca="false">IF(OR($C172="",$B172=""),"",$B172&amp;"|"&amp;COUNTIFS($B$4:$B172,$B172,$C$4:$C172,"?*"))</f>
        <v/>
      </c>
      <c r="L172" s="9" t="str">
        <f aca="false">IF($C172="","","ALL|"&amp;COUNTIF($C$4:$C172,"?*"))</f>
        <v/>
      </c>
    </row>
    <row r="173" customFormat="false" ht="15" hidden="false" customHeight="false" outlineLevel="0" collapsed="false">
      <c r="A173" s="6"/>
      <c r="B173" s="6"/>
      <c r="C173" s="3"/>
      <c r="D173" s="6"/>
      <c r="E173" s="6"/>
      <c r="F173" s="7"/>
      <c r="G173" s="6"/>
      <c r="H173" s="8" t="str">
        <f aca="false">IF(OR($F173="",$G173=""),"",$F173+7*$G173-3)</f>
        <v/>
      </c>
      <c r="I173" s="3"/>
      <c r="J173" s="9" t="str">
        <f aca="false">IF(OR($C173="",$D173=""),"",$D173&amp;"|"&amp;COUNTIFS($D$4:$D173,$D173,$C$4:$C173,"?*"))</f>
        <v/>
      </c>
      <c r="K173" s="9" t="str">
        <f aca="false">IF(OR($C173="",$B173=""),"",$B173&amp;"|"&amp;COUNTIFS($B$4:$B173,$B173,$C$4:$C173,"?*"))</f>
        <v/>
      </c>
      <c r="L173" s="9" t="str">
        <f aca="false">IF($C173="","","ALL|"&amp;COUNTIF($C$4:$C173,"?*"))</f>
        <v/>
      </c>
    </row>
    <row r="174" customFormat="false" ht="15" hidden="false" customHeight="false" outlineLevel="0" collapsed="false">
      <c r="A174" s="6"/>
      <c r="B174" s="6"/>
      <c r="C174" s="3"/>
      <c r="D174" s="6"/>
      <c r="E174" s="6"/>
      <c r="F174" s="7"/>
      <c r="G174" s="6"/>
      <c r="H174" s="8" t="str">
        <f aca="false">IF(OR($F174="",$G174=""),"",$F174+7*$G174-3)</f>
        <v/>
      </c>
      <c r="I174" s="3"/>
      <c r="J174" s="9" t="str">
        <f aca="false">IF(OR($C174="",$D174=""),"",$D174&amp;"|"&amp;COUNTIFS($D$4:$D174,$D174,$C$4:$C174,"?*"))</f>
        <v/>
      </c>
      <c r="K174" s="9" t="str">
        <f aca="false">IF(OR($C174="",$B174=""),"",$B174&amp;"|"&amp;COUNTIFS($B$4:$B174,$B174,$C$4:$C174,"?*"))</f>
        <v/>
      </c>
      <c r="L174" s="9" t="str">
        <f aca="false">IF($C174="","","ALL|"&amp;COUNTIF($C$4:$C174,"?*"))</f>
        <v/>
      </c>
    </row>
    <row r="175" customFormat="false" ht="15" hidden="false" customHeight="false" outlineLevel="0" collapsed="false">
      <c r="A175" s="6"/>
      <c r="B175" s="6"/>
      <c r="C175" s="3"/>
      <c r="D175" s="6"/>
      <c r="E175" s="6"/>
      <c r="F175" s="7"/>
      <c r="G175" s="6"/>
      <c r="H175" s="8" t="str">
        <f aca="false">IF(OR($F175="",$G175=""),"",$F175+7*$G175-3)</f>
        <v/>
      </c>
      <c r="I175" s="3"/>
      <c r="J175" s="9" t="str">
        <f aca="false">IF(OR($C175="",$D175=""),"",$D175&amp;"|"&amp;COUNTIFS($D$4:$D175,$D175,$C$4:$C175,"?*"))</f>
        <v/>
      </c>
      <c r="K175" s="9" t="str">
        <f aca="false">IF(OR($C175="",$B175=""),"",$B175&amp;"|"&amp;COUNTIFS($B$4:$B175,$B175,$C$4:$C175,"?*"))</f>
        <v/>
      </c>
      <c r="L175" s="9" t="str">
        <f aca="false">IF($C175="","","ALL|"&amp;COUNTIF($C$4:$C175,"?*"))</f>
        <v/>
      </c>
    </row>
    <row r="176" customFormat="false" ht="15" hidden="false" customHeight="false" outlineLevel="0" collapsed="false">
      <c r="A176" s="6"/>
      <c r="B176" s="6"/>
      <c r="C176" s="3"/>
      <c r="D176" s="6"/>
      <c r="E176" s="6"/>
      <c r="F176" s="7"/>
      <c r="G176" s="6"/>
      <c r="H176" s="8" t="str">
        <f aca="false">IF(OR($F176="",$G176=""),"",$F176+7*$G176-3)</f>
        <v/>
      </c>
      <c r="I176" s="3"/>
      <c r="J176" s="9" t="str">
        <f aca="false">IF(OR($C176="",$D176=""),"",$D176&amp;"|"&amp;COUNTIFS($D$4:$D176,$D176,$C$4:$C176,"?*"))</f>
        <v/>
      </c>
      <c r="K176" s="9" t="str">
        <f aca="false">IF(OR($C176="",$B176=""),"",$B176&amp;"|"&amp;COUNTIFS($B$4:$B176,$B176,$C$4:$C176,"?*"))</f>
        <v/>
      </c>
      <c r="L176" s="9" t="str">
        <f aca="false">IF($C176="","","ALL|"&amp;COUNTIF($C$4:$C176,"?*"))</f>
        <v/>
      </c>
    </row>
    <row r="177" customFormat="false" ht="15" hidden="false" customHeight="false" outlineLevel="0" collapsed="false">
      <c r="A177" s="6"/>
      <c r="B177" s="6"/>
      <c r="C177" s="3"/>
      <c r="D177" s="6"/>
      <c r="E177" s="6"/>
      <c r="F177" s="7"/>
      <c r="G177" s="6"/>
      <c r="H177" s="8" t="str">
        <f aca="false">IF(OR($F177="",$G177=""),"",$F177+7*$G177-3)</f>
        <v/>
      </c>
      <c r="I177" s="3"/>
      <c r="J177" s="9" t="str">
        <f aca="false">IF(OR($C177="",$D177=""),"",$D177&amp;"|"&amp;COUNTIFS($D$4:$D177,$D177,$C$4:$C177,"?*"))</f>
        <v/>
      </c>
      <c r="K177" s="9" t="str">
        <f aca="false">IF(OR($C177="",$B177=""),"",$B177&amp;"|"&amp;COUNTIFS($B$4:$B177,$B177,$C$4:$C177,"?*"))</f>
        <v/>
      </c>
      <c r="L177" s="9" t="str">
        <f aca="false">IF($C177="","","ALL|"&amp;COUNTIF($C$4:$C177,"?*"))</f>
        <v/>
      </c>
    </row>
    <row r="178" customFormat="false" ht="15" hidden="false" customHeight="false" outlineLevel="0" collapsed="false">
      <c r="A178" s="6"/>
      <c r="B178" s="6"/>
      <c r="C178" s="3"/>
      <c r="D178" s="6"/>
      <c r="E178" s="6"/>
      <c r="F178" s="7"/>
      <c r="G178" s="6"/>
      <c r="H178" s="8" t="str">
        <f aca="false">IF(OR($F178="",$G178=""),"",$F178+7*$G178-3)</f>
        <v/>
      </c>
      <c r="I178" s="3"/>
      <c r="J178" s="9" t="str">
        <f aca="false">IF(OR($C178="",$D178=""),"",$D178&amp;"|"&amp;COUNTIFS($D$4:$D178,$D178,$C$4:$C178,"?*"))</f>
        <v/>
      </c>
      <c r="K178" s="9" t="str">
        <f aca="false">IF(OR($C178="",$B178=""),"",$B178&amp;"|"&amp;COUNTIFS($B$4:$B178,$B178,$C$4:$C178,"?*"))</f>
        <v/>
      </c>
      <c r="L178" s="9" t="str">
        <f aca="false">IF($C178="","","ALL|"&amp;COUNTIF($C$4:$C178,"?*"))</f>
        <v/>
      </c>
    </row>
    <row r="179" customFormat="false" ht="15" hidden="false" customHeight="false" outlineLevel="0" collapsed="false">
      <c r="A179" s="6"/>
      <c r="B179" s="6"/>
      <c r="C179" s="3"/>
      <c r="D179" s="6"/>
      <c r="E179" s="6"/>
      <c r="F179" s="7"/>
      <c r="G179" s="6"/>
      <c r="H179" s="8" t="str">
        <f aca="false">IF(OR($F179="",$G179=""),"",$F179+7*$G179-3)</f>
        <v/>
      </c>
      <c r="I179" s="3"/>
      <c r="J179" s="9" t="str">
        <f aca="false">IF(OR($C179="",$D179=""),"",$D179&amp;"|"&amp;COUNTIFS($D$4:$D179,$D179,$C$4:$C179,"?*"))</f>
        <v/>
      </c>
      <c r="K179" s="9" t="str">
        <f aca="false">IF(OR($C179="",$B179=""),"",$B179&amp;"|"&amp;COUNTIFS($B$4:$B179,$B179,$C$4:$C179,"?*"))</f>
        <v/>
      </c>
      <c r="L179" s="9" t="str">
        <f aca="false">IF($C179="","","ALL|"&amp;COUNTIF($C$4:$C179,"?*"))</f>
        <v/>
      </c>
    </row>
    <row r="180" customFormat="false" ht="15" hidden="false" customHeight="false" outlineLevel="0" collapsed="false">
      <c r="A180" s="6"/>
      <c r="B180" s="6"/>
      <c r="C180" s="3"/>
      <c r="D180" s="6"/>
      <c r="E180" s="6"/>
      <c r="F180" s="7"/>
      <c r="G180" s="6"/>
      <c r="H180" s="8" t="str">
        <f aca="false">IF(OR($F180="",$G180=""),"",$F180+7*$G180-3)</f>
        <v/>
      </c>
      <c r="I180" s="3"/>
      <c r="J180" s="9" t="str">
        <f aca="false">IF(OR($C180="",$D180=""),"",$D180&amp;"|"&amp;COUNTIFS($D$4:$D180,$D180,$C$4:$C180,"?*"))</f>
        <v/>
      </c>
      <c r="K180" s="9" t="str">
        <f aca="false">IF(OR($C180="",$B180=""),"",$B180&amp;"|"&amp;COUNTIFS($B$4:$B180,$B180,$C$4:$C180,"?*"))</f>
        <v/>
      </c>
      <c r="L180" s="9" t="str">
        <f aca="false">IF($C180="","","ALL|"&amp;COUNTIF($C$4:$C180,"?*"))</f>
        <v/>
      </c>
    </row>
    <row r="181" customFormat="false" ht="15" hidden="false" customHeight="false" outlineLevel="0" collapsed="false">
      <c r="A181" s="6"/>
      <c r="B181" s="6"/>
      <c r="C181" s="3"/>
      <c r="D181" s="6"/>
      <c r="E181" s="6"/>
      <c r="F181" s="7"/>
      <c r="G181" s="6"/>
      <c r="H181" s="8" t="str">
        <f aca="false">IF(OR($F181="",$G181=""),"",$F181+7*$G181-3)</f>
        <v/>
      </c>
      <c r="I181" s="3"/>
      <c r="J181" s="9" t="str">
        <f aca="false">IF(OR($C181="",$D181=""),"",$D181&amp;"|"&amp;COUNTIFS($D$4:$D181,$D181,$C$4:$C181,"?*"))</f>
        <v/>
      </c>
      <c r="K181" s="9" t="str">
        <f aca="false">IF(OR($C181="",$B181=""),"",$B181&amp;"|"&amp;COUNTIFS($B$4:$B181,$B181,$C$4:$C181,"?*"))</f>
        <v/>
      </c>
      <c r="L181" s="9" t="str">
        <f aca="false">IF($C181="","","ALL|"&amp;COUNTIF($C$4:$C181,"?*"))</f>
        <v/>
      </c>
    </row>
    <row r="182" customFormat="false" ht="15" hidden="false" customHeight="false" outlineLevel="0" collapsed="false">
      <c r="A182" s="6"/>
      <c r="B182" s="6"/>
      <c r="C182" s="3"/>
      <c r="D182" s="6"/>
      <c r="E182" s="6"/>
      <c r="F182" s="7"/>
      <c r="G182" s="6"/>
      <c r="H182" s="8" t="str">
        <f aca="false">IF(OR($F182="",$G182=""),"",$F182+7*$G182-3)</f>
        <v/>
      </c>
      <c r="I182" s="3"/>
      <c r="J182" s="9" t="str">
        <f aca="false">IF(OR($C182="",$D182=""),"",$D182&amp;"|"&amp;COUNTIFS($D$4:$D182,$D182,$C$4:$C182,"?*"))</f>
        <v/>
      </c>
      <c r="K182" s="9" t="str">
        <f aca="false">IF(OR($C182="",$B182=""),"",$B182&amp;"|"&amp;COUNTIFS($B$4:$B182,$B182,$C$4:$C182,"?*"))</f>
        <v/>
      </c>
      <c r="L182" s="9" t="str">
        <f aca="false">IF($C182="","","ALL|"&amp;COUNTIF($C$4:$C182,"?*"))</f>
        <v/>
      </c>
    </row>
    <row r="183" customFormat="false" ht="15" hidden="false" customHeight="false" outlineLevel="0" collapsed="false">
      <c r="A183" s="6"/>
      <c r="B183" s="6"/>
      <c r="C183" s="3"/>
      <c r="D183" s="6"/>
      <c r="E183" s="6"/>
      <c r="F183" s="7"/>
      <c r="G183" s="6"/>
      <c r="H183" s="8" t="str">
        <f aca="false">IF(OR($F183="",$G183=""),"",$F183+7*$G183-3)</f>
        <v/>
      </c>
      <c r="I183" s="3"/>
      <c r="J183" s="9" t="str">
        <f aca="false">IF(OR($C183="",$D183=""),"",$D183&amp;"|"&amp;COUNTIFS($D$4:$D183,$D183,$C$4:$C183,"?*"))</f>
        <v/>
      </c>
      <c r="K183" s="9" t="str">
        <f aca="false">IF(OR($C183="",$B183=""),"",$B183&amp;"|"&amp;COUNTIFS($B$4:$B183,$B183,$C$4:$C183,"?*"))</f>
        <v/>
      </c>
      <c r="L183" s="9" t="str">
        <f aca="false">IF($C183="","","ALL|"&amp;COUNTIF($C$4:$C183,"?*"))</f>
        <v/>
      </c>
    </row>
    <row r="184" customFormat="false" ht="15" hidden="false" customHeight="false" outlineLevel="0" collapsed="false">
      <c r="A184" s="6"/>
      <c r="B184" s="6"/>
      <c r="C184" s="3"/>
      <c r="D184" s="6"/>
      <c r="E184" s="6"/>
      <c r="F184" s="7"/>
      <c r="G184" s="6"/>
      <c r="H184" s="8" t="str">
        <f aca="false">IF(OR($F184="",$G184=""),"",$F184+7*$G184-3)</f>
        <v/>
      </c>
      <c r="I184" s="3"/>
      <c r="J184" s="9" t="str">
        <f aca="false">IF(OR($C184="",$D184=""),"",$D184&amp;"|"&amp;COUNTIFS($D$4:$D184,$D184,$C$4:$C184,"?*"))</f>
        <v/>
      </c>
      <c r="K184" s="9" t="str">
        <f aca="false">IF(OR($C184="",$B184=""),"",$B184&amp;"|"&amp;COUNTIFS($B$4:$B184,$B184,$C$4:$C184,"?*"))</f>
        <v/>
      </c>
      <c r="L184" s="9" t="str">
        <f aca="false">IF($C184="","","ALL|"&amp;COUNTIF($C$4:$C184,"?*"))</f>
        <v/>
      </c>
    </row>
    <row r="185" customFormat="false" ht="15" hidden="false" customHeight="false" outlineLevel="0" collapsed="false">
      <c r="A185" s="6"/>
      <c r="B185" s="6"/>
      <c r="C185" s="3"/>
      <c r="D185" s="6"/>
      <c r="E185" s="6"/>
      <c r="F185" s="7"/>
      <c r="G185" s="6"/>
      <c r="H185" s="8" t="str">
        <f aca="false">IF(OR($F185="",$G185=""),"",$F185+7*$G185-3)</f>
        <v/>
      </c>
      <c r="I185" s="3"/>
      <c r="J185" s="9" t="str">
        <f aca="false">IF(OR($C185="",$D185=""),"",$D185&amp;"|"&amp;COUNTIFS($D$4:$D185,$D185,$C$4:$C185,"?*"))</f>
        <v/>
      </c>
      <c r="K185" s="9" t="str">
        <f aca="false">IF(OR($C185="",$B185=""),"",$B185&amp;"|"&amp;COUNTIFS($B$4:$B185,$B185,$C$4:$C185,"?*"))</f>
        <v/>
      </c>
      <c r="L185" s="9" t="str">
        <f aca="false">IF($C185="","","ALL|"&amp;COUNTIF($C$4:$C185,"?*"))</f>
        <v/>
      </c>
    </row>
    <row r="186" customFormat="false" ht="15" hidden="false" customHeight="false" outlineLevel="0" collapsed="false">
      <c r="A186" s="6"/>
      <c r="B186" s="6"/>
      <c r="C186" s="3"/>
      <c r="D186" s="6"/>
      <c r="E186" s="6"/>
      <c r="F186" s="7"/>
      <c r="G186" s="6"/>
      <c r="H186" s="8" t="str">
        <f aca="false">IF(OR($F186="",$G186=""),"",$F186+7*$G186-3)</f>
        <v/>
      </c>
      <c r="I186" s="3"/>
      <c r="J186" s="9" t="str">
        <f aca="false">IF(OR($C186="",$D186=""),"",$D186&amp;"|"&amp;COUNTIFS($D$4:$D186,$D186,$C$4:$C186,"?*"))</f>
        <v/>
      </c>
      <c r="K186" s="9" t="str">
        <f aca="false">IF(OR($C186="",$B186=""),"",$B186&amp;"|"&amp;COUNTIFS($B$4:$B186,$B186,$C$4:$C186,"?*"))</f>
        <v/>
      </c>
      <c r="L186" s="9" t="str">
        <f aca="false">IF($C186="","","ALL|"&amp;COUNTIF($C$4:$C186,"?*"))</f>
        <v/>
      </c>
    </row>
    <row r="187" customFormat="false" ht="15" hidden="false" customHeight="false" outlineLevel="0" collapsed="false">
      <c r="A187" s="6"/>
      <c r="B187" s="6"/>
      <c r="C187" s="3"/>
      <c r="D187" s="6"/>
      <c r="E187" s="6"/>
      <c r="F187" s="7"/>
      <c r="G187" s="6"/>
      <c r="H187" s="8" t="str">
        <f aca="false">IF(OR($F187="",$G187=""),"",$F187+7*$G187-3)</f>
        <v/>
      </c>
      <c r="I187" s="3"/>
      <c r="J187" s="9" t="str">
        <f aca="false">IF(OR($C187="",$D187=""),"",$D187&amp;"|"&amp;COUNTIFS($D$4:$D187,$D187,$C$4:$C187,"?*"))</f>
        <v/>
      </c>
      <c r="K187" s="9" t="str">
        <f aca="false">IF(OR($C187="",$B187=""),"",$B187&amp;"|"&amp;COUNTIFS($B$4:$B187,$B187,$C$4:$C187,"?*"))</f>
        <v/>
      </c>
      <c r="L187" s="9" t="str">
        <f aca="false">IF($C187="","","ALL|"&amp;COUNTIF($C$4:$C187,"?*"))</f>
        <v/>
      </c>
    </row>
    <row r="188" customFormat="false" ht="15" hidden="false" customHeight="false" outlineLevel="0" collapsed="false">
      <c r="A188" s="6"/>
      <c r="B188" s="6"/>
      <c r="C188" s="3"/>
      <c r="D188" s="6"/>
      <c r="E188" s="6"/>
      <c r="F188" s="7"/>
      <c r="G188" s="6"/>
      <c r="H188" s="8" t="str">
        <f aca="false">IF(OR($F188="",$G188=""),"",$F188+7*$G188-3)</f>
        <v/>
      </c>
      <c r="I188" s="3"/>
      <c r="J188" s="9" t="str">
        <f aca="false">IF(OR($C188="",$D188=""),"",$D188&amp;"|"&amp;COUNTIFS($D$4:$D188,$D188,$C$4:$C188,"?*"))</f>
        <v/>
      </c>
      <c r="K188" s="9" t="str">
        <f aca="false">IF(OR($C188="",$B188=""),"",$B188&amp;"|"&amp;COUNTIFS($B$4:$B188,$B188,$C$4:$C188,"?*"))</f>
        <v/>
      </c>
      <c r="L188" s="9" t="str">
        <f aca="false">IF($C188="","","ALL|"&amp;COUNTIF($C$4:$C188,"?*"))</f>
        <v/>
      </c>
    </row>
    <row r="189" customFormat="false" ht="15" hidden="false" customHeight="false" outlineLevel="0" collapsed="false">
      <c r="A189" s="6"/>
      <c r="B189" s="6"/>
      <c r="C189" s="3"/>
      <c r="D189" s="6"/>
      <c r="E189" s="6"/>
      <c r="F189" s="7"/>
      <c r="G189" s="6"/>
      <c r="H189" s="8" t="str">
        <f aca="false">IF(OR($F189="",$G189=""),"",$F189+7*$G189-3)</f>
        <v/>
      </c>
      <c r="I189" s="3"/>
      <c r="J189" s="9" t="str">
        <f aca="false">IF(OR($C189="",$D189=""),"",$D189&amp;"|"&amp;COUNTIFS($D$4:$D189,$D189,$C$4:$C189,"?*"))</f>
        <v/>
      </c>
      <c r="K189" s="9" t="str">
        <f aca="false">IF(OR($C189="",$B189=""),"",$B189&amp;"|"&amp;COUNTIFS($B$4:$B189,$B189,$C$4:$C189,"?*"))</f>
        <v/>
      </c>
      <c r="L189" s="9" t="str">
        <f aca="false">IF($C189="","","ALL|"&amp;COUNTIF($C$4:$C189,"?*"))</f>
        <v/>
      </c>
    </row>
    <row r="190" customFormat="false" ht="15" hidden="false" customHeight="false" outlineLevel="0" collapsed="false">
      <c r="A190" s="6"/>
      <c r="B190" s="6"/>
      <c r="C190" s="3"/>
      <c r="D190" s="6"/>
      <c r="E190" s="6"/>
      <c r="F190" s="7"/>
      <c r="G190" s="6"/>
      <c r="H190" s="8" t="str">
        <f aca="false">IF(OR($F190="",$G190=""),"",$F190+7*$G190-3)</f>
        <v/>
      </c>
      <c r="I190" s="3"/>
      <c r="J190" s="9" t="str">
        <f aca="false">IF(OR($C190="",$D190=""),"",$D190&amp;"|"&amp;COUNTIFS($D$4:$D190,$D190,$C$4:$C190,"?*"))</f>
        <v/>
      </c>
      <c r="K190" s="9" t="str">
        <f aca="false">IF(OR($C190="",$B190=""),"",$B190&amp;"|"&amp;COUNTIFS($B$4:$B190,$B190,$C$4:$C190,"?*"))</f>
        <v/>
      </c>
      <c r="L190" s="9" t="str">
        <f aca="false">IF($C190="","","ALL|"&amp;COUNTIF($C$4:$C190,"?*"))</f>
        <v/>
      </c>
    </row>
    <row r="191" customFormat="false" ht="15" hidden="false" customHeight="false" outlineLevel="0" collapsed="false">
      <c r="A191" s="6"/>
      <c r="B191" s="6"/>
      <c r="C191" s="3"/>
      <c r="D191" s="6"/>
      <c r="E191" s="6"/>
      <c r="F191" s="7"/>
      <c r="G191" s="6"/>
      <c r="H191" s="8" t="str">
        <f aca="false">IF(OR($F191="",$G191=""),"",$F191+7*$G191-3)</f>
        <v/>
      </c>
      <c r="I191" s="3"/>
      <c r="J191" s="9" t="str">
        <f aca="false">IF(OR($C191="",$D191=""),"",$D191&amp;"|"&amp;COUNTIFS($D$4:$D191,$D191,$C$4:$C191,"?*"))</f>
        <v/>
      </c>
      <c r="K191" s="9" t="str">
        <f aca="false">IF(OR($C191="",$B191=""),"",$B191&amp;"|"&amp;COUNTIFS($B$4:$B191,$B191,$C$4:$C191,"?*"))</f>
        <v/>
      </c>
      <c r="L191" s="9" t="str">
        <f aca="false">IF($C191="","","ALL|"&amp;COUNTIF($C$4:$C191,"?*"))</f>
        <v/>
      </c>
    </row>
    <row r="192" customFormat="false" ht="15" hidden="false" customHeight="false" outlineLevel="0" collapsed="false">
      <c r="A192" s="6"/>
      <c r="B192" s="6"/>
      <c r="C192" s="3"/>
      <c r="D192" s="6"/>
      <c r="E192" s="6"/>
      <c r="F192" s="7"/>
      <c r="G192" s="6"/>
      <c r="H192" s="8" t="str">
        <f aca="false">IF(OR($F192="",$G192=""),"",$F192+7*$G192-3)</f>
        <v/>
      </c>
      <c r="I192" s="3"/>
      <c r="J192" s="9" t="str">
        <f aca="false">IF(OR($C192="",$D192=""),"",$D192&amp;"|"&amp;COUNTIFS($D$4:$D192,$D192,$C$4:$C192,"?*"))</f>
        <v/>
      </c>
      <c r="K192" s="9" t="str">
        <f aca="false">IF(OR($C192="",$B192=""),"",$B192&amp;"|"&amp;COUNTIFS($B$4:$B192,$B192,$C$4:$C192,"?*"))</f>
        <v/>
      </c>
      <c r="L192" s="9" t="str">
        <f aca="false">IF($C192="","","ALL|"&amp;COUNTIF($C$4:$C192,"?*"))</f>
        <v/>
      </c>
    </row>
    <row r="193" customFormat="false" ht="15" hidden="false" customHeight="false" outlineLevel="0" collapsed="false">
      <c r="A193" s="6"/>
      <c r="B193" s="6"/>
      <c r="C193" s="3"/>
      <c r="D193" s="6"/>
      <c r="E193" s="6"/>
      <c r="F193" s="7"/>
      <c r="G193" s="6"/>
      <c r="H193" s="8" t="str">
        <f aca="false">IF(OR($F193="",$G193=""),"",$F193+7*$G193-3)</f>
        <v/>
      </c>
      <c r="I193" s="3"/>
      <c r="J193" s="9" t="str">
        <f aca="false">IF(OR($C193="",$D193=""),"",$D193&amp;"|"&amp;COUNTIFS($D$4:$D193,$D193,$C$4:$C193,"?*"))</f>
        <v/>
      </c>
      <c r="K193" s="9" t="str">
        <f aca="false">IF(OR($C193="",$B193=""),"",$B193&amp;"|"&amp;COUNTIFS($B$4:$B193,$B193,$C$4:$C193,"?*"))</f>
        <v/>
      </c>
      <c r="L193" s="9" t="str">
        <f aca="false">IF($C193="","","ALL|"&amp;COUNTIF($C$4:$C193,"?*"))</f>
        <v/>
      </c>
    </row>
    <row r="194" customFormat="false" ht="15" hidden="false" customHeight="false" outlineLevel="0" collapsed="false">
      <c r="A194" s="6"/>
      <c r="B194" s="6"/>
      <c r="C194" s="3"/>
      <c r="D194" s="6"/>
      <c r="E194" s="6"/>
      <c r="F194" s="7"/>
      <c r="G194" s="6"/>
      <c r="H194" s="8" t="str">
        <f aca="false">IF(OR($F194="",$G194=""),"",$F194+7*$G194-3)</f>
        <v/>
      </c>
      <c r="I194" s="3"/>
      <c r="J194" s="9" t="str">
        <f aca="false">IF(OR($C194="",$D194=""),"",$D194&amp;"|"&amp;COUNTIFS($D$4:$D194,$D194,$C$4:$C194,"?*"))</f>
        <v/>
      </c>
      <c r="K194" s="9" t="str">
        <f aca="false">IF(OR($C194="",$B194=""),"",$B194&amp;"|"&amp;COUNTIFS($B$4:$B194,$B194,$C$4:$C194,"?*"))</f>
        <v/>
      </c>
      <c r="L194" s="9" t="str">
        <f aca="false">IF($C194="","","ALL|"&amp;COUNTIF($C$4:$C194,"?*"))</f>
        <v/>
      </c>
    </row>
    <row r="195" customFormat="false" ht="15" hidden="false" customHeight="false" outlineLevel="0" collapsed="false">
      <c r="A195" s="6"/>
      <c r="B195" s="6"/>
      <c r="C195" s="3"/>
      <c r="D195" s="6"/>
      <c r="E195" s="6"/>
      <c r="F195" s="7"/>
      <c r="G195" s="6"/>
      <c r="H195" s="8" t="str">
        <f aca="false">IF(OR($F195="",$G195=""),"",$F195+7*$G195-3)</f>
        <v/>
      </c>
      <c r="I195" s="3"/>
      <c r="J195" s="9" t="str">
        <f aca="false">IF(OR($C195="",$D195=""),"",$D195&amp;"|"&amp;COUNTIFS($D$4:$D195,$D195,$C$4:$C195,"?*"))</f>
        <v/>
      </c>
      <c r="K195" s="9" t="str">
        <f aca="false">IF(OR($C195="",$B195=""),"",$B195&amp;"|"&amp;COUNTIFS($B$4:$B195,$B195,$C$4:$C195,"?*"))</f>
        <v/>
      </c>
      <c r="L195" s="9" t="str">
        <f aca="false">IF($C195="","","ALL|"&amp;COUNTIF($C$4:$C195,"?*"))</f>
        <v/>
      </c>
    </row>
    <row r="196" customFormat="false" ht="15" hidden="false" customHeight="false" outlineLevel="0" collapsed="false">
      <c r="A196" s="6"/>
      <c r="B196" s="6"/>
      <c r="C196" s="3"/>
      <c r="D196" s="6"/>
      <c r="E196" s="6"/>
      <c r="F196" s="7"/>
      <c r="G196" s="6"/>
      <c r="H196" s="8" t="str">
        <f aca="false">IF(OR($F196="",$G196=""),"",$F196+7*$G196-3)</f>
        <v/>
      </c>
      <c r="I196" s="3"/>
      <c r="J196" s="9" t="str">
        <f aca="false">IF(OR($C196="",$D196=""),"",$D196&amp;"|"&amp;COUNTIFS($D$4:$D196,$D196,$C$4:$C196,"?*"))</f>
        <v/>
      </c>
      <c r="K196" s="9" t="str">
        <f aca="false">IF(OR($C196="",$B196=""),"",$B196&amp;"|"&amp;COUNTIFS($B$4:$B196,$B196,$C$4:$C196,"?*"))</f>
        <v/>
      </c>
      <c r="L196" s="9" t="str">
        <f aca="false">IF($C196="","","ALL|"&amp;COUNTIF($C$4:$C196,"?*"))</f>
        <v/>
      </c>
    </row>
    <row r="197" customFormat="false" ht="15" hidden="false" customHeight="false" outlineLevel="0" collapsed="false">
      <c r="A197" s="6"/>
      <c r="B197" s="6"/>
      <c r="C197" s="3"/>
      <c r="D197" s="6"/>
      <c r="E197" s="6"/>
      <c r="F197" s="7"/>
      <c r="G197" s="6"/>
      <c r="H197" s="8" t="str">
        <f aca="false">IF(OR($F197="",$G197=""),"",$F197+7*$G197-3)</f>
        <v/>
      </c>
      <c r="I197" s="3"/>
      <c r="J197" s="9" t="str">
        <f aca="false">IF(OR($C197="",$D197=""),"",$D197&amp;"|"&amp;COUNTIFS($D$4:$D197,$D197,$C$4:$C197,"?*"))</f>
        <v/>
      </c>
      <c r="K197" s="9" t="str">
        <f aca="false">IF(OR($C197="",$B197=""),"",$B197&amp;"|"&amp;COUNTIFS($B$4:$B197,$B197,$C$4:$C197,"?*"))</f>
        <v/>
      </c>
      <c r="L197" s="9" t="str">
        <f aca="false">IF($C197="","","ALL|"&amp;COUNTIF($C$4:$C197,"?*"))</f>
        <v/>
      </c>
    </row>
    <row r="198" customFormat="false" ht="15" hidden="false" customHeight="false" outlineLevel="0" collapsed="false">
      <c r="A198" s="6"/>
      <c r="B198" s="6"/>
      <c r="C198" s="3"/>
      <c r="D198" s="6"/>
      <c r="E198" s="6"/>
      <c r="F198" s="7"/>
      <c r="G198" s="6"/>
      <c r="H198" s="8" t="str">
        <f aca="false">IF(OR($F198="",$G198=""),"",$F198+7*$G198-3)</f>
        <v/>
      </c>
      <c r="I198" s="3"/>
      <c r="J198" s="9" t="str">
        <f aca="false">IF(OR($C198="",$D198=""),"",$D198&amp;"|"&amp;COUNTIFS($D$4:$D198,$D198,$C$4:$C198,"?*"))</f>
        <v/>
      </c>
      <c r="K198" s="9" t="str">
        <f aca="false">IF(OR($C198="",$B198=""),"",$B198&amp;"|"&amp;COUNTIFS($B$4:$B198,$B198,$C$4:$C198,"?*"))</f>
        <v/>
      </c>
      <c r="L198" s="9" t="str">
        <f aca="false">IF($C198="","","ALL|"&amp;COUNTIF($C$4:$C198,"?*"))</f>
        <v/>
      </c>
    </row>
    <row r="199" customFormat="false" ht="15" hidden="false" customHeight="false" outlineLevel="0" collapsed="false">
      <c r="A199" s="6"/>
      <c r="B199" s="6"/>
      <c r="C199" s="3"/>
      <c r="D199" s="6"/>
      <c r="E199" s="6"/>
      <c r="F199" s="7"/>
      <c r="G199" s="6"/>
      <c r="H199" s="8" t="str">
        <f aca="false">IF(OR($F199="",$G199=""),"",$F199+7*$G199-3)</f>
        <v/>
      </c>
      <c r="I199" s="3"/>
      <c r="J199" s="9" t="str">
        <f aca="false">IF(OR($C199="",$D199=""),"",$D199&amp;"|"&amp;COUNTIFS($D$4:$D199,$D199,$C$4:$C199,"?*"))</f>
        <v/>
      </c>
      <c r="K199" s="9" t="str">
        <f aca="false">IF(OR($C199="",$B199=""),"",$B199&amp;"|"&amp;COUNTIFS($B$4:$B199,$B199,$C$4:$C199,"?*"))</f>
        <v/>
      </c>
      <c r="L199" s="9" t="str">
        <f aca="false">IF($C199="","","ALL|"&amp;COUNTIF($C$4:$C199,"?*"))</f>
        <v/>
      </c>
    </row>
    <row r="200" customFormat="false" ht="15" hidden="false" customHeight="false" outlineLevel="0" collapsed="false">
      <c r="A200" s="6"/>
      <c r="B200" s="6"/>
      <c r="C200" s="3"/>
      <c r="D200" s="6"/>
      <c r="E200" s="6"/>
      <c r="F200" s="7"/>
      <c r="G200" s="6"/>
      <c r="H200" s="8" t="str">
        <f aca="false">IF(OR($F200="",$G200=""),"",$F200+7*$G200-3)</f>
        <v/>
      </c>
      <c r="I200" s="3"/>
      <c r="J200" s="9" t="str">
        <f aca="false">IF(OR($C200="",$D200=""),"",$D200&amp;"|"&amp;COUNTIFS($D$4:$D200,$D200,$C$4:$C200,"?*"))</f>
        <v/>
      </c>
      <c r="K200" s="9" t="str">
        <f aca="false">IF(OR($C200="",$B200=""),"",$B200&amp;"|"&amp;COUNTIFS($B$4:$B200,$B200,$C$4:$C200,"?*"))</f>
        <v/>
      </c>
      <c r="L200" s="9" t="str">
        <f aca="false">IF($C200="","","ALL|"&amp;COUNTIF($C$4:$C200,"?*"))</f>
        <v/>
      </c>
    </row>
    <row r="201" customFormat="false" ht="15" hidden="false" customHeight="false" outlineLevel="0" collapsed="false">
      <c r="A201" s="6"/>
      <c r="B201" s="6"/>
      <c r="C201" s="3"/>
      <c r="D201" s="6"/>
      <c r="E201" s="6"/>
      <c r="F201" s="7"/>
      <c r="G201" s="6"/>
      <c r="H201" s="8" t="str">
        <f aca="false">IF(OR($F201="",$G201=""),"",$F201+7*$G201-3)</f>
        <v/>
      </c>
      <c r="I201" s="3"/>
      <c r="J201" s="9" t="str">
        <f aca="false">IF(OR($C201="",$D201=""),"",$D201&amp;"|"&amp;COUNTIFS($D$4:$D201,$D201,$C$4:$C201,"?*"))</f>
        <v/>
      </c>
      <c r="K201" s="9" t="str">
        <f aca="false">IF(OR($C201="",$B201=""),"",$B201&amp;"|"&amp;COUNTIFS($B$4:$B201,$B201,$C$4:$C201,"?*"))</f>
        <v/>
      </c>
      <c r="L201" s="9" t="str">
        <f aca="false">IF($C201="","","ALL|"&amp;COUNTIF($C$4:$C201,"?*"))</f>
        <v/>
      </c>
    </row>
    <row r="202" customFormat="false" ht="15" hidden="false" customHeight="false" outlineLevel="0" collapsed="false">
      <c r="A202" s="6"/>
      <c r="B202" s="6"/>
      <c r="C202" s="3"/>
      <c r="D202" s="6"/>
      <c r="E202" s="6"/>
      <c r="F202" s="7"/>
      <c r="G202" s="6"/>
      <c r="H202" s="8" t="str">
        <f aca="false">IF(OR($F202="",$G202=""),"",$F202+7*$G202-3)</f>
        <v/>
      </c>
      <c r="I202" s="3"/>
      <c r="J202" s="9" t="str">
        <f aca="false">IF(OR($C202="",$D202=""),"",$D202&amp;"|"&amp;COUNTIFS($D$4:$D202,$D202,$C$4:$C202,"?*"))</f>
        <v/>
      </c>
      <c r="K202" s="9" t="str">
        <f aca="false">IF(OR($C202="",$B202=""),"",$B202&amp;"|"&amp;COUNTIFS($B$4:$B202,$B202,$C$4:$C202,"?*"))</f>
        <v/>
      </c>
      <c r="L202" s="9" t="str">
        <f aca="false">IF($C202="","","ALL|"&amp;COUNTIF($C$4:$C202,"?*"))</f>
        <v/>
      </c>
    </row>
    <row r="203" customFormat="false" ht="15" hidden="false" customHeight="false" outlineLevel="0" collapsed="false">
      <c r="A203" s="6"/>
      <c r="B203" s="6"/>
      <c r="C203" s="3"/>
      <c r="D203" s="6"/>
      <c r="E203" s="6"/>
      <c r="F203" s="7"/>
      <c r="G203" s="6"/>
      <c r="H203" s="8" t="str">
        <f aca="false">IF(OR($F203="",$G203=""),"",$F203+7*$G203-3)</f>
        <v/>
      </c>
      <c r="I203" s="3"/>
      <c r="J203" s="9" t="str">
        <f aca="false">IF(OR($C203="",$D203=""),"",$D203&amp;"|"&amp;COUNTIFS($D$4:$D203,$D203,$C$4:$C203,"?*"))</f>
        <v/>
      </c>
      <c r="K203" s="9" t="str">
        <f aca="false">IF(OR($C203="",$B203=""),"",$B203&amp;"|"&amp;COUNTIFS($B$4:$B203,$B203,$C$4:$C203,"?*"))</f>
        <v/>
      </c>
      <c r="L203" s="9" t="str">
        <f aca="false">IF($C203="","","ALL|"&amp;COUNTIF($C$4:$C203,"?*"))</f>
        <v/>
      </c>
    </row>
    <row r="204" customFormat="false" ht="15" hidden="false" customHeight="false" outlineLevel="0" collapsed="false">
      <c r="A204" s="6"/>
      <c r="B204" s="6"/>
      <c r="C204" s="3"/>
      <c r="D204" s="6"/>
      <c r="E204" s="6"/>
      <c r="F204" s="7"/>
      <c r="G204" s="6"/>
      <c r="H204" s="8" t="str">
        <f aca="false">IF(OR($F204="",$G204=""),"",$F204+7*$G204-3)</f>
        <v/>
      </c>
      <c r="I204" s="3"/>
      <c r="J204" s="9" t="str">
        <f aca="false">IF(OR($C204="",$D204=""),"",$D204&amp;"|"&amp;COUNTIFS($D$4:$D204,$D204,$C$4:$C204,"?*"))</f>
        <v/>
      </c>
      <c r="K204" s="9" t="str">
        <f aca="false">IF(OR($C204="",$B204=""),"",$B204&amp;"|"&amp;COUNTIFS($B$4:$B204,$B204,$C$4:$C204,"?*"))</f>
        <v/>
      </c>
      <c r="L204" s="9" t="str">
        <f aca="false">IF($C204="","","ALL|"&amp;COUNTIF($C$4:$C204,"?*"))</f>
        <v/>
      </c>
    </row>
    <row r="205" customFormat="false" ht="15" hidden="false" customHeight="false" outlineLevel="0" collapsed="false">
      <c r="A205" s="6"/>
      <c r="B205" s="6"/>
      <c r="C205" s="3"/>
      <c r="D205" s="6"/>
      <c r="E205" s="6"/>
      <c r="F205" s="7"/>
      <c r="G205" s="6"/>
      <c r="H205" s="8" t="str">
        <f aca="false">IF(OR($F205="",$G205=""),"",$F205+7*$G205-3)</f>
        <v/>
      </c>
      <c r="I205" s="3"/>
      <c r="J205" s="9" t="str">
        <f aca="false">IF(OR($C205="",$D205=""),"",$D205&amp;"|"&amp;COUNTIFS($D$4:$D205,$D205,$C$4:$C205,"?*"))</f>
        <v/>
      </c>
      <c r="K205" s="9" t="str">
        <f aca="false">IF(OR($C205="",$B205=""),"",$B205&amp;"|"&amp;COUNTIFS($B$4:$B205,$B205,$C$4:$C205,"?*"))</f>
        <v/>
      </c>
      <c r="L205" s="9" t="str">
        <f aca="false">IF($C205="","","ALL|"&amp;COUNTIF($C$4:$C205,"?*"))</f>
        <v/>
      </c>
    </row>
    <row r="206" customFormat="false" ht="15" hidden="false" customHeight="false" outlineLevel="0" collapsed="false">
      <c r="A206" s="6"/>
      <c r="B206" s="6"/>
      <c r="C206" s="3"/>
      <c r="D206" s="6"/>
      <c r="E206" s="6"/>
      <c r="F206" s="7"/>
      <c r="G206" s="6"/>
      <c r="H206" s="8" t="str">
        <f aca="false">IF(OR($F206="",$G206=""),"",$F206+7*$G206-3)</f>
        <v/>
      </c>
      <c r="I206" s="3"/>
      <c r="J206" s="9" t="str">
        <f aca="false">IF(OR($C206="",$D206=""),"",$D206&amp;"|"&amp;COUNTIFS($D$4:$D206,$D206,$C$4:$C206,"?*"))</f>
        <v/>
      </c>
      <c r="K206" s="9" t="str">
        <f aca="false">IF(OR($C206="",$B206=""),"",$B206&amp;"|"&amp;COUNTIFS($B$4:$B206,$B206,$C$4:$C206,"?*"))</f>
        <v/>
      </c>
      <c r="L206" s="9" t="str">
        <f aca="false">IF($C206="","","ALL|"&amp;COUNTIF($C$4:$C206,"?*"))</f>
        <v/>
      </c>
    </row>
    <row r="207" customFormat="false" ht="15" hidden="false" customHeight="false" outlineLevel="0" collapsed="false">
      <c r="A207" s="6"/>
      <c r="B207" s="6"/>
      <c r="C207" s="3"/>
      <c r="D207" s="6"/>
      <c r="E207" s="6"/>
      <c r="F207" s="7"/>
      <c r="G207" s="6"/>
      <c r="H207" s="8" t="str">
        <f aca="false">IF(OR($F207="",$G207=""),"",$F207+7*$G207-3)</f>
        <v/>
      </c>
      <c r="I207" s="3"/>
      <c r="J207" s="9" t="str">
        <f aca="false">IF(OR($C207="",$D207=""),"",$D207&amp;"|"&amp;COUNTIFS($D$4:$D207,$D207,$C$4:$C207,"?*"))</f>
        <v/>
      </c>
      <c r="K207" s="9" t="str">
        <f aca="false">IF(OR($C207="",$B207=""),"",$B207&amp;"|"&amp;COUNTIFS($B$4:$B207,$B207,$C$4:$C207,"?*"))</f>
        <v/>
      </c>
      <c r="L207" s="9" t="str">
        <f aca="false">IF($C207="","","ALL|"&amp;COUNTIF($C$4:$C207,"?*"))</f>
        <v/>
      </c>
    </row>
    <row r="208" customFormat="false" ht="15" hidden="false" customHeight="false" outlineLevel="0" collapsed="false">
      <c r="A208" s="6"/>
      <c r="B208" s="6"/>
      <c r="C208" s="3"/>
      <c r="D208" s="6"/>
      <c r="E208" s="6"/>
      <c r="F208" s="7"/>
      <c r="G208" s="6"/>
      <c r="H208" s="8" t="str">
        <f aca="false">IF(OR($F208="",$G208=""),"",$F208+7*$G208-3)</f>
        <v/>
      </c>
      <c r="I208" s="3"/>
      <c r="J208" s="9" t="str">
        <f aca="false">IF(OR($C208="",$D208=""),"",$D208&amp;"|"&amp;COUNTIFS($D$4:$D208,$D208,$C$4:$C208,"?*"))</f>
        <v/>
      </c>
      <c r="K208" s="9" t="str">
        <f aca="false">IF(OR($C208="",$B208=""),"",$B208&amp;"|"&amp;COUNTIFS($B$4:$B208,$B208,$C$4:$C208,"?*"))</f>
        <v/>
      </c>
      <c r="L208" s="9" t="str">
        <f aca="false">IF($C208="","","ALL|"&amp;COUNTIF($C$4:$C208,"?*"))</f>
        <v/>
      </c>
    </row>
    <row r="209" customFormat="false" ht="15" hidden="false" customHeight="false" outlineLevel="0" collapsed="false">
      <c r="A209" s="6"/>
      <c r="B209" s="6"/>
      <c r="C209" s="3"/>
      <c r="D209" s="6"/>
      <c r="E209" s="6"/>
      <c r="F209" s="7"/>
      <c r="G209" s="6"/>
      <c r="H209" s="8" t="str">
        <f aca="false">IF(OR($F209="",$G209=""),"",$F209+7*$G209-3)</f>
        <v/>
      </c>
      <c r="I209" s="3"/>
      <c r="J209" s="9" t="str">
        <f aca="false">IF(OR($C209="",$D209=""),"",$D209&amp;"|"&amp;COUNTIFS($D$4:$D209,$D209,$C$4:$C209,"?*"))</f>
        <v/>
      </c>
      <c r="K209" s="9" t="str">
        <f aca="false">IF(OR($C209="",$B209=""),"",$B209&amp;"|"&amp;COUNTIFS($B$4:$B209,$B209,$C$4:$C209,"?*"))</f>
        <v/>
      </c>
      <c r="L209" s="9" t="str">
        <f aca="false">IF($C209="","","ALL|"&amp;COUNTIF($C$4:$C209,"?*"))</f>
        <v/>
      </c>
    </row>
    <row r="210" customFormat="false" ht="15" hidden="false" customHeight="false" outlineLevel="0" collapsed="false">
      <c r="A210" s="6"/>
      <c r="B210" s="6"/>
      <c r="C210" s="3"/>
      <c r="D210" s="6"/>
      <c r="E210" s="6"/>
      <c r="F210" s="7"/>
      <c r="G210" s="6"/>
      <c r="H210" s="8" t="str">
        <f aca="false">IF(OR($F210="",$G210=""),"",$F210+7*$G210-3)</f>
        <v/>
      </c>
      <c r="I210" s="3"/>
      <c r="J210" s="9" t="str">
        <f aca="false">IF(OR($C210="",$D210=""),"",$D210&amp;"|"&amp;COUNTIFS($D$4:$D210,$D210,$C$4:$C210,"?*"))</f>
        <v/>
      </c>
      <c r="K210" s="9" t="str">
        <f aca="false">IF(OR($C210="",$B210=""),"",$B210&amp;"|"&amp;COUNTIFS($B$4:$B210,$B210,$C$4:$C210,"?*"))</f>
        <v/>
      </c>
      <c r="L210" s="9" t="str">
        <f aca="false">IF($C210="","","ALL|"&amp;COUNTIF($C$4:$C210,"?*"))</f>
        <v/>
      </c>
    </row>
    <row r="211" customFormat="false" ht="15" hidden="false" customHeight="false" outlineLevel="0" collapsed="false">
      <c r="A211" s="6"/>
      <c r="B211" s="6"/>
      <c r="C211" s="3"/>
      <c r="D211" s="6"/>
      <c r="E211" s="6"/>
      <c r="F211" s="7"/>
      <c r="G211" s="6"/>
      <c r="H211" s="8" t="str">
        <f aca="false">IF(OR($F211="",$G211=""),"",$F211+7*$G211-3)</f>
        <v/>
      </c>
      <c r="I211" s="3"/>
      <c r="J211" s="9" t="str">
        <f aca="false">IF(OR($C211="",$D211=""),"",$D211&amp;"|"&amp;COUNTIFS($D$4:$D211,$D211,$C$4:$C211,"?*"))</f>
        <v/>
      </c>
      <c r="K211" s="9" t="str">
        <f aca="false">IF(OR($C211="",$B211=""),"",$B211&amp;"|"&amp;COUNTIFS($B$4:$B211,$B211,$C$4:$C211,"?*"))</f>
        <v/>
      </c>
      <c r="L211" s="9" t="str">
        <f aca="false">IF($C211="","","ALL|"&amp;COUNTIF($C$4:$C211,"?*"))</f>
        <v/>
      </c>
    </row>
    <row r="212" customFormat="false" ht="15" hidden="false" customHeight="false" outlineLevel="0" collapsed="false">
      <c r="A212" s="6"/>
      <c r="B212" s="6"/>
      <c r="C212" s="3"/>
      <c r="D212" s="6"/>
      <c r="E212" s="6"/>
      <c r="F212" s="7"/>
      <c r="G212" s="6"/>
      <c r="H212" s="8" t="str">
        <f aca="false">IF(OR($F212="",$G212=""),"",$F212+7*$G212-3)</f>
        <v/>
      </c>
      <c r="I212" s="3"/>
      <c r="J212" s="9" t="str">
        <f aca="false">IF(OR($C212="",$D212=""),"",$D212&amp;"|"&amp;COUNTIFS($D$4:$D212,$D212,$C$4:$C212,"?*"))</f>
        <v/>
      </c>
      <c r="K212" s="9" t="str">
        <f aca="false">IF(OR($C212="",$B212=""),"",$B212&amp;"|"&amp;COUNTIFS($B$4:$B212,$B212,$C$4:$C212,"?*"))</f>
        <v/>
      </c>
      <c r="L212" s="9" t="str">
        <f aca="false">IF($C212="","","ALL|"&amp;COUNTIF($C$4:$C212,"?*"))</f>
        <v/>
      </c>
    </row>
    <row r="213" customFormat="false" ht="15" hidden="false" customHeight="false" outlineLevel="0" collapsed="false">
      <c r="A213" s="6"/>
      <c r="B213" s="6"/>
      <c r="C213" s="3"/>
      <c r="D213" s="6"/>
      <c r="E213" s="6"/>
      <c r="F213" s="7"/>
      <c r="G213" s="6"/>
      <c r="H213" s="8" t="str">
        <f aca="false">IF(OR($F213="",$G213=""),"",$F213+7*$G213-3)</f>
        <v/>
      </c>
      <c r="I213" s="3"/>
      <c r="J213" s="9" t="str">
        <f aca="false">IF(OR($C213="",$D213=""),"",$D213&amp;"|"&amp;COUNTIFS($D$4:$D213,$D213,$C$4:$C213,"?*"))</f>
        <v/>
      </c>
      <c r="K213" s="9" t="str">
        <f aca="false">IF(OR($C213="",$B213=""),"",$B213&amp;"|"&amp;COUNTIFS($B$4:$B213,$B213,$C$4:$C213,"?*"))</f>
        <v/>
      </c>
      <c r="L213" s="9" t="str">
        <f aca="false">IF($C213="","","ALL|"&amp;COUNTIF($C$4:$C213,"?*"))</f>
        <v/>
      </c>
    </row>
    <row r="214" customFormat="false" ht="15" hidden="false" customHeight="false" outlineLevel="0" collapsed="false">
      <c r="A214" s="6"/>
      <c r="B214" s="6"/>
      <c r="C214" s="3"/>
      <c r="D214" s="6"/>
      <c r="E214" s="6"/>
      <c r="F214" s="7"/>
      <c r="G214" s="6"/>
      <c r="H214" s="8" t="str">
        <f aca="false">IF(OR($F214="",$G214=""),"",$F214+7*$G214-3)</f>
        <v/>
      </c>
      <c r="I214" s="3"/>
      <c r="J214" s="9" t="str">
        <f aca="false">IF(OR($C214="",$D214=""),"",$D214&amp;"|"&amp;COUNTIFS($D$4:$D214,$D214,$C$4:$C214,"?*"))</f>
        <v/>
      </c>
      <c r="K214" s="9" t="str">
        <f aca="false">IF(OR($C214="",$B214=""),"",$B214&amp;"|"&amp;COUNTIFS($B$4:$B214,$B214,$C$4:$C214,"?*"))</f>
        <v/>
      </c>
      <c r="L214" s="9" t="str">
        <f aca="false">IF($C214="","","ALL|"&amp;COUNTIF($C$4:$C214,"?*"))</f>
        <v/>
      </c>
    </row>
    <row r="215" customFormat="false" ht="15" hidden="false" customHeight="false" outlineLevel="0" collapsed="false">
      <c r="A215" s="6"/>
      <c r="B215" s="6"/>
      <c r="C215" s="3"/>
      <c r="D215" s="6"/>
      <c r="E215" s="6"/>
      <c r="F215" s="7"/>
      <c r="G215" s="6"/>
      <c r="H215" s="8" t="str">
        <f aca="false">IF(OR($F215="",$G215=""),"",$F215+7*$G215-3)</f>
        <v/>
      </c>
      <c r="I215" s="3"/>
      <c r="J215" s="9" t="str">
        <f aca="false">IF(OR($C215="",$D215=""),"",$D215&amp;"|"&amp;COUNTIFS($D$4:$D215,$D215,$C$4:$C215,"?*"))</f>
        <v/>
      </c>
      <c r="K215" s="9" t="str">
        <f aca="false">IF(OR($C215="",$B215=""),"",$B215&amp;"|"&amp;COUNTIFS($B$4:$B215,$B215,$C$4:$C215,"?*"))</f>
        <v/>
      </c>
      <c r="L215" s="9" t="str">
        <f aca="false">IF($C215="","","ALL|"&amp;COUNTIF($C$4:$C215,"?*"))</f>
        <v/>
      </c>
    </row>
    <row r="216" customFormat="false" ht="15" hidden="false" customHeight="false" outlineLevel="0" collapsed="false">
      <c r="A216" s="6"/>
      <c r="B216" s="6"/>
      <c r="C216" s="3"/>
      <c r="D216" s="6"/>
      <c r="E216" s="6"/>
      <c r="F216" s="7"/>
      <c r="G216" s="6"/>
      <c r="H216" s="8" t="str">
        <f aca="false">IF(OR($F216="",$G216=""),"",$F216+7*$G216-3)</f>
        <v/>
      </c>
      <c r="I216" s="3"/>
      <c r="J216" s="9" t="str">
        <f aca="false">IF(OR($C216="",$D216=""),"",$D216&amp;"|"&amp;COUNTIFS($D$4:$D216,$D216,$C$4:$C216,"?*"))</f>
        <v/>
      </c>
      <c r="K216" s="9" t="str">
        <f aca="false">IF(OR($C216="",$B216=""),"",$B216&amp;"|"&amp;COUNTIFS($B$4:$B216,$B216,$C$4:$C216,"?*"))</f>
        <v/>
      </c>
      <c r="L216" s="9" t="str">
        <f aca="false">IF($C216="","","ALL|"&amp;COUNTIF($C$4:$C216,"?*"))</f>
        <v/>
      </c>
    </row>
    <row r="217" customFormat="false" ht="15" hidden="false" customHeight="false" outlineLevel="0" collapsed="false">
      <c r="A217" s="6"/>
      <c r="B217" s="6"/>
      <c r="C217" s="3"/>
      <c r="D217" s="6"/>
      <c r="E217" s="6"/>
      <c r="F217" s="7"/>
      <c r="G217" s="6"/>
      <c r="H217" s="8" t="str">
        <f aca="false">IF(OR($F217="",$G217=""),"",$F217+7*$G217-3)</f>
        <v/>
      </c>
      <c r="I217" s="3"/>
      <c r="J217" s="9" t="str">
        <f aca="false">IF(OR($C217="",$D217=""),"",$D217&amp;"|"&amp;COUNTIFS($D$4:$D217,$D217,$C$4:$C217,"?*"))</f>
        <v/>
      </c>
      <c r="K217" s="9" t="str">
        <f aca="false">IF(OR($C217="",$B217=""),"",$B217&amp;"|"&amp;COUNTIFS($B$4:$B217,$B217,$C$4:$C217,"?*"))</f>
        <v/>
      </c>
      <c r="L217" s="9" t="str">
        <f aca="false">IF($C217="","","ALL|"&amp;COUNTIF($C$4:$C217,"?*"))</f>
        <v/>
      </c>
    </row>
    <row r="218" customFormat="false" ht="15" hidden="false" customHeight="false" outlineLevel="0" collapsed="false">
      <c r="A218" s="6"/>
      <c r="B218" s="6"/>
      <c r="C218" s="3"/>
      <c r="D218" s="6"/>
      <c r="E218" s="6"/>
      <c r="F218" s="7"/>
      <c r="G218" s="6"/>
      <c r="H218" s="8" t="str">
        <f aca="false">IF(OR($F218="",$G218=""),"",$F218+7*$G218-3)</f>
        <v/>
      </c>
      <c r="I218" s="3"/>
      <c r="J218" s="9" t="str">
        <f aca="false">IF(OR($C218="",$D218=""),"",$D218&amp;"|"&amp;COUNTIFS($D$4:$D218,$D218,$C$4:$C218,"?*"))</f>
        <v/>
      </c>
      <c r="K218" s="9" t="str">
        <f aca="false">IF(OR($C218="",$B218=""),"",$B218&amp;"|"&amp;COUNTIFS($B$4:$B218,$B218,$C$4:$C218,"?*"))</f>
        <v/>
      </c>
      <c r="L218" s="9" t="str">
        <f aca="false">IF($C218="","","ALL|"&amp;COUNTIF($C$4:$C218,"?*"))</f>
        <v/>
      </c>
    </row>
    <row r="219" customFormat="false" ht="15" hidden="false" customHeight="false" outlineLevel="0" collapsed="false">
      <c r="A219" s="6"/>
      <c r="B219" s="6"/>
      <c r="C219" s="3"/>
      <c r="D219" s="6"/>
      <c r="E219" s="6"/>
      <c r="F219" s="7"/>
      <c r="G219" s="6"/>
      <c r="H219" s="8" t="str">
        <f aca="false">IF(OR($F219="",$G219=""),"",$F219+7*$G219-3)</f>
        <v/>
      </c>
      <c r="I219" s="3"/>
      <c r="J219" s="9" t="str">
        <f aca="false">IF(OR($C219="",$D219=""),"",$D219&amp;"|"&amp;COUNTIFS($D$4:$D219,$D219,$C$4:$C219,"?*"))</f>
        <v/>
      </c>
      <c r="K219" s="9" t="str">
        <f aca="false">IF(OR($C219="",$B219=""),"",$B219&amp;"|"&amp;COUNTIFS($B$4:$B219,$B219,$C$4:$C219,"?*"))</f>
        <v/>
      </c>
      <c r="L219" s="9" t="str">
        <f aca="false">IF($C219="","","ALL|"&amp;COUNTIF($C$4:$C219,"?*"))</f>
        <v/>
      </c>
    </row>
    <row r="220" customFormat="false" ht="15" hidden="false" customHeight="false" outlineLevel="0" collapsed="false">
      <c r="A220" s="6"/>
      <c r="B220" s="6"/>
      <c r="C220" s="3"/>
      <c r="D220" s="6"/>
      <c r="E220" s="6"/>
      <c r="F220" s="7"/>
      <c r="G220" s="6"/>
      <c r="H220" s="8" t="str">
        <f aca="false">IF(OR($F220="",$G220=""),"",$F220+7*$G220-3)</f>
        <v/>
      </c>
      <c r="I220" s="3"/>
      <c r="J220" s="9" t="str">
        <f aca="false">IF(OR($C220="",$D220=""),"",$D220&amp;"|"&amp;COUNTIFS($D$4:$D220,$D220,$C$4:$C220,"?*"))</f>
        <v/>
      </c>
      <c r="K220" s="9" t="str">
        <f aca="false">IF(OR($C220="",$B220=""),"",$B220&amp;"|"&amp;COUNTIFS($B$4:$B220,$B220,$C$4:$C220,"?*"))</f>
        <v/>
      </c>
      <c r="L220" s="9" t="str">
        <f aca="false">IF($C220="","","ALL|"&amp;COUNTIF($C$4:$C220,"?*"))</f>
        <v/>
      </c>
    </row>
    <row r="221" customFormat="false" ht="15" hidden="false" customHeight="false" outlineLevel="0" collapsed="false">
      <c r="A221" s="6"/>
      <c r="B221" s="6"/>
      <c r="C221" s="3"/>
      <c r="D221" s="6"/>
      <c r="E221" s="6"/>
      <c r="F221" s="7"/>
      <c r="G221" s="6"/>
      <c r="H221" s="8" t="str">
        <f aca="false">IF(OR($F221="",$G221=""),"",$F221+7*$G221-3)</f>
        <v/>
      </c>
      <c r="I221" s="3"/>
      <c r="J221" s="9" t="str">
        <f aca="false">IF(OR($C221="",$D221=""),"",$D221&amp;"|"&amp;COUNTIFS($D$4:$D221,$D221,$C$4:$C221,"?*"))</f>
        <v/>
      </c>
      <c r="K221" s="9" t="str">
        <f aca="false">IF(OR($C221="",$B221=""),"",$B221&amp;"|"&amp;COUNTIFS($B$4:$B221,$B221,$C$4:$C221,"?*"))</f>
        <v/>
      </c>
      <c r="L221" s="9" t="str">
        <f aca="false">IF($C221="","","ALL|"&amp;COUNTIF($C$4:$C221,"?*"))</f>
        <v/>
      </c>
    </row>
    <row r="222" customFormat="false" ht="15" hidden="false" customHeight="false" outlineLevel="0" collapsed="false">
      <c r="A222" s="6"/>
      <c r="B222" s="6"/>
      <c r="C222" s="3"/>
      <c r="D222" s="6"/>
      <c r="E222" s="6"/>
      <c r="F222" s="7"/>
      <c r="G222" s="6"/>
      <c r="H222" s="8" t="str">
        <f aca="false">IF(OR($F222="",$G222=""),"",$F222+7*$G222-3)</f>
        <v/>
      </c>
      <c r="I222" s="3"/>
      <c r="J222" s="9" t="str">
        <f aca="false">IF(OR($C222="",$D222=""),"",$D222&amp;"|"&amp;COUNTIFS($D$4:$D222,$D222,$C$4:$C222,"?*"))</f>
        <v/>
      </c>
      <c r="K222" s="9" t="str">
        <f aca="false">IF(OR($C222="",$B222=""),"",$B222&amp;"|"&amp;COUNTIFS($B$4:$B222,$B222,$C$4:$C222,"?*"))</f>
        <v/>
      </c>
      <c r="L222" s="9" t="str">
        <f aca="false">IF($C222="","","ALL|"&amp;COUNTIF($C$4:$C222,"?*"))</f>
        <v/>
      </c>
    </row>
    <row r="223" customFormat="false" ht="15" hidden="false" customHeight="false" outlineLevel="0" collapsed="false">
      <c r="A223" s="6"/>
      <c r="B223" s="6"/>
      <c r="C223" s="3"/>
      <c r="D223" s="6"/>
      <c r="E223" s="6"/>
      <c r="F223" s="7"/>
      <c r="G223" s="6"/>
      <c r="H223" s="8" t="str">
        <f aca="false">IF(OR($F223="",$G223=""),"",$F223+7*$G223-3)</f>
        <v/>
      </c>
      <c r="I223" s="3"/>
      <c r="J223" s="9" t="str">
        <f aca="false">IF(OR($C223="",$D223=""),"",$D223&amp;"|"&amp;COUNTIFS($D$4:$D223,$D223,$C$4:$C223,"?*"))</f>
        <v/>
      </c>
      <c r="K223" s="9" t="str">
        <f aca="false">IF(OR($C223="",$B223=""),"",$B223&amp;"|"&amp;COUNTIFS($B$4:$B223,$B223,$C$4:$C223,"?*"))</f>
        <v/>
      </c>
      <c r="L223" s="9" t="str">
        <f aca="false">IF($C223="","","ALL|"&amp;COUNTIF($C$4:$C223,"?*"))</f>
        <v/>
      </c>
    </row>
    <row r="224" customFormat="false" ht="15" hidden="false" customHeight="false" outlineLevel="0" collapsed="false">
      <c r="A224" s="6"/>
      <c r="B224" s="6"/>
      <c r="C224" s="3"/>
      <c r="D224" s="6"/>
      <c r="E224" s="6"/>
      <c r="F224" s="7"/>
      <c r="G224" s="6"/>
      <c r="H224" s="8" t="str">
        <f aca="false">IF(OR($F224="",$G224=""),"",$F224+7*$G224-3)</f>
        <v/>
      </c>
      <c r="I224" s="3"/>
      <c r="J224" s="9" t="str">
        <f aca="false">IF(OR($C224="",$D224=""),"",$D224&amp;"|"&amp;COUNTIFS($D$4:$D224,$D224,$C$4:$C224,"?*"))</f>
        <v/>
      </c>
      <c r="K224" s="9" t="str">
        <f aca="false">IF(OR($C224="",$B224=""),"",$B224&amp;"|"&amp;COUNTIFS($B$4:$B224,$B224,$C$4:$C224,"?*"))</f>
        <v/>
      </c>
      <c r="L224" s="9" t="str">
        <f aca="false">IF($C224="","","ALL|"&amp;COUNTIF($C$4:$C224,"?*"))</f>
        <v/>
      </c>
    </row>
    <row r="225" customFormat="false" ht="15" hidden="false" customHeight="false" outlineLevel="0" collapsed="false">
      <c r="A225" s="6"/>
      <c r="B225" s="6"/>
      <c r="C225" s="3"/>
      <c r="D225" s="6"/>
      <c r="E225" s="6"/>
      <c r="F225" s="7"/>
      <c r="G225" s="6"/>
      <c r="H225" s="8" t="str">
        <f aca="false">IF(OR($F225="",$G225=""),"",$F225+7*$G225-3)</f>
        <v/>
      </c>
      <c r="I225" s="3"/>
      <c r="J225" s="9" t="str">
        <f aca="false">IF(OR($C225="",$D225=""),"",$D225&amp;"|"&amp;COUNTIFS($D$4:$D225,$D225,$C$4:$C225,"?*"))</f>
        <v/>
      </c>
      <c r="K225" s="9" t="str">
        <f aca="false">IF(OR($C225="",$B225=""),"",$B225&amp;"|"&amp;COUNTIFS($B$4:$B225,$B225,$C$4:$C225,"?*"))</f>
        <v/>
      </c>
      <c r="L225" s="9" t="str">
        <f aca="false">IF($C225="","","ALL|"&amp;COUNTIF($C$4:$C225,"?*"))</f>
        <v/>
      </c>
    </row>
    <row r="226" customFormat="false" ht="15" hidden="false" customHeight="false" outlineLevel="0" collapsed="false">
      <c r="A226" s="6"/>
      <c r="B226" s="6"/>
      <c r="C226" s="3"/>
      <c r="D226" s="6"/>
      <c r="E226" s="6"/>
      <c r="F226" s="7"/>
      <c r="G226" s="6"/>
      <c r="H226" s="8" t="str">
        <f aca="false">IF(OR($F226="",$G226=""),"",$F226+7*$G226-3)</f>
        <v/>
      </c>
      <c r="I226" s="3"/>
      <c r="J226" s="9" t="str">
        <f aca="false">IF(OR($C226="",$D226=""),"",$D226&amp;"|"&amp;COUNTIFS($D$4:$D226,$D226,$C$4:$C226,"?*"))</f>
        <v/>
      </c>
      <c r="K226" s="9" t="str">
        <f aca="false">IF(OR($C226="",$B226=""),"",$B226&amp;"|"&amp;COUNTIFS($B$4:$B226,$B226,$C$4:$C226,"?*"))</f>
        <v/>
      </c>
      <c r="L226" s="9" t="str">
        <f aca="false">IF($C226="","","ALL|"&amp;COUNTIF($C$4:$C226,"?*"))</f>
        <v/>
      </c>
    </row>
    <row r="227" customFormat="false" ht="15" hidden="false" customHeight="false" outlineLevel="0" collapsed="false">
      <c r="A227" s="6"/>
      <c r="B227" s="6"/>
      <c r="C227" s="3"/>
      <c r="D227" s="6"/>
      <c r="E227" s="6"/>
      <c r="F227" s="7"/>
      <c r="G227" s="6"/>
      <c r="H227" s="8" t="str">
        <f aca="false">IF(OR($F227="",$G227=""),"",$F227+7*$G227-3)</f>
        <v/>
      </c>
      <c r="I227" s="3"/>
      <c r="J227" s="9" t="str">
        <f aca="false">IF(OR($C227="",$D227=""),"",$D227&amp;"|"&amp;COUNTIFS($D$4:$D227,$D227,$C$4:$C227,"?*"))</f>
        <v/>
      </c>
      <c r="K227" s="9" t="str">
        <f aca="false">IF(OR($C227="",$B227=""),"",$B227&amp;"|"&amp;COUNTIFS($B$4:$B227,$B227,$C$4:$C227,"?*"))</f>
        <v/>
      </c>
      <c r="L227" s="9" t="str">
        <f aca="false">IF($C227="","","ALL|"&amp;COUNTIF($C$4:$C227,"?*"))</f>
        <v/>
      </c>
    </row>
    <row r="228" customFormat="false" ht="15" hidden="false" customHeight="false" outlineLevel="0" collapsed="false">
      <c r="A228" s="6"/>
      <c r="B228" s="6"/>
      <c r="C228" s="3"/>
      <c r="D228" s="6"/>
      <c r="E228" s="6"/>
      <c r="F228" s="7"/>
      <c r="G228" s="6"/>
      <c r="H228" s="8" t="str">
        <f aca="false">IF(OR($F228="",$G228=""),"",$F228+7*$G228-3)</f>
        <v/>
      </c>
      <c r="I228" s="3"/>
      <c r="J228" s="9" t="str">
        <f aca="false">IF(OR($C228="",$D228=""),"",$D228&amp;"|"&amp;COUNTIFS($D$4:$D228,$D228,$C$4:$C228,"?*"))</f>
        <v/>
      </c>
      <c r="K228" s="9" t="str">
        <f aca="false">IF(OR($C228="",$B228=""),"",$B228&amp;"|"&amp;COUNTIFS($B$4:$B228,$B228,$C$4:$C228,"?*"))</f>
        <v/>
      </c>
      <c r="L228" s="9" t="str">
        <f aca="false">IF($C228="","","ALL|"&amp;COUNTIF($C$4:$C228,"?*"))</f>
        <v/>
      </c>
    </row>
    <row r="229" customFormat="false" ht="15" hidden="false" customHeight="false" outlineLevel="0" collapsed="false">
      <c r="A229" s="6"/>
      <c r="B229" s="6"/>
      <c r="C229" s="3"/>
      <c r="D229" s="6"/>
      <c r="E229" s="6"/>
      <c r="F229" s="7"/>
      <c r="G229" s="6"/>
      <c r="H229" s="8" t="str">
        <f aca="false">IF(OR($F229="",$G229=""),"",$F229+7*$G229-3)</f>
        <v/>
      </c>
      <c r="I229" s="3"/>
      <c r="J229" s="9" t="str">
        <f aca="false">IF(OR($C229="",$D229=""),"",$D229&amp;"|"&amp;COUNTIFS($D$4:$D229,$D229,$C$4:$C229,"?*"))</f>
        <v/>
      </c>
      <c r="K229" s="9" t="str">
        <f aca="false">IF(OR($C229="",$B229=""),"",$B229&amp;"|"&amp;COUNTIFS($B$4:$B229,$B229,$C$4:$C229,"?*"))</f>
        <v/>
      </c>
      <c r="L229" s="9" t="str">
        <f aca="false">IF($C229="","","ALL|"&amp;COUNTIF($C$4:$C229,"?*"))</f>
        <v/>
      </c>
    </row>
    <row r="230" customFormat="false" ht="15" hidden="false" customHeight="false" outlineLevel="0" collapsed="false">
      <c r="A230" s="6"/>
      <c r="B230" s="6"/>
      <c r="C230" s="3"/>
      <c r="D230" s="6"/>
      <c r="E230" s="6"/>
      <c r="F230" s="7"/>
      <c r="G230" s="6"/>
      <c r="H230" s="8" t="str">
        <f aca="false">IF(OR($F230="",$G230=""),"",$F230+7*$G230-3)</f>
        <v/>
      </c>
      <c r="I230" s="3"/>
      <c r="J230" s="9" t="str">
        <f aca="false">IF(OR($C230="",$D230=""),"",$D230&amp;"|"&amp;COUNTIFS($D$4:$D230,$D230,$C$4:$C230,"?*"))</f>
        <v/>
      </c>
      <c r="K230" s="9" t="str">
        <f aca="false">IF(OR($C230="",$B230=""),"",$B230&amp;"|"&amp;COUNTIFS($B$4:$B230,$B230,$C$4:$C230,"?*"))</f>
        <v/>
      </c>
      <c r="L230" s="9" t="str">
        <f aca="false">IF($C230="","","ALL|"&amp;COUNTIF($C$4:$C230,"?*"))</f>
        <v/>
      </c>
    </row>
    <row r="231" customFormat="false" ht="15" hidden="false" customHeight="false" outlineLevel="0" collapsed="false">
      <c r="A231" s="6"/>
      <c r="B231" s="6"/>
      <c r="C231" s="3"/>
      <c r="D231" s="6"/>
      <c r="E231" s="6"/>
      <c r="F231" s="7"/>
      <c r="G231" s="6"/>
      <c r="H231" s="8" t="str">
        <f aca="false">IF(OR($F231="",$G231=""),"",$F231+7*$G231-3)</f>
        <v/>
      </c>
      <c r="I231" s="3"/>
      <c r="J231" s="9" t="str">
        <f aca="false">IF(OR($C231="",$D231=""),"",$D231&amp;"|"&amp;COUNTIFS($D$4:$D231,$D231,$C$4:$C231,"?*"))</f>
        <v/>
      </c>
      <c r="K231" s="9" t="str">
        <f aca="false">IF(OR($C231="",$B231=""),"",$B231&amp;"|"&amp;COUNTIFS($B$4:$B231,$B231,$C$4:$C231,"?*"))</f>
        <v/>
      </c>
      <c r="L231" s="9" t="str">
        <f aca="false">IF($C231="","","ALL|"&amp;COUNTIF($C$4:$C231,"?*"))</f>
        <v/>
      </c>
    </row>
    <row r="232" customFormat="false" ht="15" hidden="false" customHeight="false" outlineLevel="0" collapsed="false">
      <c r="A232" s="6"/>
      <c r="B232" s="6"/>
      <c r="C232" s="3"/>
      <c r="D232" s="6"/>
      <c r="E232" s="6"/>
      <c r="F232" s="7"/>
      <c r="G232" s="6"/>
      <c r="H232" s="8" t="str">
        <f aca="false">IF(OR($F232="",$G232=""),"",$F232+7*$G232-3)</f>
        <v/>
      </c>
      <c r="I232" s="3"/>
      <c r="J232" s="9" t="str">
        <f aca="false">IF(OR($C232="",$D232=""),"",$D232&amp;"|"&amp;COUNTIFS($D$4:$D232,$D232,$C$4:$C232,"?*"))</f>
        <v/>
      </c>
      <c r="K232" s="9" t="str">
        <f aca="false">IF(OR($C232="",$B232=""),"",$B232&amp;"|"&amp;COUNTIFS($B$4:$B232,$B232,$C$4:$C232,"?*"))</f>
        <v/>
      </c>
      <c r="L232" s="9" t="str">
        <f aca="false">IF($C232="","","ALL|"&amp;COUNTIF($C$4:$C232,"?*"))</f>
        <v/>
      </c>
    </row>
    <row r="233" customFormat="false" ht="15" hidden="false" customHeight="false" outlineLevel="0" collapsed="false">
      <c r="A233" s="6"/>
      <c r="B233" s="6"/>
      <c r="C233" s="3"/>
      <c r="D233" s="6"/>
      <c r="E233" s="6"/>
      <c r="F233" s="7"/>
      <c r="G233" s="6"/>
      <c r="H233" s="8" t="str">
        <f aca="false">IF(OR($F233="",$G233=""),"",$F233+7*$G233-3)</f>
        <v/>
      </c>
      <c r="I233" s="3"/>
      <c r="J233" s="9" t="str">
        <f aca="false">IF(OR($C233="",$D233=""),"",$D233&amp;"|"&amp;COUNTIFS($D$4:$D233,$D233,$C$4:$C233,"?*"))</f>
        <v/>
      </c>
      <c r="K233" s="9" t="str">
        <f aca="false">IF(OR($C233="",$B233=""),"",$B233&amp;"|"&amp;COUNTIFS($B$4:$B233,$B233,$C$4:$C233,"?*"))</f>
        <v/>
      </c>
      <c r="L233" s="9" t="str">
        <f aca="false">IF($C233="","","ALL|"&amp;COUNTIF($C$4:$C233,"?*"))</f>
        <v/>
      </c>
    </row>
    <row r="234" customFormat="false" ht="15" hidden="false" customHeight="false" outlineLevel="0" collapsed="false">
      <c r="A234" s="6"/>
      <c r="B234" s="6"/>
      <c r="C234" s="3"/>
      <c r="D234" s="6"/>
      <c r="E234" s="6"/>
      <c r="F234" s="7"/>
      <c r="G234" s="6"/>
      <c r="H234" s="8" t="str">
        <f aca="false">IF(OR($F234="",$G234=""),"",$F234+7*$G234-3)</f>
        <v/>
      </c>
      <c r="I234" s="3"/>
      <c r="J234" s="9" t="str">
        <f aca="false">IF(OR($C234="",$D234=""),"",$D234&amp;"|"&amp;COUNTIFS($D$4:$D234,$D234,$C$4:$C234,"?*"))</f>
        <v/>
      </c>
      <c r="K234" s="9" t="str">
        <f aca="false">IF(OR($C234="",$B234=""),"",$B234&amp;"|"&amp;COUNTIFS($B$4:$B234,$B234,$C$4:$C234,"?*"))</f>
        <v/>
      </c>
      <c r="L234" s="9" t="str">
        <f aca="false">IF($C234="","","ALL|"&amp;COUNTIF($C$4:$C234,"?*"))</f>
        <v/>
      </c>
    </row>
    <row r="235" customFormat="false" ht="15" hidden="false" customHeight="false" outlineLevel="0" collapsed="false">
      <c r="A235" s="6"/>
      <c r="B235" s="6"/>
      <c r="C235" s="3"/>
      <c r="D235" s="6"/>
      <c r="E235" s="6"/>
      <c r="F235" s="7"/>
      <c r="G235" s="6"/>
      <c r="H235" s="8" t="str">
        <f aca="false">IF(OR($F235="",$G235=""),"",$F235+7*$G235-3)</f>
        <v/>
      </c>
      <c r="I235" s="3"/>
      <c r="J235" s="9" t="str">
        <f aca="false">IF(OR($C235="",$D235=""),"",$D235&amp;"|"&amp;COUNTIFS($D$4:$D235,$D235,$C$4:$C235,"?*"))</f>
        <v/>
      </c>
      <c r="K235" s="9" t="str">
        <f aca="false">IF(OR($C235="",$B235=""),"",$B235&amp;"|"&amp;COUNTIFS($B$4:$B235,$B235,$C$4:$C235,"?*"))</f>
        <v/>
      </c>
      <c r="L235" s="9" t="str">
        <f aca="false">IF($C235="","","ALL|"&amp;COUNTIF($C$4:$C235,"?*"))</f>
        <v/>
      </c>
    </row>
    <row r="236" customFormat="false" ht="15" hidden="false" customHeight="false" outlineLevel="0" collapsed="false">
      <c r="A236" s="6"/>
      <c r="B236" s="6"/>
      <c r="C236" s="3"/>
      <c r="D236" s="6"/>
      <c r="E236" s="6"/>
      <c r="F236" s="7"/>
      <c r="G236" s="6"/>
      <c r="H236" s="8" t="str">
        <f aca="false">IF(OR($F236="",$G236=""),"",$F236+7*$G236-3)</f>
        <v/>
      </c>
      <c r="I236" s="3"/>
      <c r="J236" s="9" t="str">
        <f aca="false">IF(OR($C236="",$D236=""),"",$D236&amp;"|"&amp;COUNTIFS($D$4:$D236,$D236,$C$4:$C236,"?*"))</f>
        <v/>
      </c>
      <c r="K236" s="9" t="str">
        <f aca="false">IF(OR($C236="",$B236=""),"",$B236&amp;"|"&amp;COUNTIFS($B$4:$B236,$B236,$C$4:$C236,"?*"))</f>
        <v/>
      </c>
      <c r="L236" s="9" t="str">
        <f aca="false">IF($C236="","","ALL|"&amp;COUNTIF($C$4:$C236,"?*"))</f>
        <v/>
      </c>
    </row>
    <row r="237" customFormat="false" ht="15" hidden="false" customHeight="false" outlineLevel="0" collapsed="false">
      <c r="A237" s="6"/>
      <c r="B237" s="6"/>
      <c r="C237" s="3"/>
      <c r="D237" s="6"/>
      <c r="E237" s="6"/>
      <c r="F237" s="7"/>
      <c r="G237" s="6"/>
      <c r="H237" s="8" t="str">
        <f aca="false">IF(OR($F237="",$G237=""),"",$F237+7*$G237-3)</f>
        <v/>
      </c>
      <c r="I237" s="3"/>
      <c r="J237" s="9" t="str">
        <f aca="false">IF(OR($C237="",$D237=""),"",$D237&amp;"|"&amp;COUNTIFS($D$4:$D237,$D237,$C$4:$C237,"?*"))</f>
        <v/>
      </c>
      <c r="K237" s="9" t="str">
        <f aca="false">IF(OR($C237="",$B237=""),"",$B237&amp;"|"&amp;COUNTIFS($B$4:$B237,$B237,$C$4:$C237,"?*"))</f>
        <v/>
      </c>
      <c r="L237" s="9" t="str">
        <f aca="false">IF($C237="","","ALL|"&amp;COUNTIF($C$4:$C237,"?*"))</f>
        <v/>
      </c>
    </row>
    <row r="238" customFormat="false" ht="15" hidden="false" customHeight="false" outlineLevel="0" collapsed="false">
      <c r="A238" s="6"/>
      <c r="B238" s="6"/>
      <c r="C238" s="3"/>
      <c r="D238" s="6"/>
      <c r="E238" s="6"/>
      <c r="F238" s="7"/>
      <c r="G238" s="6"/>
      <c r="H238" s="8" t="str">
        <f aca="false">IF(OR($F238="",$G238=""),"",$F238+7*$G238-3)</f>
        <v/>
      </c>
      <c r="I238" s="3"/>
      <c r="J238" s="9" t="str">
        <f aca="false">IF(OR($C238="",$D238=""),"",$D238&amp;"|"&amp;COUNTIFS($D$4:$D238,$D238,$C$4:$C238,"?*"))</f>
        <v/>
      </c>
      <c r="K238" s="9" t="str">
        <f aca="false">IF(OR($C238="",$B238=""),"",$B238&amp;"|"&amp;COUNTIFS($B$4:$B238,$B238,$C$4:$C238,"?*"))</f>
        <v/>
      </c>
      <c r="L238" s="9" t="str">
        <f aca="false">IF($C238="","","ALL|"&amp;COUNTIF($C$4:$C238,"?*"))</f>
        <v/>
      </c>
    </row>
    <row r="239" customFormat="false" ht="15" hidden="false" customHeight="false" outlineLevel="0" collapsed="false">
      <c r="A239" s="6"/>
      <c r="B239" s="6"/>
      <c r="C239" s="3"/>
      <c r="D239" s="6"/>
      <c r="E239" s="6"/>
      <c r="F239" s="7"/>
      <c r="G239" s="6"/>
      <c r="H239" s="8" t="str">
        <f aca="false">IF(OR($F239="",$G239=""),"",$F239+7*$G239-3)</f>
        <v/>
      </c>
      <c r="I239" s="3"/>
      <c r="J239" s="9" t="str">
        <f aca="false">IF(OR($C239="",$D239=""),"",$D239&amp;"|"&amp;COUNTIFS($D$4:$D239,$D239,$C$4:$C239,"?*"))</f>
        <v/>
      </c>
      <c r="K239" s="9" t="str">
        <f aca="false">IF(OR($C239="",$B239=""),"",$B239&amp;"|"&amp;COUNTIFS($B$4:$B239,$B239,$C$4:$C239,"?*"))</f>
        <v/>
      </c>
      <c r="L239" s="9" t="str">
        <f aca="false">IF($C239="","","ALL|"&amp;COUNTIF($C$4:$C239,"?*"))</f>
        <v/>
      </c>
    </row>
    <row r="240" customFormat="false" ht="15" hidden="false" customHeight="false" outlineLevel="0" collapsed="false">
      <c r="A240" s="6"/>
      <c r="B240" s="6"/>
      <c r="C240" s="3"/>
      <c r="D240" s="6"/>
      <c r="E240" s="6"/>
      <c r="F240" s="7"/>
      <c r="G240" s="6"/>
      <c r="H240" s="8" t="str">
        <f aca="false">IF(OR($F240="",$G240=""),"",$F240+7*$G240-3)</f>
        <v/>
      </c>
      <c r="I240" s="3"/>
      <c r="J240" s="9" t="str">
        <f aca="false">IF(OR($C240="",$D240=""),"",$D240&amp;"|"&amp;COUNTIFS($D$4:$D240,$D240,$C$4:$C240,"?*"))</f>
        <v/>
      </c>
      <c r="K240" s="9" t="str">
        <f aca="false">IF(OR($C240="",$B240=""),"",$B240&amp;"|"&amp;COUNTIFS($B$4:$B240,$B240,$C$4:$C240,"?*"))</f>
        <v/>
      </c>
      <c r="L240" s="9" t="str">
        <f aca="false">IF($C240="","","ALL|"&amp;COUNTIF($C$4:$C240,"?*"))</f>
        <v/>
      </c>
    </row>
    <row r="241" customFormat="false" ht="15" hidden="false" customHeight="false" outlineLevel="0" collapsed="false">
      <c r="A241" s="6"/>
      <c r="B241" s="6"/>
      <c r="C241" s="3"/>
      <c r="D241" s="6"/>
      <c r="E241" s="6"/>
      <c r="F241" s="7"/>
      <c r="G241" s="6"/>
      <c r="H241" s="8" t="str">
        <f aca="false">IF(OR($F241="",$G241=""),"",$F241+7*$G241-3)</f>
        <v/>
      </c>
      <c r="I241" s="3"/>
      <c r="J241" s="9" t="str">
        <f aca="false">IF(OR($C241="",$D241=""),"",$D241&amp;"|"&amp;COUNTIFS($D$4:$D241,$D241,$C$4:$C241,"?*"))</f>
        <v/>
      </c>
      <c r="K241" s="9" t="str">
        <f aca="false">IF(OR($C241="",$B241=""),"",$B241&amp;"|"&amp;COUNTIFS($B$4:$B241,$B241,$C$4:$C241,"?*"))</f>
        <v/>
      </c>
      <c r="L241" s="9" t="str">
        <f aca="false">IF($C241="","","ALL|"&amp;COUNTIF($C$4:$C241,"?*"))</f>
        <v/>
      </c>
    </row>
    <row r="242" customFormat="false" ht="15" hidden="false" customHeight="false" outlineLevel="0" collapsed="false">
      <c r="A242" s="6"/>
      <c r="B242" s="6"/>
      <c r="C242" s="3"/>
      <c r="D242" s="6"/>
      <c r="E242" s="6"/>
      <c r="F242" s="7"/>
      <c r="G242" s="6"/>
      <c r="H242" s="8" t="str">
        <f aca="false">IF(OR($F242="",$G242=""),"",$F242+7*$G242-3)</f>
        <v/>
      </c>
      <c r="I242" s="3"/>
      <c r="J242" s="9" t="str">
        <f aca="false">IF(OR($C242="",$D242=""),"",$D242&amp;"|"&amp;COUNTIFS($D$4:$D242,$D242,$C$4:$C242,"?*"))</f>
        <v/>
      </c>
      <c r="K242" s="9" t="str">
        <f aca="false">IF(OR($C242="",$B242=""),"",$B242&amp;"|"&amp;COUNTIFS($B$4:$B242,$B242,$C$4:$C242,"?*"))</f>
        <v/>
      </c>
      <c r="L242" s="9" t="str">
        <f aca="false">IF($C242="","","ALL|"&amp;COUNTIF($C$4:$C242,"?*"))</f>
        <v/>
      </c>
    </row>
    <row r="243" customFormat="false" ht="15" hidden="false" customHeight="false" outlineLevel="0" collapsed="false">
      <c r="A243" s="6"/>
      <c r="B243" s="6"/>
      <c r="C243" s="3"/>
      <c r="D243" s="6"/>
      <c r="E243" s="6"/>
      <c r="F243" s="7"/>
      <c r="G243" s="6"/>
      <c r="H243" s="8" t="str">
        <f aca="false">IF(OR($F243="",$G243=""),"",$F243+7*$G243-3)</f>
        <v/>
      </c>
      <c r="I243" s="3"/>
      <c r="J243" s="9" t="str">
        <f aca="false">IF(OR($C243="",$D243=""),"",$D243&amp;"|"&amp;COUNTIFS($D$4:$D243,$D243,$C$4:$C243,"?*"))</f>
        <v/>
      </c>
      <c r="K243" s="9" t="str">
        <f aca="false">IF(OR($C243="",$B243=""),"",$B243&amp;"|"&amp;COUNTIFS($B$4:$B243,$B243,$C$4:$C243,"?*"))</f>
        <v/>
      </c>
      <c r="L243" s="9" t="str">
        <f aca="false">IF($C243="","","ALL|"&amp;COUNTIF($C$4:$C243,"?*"))</f>
        <v/>
      </c>
    </row>
    <row r="244" customFormat="false" ht="15" hidden="false" customHeight="false" outlineLevel="0" collapsed="false">
      <c r="A244" s="6"/>
      <c r="B244" s="6"/>
      <c r="C244" s="3"/>
      <c r="D244" s="6"/>
      <c r="E244" s="6"/>
      <c r="F244" s="7"/>
      <c r="G244" s="6"/>
      <c r="H244" s="8" t="str">
        <f aca="false">IF(OR($F244="",$G244=""),"",$F244+7*$G244-3)</f>
        <v/>
      </c>
      <c r="I244" s="3"/>
      <c r="J244" s="9" t="str">
        <f aca="false">IF(OR($C244="",$D244=""),"",$D244&amp;"|"&amp;COUNTIFS($D$4:$D244,$D244,$C$4:$C244,"?*"))</f>
        <v/>
      </c>
      <c r="K244" s="9" t="str">
        <f aca="false">IF(OR($C244="",$B244=""),"",$B244&amp;"|"&amp;COUNTIFS($B$4:$B244,$B244,$C$4:$C244,"?*"))</f>
        <v/>
      </c>
      <c r="L244" s="9" t="str">
        <f aca="false">IF($C244="","","ALL|"&amp;COUNTIF($C$4:$C244,"?*"))</f>
        <v/>
      </c>
    </row>
    <row r="245" customFormat="false" ht="15" hidden="false" customHeight="false" outlineLevel="0" collapsed="false">
      <c r="A245" s="6"/>
      <c r="B245" s="6"/>
      <c r="C245" s="3"/>
      <c r="D245" s="6"/>
      <c r="E245" s="6"/>
      <c r="F245" s="7"/>
      <c r="G245" s="6"/>
      <c r="H245" s="8" t="str">
        <f aca="false">IF(OR($F245="",$G245=""),"",$F245+7*$G245-3)</f>
        <v/>
      </c>
      <c r="I245" s="3"/>
      <c r="J245" s="9" t="str">
        <f aca="false">IF(OR($C245="",$D245=""),"",$D245&amp;"|"&amp;COUNTIFS($D$4:$D245,$D245,$C$4:$C245,"?*"))</f>
        <v/>
      </c>
      <c r="K245" s="9" t="str">
        <f aca="false">IF(OR($C245="",$B245=""),"",$B245&amp;"|"&amp;COUNTIFS($B$4:$B245,$B245,$C$4:$C245,"?*"))</f>
        <v/>
      </c>
      <c r="L245" s="9" t="str">
        <f aca="false">IF($C245="","","ALL|"&amp;COUNTIF($C$4:$C245,"?*"))</f>
        <v/>
      </c>
    </row>
    <row r="246" customFormat="false" ht="15" hidden="false" customHeight="false" outlineLevel="0" collapsed="false">
      <c r="A246" s="6"/>
      <c r="B246" s="6"/>
      <c r="C246" s="3"/>
      <c r="D246" s="6"/>
      <c r="E246" s="6"/>
      <c r="F246" s="7"/>
      <c r="G246" s="6"/>
      <c r="H246" s="8" t="str">
        <f aca="false">IF(OR($F246="",$G246=""),"",$F246+7*$G246-3)</f>
        <v/>
      </c>
      <c r="I246" s="3"/>
      <c r="J246" s="9" t="str">
        <f aca="false">IF(OR($C246="",$D246=""),"",$D246&amp;"|"&amp;COUNTIFS($D$4:$D246,$D246,$C$4:$C246,"?*"))</f>
        <v/>
      </c>
      <c r="K246" s="9" t="str">
        <f aca="false">IF(OR($C246="",$B246=""),"",$B246&amp;"|"&amp;COUNTIFS($B$4:$B246,$B246,$C$4:$C246,"?*"))</f>
        <v/>
      </c>
      <c r="L246" s="9" t="str">
        <f aca="false">IF($C246="","","ALL|"&amp;COUNTIF($C$4:$C246,"?*"))</f>
        <v/>
      </c>
    </row>
    <row r="247" customFormat="false" ht="15" hidden="false" customHeight="false" outlineLevel="0" collapsed="false">
      <c r="A247" s="6"/>
      <c r="B247" s="6"/>
      <c r="C247" s="3"/>
      <c r="D247" s="6"/>
      <c r="E247" s="6"/>
      <c r="F247" s="7"/>
      <c r="G247" s="6"/>
      <c r="H247" s="8" t="str">
        <f aca="false">IF(OR($F247="",$G247=""),"",$F247+7*$G247-3)</f>
        <v/>
      </c>
      <c r="I247" s="3"/>
      <c r="J247" s="9" t="str">
        <f aca="false">IF(OR($C247="",$D247=""),"",$D247&amp;"|"&amp;COUNTIFS($D$4:$D247,$D247,$C$4:$C247,"?*"))</f>
        <v/>
      </c>
      <c r="K247" s="9" t="str">
        <f aca="false">IF(OR($C247="",$B247=""),"",$B247&amp;"|"&amp;COUNTIFS($B$4:$B247,$B247,$C$4:$C247,"?*"))</f>
        <v/>
      </c>
      <c r="L247" s="9" t="str">
        <f aca="false">IF($C247="","","ALL|"&amp;COUNTIF($C$4:$C247,"?*"))</f>
        <v/>
      </c>
    </row>
    <row r="248" customFormat="false" ht="15" hidden="false" customHeight="false" outlineLevel="0" collapsed="false">
      <c r="A248" s="6"/>
      <c r="B248" s="6"/>
      <c r="C248" s="3"/>
      <c r="D248" s="6"/>
      <c r="E248" s="6"/>
      <c r="F248" s="7"/>
      <c r="G248" s="6"/>
      <c r="H248" s="8" t="str">
        <f aca="false">IF(OR($F248="",$G248=""),"",$F248+7*$G248-3)</f>
        <v/>
      </c>
      <c r="I248" s="3"/>
      <c r="J248" s="9" t="str">
        <f aca="false">IF(OR($C248="",$D248=""),"",$D248&amp;"|"&amp;COUNTIFS($D$4:$D248,$D248,$C$4:$C248,"?*"))</f>
        <v/>
      </c>
      <c r="K248" s="9" t="str">
        <f aca="false">IF(OR($C248="",$B248=""),"",$B248&amp;"|"&amp;COUNTIFS($B$4:$B248,$B248,$C$4:$C248,"?*"))</f>
        <v/>
      </c>
      <c r="L248" s="9" t="str">
        <f aca="false">IF($C248="","","ALL|"&amp;COUNTIF($C$4:$C248,"?*"))</f>
        <v/>
      </c>
    </row>
    <row r="249" customFormat="false" ht="15" hidden="false" customHeight="false" outlineLevel="0" collapsed="false">
      <c r="A249" s="6"/>
      <c r="B249" s="6"/>
      <c r="C249" s="3"/>
      <c r="D249" s="6"/>
      <c r="E249" s="6"/>
      <c r="F249" s="7"/>
      <c r="G249" s="6"/>
      <c r="H249" s="8" t="str">
        <f aca="false">IF(OR($F249="",$G249=""),"",$F249+7*$G249-3)</f>
        <v/>
      </c>
      <c r="I249" s="3"/>
      <c r="J249" s="9" t="str">
        <f aca="false">IF(OR($C249="",$D249=""),"",$D249&amp;"|"&amp;COUNTIFS($D$4:$D249,$D249,$C$4:$C249,"?*"))</f>
        <v/>
      </c>
      <c r="K249" s="9" t="str">
        <f aca="false">IF(OR($C249="",$B249=""),"",$B249&amp;"|"&amp;COUNTIFS($B$4:$B249,$B249,$C$4:$C249,"?*"))</f>
        <v/>
      </c>
      <c r="L249" s="9" t="str">
        <f aca="false">IF($C249="","","ALL|"&amp;COUNTIF($C$4:$C249,"?*"))</f>
        <v/>
      </c>
    </row>
    <row r="250" customFormat="false" ht="15" hidden="false" customHeight="false" outlineLevel="0" collapsed="false">
      <c r="A250" s="6"/>
      <c r="B250" s="6"/>
      <c r="C250" s="3"/>
      <c r="D250" s="6"/>
      <c r="E250" s="6"/>
      <c r="F250" s="7"/>
      <c r="G250" s="6"/>
      <c r="H250" s="8" t="str">
        <f aca="false">IF(OR($F250="",$G250=""),"",$F250+7*$G250-3)</f>
        <v/>
      </c>
      <c r="I250" s="3"/>
      <c r="J250" s="9" t="str">
        <f aca="false">IF(OR($C250="",$D250=""),"",$D250&amp;"|"&amp;COUNTIFS($D$4:$D250,$D250,$C$4:$C250,"?*"))</f>
        <v/>
      </c>
      <c r="K250" s="9" t="str">
        <f aca="false">IF(OR($C250="",$B250=""),"",$B250&amp;"|"&amp;COUNTIFS($B$4:$B250,$B250,$C$4:$C250,"?*"))</f>
        <v/>
      </c>
      <c r="L250" s="9" t="str">
        <f aca="false">IF($C250="","","ALL|"&amp;COUNTIF($C$4:$C250,"?*"))</f>
        <v/>
      </c>
    </row>
    <row r="251" customFormat="false" ht="15" hidden="false" customHeight="false" outlineLevel="0" collapsed="false">
      <c r="A251" s="6"/>
      <c r="B251" s="6"/>
      <c r="C251" s="3"/>
      <c r="D251" s="6"/>
      <c r="E251" s="6"/>
      <c r="F251" s="7"/>
      <c r="G251" s="6"/>
      <c r="H251" s="8" t="str">
        <f aca="false">IF(OR($F251="",$G251=""),"",$F251+7*$G251-3)</f>
        <v/>
      </c>
      <c r="I251" s="3"/>
      <c r="J251" s="9" t="str">
        <f aca="false">IF(OR($C251="",$D251=""),"",$D251&amp;"|"&amp;COUNTIFS($D$4:$D251,$D251,$C$4:$C251,"?*"))</f>
        <v/>
      </c>
      <c r="K251" s="9" t="str">
        <f aca="false">IF(OR($C251="",$B251=""),"",$B251&amp;"|"&amp;COUNTIFS($B$4:$B251,$B251,$C$4:$C251,"?*"))</f>
        <v/>
      </c>
      <c r="L251" s="9" t="str">
        <f aca="false">IF($C251="","","ALL|"&amp;COUNTIF($C$4:$C251,"?*"))</f>
        <v/>
      </c>
    </row>
    <row r="252" customFormat="false" ht="15" hidden="false" customHeight="false" outlineLevel="0" collapsed="false">
      <c r="A252" s="6"/>
      <c r="B252" s="6"/>
      <c r="C252" s="3"/>
      <c r="D252" s="6"/>
      <c r="E252" s="6"/>
      <c r="F252" s="7"/>
      <c r="G252" s="6"/>
      <c r="H252" s="8" t="str">
        <f aca="false">IF(OR($F252="",$G252=""),"",$F252+7*$G252-3)</f>
        <v/>
      </c>
      <c r="I252" s="3"/>
      <c r="J252" s="9" t="str">
        <f aca="false">IF(OR($C252="",$D252=""),"",$D252&amp;"|"&amp;COUNTIFS($D$4:$D252,$D252,$C$4:$C252,"?*"))</f>
        <v/>
      </c>
      <c r="K252" s="9" t="str">
        <f aca="false">IF(OR($C252="",$B252=""),"",$B252&amp;"|"&amp;COUNTIFS($B$4:$B252,$B252,$C$4:$C252,"?*"))</f>
        <v/>
      </c>
      <c r="L252" s="9" t="str">
        <f aca="false">IF($C252="","","ALL|"&amp;COUNTIF($C$4:$C252,"?*"))</f>
        <v/>
      </c>
    </row>
    <row r="253" customFormat="false" ht="15" hidden="false" customHeight="false" outlineLevel="0" collapsed="false">
      <c r="A253" s="6"/>
      <c r="B253" s="6"/>
      <c r="C253" s="3"/>
      <c r="D253" s="6"/>
      <c r="E253" s="6"/>
      <c r="F253" s="7"/>
      <c r="G253" s="6"/>
      <c r="H253" s="8" t="str">
        <f aca="false">IF(OR($F253="",$G253=""),"",$F253+7*$G253-3)</f>
        <v/>
      </c>
      <c r="I253" s="3"/>
      <c r="J253" s="9" t="str">
        <f aca="false">IF(OR($C253="",$D253=""),"",$D253&amp;"|"&amp;COUNTIFS($D$4:$D253,$D253,$C$4:$C253,"?*"))</f>
        <v/>
      </c>
      <c r="K253" s="9" t="str">
        <f aca="false">IF(OR($C253="",$B253=""),"",$B253&amp;"|"&amp;COUNTIFS($B$4:$B253,$B253,$C$4:$C253,"?*"))</f>
        <v/>
      </c>
      <c r="L253" s="9" t="str">
        <f aca="false">IF($C253="","","ALL|"&amp;COUNTIF($C$4:$C253,"?*"))</f>
        <v/>
      </c>
    </row>
    <row r="254" customFormat="false" ht="15" hidden="false" customHeight="false" outlineLevel="0" collapsed="false">
      <c r="A254" s="6"/>
      <c r="B254" s="6"/>
      <c r="C254" s="3"/>
      <c r="D254" s="6"/>
      <c r="E254" s="6"/>
      <c r="F254" s="7"/>
      <c r="G254" s="6"/>
      <c r="H254" s="8" t="str">
        <f aca="false">IF(OR($F254="",$G254=""),"",$F254+7*$G254-3)</f>
        <v/>
      </c>
      <c r="I254" s="3"/>
      <c r="J254" s="9" t="str">
        <f aca="false">IF(OR($C254="",$D254=""),"",$D254&amp;"|"&amp;COUNTIFS($D$4:$D254,$D254,$C$4:$C254,"?*"))</f>
        <v/>
      </c>
      <c r="K254" s="9" t="str">
        <f aca="false">IF(OR($C254="",$B254=""),"",$B254&amp;"|"&amp;COUNTIFS($B$4:$B254,$B254,$C$4:$C254,"?*"))</f>
        <v/>
      </c>
      <c r="L254" s="9" t="str">
        <f aca="false">IF($C254="","","ALL|"&amp;COUNTIF($C$4:$C254,"?*"))</f>
        <v/>
      </c>
    </row>
    <row r="255" customFormat="false" ht="15" hidden="false" customHeight="false" outlineLevel="0" collapsed="false">
      <c r="A255" s="6"/>
      <c r="B255" s="6"/>
      <c r="C255" s="3"/>
      <c r="D255" s="6"/>
      <c r="E255" s="6"/>
      <c r="F255" s="7"/>
      <c r="G255" s="6"/>
      <c r="H255" s="8" t="str">
        <f aca="false">IF(OR($F255="",$G255=""),"",$F255+7*$G255-3)</f>
        <v/>
      </c>
      <c r="I255" s="3"/>
      <c r="J255" s="9" t="str">
        <f aca="false">IF(OR($C255="",$D255=""),"",$D255&amp;"|"&amp;COUNTIFS($D$4:$D255,$D255,$C$4:$C255,"?*"))</f>
        <v/>
      </c>
      <c r="K255" s="9" t="str">
        <f aca="false">IF(OR($C255="",$B255=""),"",$B255&amp;"|"&amp;COUNTIFS($B$4:$B255,$B255,$C$4:$C255,"?*"))</f>
        <v/>
      </c>
      <c r="L255" s="9" t="str">
        <f aca="false">IF($C255="","","ALL|"&amp;COUNTIF($C$4:$C255,"?*"))</f>
        <v/>
      </c>
    </row>
    <row r="256" customFormat="false" ht="15" hidden="false" customHeight="false" outlineLevel="0" collapsed="false">
      <c r="A256" s="6"/>
      <c r="B256" s="6"/>
      <c r="C256" s="3"/>
      <c r="D256" s="6"/>
      <c r="E256" s="6"/>
      <c r="F256" s="7"/>
      <c r="G256" s="6"/>
      <c r="H256" s="8" t="str">
        <f aca="false">IF(OR($F256="",$G256=""),"",$F256+7*$G256-3)</f>
        <v/>
      </c>
      <c r="I256" s="3"/>
      <c r="J256" s="9" t="str">
        <f aca="false">IF(OR($C256="",$D256=""),"",$D256&amp;"|"&amp;COUNTIFS($D$4:$D256,$D256,$C$4:$C256,"?*"))</f>
        <v/>
      </c>
      <c r="K256" s="9" t="str">
        <f aca="false">IF(OR($C256="",$B256=""),"",$B256&amp;"|"&amp;COUNTIFS($B$4:$B256,$B256,$C$4:$C256,"?*"))</f>
        <v/>
      </c>
      <c r="L256" s="9" t="str">
        <f aca="false">IF($C256="","","ALL|"&amp;COUNTIF($C$4:$C256,"?*"))</f>
        <v/>
      </c>
    </row>
    <row r="257" customFormat="false" ht="15" hidden="false" customHeight="false" outlineLevel="0" collapsed="false">
      <c r="A257" s="6"/>
      <c r="B257" s="6"/>
      <c r="C257" s="3"/>
      <c r="D257" s="6"/>
      <c r="E257" s="6"/>
      <c r="F257" s="7"/>
      <c r="G257" s="6"/>
      <c r="H257" s="8" t="str">
        <f aca="false">IF(OR($F257="",$G257=""),"",$F257+7*$G257-3)</f>
        <v/>
      </c>
      <c r="I257" s="3"/>
      <c r="J257" s="9" t="str">
        <f aca="false">IF(OR($C257="",$D257=""),"",$D257&amp;"|"&amp;COUNTIFS($D$4:$D257,$D257,$C$4:$C257,"?*"))</f>
        <v/>
      </c>
      <c r="K257" s="9" t="str">
        <f aca="false">IF(OR($C257="",$B257=""),"",$B257&amp;"|"&amp;COUNTIFS($B$4:$B257,$B257,$C$4:$C257,"?*"))</f>
        <v/>
      </c>
      <c r="L257" s="9" t="str">
        <f aca="false">IF($C257="","","ALL|"&amp;COUNTIF($C$4:$C257,"?*"))</f>
        <v/>
      </c>
    </row>
    <row r="258" customFormat="false" ht="15" hidden="false" customHeight="false" outlineLevel="0" collapsed="false">
      <c r="A258" s="6"/>
      <c r="B258" s="6"/>
      <c r="C258" s="3"/>
      <c r="D258" s="6"/>
      <c r="E258" s="6"/>
      <c r="F258" s="7"/>
      <c r="G258" s="6"/>
      <c r="H258" s="8" t="str">
        <f aca="false">IF(OR($F258="",$G258=""),"",$F258+7*$G258-3)</f>
        <v/>
      </c>
      <c r="I258" s="3"/>
      <c r="J258" s="9" t="str">
        <f aca="false">IF(OR($C258="",$D258=""),"",$D258&amp;"|"&amp;COUNTIFS($D$4:$D258,$D258,$C$4:$C258,"?*"))</f>
        <v/>
      </c>
      <c r="K258" s="9" t="str">
        <f aca="false">IF(OR($C258="",$B258=""),"",$B258&amp;"|"&amp;COUNTIFS($B$4:$B258,$B258,$C$4:$C258,"?*"))</f>
        <v/>
      </c>
      <c r="L258" s="9" t="str">
        <f aca="false">IF($C258="","","ALL|"&amp;COUNTIF($C$4:$C258,"?*"))</f>
        <v/>
      </c>
    </row>
    <row r="259" customFormat="false" ht="15" hidden="false" customHeight="false" outlineLevel="0" collapsed="false">
      <c r="A259" s="6"/>
      <c r="B259" s="6"/>
      <c r="C259" s="3"/>
      <c r="D259" s="6"/>
      <c r="E259" s="6"/>
      <c r="F259" s="7"/>
      <c r="G259" s="6"/>
      <c r="H259" s="8" t="str">
        <f aca="false">IF(OR($F259="",$G259=""),"",$F259+7*$G259-3)</f>
        <v/>
      </c>
      <c r="I259" s="3"/>
      <c r="J259" s="9" t="str">
        <f aca="false">IF(OR($C259="",$D259=""),"",$D259&amp;"|"&amp;COUNTIFS($D$4:$D259,$D259,$C$4:$C259,"?*"))</f>
        <v/>
      </c>
      <c r="K259" s="9" t="str">
        <f aca="false">IF(OR($C259="",$B259=""),"",$B259&amp;"|"&amp;COUNTIFS($B$4:$B259,$B259,$C$4:$C259,"?*"))</f>
        <v/>
      </c>
      <c r="L259" s="9" t="str">
        <f aca="false">IF($C259="","","ALL|"&amp;COUNTIF($C$4:$C259,"?*"))</f>
        <v/>
      </c>
    </row>
    <row r="260" customFormat="false" ht="15" hidden="false" customHeight="false" outlineLevel="0" collapsed="false">
      <c r="A260" s="6"/>
      <c r="B260" s="6"/>
      <c r="C260" s="3"/>
      <c r="D260" s="6"/>
      <c r="E260" s="6"/>
      <c r="F260" s="7"/>
      <c r="G260" s="6"/>
      <c r="H260" s="8" t="str">
        <f aca="false">IF(OR($F260="",$G260=""),"",$F260+7*$G260-3)</f>
        <v/>
      </c>
      <c r="I260" s="3"/>
      <c r="J260" s="9" t="str">
        <f aca="false">IF(OR($C260="",$D260=""),"",$D260&amp;"|"&amp;COUNTIFS($D$4:$D260,$D260,$C$4:$C260,"?*"))</f>
        <v/>
      </c>
      <c r="K260" s="9" t="str">
        <f aca="false">IF(OR($C260="",$B260=""),"",$B260&amp;"|"&amp;COUNTIFS($B$4:$B260,$B260,$C$4:$C260,"?*"))</f>
        <v/>
      </c>
      <c r="L260" s="9" t="str">
        <f aca="false">IF($C260="","","ALL|"&amp;COUNTIF($C$4:$C260,"?*"))</f>
        <v/>
      </c>
    </row>
    <row r="261" customFormat="false" ht="15" hidden="false" customHeight="false" outlineLevel="0" collapsed="false">
      <c r="A261" s="6"/>
      <c r="B261" s="6"/>
      <c r="C261" s="3"/>
      <c r="D261" s="6"/>
      <c r="E261" s="6"/>
      <c r="F261" s="7"/>
      <c r="G261" s="6"/>
      <c r="H261" s="8" t="str">
        <f aca="false">IF(OR($F261="",$G261=""),"",$F261+7*$G261-3)</f>
        <v/>
      </c>
      <c r="I261" s="3"/>
      <c r="J261" s="9" t="str">
        <f aca="false">IF(OR($C261="",$D261=""),"",$D261&amp;"|"&amp;COUNTIFS($D$4:$D261,$D261,$C$4:$C261,"?*"))</f>
        <v/>
      </c>
      <c r="K261" s="9" t="str">
        <f aca="false">IF(OR($C261="",$B261=""),"",$B261&amp;"|"&amp;COUNTIFS($B$4:$B261,$B261,$C$4:$C261,"?*"))</f>
        <v/>
      </c>
      <c r="L261" s="9" t="str">
        <f aca="false">IF($C261="","","ALL|"&amp;COUNTIF($C$4:$C261,"?*"))</f>
        <v/>
      </c>
    </row>
    <row r="262" customFormat="false" ht="15" hidden="false" customHeight="false" outlineLevel="0" collapsed="false">
      <c r="A262" s="6"/>
      <c r="B262" s="6"/>
      <c r="C262" s="3"/>
      <c r="D262" s="6"/>
      <c r="E262" s="6"/>
      <c r="F262" s="7"/>
      <c r="G262" s="6"/>
      <c r="H262" s="8" t="str">
        <f aca="false">IF(OR($F262="",$G262=""),"",$F262+7*$G262-3)</f>
        <v/>
      </c>
      <c r="I262" s="3"/>
      <c r="J262" s="9" t="str">
        <f aca="false">IF(OR($C262="",$D262=""),"",$D262&amp;"|"&amp;COUNTIFS($D$4:$D262,$D262,$C$4:$C262,"?*"))</f>
        <v/>
      </c>
      <c r="K262" s="9" t="str">
        <f aca="false">IF(OR($C262="",$B262=""),"",$B262&amp;"|"&amp;COUNTIFS($B$4:$B262,$B262,$C$4:$C262,"?*"))</f>
        <v/>
      </c>
      <c r="L262" s="9" t="str">
        <f aca="false">IF($C262="","","ALL|"&amp;COUNTIF($C$4:$C262,"?*"))</f>
        <v/>
      </c>
    </row>
    <row r="263" customFormat="false" ht="15" hidden="false" customHeight="false" outlineLevel="0" collapsed="false">
      <c r="A263" s="6"/>
      <c r="B263" s="6"/>
      <c r="C263" s="3"/>
      <c r="D263" s="6"/>
      <c r="E263" s="6"/>
      <c r="F263" s="7"/>
      <c r="G263" s="6"/>
      <c r="H263" s="8" t="str">
        <f aca="false">IF(OR($F263="",$G263=""),"",$F263+7*$G263-3)</f>
        <v/>
      </c>
      <c r="I263" s="3"/>
      <c r="J263" s="9" t="str">
        <f aca="false">IF(OR($C263="",$D263=""),"",$D263&amp;"|"&amp;COUNTIFS($D$4:$D263,$D263,$C$4:$C263,"?*"))</f>
        <v/>
      </c>
      <c r="K263" s="9" t="str">
        <f aca="false">IF(OR($C263="",$B263=""),"",$B263&amp;"|"&amp;COUNTIFS($B$4:$B263,$B263,$C$4:$C263,"?*"))</f>
        <v/>
      </c>
      <c r="L263" s="9" t="str">
        <f aca="false">IF($C263="","","ALL|"&amp;COUNTIF($C$4:$C263,"?*"))</f>
        <v/>
      </c>
    </row>
    <row r="264" customFormat="false" ht="15" hidden="false" customHeight="false" outlineLevel="0" collapsed="false">
      <c r="A264" s="6"/>
      <c r="B264" s="6"/>
      <c r="C264" s="3"/>
      <c r="D264" s="6"/>
      <c r="E264" s="6"/>
      <c r="F264" s="7"/>
      <c r="G264" s="6"/>
      <c r="H264" s="8" t="str">
        <f aca="false">IF(OR($F264="",$G264=""),"",$F264+7*$G264-3)</f>
        <v/>
      </c>
      <c r="I264" s="3"/>
      <c r="J264" s="9" t="str">
        <f aca="false">IF(OR($C264="",$D264=""),"",$D264&amp;"|"&amp;COUNTIFS($D$4:$D264,$D264,$C$4:$C264,"?*"))</f>
        <v/>
      </c>
      <c r="K264" s="9" t="str">
        <f aca="false">IF(OR($C264="",$B264=""),"",$B264&amp;"|"&amp;COUNTIFS($B$4:$B264,$B264,$C$4:$C264,"?*"))</f>
        <v/>
      </c>
      <c r="L264" s="9" t="str">
        <f aca="false">IF($C264="","","ALL|"&amp;COUNTIF($C$4:$C264,"?*"))</f>
        <v/>
      </c>
    </row>
    <row r="265" customFormat="false" ht="15" hidden="false" customHeight="false" outlineLevel="0" collapsed="false">
      <c r="A265" s="6"/>
      <c r="B265" s="6"/>
      <c r="C265" s="3"/>
      <c r="D265" s="6"/>
      <c r="E265" s="6"/>
      <c r="F265" s="7"/>
      <c r="G265" s="6"/>
      <c r="H265" s="8" t="str">
        <f aca="false">IF(OR($F265="",$G265=""),"",$F265+7*$G265-3)</f>
        <v/>
      </c>
      <c r="I265" s="3"/>
      <c r="J265" s="9" t="str">
        <f aca="false">IF(OR($C265="",$D265=""),"",$D265&amp;"|"&amp;COUNTIFS($D$4:$D265,$D265,$C$4:$C265,"?*"))</f>
        <v/>
      </c>
      <c r="K265" s="9" t="str">
        <f aca="false">IF(OR($C265="",$B265=""),"",$B265&amp;"|"&amp;COUNTIFS($B$4:$B265,$B265,$C$4:$C265,"?*"))</f>
        <v/>
      </c>
      <c r="L265" s="9" t="str">
        <f aca="false">IF($C265="","","ALL|"&amp;COUNTIF($C$4:$C265,"?*"))</f>
        <v/>
      </c>
    </row>
    <row r="266" customFormat="false" ht="15" hidden="false" customHeight="false" outlineLevel="0" collapsed="false">
      <c r="A266" s="6"/>
      <c r="B266" s="6"/>
      <c r="C266" s="3"/>
      <c r="D266" s="6"/>
      <c r="E266" s="6"/>
      <c r="F266" s="7"/>
      <c r="G266" s="6"/>
      <c r="H266" s="8" t="str">
        <f aca="false">IF(OR($F266="",$G266=""),"",$F266+7*$G266-3)</f>
        <v/>
      </c>
      <c r="I266" s="3"/>
      <c r="J266" s="9" t="str">
        <f aca="false">IF(OR($C266="",$D266=""),"",$D266&amp;"|"&amp;COUNTIFS($D$4:$D266,$D266,$C$4:$C266,"?*"))</f>
        <v/>
      </c>
      <c r="K266" s="9" t="str">
        <f aca="false">IF(OR($C266="",$B266=""),"",$B266&amp;"|"&amp;COUNTIFS($B$4:$B266,$B266,$C$4:$C266,"?*"))</f>
        <v/>
      </c>
      <c r="L266" s="9" t="str">
        <f aca="false">IF($C266="","","ALL|"&amp;COUNTIF($C$4:$C266,"?*"))</f>
        <v/>
      </c>
    </row>
    <row r="267" customFormat="false" ht="15" hidden="false" customHeight="false" outlineLevel="0" collapsed="false">
      <c r="A267" s="6"/>
      <c r="B267" s="6"/>
      <c r="C267" s="3"/>
      <c r="D267" s="6"/>
      <c r="E267" s="6"/>
      <c r="F267" s="7"/>
      <c r="G267" s="6"/>
      <c r="H267" s="8" t="str">
        <f aca="false">IF(OR($F267="",$G267=""),"",$F267+7*$G267-3)</f>
        <v/>
      </c>
      <c r="I267" s="3"/>
      <c r="J267" s="9" t="str">
        <f aca="false">IF(OR($C267="",$D267=""),"",$D267&amp;"|"&amp;COUNTIFS($D$4:$D267,$D267,$C$4:$C267,"?*"))</f>
        <v/>
      </c>
      <c r="K267" s="9" t="str">
        <f aca="false">IF(OR($C267="",$B267=""),"",$B267&amp;"|"&amp;COUNTIFS($B$4:$B267,$B267,$C$4:$C267,"?*"))</f>
        <v/>
      </c>
      <c r="L267" s="9" t="str">
        <f aca="false">IF($C267="","","ALL|"&amp;COUNTIF($C$4:$C267,"?*"))</f>
        <v/>
      </c>
    </row>
    <row r="268" customFormat="false" ht="15" hidden="false" customHeight="false" outlineLevel="0" collapsed="false">
      <c r="A268" s="6"/>
      <c r="B268" s="6"/>
      <c r="C268" s="3"/>
      <c r="D268" s="6"/>
      <c r="E268" s="6"/>
      <c r="F268" s="7"/>
      <c r="G268" s="6"/>
      <c r="H268" s="8" t="str">
        <f aca="false">IF(OR($F268="",$G268=""),"",$F268+7*$G268-3)</f>
        <v/>
      </c>
      <c r="I268" s="3"/>
      <c r="J268" s="9" t="str">
        <f aca="false">IF(OR($C268="",$D268=""),"",$D268&amp;"|"&amp;COUNTIFS($D$4:$D268,$D268,$C$4:$C268,"?*"))</f>
        <v/>
      </c>
      <c r="K268" s="9" t="str">
        <f aca="false">IF(OR($C268="",$B268=""),"",$B268&amp;"|"&amp;COUNTIFS($B$4:$B268,$B268,$C$4:$C268,"?*"))</f>
        <v/>
      </c>
      <c r="L268" s="9" t="str">
        <f aca="false">IF($C268="","","ALL|"&amp;COUNTIF($C$4:$C268,"?*"))</f>
        <v/>
      </c>
    </row>
    <row r="269" customFormat="false" ht="15" hidden="false" customHeight="false" outlineLevel="0" collapsed="false">
      <c r="A269" s="6"/>
      <c r="B269" s="6"/>
      <c r="C269" s="3"/>
      <c r="D269" s="6"/>
      <c r="E269" s="6"/>
      <c r="F269" s="7"/>
      <c r="G269" s="6"/>
      <c r="H269" s="8" t="str">
        <f aca="false">IF(OR($F269="",$G269=""),"",$F269+7*$G269-3)</f>
        <v/>
      </c>
      <c r="I269" s="3"/>
      <c r="J269" s="9" t="str">
        <f aca="false">IF(OR($C269="",$D269=""),"",$D269&amp;"|"&amp;COUNTIFS($D$4:$D269,$D269,$C$4:$C269,"?*"))</f>
        <v/>
      </c>
      <c r="K269" s="9" t="str">
        <f aca="false">IF(OR($C269="",$B269=""),"",$B269&amp;"|"&amp;COUNTIFS($B$4:$B269,$B269,$C$4:$C269,"?*"))</f>
        <v/>
      </c>
      <c r="L269" s="9" t="str">
        <f aca="false">IF($C269="","","ALL|"&amp;COUNTIF($C$4:$C269,"?*"))</f>
        <v/>
      </c>
    </row>
    <row r="270" customFormat="false" ht="15" hidden="false" customHeight="false" outlineLevel="0" collapsed="false">
      <c r="A270" s="6"/>
      <c r="B270" s="6"/>
      <c r="C270" s="3"/>
      <c r="D270" s="6"/>
      <c r="E270" s="6"/>
      <c r="F270" s="7"/>
      <c r="G270" s="6"/>
      <c r="H270" s="8" t="str">
        <f aca="false">IF(OR($F270="",$G270=""),"",$F270+7*$G270-3)</f>
        <v/>
      </c>
      <c r="I270" s="3"/>
      <c r="J270" s="9" t="str">
        <f aca="false">IF(OR($C270="",$D270=""),"",$D270&amp;"|"&amp;COUNTIFS($D$4:$D270,$D270,$C$4:$C270,"?*"))</f>
        <v/>
      </c>
      <c r="K270" s="9" t="str">
        <f aca="false">IF(OR($C270="",$B270=""),"",$B270&amp;"|"&amp;COUNTIFS($B$4:$B270,$B270,$C$4:$C270,"?*"))</f>
        <v/>
      </c>
      <c r="L270" s="9" t="str">
        <f aca="false">IF($C270="","","ALL|"&amp;COUNTIF($C$4:$C270,"?*"))</f>
        <v/>
      </c>
    </row>
    <row r="271" customFormat="false" ht="15" hidden="false" customHeight="false" outlineLevel="0" collapsed="false">
      <c r="A271" s="6"/>
      <c r="B271" s="6"/>
      <c r="C271" s="3"/>
      <c r="D271" s="6"/>
      <c r="E271" s="6"/>
      <c r="F271" s="7"/>
      <c r="G271" s="6"/>
      <c r="H271" s="8" t="str">
        <f aca="false">IF(OR($F271="",$G271=""),"",$F271+7*$G271-3)</f>
        <v/>
      </c>
      <c r="I271" s="3"/>
      <c r="J271" s="9" t="str">
        <f aca="false">IF(OR($C271="",$D271=""),"",$D271&amp;"|"&amp;COUNTIFS($D$4:$D271,$D271,$C$4:$C271,"?*"))</f>
        <v/>
      </c>
      <c r="K271" s="9" t="str">
        <f aca="false">IF(OR($C271="",$B271=""),"",$B271&amp;"|"&amp;COUNTIFS($B$4:$B271,$B271,$C$4:$C271,"?*"))</f>
        <v/>
      </c>
      <c r="L271" s="9" t="str">
        <f aca="false">IF($C271="","","ALL|"&amp;COUNTIF($C$4:$C271,"?*"))</f>
        <v/>
      </c>
    </row>
    <row r="272" customFormat="false" ht="15" hidden="false" customHeight="false" outlineLevel="0" collapsed="false">
      <c r="A272" s="6"/>
      <c r="B272" s="6"/>
      <c r="C272" s="3"/>
      <c r="D272" s="6"/>
      <c r="E272" s="6"/>
      <c r="F272" s="7"/>
      <c r="G272" s="6"/>
      <c r="H272" s="8" t="str">
        <f aca="false">IF(OR($F272="",$G272=""),"",$F272+7*$G272-3)</f>
        <v/>
      </c>
      <c r="I272" s="3"/>
      <c r="J272" s="9" t="str">
        <f aca="false">IF(OR($C272="",$D272=""),"",$D272&amp;"|"&amp;COUNTIFS($D$4:$D272,$D272,$C$4:$C272,"?*"))</f>
        <v/>
      </c>
      <c r="K272" s="9" t="str">
        <f aca="false">IF(OR($C272="",$B272=""),"",$B272&amp;"|"&amp;COUNTIFS($B$4:$B272,$B272,$C$4:$C272,"?*"))</f>
        <v/>
      </c>
      <c r="L272" s="9" t="str">
        <f aca="false">IF($C272="","","ALL|"&amp;COUNTIF($C$4:$C272,"?*"))</f>
        <v/>
      </c>
    </row>
    <row r="273" customFormat="false" ht="15" hidden="false" customHeight="false" outlineLevel="0" collapsed="false">
      <c r="A273" s="6"/>
      <c r="B273" s="6"/>
      <c r="C273" s="3"/>
      <c r="D273" s="6"/>
      <c r="E273" s="6"/>
      <c r="F273" s="7"/>
      <c r="G273" s="6"/>
      <c r="H273" s="8" t="str">
        <f aca="false">IF(OR($F273="",$G273=""),"",$F273+7*$G273-3)</f>
        <v/>
      </c>
      <c r="I273" s="3"/>
      <c r="J273" s="9" t="str">
        <f aca="false">IF(OR($C273="",$D273=""),"",$D273&amp;"|"&amp;COUNTIFS($D$4:$D273,$D273,$C$4:$C273,"?*"))</f>
        <v/>
      </c>
      <c r="K273" s="9" t="str">
        <f aca="false">IF(OR($C273="",$B273=""),"",$B273&amp;"|"&amp;COUNTIFS($B$4:$B273,$B273,$C$4:$C273,"?*"))</f>
        <v/>
      </c>
      <c r="L273" s="9" t="str">
        <f aca="false">IF($C273="","","ALL|"&amp;COUNTIF($C$4:$C273,"?*"))</f>
        <v/>
      </c>
    </row>
    <row r="274" customFormat="false" ht="15" hidden="false" customHeight="false" outlineLevel="0" collapsed="false">
      <c r="A274" s="6"/>
      <c r="B274" s="6"/>
      <c r="C274" s="3"/>
      <c r="D274" s="6"/>
      <c r="E274" s="6"/>
      <c r="F274" s="7"/>
      <c r="G274" s="6"/>
      <c r="H274" s="8" t="str">
        <f aca="false">IF(OR($F274="",$G274=""),"",$F274+7*$G274-3)</f>
        <v/>
      </c>
      <c r="I274" s="3"/>
      <c r="J274" s="9" t="str">
        <f aca="false">IF(OR($C274="",$D274=""),"",$D274&amp;"|"&amp;COUNTIFS($D$4:$D274,$D274,$C$4:$C274,"?*"))</f>
        <v/>
      </c>
      <c r="K274" s="9" t="str">
        <f aca="false">IF(OR($C274="",$B274=""),"",$B274&amp;"|"&amp;COUNTIFS($B$4:$B274,$B274,$C$4:$C274,"?*"))</f>
        <v/>
      </c>
      <c r="L274" s="9" t="str">
        <f aca="false">IF($C274="","","ALL|"&amp;COUNTIF($C$4:$C274,"?*"))</f>
        <v/>
      </c>
    </row>
    <row r="275" customFormat="false" ht="15" hidden="false" customHeight="false" outlineLevel="0" collapsed="false">
      <c r="A275" s="6"/>
      <c r="B275" s="6"/>
      <c r="C275" s="3"/>
      <c r="D275" s="6"/>
      <c r="E275" s="6"/>
      <c r="F275" s="7"/>
      <c r="G275" s="6"/>
      <c r="H275" s="8" t="str">
        <f aca="false">IF(OR($F275="",$G275=""),"",$F275+7*$G275-3)</f>
        <v/>
      </c>
      <c r="I275" s="3"/>
      <c r="J275" s="9" t="str">
        <f aca="false">IF(OR($C275="",$D275=""),"",$D275&amp;"|"&amp;COUNTIFS($D$4:$D275,$D275,$C$4:$C275,"?*"))</f>
        <v/>
      </c>
      <c r="K275" s="9" t="str">
        <f aca="false">IF(OR($C275="",$B275=""),"",$B275&amp;"|"&amp;COUNTIFS($B$4:$B275,$B275,$C$4:$C275,"?*"))</f>
        <v/>
      </c>
      <c r="L275" s="9" t="str">
        <f aca="false">IF($C275="","","ALL|"&amp;COUNTIF($C$4:$C275,"?*"))</f>
        <v/>
      </c>
    </row>
    <row r="276" customFormat="false" ht="15" hidden="false" customHeight="false" outlineLevel="0" collapsed="false">
      <c r="A276" s="6"/>
      <c r="B276" s="6"/>
      <c r="C276" s="3"/>
      <c r="D276" s="6"/>
      <c r="E276" s="6"/>
      <c r="F276" s="7"/>
      <c r="G276" s="6"/>
      <c r="H276" s="8" t="str">
        <f aca="false">IF(OR($F276="",$G276=""),"",$F276+7*$G276-3)</f>
        <v/>
      </c>
      <c r="I276" s="3"/>
      <c r="J276" s="9" t="str">
        <f aca="false">IF(OR($C276="",$D276=""),"",$D276&amp;"|"&amp;COUNTIFS($D$4:$D276,$D276,$C$4:$C276,"?*"))</f>
        <v/>
      </c>
      <c r="K276" s="9" t="str">
        <f aca="false">IF(OR($C276="",$B276=""),"",$B276&amp;"|"&amp;COUNTIFS($B$4:$B276,$B276,$C$4:$C276,"?*"))</f>
        <v/>
      </c>
      <c r="L276" s="9" t="str">
        <f aca="false">IF($C276="","","ALL|"&amp;COUNTIF($C$4:$C276,"?*"))</f>
        <v/>
      </c>
    </row>
    <row r="277" customFormat="false" ht="15" hidden="false" customHeight="false" outlineLevel="0" collapsed="false">
      <c r="A277" s="6"/>
      <c r="B277" s="6"/>
      <c r="C277" s="3"/>
      <c r="D277" s="6"/>
      <c r="E277" s="6"/>
      <c r="F277" s="7"/>
      <c r="G277" s="6"/>
      <c r="H277" s="8" t="str">
        <f aca="false">IF(OR($F277="",$G277=""),"",$F277+7*$G277-3)</f>
        <v/>
      </c>
      <c r="I277" s="3"/>
      <c r="J277" s="9" t="str">
        <f aca="false">IF(OR($C277="",$D277=""),"",$D277&amp;"|"&amp;COUNTIFS($D$4:$D277,$D277,$C$4:$C277,"?*"))</f>
        <v/>
      </c>
      <c r="K277" s="9" t="str">
        <f aca="false">IF(OR($C277="",$B277=""),"",$B277&amp;"|"&amp;COUNTIFS($B$4:$B277,$B277,$C$4:$C277,"?*"))</f>
        <v/>
      </c>
      <c r="L277" s="9" t="str">
        <f aca="false">IF($C277="","","ALL|"&amp;COUNTIF($C$4:$C277,"?*"))</f>
        <v/>
      </c>
    </row>
    <row r="278" customFormat="false" ht="15" hidden="false" customHeight="false" outlineLevel="0" collapsed="false">
      <c r="A278" s="6"/>
      <c r="B278" s="6"/>
      <c r="C278" s="3"/>
      <c r="D278" s="6"/>
      <c r="E278" s="6"/>
      <c r="F278" s="7"/>
      <c r="G278" s="6"/>
      <c r="H278" s="8" t="str">
        <f aca="false">IF(OR($F278="",$G278=""),"",$F278+7*$G278-3)</f>
        <v/>
      </c>
      <c r="I278" s="3"/>
      <c r="J278" s="9" t="str">
        <f aca="false">IF(OR($C278="",$D278=""),"",$D278&amp;"|"&amp;COUNTIFS($D$4:$D278,$D278,$C$4:$C278,"?*"))</f>
        <v/>
      </c>
      <c r="K278" s="9" t="str">
        <f aca="false">IF(OR($C278="",$B278=""),"",$B278&amp;"|"&amp;COUNTIFS($B$4:$B278,$B278,$C$4:$C278,"?*"))</f>
        <v/>
      </c>
      <c r="L278" s="9" t="str">
        <f aca="false">IF($C278="","","ALL|"&amp;COUNTIF($C$4:$C278,"?*"))</f>
        <v/>
      </c>
    </row>
    <row r="279" customFormat="false" ht="15" hidden="false" customHeight="false" outlineLevel="0" collapsed="false">
      <c r="A279" s="6"/>
      <c r="B279" s="6"/>
      <c r="C279" s="3"/>
      <c r="D279" s="6"/>
      <c r="E279" s="6"/>
      <c r="F279" s="7"/>
      <c r="G279" s="6"/>
      <c r="H279" s="8" t="str">
        <f aca="false">IF(OR($F279="",$G279=""),"",$F279+7*$G279-3)</f>
        <v/>
      </c>
      <c r="I279" s="3"/>
      <c r="J279" s="9" t="str">
        <f aca="false">IF(OR($C279="",$D279=""),"",$D279&amp;"|"&amp;COUNTIFS($D$4:$D279,$D279,$C$4:$C279,"?*"))</f>
        <v/>
      </c>
      <c r="K279" s="9" t="str">
        <f aca="false">IF(OR($C279="",$B279=""),"",$B279&amp;"|"&amp;COUNTIFS($B$4:$B279,$B279,$C$4:$C279,"?*"))</f>
        <v/>
      </c>
      <c r="L279" s="9" t="str">
        <f aca="false">IF($C279="","","ALL|"&amp;COUNTIF($C$4:$C279,"?*"))</f>
        <v/>
      </c>
    </row>
    <row r="280" customFormat="false" ht="15" hidden="false" customHeight="false" outlineLevel="0" collapsed="false">
      <c r="A280" s="6"/>
      <c r="B280" s="6"/>
      <c r="C280" s="3"/>
      <c r="D280" s="6"/>
      <c r="E280" s="6"/>
      <c r="F280" s="7"/>
      <c r="G280" s="6"/>
      <c r="H280" s="8" t="str">
        <f aca="false">IF(OR($F280="",$G280=""),"",$F280+7*$G280-3)</f>
        <v/>
      </c>
      <c r="I280" s="3"/>
      <c r="J280" s="9" t="str">
        <f aca="false">IF(OR($C280="",$D280=""),"",$D280&amp;"|"&amp;COUNTIFS($D$4:$D280,$D280,$C$4:$C280,"?*"))</f>
        <v/>
      </c>
      <c r="K280" s="9" t="str">
        <f aca="false">IF(OR($C280="",$B280=""),"",$B280&amp;"|"&amp;COUNTIFS($B$4:$B280,$B280,$C$4:$C280,"?*"))</f>
        <v/>
      </c>
      <c r="L280" s="9" t="str">
        <f aca="false">IF($C280="","","ALL|"&amp;COUNTIF($C$4:$C280,"?*"))</f>
        <v/>
      </c>
    </row>
    <row r="281" customFormat="false" ht="15" hidden="false" customHeight="false" outlineLevel="0" collapsed="false">
      <c r="A281" s="6"/>
      <c r="B281" s="6"/>
      <c r="C281" s="3"/>
      <c r="D281" s="6"/>
      <c r="E281" s="6"/>
      <c r="F281" s="7"/>
      <c r="G281" s="6"/>
      <c r="H281" s="8" t="str">
        <f aca="false">IF(OR($F281="",$G281=""),"",$F281+7*$G281-3)</f>
        <v/>
      </c>
      <c r="I281" s="3"/>
      <c r="J281" s="9" t="str">
        <f aca="false">IF(OR($C281="",$D281=""),"",$D281&amp;"|"&amp;COUNTIFS($D$4:$D281,$D281,$C$4:$C281,"?*"))</f>
        <v/>
      </c>
      <c r="K281" s="9" t="str">
        <f aca="false">IF(OR($C281="",$B281=""),"",$B281&amp;"|"&amp;COUNTIFS($B$4:$B281,$B281,$C$4:$C281,"?*"))</f>
        <v/>
      </c>
      <c r="L281" s="9" t="str">
        <f aca="false">IF($C281="","","ALL|"&amp;COUNTIF($C$4:$C281,"?*"))</f>
        <v/>
      </c>
    </row>
    <row r="282" customFormat="false" ht="15" hidden="false" customHeight="false" outlineLevel="0" collapsed="false">
      <c r="A282" s="6"/>
      <c r="B282" s="6"/>
      <c r="C282" s="3"/>
      <c r="D282" s="6"/>
      <c r="E282" s="6"/>
      <c r="F282" s="7"/>
      <c r="G282" s="6"/>
      <c r="H282" s="8" t="str">
        <f aca="false">IF(OR($F282="",$G282=""),"",$F282+7*$G282-3)</f>
        <v/>
      </c>
      <c r="I282" s="3"/>
      <c r="J282" s="9" t="str">
        <f aca="false">IF(OR($C282="",$D282=""),"",$D282&amp;"|"&amp;COUNTIFS($D$4:$D282,$D282,$C$4:$C282,"?*"))</f>
        <v/>
      </c>
      <c r="K282" s="9" t="str">
        <f aca="false">IF(OR($C282="",$B282=""),"",$B282&amp;"|"&amp;COUNTIFS($B$4:$B282,$B282,$C$4:$C282,"?*"))</f>
        <v/>
      </c>
      <c r="L282" s="9" t="str">
        <f aca="false">IF($C282="","","ALL|"&amp;COUNTIF($C$4:$C282,"?*"))</f>
        <v/>
      </c>
    </row>
    <row r="283" customFormat="false" ht="15" hidden="false" customHeight="false" outlineLevel="0" collapsed="false">
      <c r="A283" s="6"/>
      <c r="B283" s="6"/>
      <c r="C283" s="3"/>
      <c r="D283" s="6"/>
      <c r="E283" s="6"/>
      <c r="F283" s="7"/>
      <c r="G283" s="6"/>
      <c r="H283" s="8" t="str">
        <f aca="false">IF(OR($F283="",$G283=""),"",$F283+7*$G283-3)</f>
        <v/>
      </c>
      <c r="I283" s="3"/>
      <c r="J283" s="9" t="str">
        <f aca="false">IF(OR($C283="",$D283=""),"",$D283&amp;"|"&amp;COUNTIFS($D$4:$D283,$D283,$C$4:$C283,"?*"))</f>
        <v/>
      </c>
      <c r="K283" s="9" t="str">
        <f aca="false">IF(OR($C283="",$B283=""),"",$B283&amp;"|"&amp;COUNTIFS($B$4:$B283,$B283,$C$4:$C283,"?*"))</f>
        <v/>
      </c>
      <c r="L283" s="9" t="str">
        <f aca="false">IF($C283="","","ALL|"&amp;COUNTIF($C$4:$C283,"?*"))</f>
        <v/>
      </c>
    </row>
    <row r="284" customFormat="false" ht="15" hidden="false" customHeight="false" outlineLevel="0" collapsed="false">
      <c r="A284" s="6"/>
      <c r="B284" s="6"/>
      <c r="C284" s="3"/>
      <c r="D284" s="6"/>
      <c r="E284" s="6"/>
      <c r="F284" s="7"/>
      <c r="G284" s="6"/>
      <c r="H284" s="8" t="str">
        <f aca="false">IF(OR($F284="",$G284=""),"",$F284+7*$G284-3)</f>
        <v/>
      </c>
      <c r="I284" s="3"/>
      <c r="J284" s="9" t="str">
        <f aca="false">IF(OR($C284="",$D284=""),"",$D284&amp;"|"&amp;COUNTIFS($D$4:$D284,$D284,$C$4:$C284,"?*"))</f>
        <v/>
      </c>
      <c r="K284" s="9" t="str">
        <f aca="false">IF(OR($C284="",$B284=""),"",$B284&amp;"|"&amp;COUNTIFS($B$4:$B284,$B284,$C$4:$C284,"?*"))</f>
        <v/>
      </c>
      <c r="L284" s="9" t="str">
        <f aca="false">IF($C284="","","ALL|"&amp;COUNTIF($C$4:$C284,"?*"))</f>
        <v/>
      </c>
    </row>
    <row r="285" customFormat="false" ht="15" hidden="false" customHeight="false" outlineLevel="0" collapsed="false">
      <c r="A285" s="6"/>
      <c r="B285" s="6"/>
      <c r="C285" s="3"/>
      <c r="D285" s="6"/>
      <c r="E285" s="6"/>
      <c r="F285" s="7"/>
      <c r="G285" s="6"/>
      <c r="H285" s="8" t="str">
        <f aca="false">IF(OR($F285="",$G285=""),"",$F285+7*$G285-3)</f>
        <v/>
      </c>
      <c r="I285" s="3"/>
      <c r="J285" s="9" t="str">
        <f aca="false">IF(OR($C285="",$D285=""),"",$D285&amp;"|"&amp;COUNTIFS($D$4:$D285,$D285,$C$4:$C285,"?*"))</f>
        <v/>
      </c>
      <c r="K285" s="9" t="str">
        <f aca="false">IF(OR($C285="",$B285=""),"",$B285&amp;"|"&amp;COUNTIFS($B$4:$B285,$B285,$C$4:$C285,"?*"))</f>
        <v/>
      </c>
      <c r="L285" s="9" t="str">
        <f aca="false">IF($C285="","","ALL|"&amp;COUNTIF($C$4:$C285,"?*"))</f>
        <v/>
      </c>
    </row>
    <row r="286" customFormat="false" ht="15" hidden="false" customHeight="false" outlineLevel="0" collapsed="false">
      <c r="A286" s="6"/>
      <c r="B286" s="6"/>
      <c r="C286" s="3"/>
      <c r="D286" s="6"/>
      <c r="E286" s="6"/>
      <c r="F286" s="7"/>
      <c r="G286" s="6"/>
      <c r="H286" s="8" t="str">
        <f aca="false">IF(OR($F286="",$G286=""),"",$F286+7*$G286-3)</f>
        <v/>
      </c>
      <c r="I286" s="3"/>
      <c r="J286" s="9" t="str">
        <f aca="false">IF(OR($C286="",$D286=""),"",$D286&amp;"|"&amp;COUNTIFS($D$4:$D286,$D286,$C$4:$C286,"?*"))</f>
        <v/>
      </c>
      <c r="K286" s="9" t="str">
        <f aca="false">IF(OR($C286="",$B286=""),"",$B286&amp;"|"&amp;COUNTIFS($B$4:$B286,$B286,$C$4:$C286,"?*"))</f>
        <v/>
      </c>
      <c r="L286" s="9" t="str">
        <f aca="false">IF($C286="","","ALL|"&amp;COUNTIF($C$4:$C286,"?*"))</f>
        <v/>
      </c>
    </row>
    <row r="287" customFormat="false" ht="15" hidden="false" customHeight="false" outlineLevel="0" collapsed="false">
      <c r="A287" s="6"/>
      <c r="B287" s="6"/>
      <c r="C287" s="3"/>
      <c r="D287" s="6"/>
      <c r="E287" s="6"/>
      <c r="F287" s="7"/>
      <c r="G287" s="6"/>
      <c r="H287" s="8" t="str">
        <f aca="false">IF(OR($F287="",$G287=""),"",$F287+7*$G287-3)</f>
        <v/>
      </c>
      <c r="I287" s="3"/>
      <c r="J287" s="9" t="str">
        <f aca="false">IF(OR($C287="",$D287=""),"",$D287&amp;"|"&amp;COUNTIFS($D$4:$D287,$D287,$C$4:$C287,"?*"))</f>
        <v/>
      </c>
      <c r="K287" s="9" t="str">
        <f aca="false">IF(OR($C287="",$B287=""),"",$B287&amp;"|"&amp;COUNTIFS($B$4:$B287,$B287,$C$4:$C287,"?*"))</f>
        <v/>
      </c>
      <c r="L287" s="9" t="str">
        <f aca="false">IF($C287="","","ALL|"&amp;COUNTIF($C$4:$C287,"?*"))</f>
        <v/>
      </c>
    </row>
    <row r="288" customFormat="false" ht="15" hidden="false" customHeight="false" outlineLevel="0" collapsed="false">
      <c r="A288" s="6"/>
      <c r="B288" s="6"/>
      <c r="C288" s="3"/>
      <c r="D288" s="6"/>
      <c r="E288" s="6"/>
      <c r="F288" s="7"/>
      <c r="G288" s="6"/>
      <c r="H288" s="8" t="str">
        <f aca="false">IF(OR($F288="",$G288=""),"",$F288+7*$G288-3)</f>
        <v/>
      </c>
      <c r="I288" s="3"/>
      <c r="J288" s="9" t="str">
        <f aca="false">IF(OR($C288="",$D288=""),"",$D288&amp;"|"&amp;COUNTIFS($D$4:$D288,$D288,$C$4:$C288,"?*"))</f>
        <v/>
      </c>
      <c r="K288" s="9" t="str">
        <f aca="false">IF(OR($C288="",$B288=""),"",$B288&amp;"|"&amp;COUNTIFS($B$4:$B288,$B288,$C$4:$C288,"?*"))</f>
        <v/>
      </c>
      <c r="L288" s="9" t="str">
        <f aca="false">IF($C288="","","ALL|"&amp;COUNTIF($C$4:$C288,"?*"))</f>
        <v/>
      </c>
    </row>
    <row r="289" customFormat="false" ht="15" hidden="false" customHeight="false" outlineLevel="0" collapsed="false">
      <c r="A289" s="6"/>
      <c r="B289" s="6"/>
      <c r="C289" s="3"/>
      <c r="D289" s="6"/>
      <c r="E289" s="6"/>
      <c r="F289" s="7"/>
      <c r="G289" s="6"/>
      <c r="H289" s="8" t="str">
        <f aca="false">IF(OR($F289="",$G289=""),"",$F289+7*$G289-3)</f>
        <v/>
      </c>
      <c r="I289" s="3"/>
      <c r="J289" s="9" t="str">
        <f aca="false">IF(OR($C289="",$D289=""),"",$D289&amp;"|"&amp;COUNTIFS($D$4:$D289,$D289,$C$4:$C289,"?*"))</f>
        <v/>
      </c>
      <c r="K289" s="9" t="str">
        <f aca="false">IF(OR($C289="",$B289=""),"",$B289&amp;"|"&amp;COUNTIFS($B$4:$B289,$B289,$C$4:$C289,"?*"))</f>
        <v/>
      </c>
      <c r="L289" s="9" t="str">
        <f aca="false">IF($C289="","","ALL|"&amp;COUNTIF($C$4:$C289,"?*"))</f>
        <v/>
      </c>
    </row>
    <row r="290" customFormat="false" ht="15" hidden="false" customHeight="false" outlineLevel="0" collapsed="false">
      <c r="A290" s="6"/>
      <c r="B290" s="6"/>
      <c r="C290" s="3"/>
      <c r="D290" s="6"/>
      <c r="E290" s="6"/>
      <c r="F290" s="7"/>
      <c r="G290" s="6"/>
      <c r="H290" s="8" t="str">
        <f aca="false">IF(OR($F290="",$G290=""),"",$F290+7*$G290-3)</f>
        <v/>
      </c>
      <c r="I290" s="3"/>
      <c r="J290" s="9" t="str">
        <f aca="false">IF(OR($C290="",$D290=""),"",$D290&amp;"|"&amp;COUNTIFS($D$4:$D290,$D290,$C$4:$C290,"?*"))</f>
        <v/>
      </c>
      <c r="K290" s="9" t="str">
        <f aca="false">IF(OR($C290="",$B290=""),"",$B290&amp;"|"&amp;COUNTIFS($B$4:$B290,$B290,$C$4:$C290,"?*"))</f>
        <v/>
      </c>
      <c r="L290" s="9" t="str">
        <f aca="false">IF($C290="","","ALL|"&amp;COUNTIF($C$4:$C290,"?*"))</f>
        <v/>
      </c>
    </row>
    <row r="291" customFormat="false" ht="15" hidden="false" customHeight="false" outlineLevel="0" collapsed="false">
      <c r="A291" s="6"/>
      <c r="B291" s="6"/>
      <c r="C291" s="3"/>
      <c r="D291" s="6"/>
      <c r="E291" s="6"/>
      <c r="F291" s="7"/>
      <c r="G291" s="6"/>
      <c r="H291" s="8" t="str">
        <f aca="false">IF(OR($F291="",$G291=""),"",$F291+7*$G291-3)</f>
        <v/>
      </c>
      <c r="I291" s="3"/>
      <c r="J291" s="9" t="str">
        <f aca="false">IF(OR($C291="",$D291=""),"",$D291&amp;"|"&amp;COUNTIFS($D$4:$D291,$D291,$C$4:$C291,"?*"))</f>
        <v/>
      </c>
      <c r="K291" s="9" t="str">
        <f aca="false">IF(OR($C291="",$B291=""),"",$B291&amp;"|"&amp;COUNTIFS($B$4:$B291,$B291,$C$4:$C291,"?*"))</f>
        <v/>
      </c>
      <c r="L291" s="9" t="str">
        <f aca="false">IF($C291="","","ALL|"&amp;COUNTIF($C$4:$C291,"?*"))</f>
        <v/>
      </c>
    </row>
    <row r="292" customFormat="false" ht="15" hidden="false" customHeight="false" outlineLevel="0" collapsed="false">
      <c r="A292" s="6"/>
      <c r="B292" s="6"/>
      <c r="C292" s="3"/>
      <c r="D292" s="6"/>
      <c r="E292" s="6"/>
      <c r="F292" s="7"/>
      <c r="G292" s="6"/>
      <c r="H292" s="8" t="str">
        <f aca="false">IF(OR($F292="",$G292=""),"",$F292+7*$G292-3)</f>
        <v/>
      </c>
      <c r="I292" s="3"/>
      <c r="J292" s="9" t="str">
        <f aca="false">IF(OR($C292="",$D292=""),"",$D292&amp;"|"&amp;COUNTIFS($D$4:$D292,$D292,$C$4:$C292,"?*"))</f>
        <v/>
      </c>
      <c r="K292" s="9" t="str">
        <f aca="false">IF(OR($C292="",$B292=""),"",$B292&amp;"|"&amp;COUNTIFS($B$4:$B292,$B292,$C$4:$C292,"?*"))</f>
        <v/>
      </c>
      <c r="L292" s="9" t="str">
        <f aca="false">IF($C292="","","ALL|"&amp;COUNTIF($C$4:$C292,"?*"))</f>
        <v/>
      </c>
    </row>
    <row r="293" customFormat="false" ht="15" hidden="false" customHeight="false" outlineLevel="0" collapsed="false">
      <c r="A293" s="6"/>
      <c r="B293" s="6"/>
      <c r="C293" s="3"/>
      <c r="D293" s="6"/>
      <c r="E293" s="6"/>
      <c r="F293" s="7"/>
      <c r="G293" s="6"/>
      <c r="H293" s="8" t="str">
        <f aca="false">IF(OR($F293="",$G293=""),"",$F293+7*$G293-3)</f>
        <v/>
      </c>
      <c r="I293" s="3"/>
      <c r="J293" s="9" t="str">
        <f aca="false">IF(OR($C293="",$D293=""),"",$D293&amp;"|"&amp;COUNTIFS($D$4:$D293,$D293,$C$4:$C293,"?*"))</f>
        <v/>
      </c>
      <c r="K293" s="9" t="str">
        <f aca="false">IF(OR($C293="",$B293=""),"",$B293&amp;"|"&amp;COUNTIFS($B$4:$B293,$B293,$C$4:$C293,"?*"))</f>
        <v/>
      </c>
      <c r="L293" s="9" t="str">
        <f aca="false">IF($C293="","","ALL|"&amp;COUNTIF($C$4:$C293,"?*"))</f>
        <v/>
      </c>
    </row>
    <row r="294" customFormat="false" ht="15" hidden="false" customHeight="false" outlineLevel="0" collapsed="false">
      <c r="A294" s="6"/>
      <c r="B294" s="6"/>
      <c r="C294" s="3"/>
      <c r="D294" s="6"/>
      <c r="E294" s="6"/>
      <c r="F294" s="7"/>
      <c r="G294" s="6"/>
      <c r="H294" s="8" t="str">
        <f aca="false">IF(OR($F294="",$G294=""),"",$F294+7*$G294-3)</f>
        <v/>
      </c>
      <c r="I294" s="3"/>
      <c r="J294" s="9" t="str">
        <f aca="false">IF(OR($C294="",$D294=""),"",$D294&amp;"|"&amp;COUNTIFS($D$4:$D294,$D294,$C$4:$C294,"?*"))</f>
        <v/>
      </c>
      <c r="K294" s="9" t="str">
        <f aca="false">IF(OR($C294="",$B294=""),"",$B294&amp;"|"&amp;COUNTIFS($B$4:$B294,$B294,$C$4:$C294,"?*"))</f>
        <v/>
      </c>
      <c r="L294" s="9" t="str">
        <f aca="false">IF($C294="","","ALL|"&amp;COUNTIF($C$4:$C294,"?*"))</f>
        <v/>
      </c>
    </row>
    <row r="295" customFormat="false" ht="15" hidden="false" customHeight="false" outlineLevel="0" collapsed="false">
      <c r="A295" s="6"/>
      <c r="B295" s="6"/>
      <c r="C295" s="3"/>
      <c r="D295" s="6"/>
      <c r="E295" s="6"/>
      <c r="F295" s="7"/>
      <c r="G295" s="6"/>
      <c r="H295" s="8" t="str">
        <f aca="false">IF(OR($F295="",$G295=""),"",$F295+7*$G295-3)</f>
        <v/>
      </c>
      <c r="I295" s="3"/>
      <c r="J295" s="9" t="str">
        <f aca="false">IF(OR($C295="",$D295=""),"",$D295&amp;"|"&amp;COUNTIFS($D$4:$D295,$D295,$C$4:$C295,"?*"))</f>
        <v/>
      </c>
      <c r="K295" s="9" t="str">
        <f aca="false">IF(OR($C295="",$B295=""),"",$B295&amp;"|"&amp;COUNTIFS($B$4:$B295,$B295,$C$4:$C295,"?*"))</f>
        <v/>
      </c>
      <c r="L295" s="9" t="str">
        <f aca="false">IF($C295="","","ALL|"&amp;COUNTIF($C$4:$C295,"?*"))</f>
        <v/>
      </c>
    </row>
    <row r="296" customFormat="false" ht="15" hidden="false" customHeight="false" outlineLevel="0" collapsed="false">
      <c r="A296" s="6"/>
      <c r="B296" s="6"/>
      <c r="C296" s="3"/>
      <c r="D296" s="6"/>
      <c r="E296" s="6"/>
      <c r="F296" s="7"/>
      <c r="G296" s="6"/>
      <c r="H296" s="8" t="str">
        <f aca="false">IF(OR($F296="",$G296=""),"",$F296+7*$G296-3)</f>
        <v/>
      </c>
      <c r="I296" s="3"/>
      <c r="J296" s="9" t="str">
        <f aca="false">IF(OR($C296="",$D296=""),"",$D296&amp;"|"&amp;COUNTIFS($D$4:$D296,$D296,$C$4:$C296,"?*"))</f>
        <v/>
      </c>
      <c r="K296" s="9" t="str">
        <f aca="false">IF(OR($C296="",$B296=""),"",$B296&amp;"|"&amp;COUNTIFS($B$4:$B296,$B296,$C$4:$C296,"?*"))</f>
        <v/>
      </c>
      <c r="L296" s="9" t="str">
        <f aca="false">IF($C296="","","ALL|"&amp;COUNTIF($C$4:$C296,"?*"))</f>
        <v/>
      </c>
    </row>
    <row r="297" customFormat="false" ht="15" hidden="false" customHeight="false" outlineLevel="0" collapsed="false">
      <c r="A297" s="6"/>
      <c r="B297" s="6"/>
      <c r="C297" s="3"/>
      <c r="D297" s="6"/>
      <c r="E297" s="6"/>
      <c r="F297" s="7"/>
      <c r="G297" s="6"/>
      <c r="H297" s="8" t="str">
        <f aca="false">IF(OR($F297="",$G297=""),"",$F297+7*$G297-3)</f>
        <v/>
      </c>
      <c r="I297" s="3"/>
      <c r="J297" s="9" t="str">
        <f aca="false">IF(OR($C297="",$D297=""),"",$D297&amp;"|"&amp;COUNTIFS($D$4:$D297,$D297,$C$4:$C297,"?*"))</f>
        <v/>
      </c>
      <c r="K297" s="9" t="str">
        <f aca="false">IF(OR($C297="",$B297=""),"",$B297&amp;"|"&amp;COUNTIFS($B$4:$B297,$B297,$C$4:$C297,"?*"))</f>
        <v/>
      </c>
      <c r="L297" s="9" t="str">
        <f aca="false">IF($C297="","","ALL|"&amp;COUNTIF($C$4:$C297,"?*"))</f>
        <v/>
      </c>
    </row>
    <row r="298" customFormat="false" ht="15" hidden="false" customHeight="false" outlineLevel="0" collapsed="false">
      <c r="A298" s="6"/>
      <c r="B298" s="6"/>
      <c r="C298" s="3"/>
      <c r="D298" s="6"/>
      <c r="E298" s="6"/>
      <c r="F298" s="7"/>
      <c r="G298" s="6"/>
      <c r="H298" s="8" t="str">
        <f aca="false">IF(OR($F298="",$G298=""),"",$F298+7*$G298-3)</f>
        <v/>
      </c>
      <c r="I298" s="3"/>
      <c r="J298" s="9" t="str">
        <f aca="false">IF(OR($C298="",$D298=""),"",$D298&amp;"|"&amp;COUNTIFS($D$4:$D298,$D298,$C$4:$C298,"?*"))</f>
        <v/>
      </c>
      <c r="K298" s="9" t="str">
        <f aca="false">IF(OR($C298="",$B298=""),"",$B298&amp;"|"&amp;COUNTIFS($B$4:$B298,$B298,$C$4:$C298,"?*"))</f>
        <v/>
      </c>
      <c r="L298" s="9" t="str">
        <f aca="false">IF($C298="","","ALL|"&amp;COUNTIF($C$4:$C298,"?*"))</f>
        <v/>
      </c>
    </row>
    <row r="299" customFormat="false" ht="15" hidden="false" customHeight="false" outlineLevel="0" collapsed="false">
      <c r="A299" s="6"/>
      <c r="B299" s="6"/>
      <c r="C299" s="3"/>
      <c r="D299" s="6"/>
      <c r="E299" s="6"/>
      <c r="F299" s="7"/>
      <c r="G299" s="6"/>
      <c r="H299" s="8" t="str">
        <f aca="false">IF(OR($F299="",$G299=""),"",$F299+7*$G299-3)</f>
        <v/>
      </c>
      <c r="I299" s="3"/>
      <c r="J299" s="9" t="str">
        <f aca="false">IF(OR($C299="",$D299=""),"",$D299&amp;"|"&amp;COUNTIFS($D$4:$D299,$D299,$C$4:$C299,"?*"))</f>
        <v/>
      </c>
      <c r="K299" s="9" t="str">
        <f aca="false">IF(OR($C299="",$B299=""),"",$B299&amp;"|"&amp;COUNTIFS($B$4:$B299,$B299,$C$4:$C299,"?*"))</f>
        <v/>
      </c>
      <c r="L299" s="9" t="str">
        <f aca="false">IF($C299="","","ALL|"&amp;COUNTIF($C$4:$C299,"?*"))</f>
        <v/>
      </c>
    </row>
    <row r="300" customFormat="false" ht="15" hidden="false" customHeight="false" outlineLevel="0" collapsed="false">
      <c r="A300" s="6"/>
      <c r="B300" s="6"/>
      <c r="C300" s="3"/>
      <c r="D300" s="6"/>
      <c r="E300" s="6"/>
      <c r="F300" s="7"/>
      <c r="G300" s="6"/>
      <c r="H300" s="8" t="str">
        <f aca="false">IF(OR($F300="",$G300=""),"",$F300+7*$G300-3)</f>
        <v/>
      </c>
      <c r="I300" s="3"/>
      <c r="J300" s="9" t="str">
        <f aca="false">IF(OR($C300="",$D300=""),"",$D300&amp;"|"&amp;COUNTIFS($D$4:$D300,$D300,$C$4:$C300,"?*"))</f>
        <v/>
      </c>
      <c r="K300" s="9" t="str">
        <f aca="false">IF(OR($C300="",$B300=""),"",$B300&amp;"|"&amp;COUNTIFS($B$4:$B300,$B300,$C$4:$C300,"?*"))</f>
        <v/>
      </c>
      <c r="L300" s="9" t="str">
        <f aca="false">IF($C300="","","ALL|"&amp;COUNTIF($C$4:$C300,"?*"))</f>
        <v/>
      </c>
    </row>
    <row r="301" customFormat="false" ht="15" hidden="false" customHeight="false" outlineLevel="0" collapsed="false">
      <c r="A301" s="6"/>
      <c r="B301" s="6"/>
      <c r="C301" s="3"/>
      <c r="D301" s="6"/>
      <c r="E301" s="6"/>
      <c r="F301" s="7"/>
      <c r="G301" s="6"/>
      <c r="H301" s="8" t="str">
        <f aca="false">IF(OR($F301="",$G301=""),"",$F301+7*$G301-3)</f>
        <v/>
      </c>
      <c r="I301" s="3"/>
      <c r="J301" s="9" t="str">
        <f aca="false">IF(OR($C301="",$D301=""),"",$D301&amp;"|"&amp;COUNTIFS($D$4:$D301,$D301,$C$4:$C301,"?*"))</f>
        <v/>
      </c>
      <c r="K301" s="9" t="str">
        <f aca="false">IF(OR($C301="",$B301=""),"",$B301&amp;"|"&amp;COUNTIFS($B$4:$B301,$B301,$C$4:$C301,"?*"))</f>
        <v/>
      </c>
      <c r="L301" s="9" t="str">
        <f aca="false">IF($C301="","","ALL|"&amp;COUNTIF($C$4:$C301,"?*"))</f>
        <v/>
      </c>
    </row>
    <row r="302" customFormat="false" ht="15" hidden="false" customHeight="false" outlineLevel="0" collapsed="false">
      <c r="A302" s="6"/>
      <c r="B302" s="6"/>
      <c r="C302" s="3"/>
      <c r="D302" s="6"/>
      <c r="E302" s="6"/>
      <c r="F302" s="7"/>
      <c r="G302" s="6"/>
      <c r="H302" s="8" t="str">
        <f aca="false">IF(OR($F302="",$G302=""),"",$F302+7*$G302-3)</f>
        <v/>
      </c>
      <c r="I302" s="3"/>
      <c r="J302" s="9" t="str">
        <f aca="false">IF(OR($C302="",$D302=""),"",$D302&amp;"|"&amp;COUNTIFS($D$4:$D302,$D302,$C$4:$C302,"?*"))</f>
        <v/>
      </c>
      <c r="K302" s="9" t="str">
        <f aca="false">IF(OR($C302="",$B302=""),"",$B302&amp;"|"&amp;COUNTIFS($B$4:$B302,$B302,$C$4:$C302,"?*"))</f>
        <v/>
      </c>
      <c r="L302" s="9" t="str">
        <f aca="false">IF($C302="","","ALL|"&amp;COUNTIF($C$4:$C302,"?*"))</f>
        <v/>
      </c>
    </row>
    <row r="303" customFormat="false" ht="15" hidden="false" customHeight="false" outlineLevel="0" collapsed="false">
      <c r="A303" s="6"/>
      <c r="B303" s="6"/>
      <c r="C303" s="3"/>
      <c r="D303" s="6"/>
      <c r="E303" s="6"/>
      <c r="F303" s="7"/>
      <c r="G303" s="6"/>
      <c r="H303" s="8" t="str">
        <f aca="false">IF(OR($F303="",$G303=""),"",$F303+7*$G303-3)</f>
        <v/>
      </c>
      <c r="I303" s="3"/>
      <c r="J303" s="9" t="str">
        <f aca="false">IF(OR($C303="",$D303=""),"",$D303&amp;"|"&amp;COUNTIFS($D$4:$D303,$D303,$C$4:$C303,"?*"))</f>
        <v/>
      </c>
      <c r="K303" s="9" t="str">
        <f aca="false">IF(OR($C303="",$B303=""),"",$B303&amp;"|"&amp;COUNTIFS($B$4:$B303,$B303,$C$4:$C303,"?*"))</f>
        <v/>
      </c>
      <c r="L303" s="9" t="str">
        <f aca="false">IF($C303="","","ALL|"&amp;COUNTIF($C$4:$C303,"?*"))</f>
        <v/>
      </c>
    </row>
    <row r="304" customFormat="false" ht="15" hidden="false" customHeight="false" outlineLevel="0" collapsed="false">
      <c r="A304" s="6"/>
      <c r="B304" s="6"/>
      <c r="C304" s="3"/>
      <c r="D304" s="6"/>
      <c r="E304" s="6"/>
      <c r="F304" s="7"/>
      <c r="G304" s="6"/>
      <c r="H304" s="8" t="str">
        <f aca="false">IF(OR($F304="",$G304=""),"",$F304+7*$G304-3)</f>
        <v/>
      </c>
      <c r="I304" s="3"/>
      <c r="J304" s="9" t="str">
        <f aca="false">IF(OR($C304="",$D304=""),"",$D304&amp;"|"&amp;COUNTIFS($D$4:$D304,$D304,$C$4:$C304,"?*"))</f>
        <v/>
      </c>
      <c r="K304" s="9" t="str">
        <f aca="false">IF(OR($C304="",$B304=""),"",$B304&amp;"|"&amp;COUNTIFS($B$4:$B304,$B304,$C$4:$C304,"?*"))</f>
        <v/>
      </c>
      <c r="L304" s="9" t="str">
        <f aca="false">IF($C304="","","ALL|"&amp;COUNTIF($C$4:$C304,"?*"))</f>
        <v/>
      </c>
    </row>
    <row r="305" customFormat="false" ht="15" hidden="false" customHeight="false" outlineLevel="0" collapsed="false">
      <c r="A305" s="6"/>
      <c r="B305" s="6"/>
      <c r="C305" s="3"/>
      <c r="D305" s="6"/>
      <c r="E305" s="6"/>
      <c r="F305" s="7"/>
      <c r="G305" s="6"/>
      <c r="H305" s="8" t="str">
        <f aca="false">IF(OR($F305="",$G305=""),"",$F305+7*$G305-3)</f>
        <v/>
      </c>
      <c r="I305" s="3"/>
      <c r="J305" s="9" t="str">
        <f aca="false">IF(OR($C305="",$D305=""),"",$D305&amp;"|"&amp;COUNTIFS($D$4:$D305,$D305,$C$4:$C305,"?*"))</f>
        <v/>
      </c>
      <c r="K305" s="9" t="str">
        <f aca="false">IF(OR($C305="",$B305=""),"",$B305&amp;"|"&amp;COUNTIFS($B$4:$B305,$B305,$C$4:$C305,"?*"))</f>
        <v/>
      </c>
      <c r="L305" s="9" t="str">
        <f aca="false">IF($C305="","","ALL|"&amp;COUNTIF($C$4:$C305,"?*"))</f>
        <v/>
      </c>
    </row>
    <row r="306" customFormat="false" ht="15" hidden="false" customHeight="false" outlineLevel="0" collapsed="false">
      <c r="A306" s="6"/>
      <c r="B306" s="6"/>
      <c r="C306" s="3"/>
      <c r="D306" s="6"/>
      <c r="E306" s="6"/>
      <c r="F306" s="7"/>
      <c r="G306" s="6"/>
      <c r="H306" s="8" t="str">
        <f aca="false">IF(OR($F306="",$G306=""),"",$F306+7*$G306-3)</f>
        <v/>
      </c>
      <c r="I306" s="3"/>
      <c r="J306" s="9" t="str">
        <f aca="false">IF(OR($C306="",$D306=""),"",$D306&amp;"|"&amp;COUNTIFS($D$4:$D306,$D306,$C$4:$C306,"?*"))</f>
        <v/>
      </c>
      <c r="K306" s="9" t="str">
        <f aca="false">IF(OR($C306="",$B306=""),"",$B306&amp;"|"&amp;COUNTIFS($B$4:$B306,$B306,$C$4:$C306,"?*"))</f>
        <v/>
      </c>
      <c r="L306" s="9" t="str">
        <f aca="false">IF($C306="","","ALL|"&amp;COUNTIF($C$4:$C306,"?*"))</f>
        <v/>
      </c>
    </row>
    <row r="307" customFormat="false" ht="15" hidden="false" customHeight="false" outlineLevel="0" collapsed="false">
      <c r="A307" s="6"/>
      <c r="B307" s="6"/>
      <c r="C307" s="3"/>
      <c r="D307" s="6"/>
      <c r="E307" s="6"/>
      <c r="F307" s="7"/>
      <c r="G307" s="6"/>
      <c r="H307" s="8" t="str">
        <f aca="false">IF(OR($F307="",$G307=""),"",$F307+7*$G307-3)</f>
        <v/>
      </c>
      <c r="I307" s="3"/>
      <c r="J307" s="9" t="str">
        <f aca="false">IF(OR($C307="",$D307=""),"",$D307&amp;"|"&amp;COUNTIFS($D$4:$D307,$D307,$C$4:$C307,"?*"))</f>
        <v/>
      </c>
      <c r="K307" s="9" t="str">
        <f aca="false">IF(OR($C307="",$B307=""),"",$B307&amp;"|"&amp;COUNTIFS($B$4:$B307,$B307,$C$4:$C307,"?*"))</f>
        <v/>
      </c>
      <c r="L307" s="9" t="str">
        <f aca="false">IF($C307="","","ALL|"&amp;COUNTIF($C$4:$C307,"?*"))</f>
        <v/>
      </c>
    </row>
    <row r="308" customFormat="false" ht="15" hidden="false" customHeight="false" outlineLevel="0" collapsed="false">
      <c r="A308" s="6"/>
      <c r="B308" s="6"/>
      <c r="C308" s="3"/>
      <c r="D308" s="6"/>
      <c r="E308" s="6"/>
      <c r="F308" s="7"/>
      <c r="G308" s="6"/>
      <c r="H308" s="8" t="str">
        <f aca="false">IF(OR($F308="",$G308=""),"",$F308+7*$G308-3)</f>
        <v/>
      </c>
      <c r="I308" s="3"/>
      <c r="J308" s="9" t="str">
        <f aca="false">IF(OR($C308="",$D308=""),"",$D308&amp;"|"&amp;COUNTIFS($D$4:$D308,$D308,$C$4:$C308,"?*"))</f>
        <v/>
      </c>
      <c r="K308" s="9" t="str">
        <f aca="false">IF(OR($C308="",$B308=""),"",$B308&amp;"|"&amp;COUNTIFS($B$4:$B308,$B308,$C$4:$C308,"?*"))</f>
        <v/>
      </c>
      <c r="L308" s="9" t="str">
        <f aca="false">IF($C308="","","ALL|"&amp;COUNTIF($C$4:$C308,"?*"))</f>
        <v/>
      </c>
    </row>
    <row r="309" customFormat="false" ht="15" hidden="false" customHeight="false" outlineLevel="0" collapsed="false">
      <c r="A309" s="6"/>
      <c r="B309" s="6"/>
      <c r="C309" s="3"/>
      <c r="D309" s="6"/>
      <c r="E309" s="6"/>
      <c r="F309" s="7"/>
      <c r="G309" s="6"/>
      <c r="H309" s="8" t="str">
        <f aca="false">IF(OR($F309="",$G309=""),"",$F309+7*$G309-3)</f>
        <v/>
      </c>
      <c r="I309" s="3"/>
      <c r="J309" s="9" t="str">
        <f aca="false">IF(OR($C309="",$D309=""),"",$D309&amp;"|"&amp;COUNTIFS($D$4:$D309,$D309,$C$4:$C309,"?*"))</f>
        <v/>
      </c>
      <c r="K309" s="9" t="str">
        <f aca="false">IF(OR($C309="",$B309=""),"",$B309&amp;"|"&amp;COUNTIFS($B$4:$B309,$B309,$C$4:$C309,"?*"))</f>
        <v/>
      </c>
      <c r="L309" s="9" t="str">
        <f aca="false">IF($C309="","","ALL|"&amp;COUNTIF($C$4:$C309,"?*"))</f>
        <v/>
      </c>
    </row>
    <row r="310" customFormat="false" ht="15" hidden="false" customHeight="false" outlineLevel="0" collapsed="false">
      <c r="A310" s="6"/>
      <c r="B310" s="6"/>
      <c r="C310" s="3"/>
      <c r="D310" s="6"/>
      <c r="E310" s="6"/>
      <c r="F310" s="7"/>
      <c r="G310" s="6"/>
      <c r="H310" s="8" t="str">
        <f aca="false">IF(OR($F310="",$G310=""),"",$F310+7*$G310-3)</f>
        <v/>
      </c>
      <c r="I310" s="3"/>
      <c r="J310" s="9" t="str">
        <f aca="false">IF(OR($C310="",$D310=""),"",$D310&amp;"|"&amp;COUNTIFS($D$4:$D310,$D310,$C$4:$C310,"?*"))</f>
        <v/>
      </c>
      <c r="K310" s="9" t="str">
        <f aca="false">IF(OR($C310="",$B310=""),"",$B310&amp;"|"&amp;COUNTIFS($B$4:$B310,$B310,$C$4:$C310,"?*"))</f>
        <v/>
      </c>
      <c r="L310" s="9" t="str">
        <f aca="false">IF($C310="","","ALL|"&amp;COUNTIF($C$4:$C310,"?*"))</f>
        <v/>
      </c>
    </row>
    <row r="311" customFormat="false" ht="15" hidden="false" customHeight="false" outlineLevel="0" collapsed="false">
      <c r="A311" s="6"/>
      <c r="B311" s="6"/>
      <c r="C311" s="3"/>
      <c r="D311" s="6"/>
      <c r="E311" s="6"/>
      <c r="F311" s="7"/>
      <c r="G311" s="6"/>
      <c r="H311" s="8" t="str">
        <f aca="false">IF(OR($F311="",$G311=""),"",$F311+7*$G311-3)</f>
        <v/>
      </c>
      <c r="I311" s="3"/>
      <c r="J311" s="9" t="str">
        <f aca="false">IF(OR($C311="",$D311=""),"",$D311&amp;"|"&amp;COUNTIFS($D$4:$D311,$D311,$C$4:$C311,"?*"))</f>
        <v/>
      </c>
      <c r="K311" s="9" t="str">
        <f aca="false">IF(OR($C311="",$B311=""),"",$B311&amp;"|"&amp;COUNTIFS($B$4:$B311,$B311,$C$4:$C311,"?*"))</f>
        <v/>
      </c>
      <c r="L311" s="9" t="str">
        <f aca="false">IF($C311="","","ALL|"&amp;COUNTIF($C$4:$C311,"?*"))</f>
        <v/>
      </c>
    </row>
    <row r="312" customFormat="false" ht="15" hidden="false" customHeight="false" outlineLevel="0" collapsed="false">
      <c r="A312" s="6"/>
      <c r="B312" s="6"/>
      <c r="C312" s="3"/>
      <c r="D312" s="6"/>
      <c r="E312" s="6"/>
      <c r="F312" s="7"/>
      <c r="G312" s="6"/>
      <c r="H312" s="8" t="str">
        <f aca="false">IF(OR($F312="",$G312=""),"",$F312+7*$G312-3)</f>
        <v/>
      </c>
      <c r="I312" s="3"/>
      <c r="J312" s="9" t="str">
        <f aca="false">IF(OR($C312="",$D312=""),"",$D312&amp;"|"&amp;COUNTIFS($D$4:$D312,$D312,$C$4:$C312,"?*"))</f>
        <v/>
      </c>
      <c r="K312" s="9" t="str">
        <f aca="false">IF(OR($C312="",$B312=""),"",$B312&amp;"|"&amp;COUNTIFS($B$4:$B312,$B312,$C$4:$C312,"?*"))</f>
        <v/>
      </c>
      <c r="L312" s="9" t="str">
        <f aca="false">IF($C312="","","ALL|"&amp;COUNTIF($C$4:$C312,"?*"))</f>
        <v/>
      </c>
    </row>
    <row r="313" customFormat="false" ht="15" hidden="false" customHeight="false" outlineLevel="0" collapsed="false">
      <c r="A313" s="6"/>
      <c r="B313" s="6"/>
      <c r="C313" s="3"/>
      <c r="D313" s="6"/>
      <c r="E313" s="6"/>
      <c r="F313" s="7"/>
      <c r="G313" s="6"/>
      <c r="H313" s="8" t="str">
        <f aca="false">IF(OR($F313="",$G313=""),"",$F313+7*$G313-3)</f>
        <v/>
      </c>
      <c r="I313" s="3"/>
      <c r="J313" s="9" t="str">
        <f aca="false">IF(OR($C313="",$D313=""),"",$D313&amp;"|"&amp;COUNTIFS($D$4:$D313,$D313,$C$4:$C313,"?*"))</f>
        <v/>
      </c>
      <c r="K313" s="9" t="str">
        <f aca="false">IF(OR($C313="",$B313=""),"",$B313&amp;"|"&amp;COUNTIFS($B$4:$B313,$B313,$C$4:$C313,"?*"))</f>
        <v/>
      </c>
      <c r="L313" s="9" t="str">
        <f aca="false">IF($C313="","","ALL|"&amp;COUNTIF($C$4:$C313,"?*"))</f>
        <v/>
      </c>
    </row>
    <row r="314" customFormat="false" ht="15" hidden="false" customHeight="false" outlineLevel="0" collapsed="false">
      <c r="A314" s="6"/>
      <c r="B314" s="6"/>
      <c r="C314" s="3"/>
      <c r="D314" s="6"/>
      <c r="E314" s="6"/>
      <c r="F314" s="7"/>
      <c r="G314" s="6"/>
      <c r="H314" s="8" t="str">
        <f aca="false">IF(OR($F314="",$G314=""),"",$F314+7*$G314-3)</f>
        <v/>
      </c>
      <c r="I314" s="3"/>
      <c r="J314" s="9" t="str">
        <f aca="false">IF(OR($C314="",$D314=""),"",$D314&amp;"|"&amp;COUNTIFS($D$4:$D314,$D314,$C$4:$C314,"?*"))</f>
        <v/>
      </c>
      <c r="K314" s="9" t="str">
        <f aca="false">IF(OR($C314="",$B314=""),"",$B314&amp;"|"&amp;COUNTIFS($B$4:$B314,$B314,$C$4:$C314,"?*"))</f>
        <v/>
      </c>
      <c r="L314" s="9" t="str">
        <f aca="false">IF($C314="","","ALL|"&amp;COUNTIF($C$4:$C314,"?*"))</f>
        <v/>
      </c>
    </row>
    <row r="315" customFormat="false" ht="15" hidden="false" customHeight="false" outlineLevel="0" collapsed="false">
      <c r="A315" s="6"/>
      <c r="B315" s="6"/>
      <c r="C315" s="3"/>
      <c r="D315" s="6"/>
      <c r="E315" s="6"/>
      <c r="F315" s="7"/>
      <c r="G315" s="6"/>
      <c r="H315" s="8" t="str">
        <f aca="false">IF(OR($F315="",$G315=""),"",$F315+7*$G315-3)</f>
        <v/>
      </c>
      <c r="I315" s="3"/>
      <c r="J315" s="9" t="str">
        <f aca="false">IF(OR($C315="",$D315=""),"",$D315&amp;"|"&amp;COUNTIFS($D$4:$D315,$D315,$C$4:$C315,"?*"))</f>
        <v/>
      </c>
      <c r="K315" s="9" t="str">
        <f aca="false">IF(OR($C315="",$B315=""),"",$B315&amp;"|"&amp;COUNTIFS($B$4:$B315,$B315,$C$4:$C315,"?*"))</f>
        <v/>
      </c>
      <c r="L315" s="9" t="str">
        <f aca="false">IF($C315="","","ALL|"&amp;COUNTIF($C$4:$C315,"?*"))</f>
        <v/>
      </c>
    </row>
    <row r="316" customFormat="false" ht="15" hidden="false" customHeight="false" outlineLevel="0" collapsed="false">
      <c r="A316" s="6"/>
      <c r="B316" s="6"/>
      <c r="C316" s="3"/>
      <c r="D316" s="6"/>
      <c r="E316" s="6"/>
      <c r="F316" s="7"/>
      <c r="G316" s="6"/>
      <c r="H316" s="8" t="str">
        <f aca="false">IF(OR($F316="",$G316=""),"",$F316+7*$G316-3)</f>
        <v/>
      </c>
      <c r="I316" s="3"/>
      <c r="J316" s="9" t="str">
        <f aca="false">IF(OR($C316="",$D316=""),"",$D316&amp;"|"&amp;COUNTIFS($D$4:$D316,$D316,$C$4:$C316,"?*"))</f>
        <v/>
      </c>
      <c r="K316" s="9" t="str">
        <f aca="false">IF(OR($C316="",$B316=""),"",$B316&amp;"|"&amp;COUNTIFS($B$4:$B316,$B316,$C$4:$C316,"?*"))</f>
        <v/>
      </c>
      <c r="L316" s="9" t="str">
        <f aca="false">IF($C316="","","ALL|"&amp;COUNTIF($C$4:$C316,"?*"))</f>
        <v/>
      </c>
    </row>
    <row r="317" customFormat="false" ht="15" hidden="false" customHeight="false" outlineLevel="0" collapsed="false">
      <c r="A317" s="6"/>
      <c r="B317" s="6"/>
      <c r="C317" s="3"/>
      <c r="D317" s="6"/>
      <c r="E317" s="6"/>
      <c r="F317" s="7"/>
      <c r="G317" s="6"/>
      <c r="H317" s="8" t="str">
        <f aca="false">IF(OR($F317="",$G317=""),"",$F317+7*$G317-3)</f>
        <v/>
      </c>
      <c r="I317" s="3"/>
      <c r="J317" s="9" t="str">
        <f aca="false">IF(OR($C317="",$D317=""),"",$D317&amp;"|"&amp;COUNTIFS($D$4:$D317,$D317,$C$4:$C317,"?*"))</f>
        <v/>
      </c>
      <c r="K317" s="9" t="str">
        <f aca="false">IF(OR($C317="",$B317=""),"",$B317&amp;"|"&amp;COUNTIFS($B$4:$B317,$B317,$C$4:$C317,"?*"))</f>
        <v/>
      </c>
      <c r="L317" s="9" t="str">
        <f aca="false">IF($C317="","","ALL|"&amp;COUNTIF($C$4:$C317,"?*"))</f>
        <v/>
      </c>
    </row>
    <row r="318" customFormat="false" ht="15" hidden="false" customHeight="false" outlineLevel="0" collapsed="false">
      <c r="A318" s="6"/>
      <c r="B318" s="6"/>
      <c r="C318" s="3"/>
      <c r="D318" s="6"/>
      <c r="E318" s="6"/>
      <c r="F318" s="7"/>
      <c r="G318" s="6"/>
      <c r="H318" s="8" t="str">
        <f aca="false">IF(OR($F318="",$G318=""),"",$F318+7*$G318-3)</f>
        <v/>
      </c>
      <c r="I318" s="3"/>
      <c r="J318" s="9" t="str">
        <f aca="false">IF(OR($C318="",$D318=""),"",$D318&amp;"|"&amp;COUNTIFS($D$4:$D318,$D318,$C$4:$C318,"?*"))</f>
        <v/>
      </c>
      <c r="K318" s="9" t="str">
        <f aca="false">IF(OR($C318="",$B318=""),"",$B318&amp;"|"&amp;COUNTIFS($B$4:$B318,$B318,$C$4:$C318,"?*"))</f>
        <v/>
      </c>
      <c r="L318" s="9" t="str">
        <f aca="false">IF($C318="","","ALL|"&amp;COUNTIF($C$4:$C318,"?*"))</f>
        <v/>
      </c>
    </row>
    <row r="319" customFormat="false" ht="15" hidden="false" customHeight="false" outlineLevel="0" collapsed="false">
      <c r="A319" s="6"/>
      <c r="B319" s="6"/>
      <c r="C319" s="3"/>
      <c r="D319" s="6"/>
      <c r="E319" s="6"/>
      <c r="F319" s="7"/>
      <c r="G319" s="6"/>
      <c r="H319" s="8" t="str">
        <f aca="false">IF(OR($F319="",$G319=""),"",$F319+7*$G319-3)</f>
        <v/>
      </c>
      <c r="I319" s="3"/>
      <c r="J319" s="9" t="str">
        <f aca="false">IF(OR($C319="",$D319=""),"",$D319&amp;"|"&amp;COUNTIFS($D$4:$D319,$D319,$C$4:$C319,"?*"))</f>
        <v/>
      </c>
      <c r="K319" s="9" t="str">
        <f aca="false">IF(OR($C319="",$B319=""),"",$B319&amp;"|"&amp;COUNTIFS($B$4:$B319,$B319,$C$4:$C319,"?*"))</f>
        <v/>
      </c>
      <c r="L319" s="9" t="str">
        <f aca="false">IF($C319="","","ALL|"&amp;COUNTIF($C$4:$C319,"?*"))</f>
        <v/>
      </c>
    </row>
    <row r="320" customFormat="false" ht="15" hidden="false" customHeight="false" outlineLevel="0" collapsed="false">
      <c r="A320" s="6"/>
      <c r="B320" s="6"/>
      <c r="C320" s="3"/>
      <c r="D320" s="6"/>
      <c r="E320" s="6"/>
      <c r="F320" s="7"/>
      <c r="G320" s="6"/>
      <c r="H320" s="8" t="str">
        <f aca="false">IF(OR($F320="",$G320=""),"",$F320+7*$G320-3)</f>
        <v/>
      </c>
      <c r="I320" s="3"/>
      <c r="J320" s="9" t="str">
        <f aca="false">IF(OR($C320="",$D320=""),"",$D320&amp;"|"&amp;COUNTIFS($D$4:$D320,$D320,$C$4:$C320,"?*"))</f>
        <v/>
      </c>
      <c r="K320" s="9" t="str">
        <f aca="false">IF(OR($C320="",$B320=""),"",$B320&amp;"|"&amp;COUNTIFS($B$4:$B320,$B320,$C$4:$C320,"?*"))</f>
        <v/>
      </c>
      <c r="L320" s="9" t="str">
        <f aca="false">IF($C320="","","ALL|"&amp;COUNTIF($C$4:$C320,"?*"))</f>
        <v/>
      </c>
    </row>
    <row r="321" customFormat="false" ht="15" hidden="false" customHeight="false" outlineLevel="0" collapsed="false">
      <c r="A321" s="6"/>
      <c r="B321" s="6"/>
      <c r="C321" s="3"/>
      <c r="D321" s="6"/>
      <c r="E321" s="6"/>
      <c r="F321" s="7"/>
      <c r="G321" s="6"/>
      <c r="H321" s="8" t="str">
        <f aca="false">IF(OR($F321="",$G321=""),"",$F321+7*$G321-3)</f>
        <v/>
      </c>
      <c r="I321" s="3"/>
      <c r="J321" s="9" t="str">
        <f aca="false">IF(OR($C321="",$D321=""),"",$D321&amp;"|"&amp;COUNTIFS($D$4:$D321,$D321,$C$4:$C321,"?*"))</f>
        <v/>
      </c>
      <c r="K321" s="9" t="str">
        <f aca="false">IF(OR($C321="",$B321=""),"",$B321&amp;"|"&amp;COUNTIFS($B$4:$B321,$B321,$C$4:$C321,"?*"))</f>
        <v/>
      </c>
      <c r="L321" s="9" t="str">
        <f aca="false">IF($C321="","","ALL|"&amp;COUNTIF($C$4:$C321,"?*"))</f>
        <v/>
      </c>
    </row>
    <row r="322" customFormat="false" ht="15" hidden="false" customHeight="false" outlineLevel="0" collapsed="false">
      <c r="A322" s="6"/>
      <c r="B322" s="6"/>
      <c r="C322" s="3"/>
      <c r="D322" s="6"/>
      <c r="E322" s="6"/>
      <c r="F322" s="7"/>
      <c r="G322" s="6"/>
      <c r="H322" s="8" t="str">
        <f aca="false">IF(OR($F322="",$G322=""),"",$F322+7*$G322-3)</f>
        <v/>
      </c>
      <c r="I322" s="3"/>
      <c r="J322" s="9" t="str">
        <f aca="false">IF(OR($C322="",$D322=""),"",$D322&amp;"|"&amp;COUNTIFS($D$4:$D322,$D322,$C$4:$C322,"?*"))</f>
        <v/>
      </c>
      <c r="K322" s="9" t="str">
        <f aca="false">IF(OR($C322="",$B322=""),"",$B322&amp;"|"&amp;COUNTIFS($B$4:$B322,$B322,$C$4:$C322,"?*"))</f>
        <v/>
      </c>
      <c r="L322" s="9" t="str">
        <f aca="false">IF($C322="","","ALL|"&amp;COUNTIF($C$4:$C322,"?*"))</f>
        <v/>
      </c>
    </row>
    <row r="323" customFormat="false" ht="15" hidden="false" customHeight="false" outlineLevel="0" collapsed="false">
      <c r="A323" s="6"/>
      <c r="B323" s="6"/>
      <c r="C323" s="3"/>
      <c r="D323" s="6"/>
      <c r="E323" s="6"/>
      <c r="F323" s="7"/>
      <c r="G323" s="6"/>
      <c r="H323" s="8" t="str">
        <f aca="false">IF(OR($F323="",$G323=""),"",$F323+7*$G323-3)</f>
        <v/>
      </c>
      <c r="I323" s="3"/>
      <c r="J323" s="9" t="str">
        <f aca="false">IF(OR($C323="",$D323=""),"",$D323&amp;"|"&amp;COUNTIFS($D$4:$D323,$D323,$C$4:$C323,"?*"))</f>
        <v/>
      </c>
      <c r="K323" s="9" t="str">
        <f aca="false">IF(OR($C323="",$B323=""),"",$B323&amp;"|"&amp;COUNTIFS($B$4:$B323,$B323,$C$4:$C323,"?*"))</f>
        <v/>
      </c>
      <c r="L323" s="9" t="str">
        <f aca="false">IF($C323="","","ALL|"&amp;COUNTIF($C$4:$C323,"?*"))</f>
        <v/>
      </c>
    </row>
    <row r="324" customFormat="false" ht="15" hidden="false" customHeight="false" outlineLevel="0" collapsed="false">
      <c r="A324" s="6"/>
      <c r="B324" s="6"/>
      <c r="C324" s="3"/>
      <c r="D324" s="6"/>
      <c r="E324" s="6"/>
      <c r="F324" s="7"/>
      <c r="G324" s="6"/>
      <c r="H324" s="8" t="str">
        <f aca="false">IF(OR($F324="",$G324=""),"",$F324+7*$G324-3)</f>
        <v/>
      </c>
      <c r="I324" s="3"/>
      <c r="J324" s="9" t="str">
        <f aca="false">IF(OR($C324="",$D324=""),"",$D324&amp;"|"&amp;COUNTIFS($D$4:$D324,$D324,$C$4:$C324,"?*"))</f>
        <v/>
      </c>
      <c r="K324" s="9" t="str">
        <f aca="false">IF(OR($C324="",$B324=""),"",$B324&amp;"|"&amp;COUNTIFS($B$4:$B324,$B324,$C$4:$C324,"?*"))</f>
        <v/>
      </c>
      <c r="L324" s="9" t="str">
        <f aca="false">IF($C324="","","ALL|"&amp;COUNTIF($C$4:$C324,"?*"))</f>
        <v/>
      </c>
    </row>
    <row r="325" customFormat="false" ht="15" hidden="false" customHeight="false" outlineLevel="0" collapsed="false">
      <c r="A325" s="6"/>
      <c r="B325" s="6"/>
      <c r="C325" s="3"/>
      <c r="D325" s="6"/>
      <c r="E325" s="6"/>
      <c r="F325" s="7"/>
      <c r="G325" s="6"/>
      <c r="H325" s="8" t="str">
        <f aca="false">IF(OR($F325="",$G325=""),"",$F325+7*$G325-3)</f>
        <v/>
      </c>
      <c r="I325" s="3"/>
      <c r="J325" s="9" t="str">
        <f aca="false">IF(OR($C325="",$D325=""),"",$D325&amp;"|"&amp;COUNTIFS($D$4:$D325,$D325,$C$4:$C325,"?*"))</f>
        <v/>
      </c>
      <c r="K325" s="9" t="str">
        <f aca="false">IF(OR($C325="",$B325=""),"",$B325&amp;"|"&amp;COUNTIFS($B$4:$B325,$B325,$C$4:$C325,"?*"))</f>
        <v/>
      </c>
      <c r="L325" s="9" t="str">
        <f aca="false">IF($C325="","","ALL|"&amp;COUNTIF($C$4:$C325,"?*"))</f>
        <v/>
      </c>
    </row>
    <row r="326" customFormat="false" ht="15" hidden="false" customHeight="false" outlineLevel="0" collapsed="false">
      <c r="A326" s="6"/>
      <c r="B326" s="6"/>
      <c r="C326" s="3"/>
      <c r="D326" s="6"/>
      <c r="E326" s="6"/>
      <c r="F326" s="7"/>
      <c r="G326" s="6"/>
      <c r="H326" s="8" t="str">
        <f aca="false">IF(OR($F326="",$G326=""),"",$F326+7*$G326-3)</f>
        <v/>
      </c>
      <c r="I326" s="3"/>
      <c r="J326" s="9" t="str">
        <f aca="false">IF(OR($C326="",$D326=""),"",$D326&amp;"|"&amp;COUNTIFS($D$4:$D326,$D326,$C$4:$C326,"?*"))</f>
        <v/>
      </c>
      <c r="K326" s="9" t="str">
        <f aca="false">IF(OR($C326="",$B326=""),"",$B326&amp;"|"&amp;COUNTIFS($B$4:$B326,$B326,$C$4:$C326,"?*"))</f>
        <v/>
      </c>
      <c r="L326" s="9" t="str">
        <f aca="false">IF($C326="","","ALL|"&amp;COUNTIF($C$4:$C326,"?*"))</f>
        <v/>
      </c>
    </row>
    <row r="327" customFormat="false" ht="15" hidden="false" customHeight="false" outlineLevel="0" collapsed="false">
      <c r="A327" s="6"/>
      <c r="B327" s="6"/>
      <c r="C327" s="3"/>
      <c r="D327" s="6"/>
      <c r="E327" s="6"/>
      <c r="F327" s="7"/>
      <c r="G327" s="6"/>
      <c r="H327" s="8" t="str">
        <f aca="false">IF(OR($F327="",$G327=""),"",$F327+7*$G327-3)</f>
        <v/>
      </c>
      <c r="I327" s="3"/>
      <c r="J327" s="9" t="str">
        <f aca="false">IF(OR($C327="",$D327=""),"",$D327&amp;"|"&amp;COUNTIFS($D$4:$D327,$D327,$C$4:$C327,"?*"))</f>
        <v/>
      </c>
      <c r="K327" s="9" t="str">
        <f aca="false">IF(OR($C327="",$B327=""),"",$B327&amp;"|"&amp;COUNTIFS($B$4:$B327,$B327,$C$4:$C327,"?*"))</f>
        <v/>
      </c>
      <c r="L327" s="9" t="str">
        <f aca="false">IF($C327="","","ALL|"&amp;COUNTIF($C$4:$C327,"?*"))</f>
        <v/>
      </c>
    </row>
    <row r="328" customFormat="false" ht="15" hidden="false" customHeight="false" outlineLevel="0" collapsed="false">
      <c r="A328" s="6"/>
      <c r="B328" s="6"/>
      <c r="C328" s="3"/>
      <c r="D328" s="6"/>
      <c r="E328" s="6"/>
      <c r="F328" s="7"/>
      <c r="G328" s="6"/>
      <c r="H328" s="8" t="str">
        <f aca="false">IF(OR($F328="",$G328=""),"",$F328+7*$G328-3)</f>
        <v/>
      </c>
      <c r="I328" s="3"/>
      <c r="J328" s="9" t="str">
        <f aca="false">IF(OR($C328="",$D328=""),"",$D328&amp;"|"&amp;COUNTIFS($D$4:$D328,$D328,$C$4:$C328,"?*"))</f>
        <v/>
      </c>
      <c r="K328" s="9" t="str">
        <f aca="false">IF(OR($C328="",$B328=""),"",$B328&amp;"|"&amp;COUNTIFS($B$4:$B328,$B328,$C$4:$C328,"?*"))</f>
        <v/>
      </c>
      <c r="L328" s="9" t="str">
        <f aca="false">IF($C328="","","ALL|"&amp;COUNTIF($C$4:$C328,"?*"))</f>
        <v/>
      </c>
    </row>
    <row r="329" customFormat="false" ht="15" hidden="false" customHeight="false" outlineLevel="0" collapsed="false">
      <c r="A329" s="6"/>
      <c r="B329" s="6"/>
      <c r="C329" s="3"/>
      <c r="D329" s="6"/>
      <c r="E329" s="6"/>
      <c r="F329" s="7"/>
      <c r="G329" s="6"/>
      <c r="H329" s="8" t="str">
        <f aca="false">IF(OR($F329="",$G329=""),"",$F329+7*$G329-3)</f>
        <v/>
      </c>
      <c r="I329" s="3"/>
      <c r="J329" s="9" t="str">
        <f aca="false">IF(OR($C329="",$D329=""),"",$D329&amp;"|"&amp;COUNTIFS($D$4:$D329,$D329,$C$4:$C329,"?*"))</f>
        <v/>
      </c>
      <c r="K329" s="9" t="str">
        <f aca="false">IF(OR($C329="",$B329=""),"",$B329&amp;"|"&amp;COUNTIFS($B$4:$B329,$B329,$C$4:$C329,"?*"))</f>
        <v/>
      </c>
      <c r="L329" s="9" t="str">
        <f aca="false">IF($C329="","","ALL|"&amp;COUNTIF($C$4:$C329,"?*"))</f>
        <v/>
      </c>
    </row>
    <row r="330" customFormat="false" ht="15" hidden="false" customHeight="false" outlineLevel="0" collapsed="false">
      <c r="A330" s="6"/>
      <c r="B330" s="6"/>
      <c r="C330" s="3"/>
      <c r="D330" s="6"/>
      <c r="E330" s="6"/>
      <c r="F330" s="7"/>
      <c r="G330" s="6"/>
      <c r="H330" s="8" t="str">
        <f aca="false">IF(OR($F330="",$G330=""),"",$F330+7*$G330-3)</f>
        <v/>
      </c>
      <c r="I330" s="3"/>
      <c r="J330" s="9" t="str">
        <f aca="false">IF(OR($C330="",$D330=""),"",$D330&amp;"|"&amp;COUNTIFS($D$4:$D330,$D330,$C$4:$C330,"?*"))</f>
        <v/>
      </c>
      <c r="K330" s="9" t="str">
        <f aca="false">IF(OR($C330="",$B330=""),"",$B330&amp;"|"&amp;COUNTIFS($B$4:$B330,$B330,$C$4:$C330,"?*"))</f>
        <v/>
      </c>
      <c r="L330" s="9" t="str">
        <f aca="false">IF($C330="","","ALL|"&amp;COUNTIF($C$4:$C330,"?*"))</f>
        <v/>
      </c>
    </row>
    <row r="331" customFormat="false" ht="15" hidden="false" customHeight="false" outlineLevel="0" collapsed="false">
      <c r="A331" s="6"/>
      <c r="B331" s="6"/>
      <c r="C331" s="3"/>
      <c r="D331" s="6"/>
      <c r="E331" s="6"/>
      <c r="F331" s="7"/>
      <c r="G331" s="6"/>
      <c r="H331" s="8" t="str">
        <f aca="false">IF(OR($F331="",$G331=""),"",$F331+7*$G331-3)</f>
        <v/>
      </c>
      <c r="I331" s="3"/>
      <c r="J331" s="9" t="str">
        <f aca="false">IF(OR($C331="",$D331=""),"",$D331&amp;"|"&amp;COUNTIFS($D$4:$D331,$D331,$C$4:$C331,"?*"))</f>
        <v/>
      </c>
      <c r="K331" s="9" t="str">
        <f aca="false">IF(OR($C331="",$B331=""),"",$B331&amp;"|"&amp;COUNTIFS($B$4:$B331,$B331,$C$4:$C331,"?*"))</f>
        <v/>
      </c>
      <c r="L331" s="9" t="str">
        <f aca="false">IF($C331="","","ALL|"&amp;COUNTIF($C$4:$C331,"?*"))</f>
        <v/>
      </c>
    </row>
    <row r="332" customFormat="false" ht="15" hidden="false" customHeight="false" outlineLevel="0" collapsed="false">
      <c r="A332" s="6"/>
      <c r="B332" s="6"/>
      <c r="C332" s="3"/>
      <c r="D332" s="6"/>
      <c r="E332" s="6"/>
      <c r="F332" s="7"/>
      <c r="G332" s="6"/>
      <c r="H332" s="8" t="str">
        <f aca="false">IF(OR($F332="",$G332=""),"",$F332+7*$G332-3)</f>
        <v/>
      </c>
      <c r="I332" s="3"/>
      <c r="J332" s="9" t="str">
        <f aca="false">IF(OR($C332="",$D332=""),"",$D332&amp;"|"&amp;COUNTIFS($D$4:$D332,$D332,$C$4:$C332,"?*"))</f>
        <v/>
      </c>
      <c r="K332" s="9" t="str">
        <f aca="false">IF(OR($C332="",$B332=""),"",$B332&amp;"|"&amp;COUNTIFS($B$4:$B332,$B332,$C$4:$C332,"?*"))</f>
        <v/>
      </c>
      <c r="L332" s="9" t="str">
        <f aca="false">IF($C332="","","ALL|"&amp;COUNTIF($C$4:$C332,"?*"))</f>
        <v/>
      </c>
    </row>
    <row r="333" customFormat="false" ht="15" hidden="false" customHeight="false" outlineLevel="0" collapsed="false">
      <c r="A333" s="6"/>
      <c r="B333" s="6"/>
      <c r="C333" s="3"/>
      <c r="D333" s="6"/>
      <c r="E333" s="6"/>
      <c r="F333" s="7"/>
      <c r="G333" s="6"/>
      <c r="H333" s="8" t="str">
        <f aca="false">IF(OR($F333="",$G333=""),"",$F333+7*$G333-3)</f>
        <v/>
      </c>
      <c r="I333" s="3"/>
      <c r="J333" s="9" t="str">
        <f aca="false">IF(OR($C333="",$D333=""),"",$D333&amp;"|"&amp;COUNTIFS($D$4:$D333,$D333,$C$4:$C333,"?*"))</f>
        <v/>
      </c>
      <c r="K333" s="9" t="str">
        <f aca="false">IF(OR($C333="",$B333=""),"",$B333&amp;"|"&amp;COUNTIFS($B$4:$B333,$B333,$C$4:$C333,"?*"))</f>
        <v/>
      </c>
      <c r="L333" s="9" t="str">
        <f aca="false">IF($C333="","","ALL|"&amp;COUNTIF($C$4:$C333,"?*"))</f>
        <v/>
      </c>
    </row>
    <row r="334" customFormat="false" ht="15" hidden="false" customHeight="false" outlineLevel="0" collapsed="false">
      <c r="A334" s="6"/>
      <c r="B334" s="6"/>
      <c r="C334" s="3"/>
      <c r="D334" s="6"/>
      <c r="E334" s="6"/>
      <c r="F334" s="7"/>
      <c r="G334" s="6"/>
      <c r="H334" s="8" t="str">
        <f aca="false">IF(OR($F334="",$G334=""),"",$F334+7*$G334-3)</f>
        <v/>
      </c>
      <c r="I334" s="3"/>
      <c r="J334" s="9" t="str">
        <f aca="false">IF(OR($C334="",$D334=""),"",$D334&amp;"|"&amp;COUNTIFS($D$4:$D334,$D334,$C$4:$C334,"?*"))</f>
        <v/>
      </c>
      <c r="K334" s="9" t="str">
        <f aca="false">IF(OR($C334="",$B334=""),"",$B334&amp;"|"&amp;COUNTIFS($B$4:$B334,$B334,$C$4:$C334,"?*"))</f>
        <v/>
      </c>
      <c r="L334" s="9" t="str">
        <f aca="false">IF($C334="","","ALL|"&amp;COUNTIF($C$4:$C334,"?*"))</f>
        <v/>
      </c>
    </row>
    <row r="335" customFormat="false" ht="15" hidden="false" customHeight="false" outlineLevel="0" collapsed="false">
      <c r="A335" s="6"/>
      <c r="B335" s="6"/>
      <c r="C335" s="3"/>
      <c r="D335" s="6"/>
      <c r="E335" s="6"/>
      <c r="F335" s="7"/>
      <c r="G335" s="6"/>
      <c r="H335" s="8" t="str">
        <f aca="false">IF(OR($F335="",$G335=""),"",$F335+7*$G335-3)</f>
        <v/>
      </c>
      <c r="I335" s="3"/>
      <c r="J335" s="9" t="str">
        <f aca="false">IF(OR($C335="",$D335=""),"",$D335&amp;"|"&amp;COUNTIFS($D$4:$D335,$D335,$C$4:$C335,"?*"))</f>
        <v/>
      </c>
      <c r="K335" s="9" t="str">
        <f aca="false">IF(OR($C335="",$B335=""),"",$B335&amp;"|"&amp;COUNTIFS($B$4:$B335,$B335,$C$4:$C335,"?*"))</f>
        <v/>
      </c>
      <c r="L335" s="9" t="str">
        <f aca="false">IF($C335="","","ALL|"&amp;COUNTIF($C$4:$C335,"?*"))</f>
        <v/>
      </c>
    </row>
    <row r="336" customFormat="false" ht="15" hidden="false" customHeight="false" outlineLevel="0" collapsed="false">
      <c r="A336" s="6"/>
      <c r="B336" s="6"/>
      <c r="C336" s="3"/>
      <c r="D336" s="6"/>
      <c r="E336" s="6"/>
      <c r="F336" s="7"/>
      <c r="G336" s="6"/>
      <c r="H336" s="8" t="str">
        <f aca="false">IF(OR($F336="",$G336=""),"",$F336+7*$G336-3)</f>
        <v/>
      </c>
      <c r="I336" s="3"/>
      <c r="J336" s="9" t="str">
        <f aca="false">IF(OR($C336="",$D336=""),"",$D336&amp;"|"&amp;COUNTIFS($D$4:$D336,$D336,$C$4:$C336,"?*"))</f>
        <v/>
      </c>
      <c r="K336" s="9" t="str">
        <f aca="false">IF(OR($C336="",$B336=""),"",$B336&amp;"|"&amp;COUNTIFS($B$4:$B336,$B336,$C$4:$C336,"?*"))</f>
        <v/>
      </c>
      <c r="L336" s="9" t="str">
        <f aca="false">IF($C336="","","ALL|"&amp;COUNTIF($C$4:$C336,"?*"))</f>
        <v/>
      </c>
    </row>
    <row r="337" customFormat="false" ht="15" hidden="false" customHeight="false" outlineLevel="0" collapsed="false">
      <c r="A337" s="6"/>
      <c r="B337" s="6"/>
      <c r="C337" s="3"/>
      <c r="D337" s="6"/>
      <c r="E337" s="6"/>
      <c r="F337" s="7"/>
      <c r="G337" s="6"/>
      <c r="H337" s="8" t="str">
        <f aca="false">IF(OR($F337="",$G337=""),"",$F337+7*$G337-3)</f>
        <v/>
      </c>
      <c r="I337" s="3"/>
      <c r="J337" s="9" t="str">
        <f aca="false">IF(OR($C337="",$D337=""),"",$D337&amp;"|"&amp;COUNTIFS($D$4:$D337,$D337,$C$4:$C337,"?*"))</f>
        <v/>
      </c>
      <c r="K337" s="9" t="str">
        <f aca="false">IF(OR($C337="",$B337=""),"",$B337&amp;"|"&amp;COUNTIFS($B$4:$B337,$B337,$C$4:$C337,"?*"))</f>
        <v/>
      </c>
      <c r="L337" s="9" t="str">
        <f aca="false">IF($C337="","","ALL|"&amp;COUNTIF($C$4:$C337,"?*"))</f>
        <v/>
      </c>
    </row>
    <row r="338" customFormat="false" ht="15" hidden="false" customHeight="false" outlineLevel="0" collapsed="false">
      <c r="A338" s="6"/>
      <c r="B338" s="6"/>
      <c r="C338" s="3"/>
      <c r="D338" s="6"/>
      <c r="E338" s="6"/>
      <c r="F338" s="7"/>
      <c r="G338" s="6"/>
      <c r="H338" s="8" t="str">
        <f aca="false">IF(OR($F338="",$G338=""),"",$F338+7*$G338-3)</f>
        <v/>
      </c>
      <c r="I338" s="3"/>
      <c r="J338" s="9" t="str">
        <f aca="false">IF(OR($C338="",$D338=""),"",$D338&amp;"|"&amp;COUNTIFS($D$4:$D338,$D338,$C$4:$C338,"?*"))</f>
        <v/>
      </c>
      <c r="K338" s="9" t="str">
        <f aca="false">IF(OR($C338="",$B338=""),"",$B338&amp;"|"&amp;COUNTIFS($B$4:$B338,$B338,$C$4:$C338,"?*"))</f>
        <v/>
      </c>
      <c r="L338" s="9" t="str">
        <f aca="false">IF($C338="","","ALL|"&amp;COUNTIF($C$4:$C338,"?*"))</f>
        <v/>
      </c>
    </row>
    <row r="339" customFormat="false" ht="15" hidden="false" customHeight="false" outlineLevel="0" collapsed="false">
      <c r="A339" s="6"/>
      <c r="B339" s="6"/>
      <c r="C339" s="3"/>
      <c r="D339" s="6"/>
      <c r="E339" s="6"/>
      <c r="F339" s="7"/>
      <c r="G339" s="6"/>
      <c r="H339" s="8" t="str">
        <f aca="false">IF(OR($F339="",$G339=""),"",$F339+7*$G339-3)</f>
        <v/>
      </c>
      <c r="I339" s="3"/>
      <c r="J339" s="9" t="str">
        <f aca="false">IF(OR($C339="",$D339=""),"",$D339&amp;"|"&amp;COUNTIFS($D$4:$D339,$D339,$C$4:$C339,"?*"))</f>
        <v/>
      </c>
      <c r="K339" s="9" t="str">
        <f aca="false">IF(OR($C339="",$B339=""),"",$B339&amp;"|"&amp;COUNTIFS($B$4:$B339,$B339,$C$4:$C339,"?*"))</f>
        <v/>
      </c>
      <c r="L339" s="9" t="str">
        <f aca="false">IF($C339="","","ALL|"&amp;COUNTIF($C$4:$C339,"?*"))</f>
        <v/>
      </c>
    </row>
    <row r="340" customFormat="false" ht="15" hidden="false" customHeight="false" outlineLevel="0" collapsed="false">
      <c r="A340" s="6"/>
      <c r="B340" s="6"/>
      <c r="C340" s="3"/>
      <c r="D340" s="6"/>
      <c r="E340" s="6"/>
      <c r="F340" s="7"/>
      <c r="G340" s="6"/>
      <c r="H340" s="8" t="str">
        <f aca="false">IF(OR($F340="",$G340=""),"",$F340+7*$G340-3)</f>
        <v/>
      </c>
      <c r="I340" s="3"/>
      <c r="J340" s="9" t="str">
        <f aca="false">IF(OR($C340="",$D340=""),"",$D340&amp;"|"&amp;COUNTIFS($D$4:$D340,$D340,$C$4:$C340,"?*"))</f>
        <v/>
      </c>
      <c r="K340" s="9" t="str">
        <f aca="false">IF(OR($C340="",$B340=""),"",$B340&amp;"|"&amp;COUNTIFS($B$4:$B340,$B340,$C$4:$C340,"?*"))</f>
        <v/>
      </c>
      <c r="L340" s="9" t="str">
        <f aca="false">IF($C340="","","ALL|"&amp;COUNTIF($C$4:$C340,"?*"))</f>
        <v/>
      </c>
    </row>
    <row r="341" customFormat="false" ht="15" hidden="false" customHeight="false" outlineLevel="0" collapsed="false">
      <c r="A341" s="6"/>
      <c r="B341" s="6"/>
      <c r="C341" s="3"/>
      <c r="D341" s="6"/>
      <c r="E341" s="6"/>
      <c r="F341" s="7"/>
      <c r="G341" s="6"/>
      <c r="H341" s="8" t="str">
        <f aca="false">IF(OR($F341="",$G341=""),"",$F341+7*$G341-3)</f>
        <v/>
      </c>
      <c r="I341" s="3"/>
      <c r="J341" s="9" t="str">
        <f aca="false">IF(OR($C341="",$D341=""),"",$D341&amp;"|"&amp;COUNTIFS($D$4:$D341,$D341,$C$4:$C341,"?*"))</f>
        <v/>
      </c>
      <c r="K341" s="9" t="str">
        <f aca="false">IF(OR($C341="",$B341=""),"",$B341&amp;"|"&amp;COUNTIFS($B$4:$B341,$B341,$C$4:$C341,"?*"))</f>
        <v/>
      </c>
      <c r="L341" s="9" t="str">
        <f aca="false">IF($C341="","","ALL|"&amp;COUNTIF($C$4:$C341,"?*"))</f>
        <v/>
      </c>
    </row>
    <row r="342" customFormat="false" ht="15" hidden="false" customHeight="false" outlineLevel="0" collapsed="false">
      <c r="A342" s="6"/>
      <c r="B342" s="6"/>
      <c r="C342" s="3"/>
      <c r="D342" s="6"/>
      <c r="E342" s="6"/>
      <c r="F342" s="7"/>
      <c r="G342" s="6"/>
      <c r="H342" s="8" t="str">
        <f aca="false">IF(OR($F342="",$G342=""),"",$F342+7*$G342-3)</f>
        <v/>
      </c>
      <c r="I342" s="3"/>
      <c r="J342" s="9" t="str">
        <f aca="false">IF(OR($C342="",$D342=""),"",$D342&amp;"|"&amp;COUNTIFS($D$4:$D342,$D342,$C$4:$C342,"?*"))</f>
        <v/>
      </c>
      <c r="K342" s="9" t="str">
        <f aca="false">IF(OR($C342="",$B342=""),"",$B342&amp;"|"&amp;COUNTIFS($B$4:$B342,$B342,$C$4:$C342,"?*"))</f>
        <v/>
      </c>
      <c r="L342" s="9" t="str">
        <f aca="false">IF($C342="","","ALL|"&amp;COUNTIF($C$4:$C342,"?*"))</f>
        <v/>
      </c>
    </row>
    <row r="343" customFormat="false" ht="15" hidden="false" customHeight="false" outlineLevel="0" collapsed="false">
      <c r="A343" s="6"/>
      <c r="B343" s="6"/>
      <c r="C343" s="3"/>
      <c r="D343" s="6"/>
      <c r="E343" s="6"/>
      <c r="F343" s="7"/>
      <c r="G343" s="6"/>
      <c r="H343" s="8" t="str">
        <f aca="false">IF(OR($F343="",$G343=""),"",$F343+7*$G343-3)</f>
        <v/>
      </c>
      <c r="I343" s="3"/>
      <c r="J343" s="9" t="str">
        <f aca="false">IF(OR($C343="",$D343=""),"",$D343&amp;"|"&amp;COUNTIFS($D$4:$D343,$D343,$C$4:$C343,"?*"))</f>
        <v/>
      </c>
      <c r="K343" s="9" t="str">
        <f aca="false">IF(OR($C343="",$B343=""),"",$B343&amp;"|"&amp;COUNTIFS($B$4:$B343,$B343,$C$4:$C343,"?*"))</f>
        <v/>
      </c>
      <c r="L343" s="9" t="str">
        <f aca="false">IF($C343="","","ALL|"&amp;COUNTIF($C$4:$C343,"?*"))</f>
        <v/>
      </c>
    </row>
    <row r="344" customFormat="false" ht="15" hidden="false" customHeight="false" outlineLevel="0" collapsed="false">
      <c r="A344" s="6"/>
      <c r="B344" s="6"/>
      <c r="C344" s="3"/>
      <c r="D344" s="6"/>
      <c r="E344" s="6"/>
      <c r="F344" s="7"/>
      <c r="G344" s="6"/>
      <c r="H344" s="8" t="str">
        <f aca="false">IF(OR($F344="",$G344=""),"",$F344+7*$G344-3)</f>
        <v/>
      </c>
      <c r="I344" s="3"/>
      <c r="J344" s="9" t="str">
        <f aca="false">IF(OR($C344="",$D344=""),"",$D344&amp;"|"&amp;COUNTIFS($D$4:$D344,$D344,$C$4:$C344,"?*"))</f>
        <v/>
      </c>
      <c r="K344" s="9" t="str">
        <f aca="false">IF(OR($C344="",$B344=""),"",$B344&amp;"|"&amp;COUNTIFS($B$4:$B344,$B344,$C$4:$C344,"?*"))</f>
        <v/>
      </c>
      <c r="L344" s="9" t="str">
        <f aca="false">IF($C344="","","ALL|"&amp;COUNTIF($C$4:$C344,"?*"))</f>
        <v/>
      </c>
    </row>
    <row r="345" customFormat="false" ht="15" hidden="false" customHeight="false" outlineLevel="0" collapsed="false">
      <c r="A345" s="6"/>
      <c r="B345" s="6"/>
      <c r="C345" s="3"/>
      <c r="D345" s="6"/>
      <c r="E345" s="6"/>
      <c r="F345" s="7"/>
      <c r="G345" s="6"/>
      <c r="H345" s="8" t="str">
        <f aca="false">IF(OR($F345="",$G345=""),"",$F345+7*$G345-3)</f>
        <v/>
      </c>
      <c r="I345" s="3"/>
      <c r="J345" s="9" t="str">
        <f aca="false">IF(OR($C345="",$D345=""),"",$D345&amp;"|"&amp;COUNTIFS($D$4:$D345,$D345,$C$4:$C345,"?*"))</f>
        <v/>
      </c>
      <c r="K345" s="9" t="str">
        <f aca="false">IF(OR($C345="",$B345=""),"",$B345&amp;"|"&amp;COUNTIFS($B$4:$B345,$B345,$C$4:$C345,"?*"))</f>
        <v/>
      </c>
      <c r="L345" s="9" t="str">
        <f aca="false">IF($C345="","","ALL|"&amp;COUNTIF($C$4:$C345,"?*"))</f>
        <v/>
      </c>
    </row>
    <row r="346" customFormat="false" ht="15" hidden="false" customHeight="false" outlineLevel="0" collapsed="false">
      <c r="A346" s="6"/>
      <c r="B346" s="6"/>
      <c r="C346" s="3"/>
      <c r="D346" s="6"/>
      <c r="E346" s="6"/>
      <c r="F346" s="7"/>
      <c r="G346" s="6"/>
      <c r="H346" s="8" t="str">
        <f aca="false">IF(OR($F346="",$G346=""),"",$F346+7*$G346-3)</f>
        <v/>
      </c>
      <c r="I346" s="3"/>
      <c r="J346" s="9" t="str">
        <f aca="false">IF(OR($C346="",$D346=""),"",$D346&amp;"|"&amp;COUNTIFS($D$4:$D346,$D346,$C$4:$C346,"?*"))</f>
        <v/>
      </c>
      <c r="K346" s="9" t="str">
        <f aca="false">IF(OR($C346="",$B346=""),"",$B346&amp;"|"&amp;COUNTIFS($B$4:$B346,$B346,$C$4:$C346,"?*"))</f>
        <v/>
      </c>
      <c r="L346" s="9" t="str">
        <f aca="false">IF($C346="","","ALL|"&amp;COUNTIF($C$4:$C346,"?*"))</f>
        <v/>
      </c>
    </row>
    <row r="347" customFormat="false" ht="15" hidden="false" customHeight="false" outlineLevel="0" collapsed="false">
      <c r="A347" s="6"/>
      <c r="B347" s="6"/>
      <c r="C347" s="3"/>
      <c r="D347" s="6"/>
      <c r="E347" s="6"/>
      <c r="F347" s="7"/>
      <c r="G347" s="6"/>
      <c r="H347" s="8" t="str">
        <f aca="false">IF(OR($F347="",$G347=""),"",$F347+7*$G347-3)</f>
        <v/>
      </c>
      <c r="I347" s="3"/>
      <c r="J347" s="9" t="str">
        <f aca="false">IF(OR($C347="",$D347=""),"",$D347&amp;"|"&amp;COUNTIFS($D$4:$D347,$D347,$C$4:$C347,"?*"))</f>
        <v/>
      </c>
      <c r="K347" s="9" t="str">
        <f aca="false">IF(OR($C347="",$B347=""),"",$B347&amp;"|"&amp;COUNTIFS($B$4:$B347,$B347,$C$4:$C347,"?*"))</f>
        <v/>
      </c>
      <c r="L347" s="9" t="str">
        <f aca="false">IF($C347="","","ALL|"&amp;COUNTIF($C$4:$C347,"?*"))</f>
        <v/>
      </c>
    </row>
    <row r="348" customFormat="false" ht="15" hidden="false" customHeight="false" outlineLevel="0" collapsed="false">
      <c r="A348" s="6"/>
      <c r="B348" s="6"/>
      <c r="C348" s="3"/>
      <c r="D348" s="6"/>
      <c r="E348" s="6"/>
      <c r="F348" s="7"/>
      <c r="G348" s="6"/>
      <c r="H348" s="8" t="str">
        <f aca="false">IF(OR($F348="",$G348=""),"",$F348+7*$G348-3)</f>
        <v/>
      </c>
      <c r="I348" s="3"/>
      <c r="J348" s="9" t="str">
        <f aca="false">IF(OR($C348="",$D348=""),"",$D348&amp;"|"&amp;COUNTIFS($D$4:$D348,$D348,$C$4:$C348,"?*"))</f>
        <v/>
      </c>
      <c r="K348" s="9" t="str">
        <f aca="false">IF(OR($C348="",$B348=""),"",$B348&amp;"|"&amp;COUNTIFS($B$4:$B348,$B348,$C$4:$C348,"?*"))</f>
        <v/>
      </c>
      <c r="L348" s="9" t="str">
        <f aca="false">IF($C348="","","ALL|"&amp;COUNTIF($C$4:$C348,"?*"))</f>
        <v/>
      </c>
    </row>
    <row r="349" customFormat="false" ht="15" hidden="false" customHeight="false" outlineLevel="0" collapsed="false">
      <c r="A349" s="6"/>
      <c r="B349" s="6"/>
      <c r="C349" s="3"/>
      <c r="D349" s="6"/>
      <c r="E349" s="6"/>
      <c r="F349" s="7"/>
      <c r="G349" s="6"/>
      <c r="H349" s="8" t="str">
        <f aca="false">IF(OR($F349="",$G349=""),"",$F349+7*$G349-3)</f>
        <v/>
      </c>
      <c r="I349" s="3"/>
      <c r="J349" s="9" t="str">
        <f aca="false">IF(OR($C349="",$D349=""),"",$D349&amp;"|"&amp;COUNTIFS($D$4:$D349,$D349,$C$4:$C349,"?*"))</f>
        <v/>
      </c>
      <c r="K349" s="9" t="str">
        <f aca="false">IF(OR($C349="",$B349=""),"",$B349&amp;"|"&amp;COUNTIFS($B$4:$B349,$B349,$C$4:$C349,"?*"))</f>
        <v/>
      </c>
      <c r="L349" s="9" t="str">
        <f aca="false">IF($C349="","","ALL|"&amp;COUNTIF($C$4:$C349,"?*"))</f>
        <v/>
      </c>
    </row>
    <row r="350" customFormat="false" ht="15" hidden="false" customHeight="false" outlineLevel="0" collapsed="false">
      <c r="A350" s="6"/>
      <c r="B350" s="6"/>
      <c r="C350" s="3"/>
      <c r="D350" s="6"/>
      <c r="E350" s="6"/>
      <c r="F350" s="7"/>
      <c r="G350" s="6"/>
      <c r="H350" s="8" t="str">
        <f aca="false">IF(OR($F350="",$G350=""),"",$F350+7*$G350-3)</f>
        <v/>
      </c>
      <c r="I350" s="3"/>
      <c r="J350" s="9" t="str">
        <f aca="false">IF(OR($C350="",$D350=""),"",$D350&amp;"|"&amp;COUNTIFS($D$4:$D350,$D350,$C$4:$C350,"?*"))</f>
        <v/>
      </c>
      <c r="K350" s="9" t="str">
        <f aca="false">IF(OR($C350="",$B350=""),"",$B350&amp;"|"&amp;COUNTIFS($B$4:$B350,$B350,$C$4:$C350,"?*"))</f>
        <v/>
      </c>
      <c r="L350" s="9" t="str">
        <f aca="false">IF($C350="","","ALL|"&amp;COUNTIF($C$4:$C350,"?*"))</f>
        <v/>
      </c>
    </row>
    <row r="351" customFormat="false" ht="15" hidden="false" customHeight="false" outlineLevel="0" collapsed="false">
      <c r="A351" s="6"/>
      <c r="B351" s="6"/>
      <c r="C351" s="3"/>
      <c r="D351" s="6"/>
      <c r="E351" s="6"/>
      <c r="F351" s="7"/>
      <c r="G351" s="6"/>
      <c r="H351" s="8" t="str">
        <f aca="false">IF(OR($F351="",$G351=""),"",$F351+7*$G351-3)</f>
        <v/>
      </c>
      <c r="I351" s="3"/>
      <c r="J351" s="9" t="str">
        <f aca="false">IF(OR($C351="",$D351=""),"",$D351&amp;"|"&amp;COUNTIFS($D$4:$D351,$D351,$C$4:$C351,"?*"))</f>
        <v/>
      </c>
      <c r="K351" s="9" t="str">
        <f aca="false">IF(OR($C351="",$B351=""),"",$B351&amp;"|"&amp;COUNTIFS($B$4:$B351,$B351,$C$4:$C351,"?*"))</f>
        <v/>
      </c>
      <c r="L351" s="9" t="str">
        <f aca="false">IF($C351="","","ALL|"&amp;COUNTIF($C$4:$C351,"?*"))</f>
        <v/>
      </c>
    </row>
    <row r="352" customFormat="false" ht="15" hidden="false" customHeight="false" outlineLevel="0" collapsed="false">
      <c r="A352" s="6"/>
      <c r="B352" s="6"/>
      <c r="C352" s="3"/>
      <c r="D352" s="6"/>
      <c r="E352" s="6"/>
      <c r="F352" s="7"/>
      <c r="G352" s="6"/>
      <c r="H352" s="8" t="str">
        <f aca="false">IF(OR($F352="",$G352=""),"",$F352+7*$G352-3)</f>
        <v/>
      </c>
      <c r="I352" s="3"/>
      <c r="J352" s="9" t="str">
        <f aca="false">IF(OR($C352="",$D352=""),"",$D352&amp;"|"&amp;COUNTIFS($D$4:$D352,$D352,$C$4:$C352,"?*"))</f>
        <v/>
      </c>
      <c r="K352" s="9" t="str">
        <f aca="false">IF(OR($C352="",$B352=""),"",$B352&amp;"|"&amp;COUNTIFS($B$4:$B352,$B352,$C$4:$C352,"?*"))</f>
        <v/>
      </c>
      <c r="L352" s="9" t="str">
        <f aca="false">IF($C352="","","ALL|"&amp;COUNTIF($C$4:$C352,"?*"))</f>
        <v/>
      </c>
    </row>
    <row r="353" customFormat="false" ht="15" hidden="false" customHeight="false" outlineLevel="0" collapsed="false">
      <c r="A353" s="6"/>
      <c r="B353" s="6"/>
      <c r="C353" s="3"/>
      <c r="D353" s="6"/>
      <c r="E353" s="6"/>
      <c r="F353" s="7"/>
      <c r="G353" s="6"/>
      <c r="H353" s="8" t="str">
        <f aca="false">IF(OR($F353="",$G353=""),"",$F353+7*$G353-3)</f>
        <v/>
      </c>
      <c r="I353" s="3"/>
      <c r="J353" s="9" t="str">
        <f aca="false">IF(OR($C353="",$D353=""),"",$D353&amp;"|"&amp;COUNTIFS($D$4:$D353,$D353,$C$4:$C353,"?*"))</f>
        <v/>
      </c>
      <c r="K353" s="9" t="str">
        <f aca="false">IF(OR($C353="",$B353=""),"",$B353&amp;"|"&amp;COUNTIFS($B$4:$B353,$B353,$C$4:$C353,"?*"))</f>
        <v/>
      </c>
      <c r="L353" s="9" t="str">
        <f aca="false">IF($C353="","","ALL|"&amp;COUNTIF($C$4:$C353,"?*"))</f>
        <v/>
      </c>
    </row>
    <row r="354" customFormat="false" ht="15" hidden="false" customHeight="false" outlineLevel="0" collapsed="false">
      <c r="A354" s="6"/>
      <c r="B354" s="6"/>
      <c r="C354" s="3"/>
      <c r="D354" s="6"/>
      <c r="E354" s="6"/>
      <c r="F354" s="7"/>
      <c r="G354" s="6"/>
      <c r="H354" s="8" t="str">
        <f aca="false">IF(OR($F354="",$G354=""),"",$F354+7*$G354-3)</f>
        <v/>
      </c>
      <c r="I354" s="3"/>
      <c r="J354" s="9" t="str">
        <f aca="false">IF(OR($C354="",$D354=""),"",$D354&amp;"|"&amp;COUNTIFS($D$4:$D354,$D354,$C$4:$C354,"?*"))</f>
        <v/>
      </c>
      <c r="K354" s="9" t="str">
        <f aca="false">IF(OR($C354="",$B354=""),"",$B354&amp;"|"&amp;COUNTIFS($B$4:$B354,$B354,$C$4:$C354,"?*"))</f>
        <v/>
      </c>
      <c r="L354" s="9" t="str">
        <f aca="false">IF($C354="","","ALL|"&amp;COUNTIF($C$4:$C354,"?*"))</f>
        <v/>
      </c>
    </row>
    <row r="355" customFormat="false" ht="15" hidden="false" customHeight="false" outlineLevel="0" collapsed="false">
      <c r="A355" s="6"/>
      <c r="B355" s="6"/>
      <c r="C355" s="3"/>
      <c r="D355" s="6"/>
      <c r="E355" s="6"/>
      <c r="F355" s="7"/>
      <c r="G355" s="6"/>
      <c r="H355" s="8" t="str">
        <f aca="false">IF(OR($F355="",$G355=""),"",$F355+7*$G355-3)</f>
        <v/>
      </c>
      <c r="I355" s="3"/>
      <c r="J355" s="9" t="str">
        <f aca="false">IF(OR($C355="",$D355=""),"",$D355&amp;"|"&amp;COUNTIFS($D$4:$D355,$D355,$C$4:$C355,"?*"))</f>
        <v/>
      </c>
      <c r="K355" s="9" t="str">
        <f aca="false">IF(OR($C355="",$B355=""),"",$B355&amp;"|"&amp;COUNTIFS($B$4:$B355,$B355,$C$4:$C355,"?*"))</f>
        <v/>
      </c>
      <c r="L355" s="9" t="str">
        <f aca="false">IF($C355="","","ALL|"&amp;COUNTIF($C$4:$C355,"?*"))</f>
        <v/>
      </c>
    </row>
    <row r="356" customFormat="false" ht="15" hidden="false" customHeight="false" outlineLevel="0" collapsed="false">
      <c r="A356" s="6"/>
      <c r="B356" s="6"/>
      <c r="C356" s="3"/>
      <c r="D356" s="6"/>
      <c r="E356" s="6"/>
      <c r="F356" s="7"/>
      <c r="G356" s="6"/>
      <c r="H356" s="8" t="str">
        <f aca="false">IF(OR($F356="",$G356=""),"",$F356+7*$G356-3)</f>
        <v/>
      </c>
      <c r="I356" s="3"/>
      <c r="J356" s="9" t="str">
        <f aca="false">IF(OR($C356="",$D356=""),"",$D356&amp;"|"&amp;COUNTIFS($D$4:$D356,$D356,$C$4:$C356,"?*"))</f>
        <v/>
      </c>
      <c r="K356" s="9" t="str">
        <f aca="false">IF(OR($C356="",$B356=""),"",$B356&amp;"|"&amp;COUNTIFS($B$4:$B356,$B356,$C$4:$C356,"?*"))</f>
        <v/>
      </c>
      <c r="L356" s="9" t="str">
        <f aca="false">IF($C356="","","ALL|"&amp;COUNTIF($C$4:$C356,"?*"))</f>
        <v/>
      </c>
    </row>
    <row r="357" customFormat="false" ht="15" hidden="false" customHeight="false" outlineLevel="0" collapsed="false">
      <c r="A357" s="6"/>
      <c r="B357" s="6"/>
      <c r="C357" s="3"/>
      <c r="D357" s="6"/>
      <c r="E357" s="6"/>
      <c r="F357" s="7"/>
      <c r="G357" s="6"/>
      <c r="H357" s="8" t="str">
        <f aca="false">IF(OR($F357="",$G357=""),"",$F357+7*$G357-3)</f>
        <v/>
      </c>
      <c r="I357" s="3"/>
      <c r="J357" s="9" t="str">
        <f aca="false">IF(OR($C357="",$D357=""),"",$D357&amp;"|"&amp;COUNTIFS($D$4:$D357,$D357,$C$4:$C357,"?*"))</f>
        <v/>
      </c>
      <c r="K357" s="9" t="str">
        <f aca="false">IF(OR($C357="",$B357=""),"",$B357&amp;"|"&amp;COUNTIFS($B$4:$B357,$B357,$C$4:$C357,"?*"))</f>
        <v/>
      </c>
      <c r="L357" s="9" t="str">
        <f aca="false">IF($C357="","","ALL|"&amp;COUNTIF($C$4:$C357,"?*"))</f>
        <v/>
      </c>
    </row>
    <row r="358" customFormat="false" ht="15" hidden="false" customHeight="false" outlineLevel="0" collapsed="false">
      <c r="A358" s="6"/>
      <c r="B358" s="6"/>
      <c r="C358" s="3"/>
      <c r="D358" s="6"/>
      <c r="E358" s="6"/>
      <c r="F358" s="7"/>
      <c r="G358" s="6"/>
      <c r="H358" s="8" t="str">
        <f aca="false">IF(OR($F358="",$G358=""),"",$F358+7*$G358-3)</f>
        <v/>
      </c>
      <c r="I358" s="3"/>
      <c r="J358" s="9" t="str">
        <f aca="false">IF(OR($C358="",$D358=""),"",$D358&amp;"|"&amp;COUNTIFS($D$4:$D358,$D358,$C$4:$C358,"?*"))</f>
        <v/>
      </c>
      <c r="K358" s="9" t="str">
        <f aca="false">IF(OR($C358="",$B358=""),"",$B358&amp;"|"&amp;COUNTIFS($B$4:$B358,$B358,$C$4:$C358,"?*"))</f>
        <v/>
      </c>
      <c r="L358" s="9" t="str">
        <f aca="false">IF($C358="","","ALL|"&amp;COUNTIF($C$4:$C358,"?*"))</f>
        <v/>
      </c>
    </row>
    <row r="359" customFormat="false" ht="15" hidden="false" customHeight="false" outlineLevel="0" collapsed="false">
      <c r="A359" s="6"/>
      <c r="B359" s="6"/>
      <c r="C359" s="3"/>
      <c r="D359" s="6"/>
      <c r="E359" s="6"/>
      <c r="F359" s="7"/>
      <c r="G359" s="6"/>
      <c r="H359" s="8" t="str">
        <f aca="false">IF(OR($F359="",$G359=""),"",$F359+7*$G359-3)</f>
        <v/>
      </c>
      <c r="I359" s="3"/>
      <c r="J359" s="9" t="str">
        <f aca="false">IF(OR($C359="",$D359=""),"",$D359&amp;"|"&amp;COUNTIFS($D$4:$D359,$D359,$C$4:$C359,"?*"))</f>
        <v/>
      </c>
      <c r="K359" s="9" t="str">
        <f aca="false">IF(OR($C359="",$B359=""),"",$B359&amp;"|"&amp;COUNTIFS($B$4:$B359,$B359,$C$4:$C359,"?*"))</f>
        <v/>
      </c>
      <c r="L359" s="9" t="str">
        <f aca="false">IF($C359="","","ALL|"&amp;COUNTIF($C$4:$C359,"?*"))</f>
        <v/>
      </c>
    </row>
    <row r="360" customFormat="false" ht="15" hidden="false" customHeight="false" outlineLevel="0" collapsed="false">
      <c r="A360" s="6"/>
      <c r="B360" s="6"/>
      <c r="C360" s="3"/>
      <c r="D360" s="6"/>
      <c r="E360" s="6"/>
      <c r="F360" s="7"/>
      <c r="G360" s="6"/>
      <c r="H360" s="8" t="str">
        <f aca="false">IF(OR($F360="",$G360=""),"",$F360+7*$G360-3)</f>
        <v/>
      </c>
      <c r="I360" s="3"/>
      <c r="J360" s="9" t="str">
        <f aca="false">IF(OR($C360="",$D360=""),"",$D360&amp;"|"&amp;COUNTIFS($D$4:$D360,$D360,$C$4:$C360,"?*"))</f>
        <v/>
      </c>
      <c r="K360" s="9" t="str">
        <f aca="false">IF(OR($C360="",$B360=""),"",$B360&amp;"|"&amp;COUNTIFS($B$4:$B360,$B360,$C$4:$C360,"?*"))</f>
        <v/>
      </c>
      <c r="L360" s="9" t="str">
        <f aca="false">IF($C360="","","ALL|"&amp;COUNTIF($C$4:$C360,"?*"))</f>
        <v/>
      </c>
    </row>
    <row r="361" customFormat="false" ht="15" hidden="false" customHeight="false" outlineLevel="0" collapsed="false">
      <c r="A361" s="6"/>
      <c r="B361" s="6"/>
      <c r="C361" s="3"/>
      <c r="D361" s="6"/>
      <c r="E361" s="6"/>
      <c r="F361" s="7"/>
      <c r="G361" s="6"/>
      <c r="H361" s="8" t="str">
        <f aca="false">IF(OR($F361="",$G361=""),"",$F361+7*$G361-3)</f>
        <v/>
      </c>
      <c r="I361" s="3"/>
      <c r="J361" s="9" t="str">
        <f aca="false">IF(OR($C361="",$D361=""),"",$D361&amp;"|"&amp;COUNTIFS($D$4:$D361,$D361,$C$4:$C361,"?*"))</f>
        <v/>
      </c>
      <c r="K361" s="9" t="str">
        <f aca="false">IF(OR($C361="",$B361=""),"",$B361&amp;"|"&amp;COUNTIFS($B$4:$B361,$B361,$C$4:$C361,"?*"))</f>
        <v/>
      </c>
      <c r="L361" s="9" t="str">
        <f aca="false">IF($C361="","","ALL|"&amp;COUNTIF($C$4:$C361,"?*"))</f>
        <v/>
      </c>
    </row>
    <row r="362" customFormat="false" ht="15" hidden="false" customHeight="false" outlineLevel="0" collapsed="false">
      <c r="A362" s="6"/>
      <c r="B362" s="6"/>
      <c r="C362" s="3"/>
      <c r="D362" s="6"/>
      <c r="E362" s="6"/>
      <c r="F362" s="7"/>
      <c r="G362" s="6"/>
      <c r="H362" s="8" t="str">
        <f aca="false">IF(OR($F362="",$G362=""),"",$F362+7*$G362-3)</f>
        <v/>
      </c>
      <c r="I362" s="3"/>
      <c r="J362" s="9" t="str">
        <f aca="false">IF(OR($C362="",$D362=""),"",$D362&amp;"|"&amp;COUNTIFS($D$4:$D362,$D362,$C$4:$C362,"?*"))</f>
        <v/>
      </c>
      <c r="K362" s="9" t="str">
        <f aca="false">IF(OR($C362="",$B362=""),"",$B362&amp;"|"&amp;COUNTIFS($B$4:$B362,$B362,$C$4:$C362,"?*"))</f>
        <v/>
      </c>
      <c r="L362" s="9" t="str">
        <f aca="false">IF($C362="","","ALL|"&amp;COUNTIF($C$4:$C362,"?*"))</f>
        <v/>
      </c>
    </row>
    <row r="363" customFormat="false" ht="15" hidden="false" customHeight="false" outlineLevel="0" collapsed="false">
      <c r="A363" s="6"/>
      <c r="B363" s="6"/>
      <c r="C363" s="3"/>
      <c r="D363" s="6"/>
      <c r="E363" s="6"/>
      <c r="F363" s="7"/>
      <c r="G363" s="6"/>
      <c r="H363" s="8" t="str">
        <f aca="false">IF(OR($F363="",$G363=""),"",$F363+7*$G363-3)</f>
        <v/>
      </c>
      <c r="I363" s="3"/>
      <c r="J363" s="9" t="str">
        <f aca="false">IF(OR($C363="",$D363=""),"",$D363&amp;"|"&amp;COUNTIFS($D$4:$D363,$D363,$C$4:$C363,"?*"))</f>
        <v/>
      </c>
      <c r="K363" s="9" t="str">
        <f aca="false">IF(OR($C363="",$B363=""),"",$B363&amp;"|"&amp;COUNTIFS($B$4:$B363,$B363,$C$4:$C363,"?*"))</f>
        <v/>
      </c>
      <c r="L363" s="9" t="str">
        <f aca="false">IF($C363="","","ALL|"&amp;COUNTIF($C$4:$C363,"?*"))</f>
        <v/>
      </c>
    </row>
    <row r="364" customFormat="false" ht="15" hidden="false" customHeight="false" outlineLevel="0" collapsed="false">
      <c r="A364" s="6"/>
      <c r="B364" s="6"/>
      <c r="C364" s="3"/>
      <c r="D364" s="6"/>
      <c r="E364" s="6"/>
      <c r="F364" s="7"/>
      <c r="G364" s="6"/>
      <c r="H364" s="8" t="str">
        <f aca="false">IF(OR($F364="",$G364=""),"",$F364+7*$G364-3)</f>
        <v/>
      </c>
      <c r="I364" s="3"/>
      <c r="J364" s="9" t="str">
        <f aca="false">IF(OR($C364="",$D364=""),"",$D364&amp;"|"&amp;COUNTIFS($D$4:$D364,$D364,$C$4:$C364,"?*"))</f>
        <v/>
      </c>
      <c r="K364" s="9" t="str">
        <f aca="false">IF(OR($C364="",$B364=""),"",$B364&amp;"|"&amp;COUNTIFS($B$4:$B364,$B364,$C$4:$C364,"?*"))</f>
        <v/>
      </c>
      <c r="L364" s="9" t="str">
        <f aca="false">IF($C364="","","ALL|"&amp;COUNTIF($C$4:$C364,"?*"))</f>
        <v/>
      </c>
    </row>
    <row r="365" customFormat="false" ht="15" hidden="false" customHeight="false" outlineLevel="0" collapsed="false">
      <c r="A365" s="6"/>
      <c r="B365" s="6"/>
      <c r="C365" s="3"/>
      <c r="D365" s="6"/>
      <c r="E365" s="6"/>
      <c r="F365" s="7"/>
      <c r="G365" s="6"/>
      <c r="H365" s="8" t="str">
        <f aca="false">IF(OR($F365="",$G365=""),"",$F365+7*$G365-3)</f>
        <v/>
      </c>
      <c r="I365" s="3"/>
      <c r="J365" s="9" t="str">
        <f aca="false">IF(OR($C365="",$D365=""),"",$D365&amp;"|"&amp;COUNTIFS($D$4:$D365,$D365,$C$4:$C365,"?*"))</f>
        <v/>
      </c>
      <c r="K365" s="9" t="str">
        <f aca="false">IF(OR($C365="",$B365=""),"",$B365&amp;"|"&amp;COUNTIFS($B$4:$B365,$B365,$C$4:$C365,"?*"))</f>
        <v/>
      </c>
      <c r="L365" s="9" t="str">
        <f aca="false">IF($C365="","","ALL|"&amp;COUNTIF($C$4:$C365,"?*"))</f>
        <v/>
      </c>
    </row>
    <row r="366" customFormat="false" ht="15" hidden="false" customHeight="false" outlineLevel="0" collapsed="false">
      <c r="A366" s="6"/>
      <c r="B366" s="6"/>
      <c r="C366" s="3"/>
      <c r="D366" s="6"/>
      <c r="E366" s="6"/>
      <c r="F366" s="7"/>
      <c r="G366" s="6"/>
      <c r="H366" s="8" t="str">
        <f aca="false">IF(OR($F366="",$G366=""),"",$F366+7*$G366-3)</f>
        <v/>
      </c>
      <c r="I366" s="3"/>
      <c r="J366" s="9" t="str">
        <f aca="false">IF(OR($C366="",$D366=""),"",$D366&amp;"|"&amp;COUNTIFS($D$4:$D366,$D366,$C$4:$C366,"?*"))</f>
        <v/>
      </c>
      <c r="K366" s="9" t="str">
        <f aca="false">IF(OR($C366="",$B366=""),"",$B366&amp;"|"&amp;COUNTIFS($B$4:$B366,$B366,$C$4:$C366,"?*"))</f>
        <v/>
      </c>
      <c r="L366" s="9" t="str">
        <f aca="false">IF($C366="","","ALL|"&amp;COUNTIF($C$4:$C366,"?*"))</f>
        <v/>
      </c>
    </row>
    <row r="367" customFormat="false" ht="15" hidden="false" customHeight="false" outlineLevel="0" collapsed="false">
      <c r="A367" s="6"/>
      <c r="B367" s="6"/>
      <c r="C367" s="3"/>
      <c r="D367" s="6"/>
      <c r="E367" s="6"/>
      <c r="F367" s="7"/>
      <c r="G367" s="6"/>
      <c r="H367" s="8" t="str">
        <f aca="false">IF(OR($F367="",$G367=""),"",$F367+7*$G367-3)</f>
        <v/>
      </c>
      <c r="I367" s="3"/>
      <c r="J367" s="9" t="str">
        <f aca="false">IF(OR($C367="",$D367=""),"",$D367&amp;"|"&amp;COUNTIFS($D$4:$D367,$D367,$C$4:$C367,"?*"))</f>
        <v/>
      </c>
      <c r="K367" s="9" t="str">
        <f aca="false">IF(OR($C367="",$B367=""),"",$B367&amp;"|"&amp;COUNTIFS($B$4:$B367,$B367,$C$4:$C367,"?*"))</f>
        <v/>
      </c>
      <c r="L367" s="9" t="str">
        <f aca="false">IF($C367="","","ALL|"&amp;COUNTIF($C$4:$C367,"?*"))</f>
        <v/>
      </c>
    </row>
    <row r="368" customFormat="false" ht="15" hidden="false" customHeight="false" outlineLevel="0" collapsed="false">
      <c r="A368" s="6"/>
      <c r="B368" s="6"/>
      <c r="C368" s="3"/>
      <c r="D368" s="6"/>
      <c r="E368" s="6"/>
      <c r="F368" s="7"/>
      <c r="G368" s="6"/>
      <c r="H368" s="8" t="str">
        <f aca="false">IF(OR($F368="",$G368=""),"",$F368+7*$G368-3)</f>
        <v/>
      </c>
      <c r="I368" s="3"/>
      <c r="J368" s="9" t="str">
        <f aca="false">IF(OR($C368="",$D368=""),"",$D368&amp;"|"&amp;COUNTIFS($D$4:$D368,$D368,$C$4:$C368,"?*"))</f>
        <v/>
      </c>
      <c r="K368" s="9" t="str">
        <f aca="false">IF(OR($C368="",$B368=""),"",$B368&amp;"|"&amp;COUNTIFS($B$4:$B368,$B368,$C$4:$C368,"?*"))</f>
        <v/>
      </c>
      <c r="L368" s="9" t="str">
        <f aca="false">IF($C368="","","ALL|"&amp;COUNTIF($C$4:$C368,"?*"))</f>
        <v/>
      </c>
    </row>
    <row r="369" customFormat="false" ht="15" hidden="false" customHeight="false" outlineLevel="0" collapsed="false">
      <c r="A369" s="6"/>
      <c r="B369" s="6"/>
      <c r="C369" s="3"/>
      <c r="D369" s="6"/>
      <c r="E369" s="6"/>
      <c r="F369" s="7"/>
      <c r="G369" s="6"/>
      <c r="H369" s="8" t="str">
        <f aca="false">IF(OR($F369="",$G369=""),"",$F369+7*$G369-3)</f>
        <v/>
      </c>
      <c r="I369" s="3"/>
      <c r="J369" s="9" t="str">
        <f aca="false">IF(OR($C369="",$D369=""),"",$D369&amp;"|"&amp;COUNTIFS($D$4:$D369,$D369,$C$4:$C369,"?*"))</f>
        <v/>
      </c>
      <c r="K369" s="9" t="str">
        <f aca="false">IF(OR($C369="",$B369=""),"",$B369&amp;"|"&amp;COUNTIFS($B$4:$B369,$B369,$C$4:$C369,"?*"))</f>
        <v/>
      </c>
      <c r="L369" s="9" t="str">
        <f aca="false">IF($C369="","","ALL|"&amp;COUNTIF($C$4:$C369,"?*"))</f>
        <v/>
      </c>
    </row>
    <row r="370" customFormat="false" ht="15" hidden="false" customHeight="false" outlineLevel="0" collapsed="false">
      <c r="A370" s="6"/>
      <c r="B370" s="6"/>
      <c r="C370" s="3"/>
      <c r="D370" s="6"/>
      <c r="E370" s="6"/>
      <c r="F370" s="7"/>
      <c r="G370" s="6"/>
      <c r="H370" s="8" t="str">
        <f aca="false">IF(OR($F370="",$G370=""),"",$F370+7*$G370-3)</f>
        <v/>
      </c>
      <c r="I370" s="3"/>
      <c r="J370" s="9" t="str">
        <f aca="false">IF(OR($C370="",$D370=""),"",$D370&amp;"|"&amp;COUNTIFS($D$4:$D370,$D370,$C$4:$C370,"?*"))</f>
        <v/>
      </c>
      <c r="K370" s="9" t="str">
        <f aca="false">IF(OR($C370="",$B370=""),"",$B370&amp;"|"&amp;COUNTIFS($B$4:$B370,$B370,$C$4:$C370,"?*"))</f>
        <v/>
      </c>
      <c r="L370" s="9" t="str">
        <f aca="false">IF($C370="","","ALL|"&amp;COUNTIF($C$4:$C370,"?*"))</f>
        <v/>
      </c>
    </row>
    <row r="371" customFormat="false" ht="15" hidden="false" customHeight="false" outlineLevel="0" collapsed="false">
      <c r="A371" s="6"/>
      <c r="B371" s="6"/>
      <c r="C371" s="3"/>
      <c r="D371" s="6"/>
      <c r="E371" s="6"/>
      <c r="F371" s="7"/>
      <c r="G371" s="6"/>
      <c r="H371" s="8" t="str">
        <f aca="false">IF(OR($F371="",$G371=""),"",$F371+7*$G371-3)</f>
        <v/>
      </c>
      <c r="I371" s="3"/>
      <c r="J371" s="9" t="str">
        <f aca="false">IF(OR($C371="",$D371=""),"",$D371&amp;"|"&amp;COUNTIFS($D$4:$D371,$D371,$C$4:$C371,"?*"))</f>
        <v/>
      </c>
      <c r="K371" s="9" t="str">
        <f aca="false">IF(OR($C371="",$B371=""),"",$B371&amp;"|"&amp;COUNTIFS($B$4:$B371,$B371,$C$4:$C371,"?*"))</f>
        <v/>
      </c>
      <c r="L371" s="9" t="str">
        <f aca="false">IF($C371="","","ALL|"&amp;COUNTIF($C$4:$C371,"?*"))</f>
        <v/>
      </c>
    </row>
    <row r="372" customFormat="false" ht="15" hidden="false" customHeight="false" outlineLevel="0" collapsed="false">
      <c r="A372" s="6"/>
      <c r="B372" s="6"/>
      <c r="C372" s="3"/>
      <c r="D372" s="6"/>
      <c r="E372" s="6"/>
      <c r="F372" s="7"/>
      <c r="G372" s="6"/>
      <c r="H372" s="8" t="str">
        <f aca="false">IF(OR($F372="",$G372=""),"",$F372+7*$G372-3)</f>
        <v/>
      </c>
      <c r="I372" s="3"/>
      <c r="J372" s="9" t="str">
        <f aca="false">IF(OR($C372="",$D372=""),"",$D372&amp;"|"&amp;COUNTIFS($D$4:$D372,$D372,$C$4:$C372,"?*"))</f>
        <v/>
      </c>
      <c r="K372" s="9" t="str">
        <f aca="false">IF(OR($C372="",$B372=""),"",$B372&amp;"|"&amp;COUNTIFS($B$4:$B372,$B372,$C$4:$C372,"?*"))</f>
        <v/>
      </c>
      <c r="L372" s="9" t="str">
        <f aca="false">IF($C372="","","ALL|"&amp;COUNTIF($C$4:$C372,"?*"))</f>
        <v/>
      </c>
    </row>
    <row r="373" customFormat="false" ht="15" hidden="false" customHeight="false" outlineLevel="0" collapsed="false">
      <c r="A373" s="6"/>
      <c r="B373" s="6"/>
      <c r="C373" s="3"/>
      <c r="D373" s="6"/>
      <c r="E373" s="6"/>
      <c r="F373" s="7"/>
      <c r="G373" s="6"/>
      <c r="H373" s="8" t="str">
        <f aca="false">IF(OR($F373="",$G373=""),"",$F373+7*$G373-3)</f>
        <v/>
      </c>
      <c r="I373" s="3"/>
      <c r="J373" s="9" t="str">
        <f aca="false">IF(OR($C373="",$D373=""),"",$D373&amp;"|"&amp;COUNTIFS($D$4:$D373,$D373,$C$4:$C373,"?*"))</f>
        <v/>
      </c>
      <c r="K373" s="9" t="str">
        <f aca="false">IF(OR($C373="",$B373=""),"",$B373&amp;"|"&amp;COUNTIFS($B$4:$B373,$B373,$C$4:$C373,"?*"))</f>
        <v/>
      </c>
      <c r="L373" s="9" t="str">
        <f aca="false">IF($C373="","","ALL|"&amp;COUNTIF($C$4:$C373,"?*"))</f>
        <v/>
      </c>
    </row>
    <row r="374" customFormat="false" ht="15" hidden="false" customHeight="false" outlineLevel="0" collapsed="false">
      <c r="A374" s="6"/>
      <c r="B374" s="6"/>
      <c r="C374" s="3"/>
      <c r="D374" s="6"/>
      <c r="E374" s="6"/>
      <c r="F374" s="7"/>
      <c r="G374" s="6"/>
      <c r="H374" s="8" t="str">
        <f aca="false">IF(OR($F374="",$G374=""),"",$F374+7*$G374-3)</f>
        <v/>
      </c>
      <c r="I374" s="3"/>
      <c r="J374" s="9" t="str">
        <f aca="false">IF(OR($C374="",$D374=""),"",$D374&amp;"|"&amp;COUNTIFS($D$4:$D374,$D374,$C$4:$C374,"?*"))</f>
        <v/>
      </c>
      <c r="K374" s="9" t="str">
        <f aca="false">IF(OR($C374="",$B374=""),"",$B374&amp;"|"&amp;COUNTIFS($B$4:$B374,$B374,$C$4:$C374,"?*"))</f>
        <v/>
      </c>
      <c r="L374" s="9" t="str">
        <f aca="false">IF($C374="","","ALL|"&amp;COUNTIF($C$4:$C374,"?*"))</f>
        <v/>
      </c>
    </row>
    <row r="375" customFormat="false" ht="15" hidden="false" customHeight="false" outlineLevel="0" collapsed="false">
      <c r="A375" s="6"/>
      <c r="B375" s="6"/>
      <c r="C375" s="3"/>
      <c r="D375" s="6"/>
      <c r="E375" s="6"/>
      <c r="F375" s="7"/>
      <c r="G375" s="6"/>
      <c r="H375" s="8" t="str">
        <f aca="false">IF(OR($F375="",$G375=""),"",$F375+7*$G375-3)</f>
        <v/>
      </c>
      <c r="I375" s="3"/>
      <c r="J375" s="9" t="str">
        <f aca="false">IF(OR($C375="",$D375=""),"",$D375&amp;"|"&amp;COUNTIFS($D$4:$D375,$D375,$C$4:$C375,"?*"))</f>
        <v/>
      </c>
      <c r="K375" s="9" t="str">
        <f aca="false">IF(OR($C375="",$B375=""),"",$B375&amp;"|"&amp;COUNTIFS($B$4:$B375,$B375,$C$4:$C375,"?*"))</f>
        <v/>
      </c>
      <c r="L375" s="9" t="str">
        <f aca="false">IF($C375="","","ALL|"&amp;COUNTIF($C$4:$C375,"?*"))</f>
        <v/>
      </c>
    </row>
    <row r="376" customFormat="false" ht="15" hidden="false" customHeight="false" outlineLevel="0" collapsed="false">
      <c r="A376" s="6"/>
      <c r="B376" s="6"/>
      <c r="C376" s="3"/>
      <c r="D376" s="6"/>
      <c r="E376" s="6"/>
      <c r="F376" s="7"/>
      <c r="G376" s="6"/>
      <c r="H376" s="8" t="str">
        <f aca="false">IF(OR($F376="",$G376=""),"",$F376+7*$G376-3)</f>
        <v/>
      </c>
      <c r="I376" s="3"/>
      <c r="J376" s="9" t="str">
        <f aca="false">IF(OR($C376="",$D376=""),"",$D376&amp;"|"&amp;COUNTIFS($D$4:$D376,$D376,$C$4:$C376,"?*"))</f>
        <v/>
      </c>
      <c r="K376" s="9" t="str">
        <f aca="false">IF(OR($C376="",$B376=""),"",$B376&amp;"|"&amp;COUNTIFS($B$4:$B376,$B376,$C$4:$C376,"?*"))</f>
        <v/>
      </c>
      <c r="L376" s="9" t="str">
        <f aca="false">IF($C376="","","ALL|"&amp;COUNTIF($C$4:$C376,"?*"))</f>
        <v/>
      </c>
    </row>
    <row r="377" customFormat="false" ht="15" hidden="false" customHeight="false" outlineLevel="0" collapsed="false">
      <c r="A377" s="6"/>
      <c r="B377" s="6"/>
      <c r="C377" s="3"/>
      <c r="D377" s="6"/>
      <c r="E377" s="6"/>
      <c r="F377" s="7"/>
      <c r="G377" s="6"/>
      <c r="H377" s="8" t="str">
        <f aca="false">IF(OR($F377="",$G377=""),"",$F377+7*$G377-3)</f>
        <v/>
      </c>
      <c r="I377" s="3"/>
      <c r="J377" s="9" t="str">
        <f aca="false">IF(OR($C377="",$D377=""),"",$D377&amp;"|"&amp;COUNTIFS($D$4:$D377,$D377,$C$4:$C377,"?*"))</f>
        <v/>
      </c>
      <c r="K377" s="9" t="str">
        <f aca="false">IF(OR($C377="",$B377=""),"",$B377&amp;"|"&amp;COUNTIFS($B$4:$B377,$B377,$C$4:$C377,"?*"))</f>
        <v/>
      </c>
      <c r="L377" s="9" t="str">
        <f aca="false">IF($C377="","","ALL|"&amp;COUNTIF($C$4:$C377,"?*"))</f>
        <v/>
      </c>
    </row>
    <row r="378" customFormat="false" ht="15" hidden="false" customHeight="false" outlineLevel="0" collapsed="false">
      <c r="A378" s="6"/>
      <c r="B378" s="6"/>
      <c r="C378" s="3"/>
      <c r="D378" s="6"/>
      <c r="E378" s="6"/>
      <c r="F378" s="7"/>
      <c r="G378" s="6"/>
      <c r="H378" s="8" t="str">
        <f aca="false">IF(OR($F378="",$G378=""),"",$F378+7*$G378-3)</f>
        <v/>
      </c>
      <c r="I378" s="3"/>
      <c r="J378" s="9" t="str">
        <f aca="false">IF(OR($C378="",$D378=""),"",$D378&amp;"|"&amp;COUNTIFS($D$4:$D378,$D378,$C$4:$C378,"?*"))</f>
        <v/>
      </c>
      <c r="K378" s="9" t="str">
        <f aca="false">IF(OR($C378="",$B378=""),"",$B378&amp;"|"&amp;COUNTIFS($B$4:$B378,$B378,$C$4:$C378,"?*"))</f>
        <v/>
      </c>
      <c r="L378" s="9" t="str">
        <f aca="false">IF($C378="","","ALL|"&amp;COUNTIF($C$4:$C378,"?*"))</f>
        <v/>
      </c>
    </row>
    <row r="379" customFormat="false" ht="15" hidden="false" customHeight="false" outlineLevel="0" collapsed="false">
      <c r="A379" s="6"/>
      <c r="B379" s="6"/>
      <c r="C379" s="3"/>
      <c r="D379" s="6"/>
      <c r="E379" s="6"/>
      <c r="F379" s="7"/>
      <c r="G379" s="6"/>
      <c r="H379" s="8" t="str">
        <f aca="false">IF(OR($F379="",$G379=""),"",$F379+7*$G379-3)</f>
        <v/>
      </c>
      <c r="I379" s="3"/>
      <c r="J379" s="9" t="str">
        <f aca="false">IF(OR($C379="",$D379=""),"",$D379&amp;"|"&amp;COUNTIFS($D$4:$D379,$D379,$C$4:$C379,"?*"))</f>
        <v/>
      </c>
      <c r="K379" s="9" t="str">
        <f aca="false">IF(OR($C379="",$B379=""),"",$B379&amp;"|"&amp;COUNTIFS($B$4:$B379,$B379,$C$4:$C379,"?*"))</f>
        <v/>
      </c>
      <c r="L379" s="9" t="str">
        <f aca="false">IF($C379="","","ALL|"&amp;COUNTIF($C$4:$C379,"?*"))</f>
        <v/>
      </c>
    </row>
    <row r="380" customFormat="false" ht="15" hidden="false" customHeight="false" outlineLevel="0" collapsed="false">
      <c r="A380" s="6"/>
      <c r="B380" s="6"/>
      <c r="C380" s="3"/>
      <c r="D380" s="6"/>
      <c r="E380" s="6"/>
      <c r="F380" s="7"/>
      <c r="G380" s="6"/>
      <c r="H380" s="8" t="str">
        <f aca="false">IF(OR($F380="",$G380=""),"",$F380+7*$G380-3)</f>
        <v/>
      </c>
      <c r="I380" s="3"/>
      <c r="J380" s="9" t="str">
        <f aca="false">IF(OR($C380="",$D380=""),"",$D380&amp;"|"&amp;COUNTIFS($D$4:$D380,$D380,$C$4:$C380,"?*"))</f>
        <v/>
      </c>
      <c r="K380" s="9" t="str">
        <f aca="false">IF(OR($C380="",$B380=""),"",$B380&amp;"|"&amp;COUNTIFS($B$4:$B380,$B380,$C$4:$C380,"?*"))</f>
        <v/>
      </c>
      <c r="L380" s="9" t="str">
        <f aca="false">IF($C380="","","ALL|"&amp;COUNTIF($C$4:$C380,"?*"))</f>
        <v/>
      </c>
    </row>
    <row r="381" customFormat="false" ht="15" hidden="false" customHeight="false" outlineLevel="0" collapsed="false">
      <c r="A381" s="6"/>
      <c r="B381" s="6"/>
      <c r="C381" s="3"/>
      <c r="D381" s="6"/>
      <c r="E381" s="6"/>
      <c r="F381" s="7"/>
      <c r="G381" s="6"/>
      <c r="H381" s="8" t="str">
        <f aca="false">IF(OR($F381="",$G381=""),"",$F381+7*$G381-3)</f>
        <v/>
      </c>
      <c r="I381" s="3"/>
      <c r="J381" s="9" t="str">
        <f aca="false">IF(OR($C381="",$D381=""),"",$D381&amp;"|"&amp;COUNTIFS($D$4:$D381,$D381,$C$4:$C381,"?*"))</f>
        <v/>
      </c>
      <c r="K381" s="9" t="str">
        <f aca="false">IF(OR($C381="",$B381=""),"",$B381&amp;"|"&amp;COUNTIFS($B$4:$B381,$B381,$C$4:$C381,"?*"))</f>
        <v/>
      </c>
      <c r="L381" s="9" t="str">
        <f aca="false">IF($C381="","","ALL|"&amp;COUNTIF($C$4:$C381,"?*"))</f>
        <v/>
      </c>
    </row>
    <row r="382" customFormat="false" ht="15" hidden="false" customHeight="false" outlineLevel="0" collapsed="false">
      <c r="A382" s="6"/>
      <c r="B382" s="6"/>
      <c r="C382" s="3"/>
      <c r="D382" s="6"/>
      <c r="E382" s="6"/>
      <c r="F382" s="7"/>
      <c r="G382" s="6"/>
      <c r="H382" s="8" t="str">
        <f aca="false">IF(OR($F382="",$G382=""),"",$F382+7*$G382-3)</f>
        <v/>
      </c>
      <c r="I382" s="3"/>
      <c r="J382" s="9" t="str">
        <f aca="false">IF(OR($C382="",$D382=""),"",$D382&amp;"|"&amp;COUNTIFS($D$4:$D382,$D382,$C$4:$C382,"?*"))</f>
        <v/>
      </c>
      <c r="K382" s="9" t="str">
        <f aca="false">IF(OR($C382="",$B382=""),"",$B382&amp;"|"&amp;COUNTIFS($B$4:$B382,$B382,$C$4:$C382,"?*"))</f>
        <v/>
      </c>
      <c r="L382" s="9" t="str">
        <f aca="false">IF($C382="","","ALL|"&amp;COUNTIF($C$4:$C382,"?*"))</f>
        <v/>
      </c>
    </row>
    <row r="383" customFormat="false" ht="15" hidden="false" customHeight="false" outlineLevel="0" collapsed="false">
      <c r="A383" s="6"/>
      <c r="B383" s="6"/>
      <c r="C383" s="3"/>
      <c r="D383" s="6"/>
      <c r="E383" s="6"/>
      <c r="F383" s="7"/>
      <c r="G383" s="6"/>
      <c r="H383" s="8" t="str">
        <f aca="false">IF(OR($F383="",$G383=""),"",$F383+7*$G383-3)</f>
        <v/>
      </c>
      <c r="I383" s="3"/>
      <c r="J383" s="9" t="str">
        <f aca="false">IF(OR($C383="",$D383=""),"",$D383&amp;"|"&amp;COUNTIFS($D$4:$D383,$D383,$C$4:$C383,"?*"))</f>
        <v/>
      </c>
      <c r="K383" s="9" t="str">
        <f aca="false">IF(OR($C383="",$B383=""),"",$B383&amp;"|"&amp;COUNTIFS($B$4:$B383,$B383,$C$4:$C383,"?*"))</f>
        <v/>
      </c>
      <c r="L383" s="9" t="str">
        <f aca="false">IF($C383="","","ALL|"&amp;COUNTIF($C$4:$C383,"?*"))</f>
        <v/>
      </c>
    </row>
    <row r="384" customFormat="false" ht="15" hidden="false" customHeight="false" outlineLevel="0" collapsed="false">
      <c r="A384" s="6"/>
      <c r="B384" s="6"/>
      <c r="C384" s="3"/>
      <c r="D384" s="6"/>
      <c r="E384" s="6"/>
      <c r="F384" s="7"/>
      <c r="G384" s="6"/>
      <c r="H384" s="8" t="str">
        <f aca="false">IF(OR($F384="",$G384=""),"",$F384+7*$G384-3)</f>
        <v/>
      </c>
      <c r="I384" s="3"/>
      <c r="J384" s="9" t="str">
        <f aca="false">IF(OR($C384="",$D384=""),"",$D384&amp;"|"&amp;COUNTIFS($D$4:$D384,$D384,$C$4:$C384,"?*"))</f>
        <v/>
      </c>
      <c r="K384" s="9" t="str">
        <f aca="false">IF(OR($C384="",$B384=""),"",$B384&amp;"|"&amp;COUNTIFS($B$4:$B384,$B384,$C$4:$C384,"?*"))</f>
        <v/>
      </c>
      <c r="L384" s="9" t="str">
        <f aca="false">IF($C384="","","ALL|"&amp;COUNTIF($C$4:$C384,"?*"))</f>
        <v/>
      </c>
    </row>
    <row r="385" customFormat="false" ht="15" hidden="false" customHeight="false" outlineLevel="0" collapsed="false">
      <c r="A385" s="6"/>
      <c r="B385" s="6"/>
      <c r="C385" s="3"/>
      <c r="D385" s="6"/>
      <c r="E385" s="6"/>
      <c r="F385" s="7"/>
      <c r="G385" s="6"/>
      <c r="H385" s="8" t="str">
        <f aca="false">IF(OR($F385="",$G385=""),"",$F385+7*$G385-3)</f>
        <v/>
      </c>
      <c r="I385" s="3"/>
      <c r="J385" s="9" t="str">
        <f aca="false">IF(OR($C385="",$D385=""),"",$D385&amp;"|"&amp;COUNTIFS($D$4:$D385,$D385,$C$4:$C385,"?*"))</f>
        <v/>
      </c>
      <c r="K385" s="9" t="str">
        <f aca="false">IF(OR($C385="",$B385=""),"",$B385&amp;"|"&amp;COUNTIFS($B$4:$B385,$B385,$C$4:$C385,"?*"))</f>
        <v/>
      </c>
      <c r="L385" s="9" t="str">
        <f aca="false">IF($C385="","","ALL|"&amp;COUNTIF($C$4:$C385,"?*"))</f>
        <v/>
      </c>
    </row>
    <row r="386" customFormat="false" ht="15" hidden="false" customHeight="false" outlineLevel="0" collapsed="false">
      <c r="A386" s="6"/>
      <c r="B386" s="6"/>
      <c r="C386" s="3"/>
      <c r="D386" s="6"/>
      <c r="E386" s="6"/>
      <c r="F386" s="7"/>
      <c r="G386" s="6"/>
      <c r="H386" s="8" t="str">
        <f aca="false">IF(OR($F386="",$G386=""),"",$F386+7*$G386-3)</f>
        <v/>
      </c>
      <c r="I386" s="3"/>
      <c r="J386" s="9" t="str">
        <f aca="false">IF(OR($C386="",$D386=""),"",$D386&amp;"|"&amp;COUNTIFS($D$4:$D386,$D386,$C$4:$C386,"?*"))</f>
        <v/>
      </c>
      <c r="K386" s="9" t="str">
        <f aca="false">IF(OR($C386="",$B386=""),"",$B386&amp;"|"&amp;COUNTIFS($B$4:$B386,$B386,$C$4:$C386,"?*"))</f>
        <v/>
      </c>
      <c r="L386" s="9" t="str">
        <f aca="false">IF($C386="","","ALL|"&amp;COUNTIF($C$4:$C386,"?*"))</f>
        <v/>
      </c>
    </row>
    <row r="387" customFormat="false" ht="15" hidden="false" customHeight="false" outlineLevel="0" collapsed="false">
      <c r="A387" s="6"/>
      <c r="B387" s="6"/>
      <c r="C387" s="3"/>
      <c r="D387" s="6"/>
      <c r="E387" s="6"/>
      <c r="F387" s="7"/>
      <c r="G387" s="6"/>
      <c r="H387" s="8" t="str">
        <f aca="false">IF(OR($F387="",$G387=""),"",$F387+7*$G387-3)</f>
        <v/>
      </c>
      <c r="I387" s="3"/>
      <c r="J387" s="9" t="str">
        <f aca="false">IF(OR($C387="",$D387=""),"",$D387&amp;"|"&amp;COUNTIFS($D$4:$D387,$D387,$C$4:$C387,"?*"))</f>
        <v/>
      </c>
      <c r="K387" s="9" t="str">
        <f aca="false">IF(OR($C387="",$B387=""),"",$B387&amp;"|"&amp;COUNTIFS($B$4:$B387,$B387,$C$4:$C387,"?*"))</f>
        <v/>
      </c>
      <c r="L387" s="9" t="str">
        <f aca="false">IF($C387="","","ALL|"&amp;COUNTIF($C$4:$C387,"?*"))</f>
        <v/>
      </c>
    </row>
    <row r="388" customFormat="false" ht="15" hidden="false" customHeight="false" outlineLevel="0" collapsed="false">
      <c r="A388" s="6"/>
      <c r="B388" s="6"/>
      <c r="C388" s="3"/>
      <c r="D388" s="6"/>
      <c r="E388" s="6"/>
      <c r="F388" s="7"/>
      <c r="G388" s="6"/>
      <c r="H388" s="8" t="str">
        <f aca="false">IF(OR($F388="",$G388=""),"",$F388+7*$G388-3)</f>
        <v/>
      </c>
      <c r="I388" s="3"/>
      <c r="J388" s="9" t="str">
        <f aca="false">IF(OR($C388="",$D388=""),"",$D388&amp;"|"&amp;COUNTIFS($D$4:$D388,$D388,$C$4:$C388,"?*"))</f>
        <v/>
      </c>
      <c r="K388" s="9" t="str">
        <f aca="false">IF(OR($C388="",$B388=""),"",$B388&amp;"|"&amp;COUNTIFS($B$4:$B388,$B388,$C$4:$C388,"?*"))</f>
        <v/>
      </c>
      <c r="L388" s="9" t="str">
        <f aca="false">IF($C388="","","ALL|"&amp;COUNTIF($C$4:$C388,"?*"))</f>
        <v/>
      </c>
    </row>
    <row r="389" customFormat="false" ht="15" hidden="false" customHeight="false" outlineLevel="0" collapsed="false">
      <c r="A389" s="6"/>
      <c r="B389" s="6"/>
      <c r="C389" s="3"/>
      <c r="D389" s="6"/>
      <c r="E389" s="6"/>
      <c r="F389" s="7"/>
      <c r="G389" s="6"/>
      <c r="H389" s="8" t="str">
        <f aca="false">IF(OR($F389="",$G389=""),"",$F389+7*$G389-3)</f>
        <v/>
      </c>
      <c r="I389" s="3"/>
      <c r="J389" s="9" t="str">
        <f aca="false">IF(OR($C389="",$D389=""),"",$D389&amp;"|"&amp;COUNTIFS($D$4:$D389,$D389,$C$4:$C389,"?*"))</f>
        <v/>
      </c>
      <c r="K389" s="9" t="str">
        <f aca="false">IF(OR($C389="",$B389=""),"",$B389&amp;"|"&amp;COUNTIFS($B$4:$B389,$B389,$C$4:$C389,"?*"))</f>
        <v/>
      </c>
      <c r="L389" s="9" t="str">
        <f aca="false">IF($C389="","","ALL|"&amp;COUNTIF($C$4:$C389,"?*"))</f>
        <v/>
      </c>
    </row>
    <row r="390" customFormat="false" ht="15" hidden="false" customHeight="false" outlineLevel="0" collapsed="false">
      <c r="A390" s="6"/>
      <c r="B390" s="6"/>
      <c r="C390" s="3"/>
      <c r="D390" s="6"/>
      <c r="E390" s="6"/>
      <c r="F390" s="7"/>
      <c r="G390" s="6"/>
      <c r="H390" s="8" t="str">
        <f aca="false">IF(OR($F390="",$G390=""),"",$F390+7*$G390-3)</f>
        <v/>
      </c>
      <c r="I390" s="3"/>
      <c r="J390" s="9" t="str">
        <f aca="false">IF(OR($C390="",$D390=""),"",$D390&amp;"|"&amp;COUNTIFS($D$4:$D390,$D390,$C$4:$C390,"?*"))</f>
        <v/>
      </c>
      <c r="K390" s="9" t="str">
        <f aca="false">IF(OR($C390="",$B390=""),"",$B390&amp;"|"&amp;COUNTIFS($B$4:$B390,$B390,$C$4:$C390,"?*"))</f>
        <v/>
      </c>
      <c r="L390" s="9" t="str">
        <f aca="false">IF($C390="","","ALL|"&amp;COUNTIF($C$4:$C390,"?*"))</f>
        <v/>
      </c>
    </row>
    <row r="391" customFormat="false" ht="15" hidden="false" customHeight="false" outlineLevel="0" collapsed="false">
      <c r="A391" s="6"/>
      <c r="B391" s="6"/>
      <c r="C391" s="3"/>
      <c r="D391" s="6"/>
      <c r="E391" s="6"/>
      <c r="F391" s="7"/>
      <c r="G391" s="6"/>
      <c r="H391" s="8" t="str">
        <f aca="false">IF(OR($F391="",$G391=""),"",$F391+7*$G391-3)</f>
        <v/>
      </c>
      <c r="I391" s="3"/>
      <c r="J391" s="9" t="str">
        <f aca="false">IF(OR($C391="",$D391=""),"",$D391&amp;"|"&amp;COUNTIFS($D$4:$D391,$D391,$C$4:$C391,"?*"))</f>
        <v/>
      </c>
      <c r="K391" s="9" t="str">
        <f aca="false">IF(OR($C391="",$B391=""),"",$B391&amp;"|"&amp;COUNTIFS($B$4:$B391,$B391,$C$4:$C391,"?*"))</f>
        <v/>
      </c>
      <c r="L391" s="9" t="str">
        <f aca="false">IF($C391="","","ALL|"&amp;COUNTIF($C$4:$C391,"?*"))</f>
        <v/>
      </c>
    </row>
    <row r="392" customFormat="false" ht="15" hidden="false" customHeight="false" outlineLevel="0" collapsed="false">
      <c r="A392" s="6"/>
      <c r="B392" s="6"/>
      <c r="C392" s="3"/>
      <c r="D392" s="6"/>
      <c r="E392" s="6"/>
      <c r="F392" s="7"/>
      <c r="G392" s="6"/>
      <c r="H392" s="8" t="str">
        <f aca="false">IF(OR($F392="",$G392=""),"",$F392+7*$G392-3)</f>
        <v/>
      </c>
      <c r="I392" s="3"/>
      <c r="J392" s="9" t="str">
        <f aca="false">IF(OR($C392="",$D392=""),"",$D392&amp;"|"&amp;COUNTIFS($D$4:$D392,$D392,$C$4:$C392,"?*"))</f>
        <v/>
      </c>
      <c r="K392" s="9" t="str">
        <f aca="false">IF(OR($C392="",$B392=""),"",$B392&amp;"|"&amp;COUNTIFS($B$4:$B392,$B392,$C$4:$C392,"?*"))</f>
        <v/>
      </c>
      <c r="L392" s="9" t="str">
        <f aca="false">IF($C392="","","ALL|"&amp;COUNTIF($C$4:$C392,"?*"))</f>
        <v/>
      </c>
    </row>
    <row r="393" customFormat="false" ht="15" hidden="false" customHeight="false" outlineLevel="0" collapsed="false">
      <c r="A393" s="6"/>
      <c r="B393" s="6"/>
      <c r="C393" s="3"/>
      <c r="D393" s="6"/>
      <c r="E393" s="6"/>
      <c r="F393" s="7"/>
      <c r="G393" s="6"/>
      <c r="H393" s="8" t="str">
        <f aca="false">IF(OR($F393="",$G393=""),"",$F393+7*$G393-3)</f>
        <v/>
      </c>
      <c r="I393" s="3"/>
      <c r="J393" s="9" t="str">
        <f aca="false">IF(OR($C393="",$D393=""),"",$D393&amp;"|"&amp;COUNTIFS($D$4:$D393,$D393,$C$4:$C393,"?*"))</f>
        <v/>
      </c>
      <c r="K393" s="9" t="str">
        <f aca="false">IF(OR($C393="",$B393=""),"",$B393&amp;"|"&amp;COUNTIFS($B$4:$B393,$B393,$C$4:$C393,"?*"))</f>
        <v/>
      </c>
      <c r="L393" s="9" t="str">
        <f aca="false">IF($C393="","","ALL|"&amp;COUNTIF($C$4:$C393,"?*"))</f>
        <v/>
      </c>
    </row>
    <row r="394" customFormat="false" ht="15" hidden="false" customHeight="false" outlineLevel="0" collapsed="false">
      <c r="A394" s="6"/>
      <c r="B394" s="6"/>
      <c r="C394" s="3"/>
      <c r="D394" s="6"/>
      <c r="E394" s="6"/>
      <c r="F394" s="7"/>
      <c r="G394" s="6"/>
      <c r="H394" s="8" t="str">
        <f aca="false">IF(OR($F394="",$G394=""),"",$F394+7*$G394-3)</f>
        <v/>
      </c>
      <c r="I394" s="3"/>
      <c r="J394" s="9" t="str">
        <f aca="false">IF(OR($C394="",$D394=""),"",$D394&amp;"|"&amp;COUNTIFS($D$4:$D394,$D394,$C$4:$C394,"?*"))</f>
        <v/>
      </c>
      <c r="K394" s="9" t="str">
        <f aca="false">IF(OR($C394="",$B394=""),"",$B394&amp;"|"&amp;COUNTIFS($B$4:$B394,$B394,$C$4:$C394,"?*"))</f>
        <v/>
      </c>
      <c r="L394" s="9" t="str">
        <f aca="false">IF($C394="","","ALL|"&amp;COUNTIF($C$4:$C394,"?*"))</f>
        <v/>
      </c>
    </row>
    <row r="395" customFormat="false" ht="15" hidden="false" customHeight="false" outlineLevel="0" collapsed="false">
      <c r="A395" s="6"/>
      <c r="B395" s="6"/>
      <c r="C395" s="3"/>
      <c r="D395" s="6"/>
      <c r="E395" s="6"/>
      <c r="F395" s="7"/>
      <c r="G395" s="6"/>
      <c r="H395" s="8" t="str">
        <f aca="false">IF(OR($F395="",$G395=""),"",$F395+7*$G395-3)</f>
        <v/>
      </c>
      <c r="I395" s="3"/>
      <c r="J395" s="9" t="str">
        <f aca="false">IF(OR($C395="",$D395=""),"",$D395&amp;"|"&amp;COUNTIFS($D$4:$D395,$D395,$C$4:$C395,"?*"))</f>
        <v/>
      </c>
      <c r="K395" s="9" t="str">
        <f aca="false">IF(OR($C395="",$B395=""),"",$B395&amp;"|"&amp;COUNTIFS($B$4:$B395,$B395,$C$4:$C395,"?*"))</f>
        <v/>
      </c>
      <c r="L395" s="9" t="str">
        <f aca="false">IF($C395="","","ALL|"&amp;COUNTIF($C$4:$C395,"?*"))</f>
        <v/>
      </c>
    </row>
    <row r="396" customFormat="false" ht="15" hidden="false" customHeight="false" outlineLevel="0" collapsed="false">
      <c r="A396" s="6"/>
      <c r="B396" s="6"/>
      <c r="C396" s="3"/>
      <c r="D396" s="6"/>
      <c r="E396" s="6"/>
      <c r="F396" s="7"/>
      <c r="G396" s="6"/>
      <c r="H396" s="8" t="str">
        <f aca="false">IF(OR($F396="",$G396=""),"",$F396+7*$G396-3)</f>
        <v/>
      </c>
      <c r="I396" s="3"/>
      <c r="J396" s="9" t="str">
        <f aca="false">IF(OR($C396="",$D396=""),"",$D396&amp;"|"&amp;COUNTIFS($D$4:$D396,$D396,$C$4:$C396,"?*"))</f>
        <v/>
      </c>
      <c r="K396" s="9" t="str">
        <f aca="false">IF(OR($C396="",$B396=""),"",$B396&amp;"|"&amp;COUNTIFS($B$4:$B396,$B396,$C$4:$C396,"?*"))</f>
        <v/>
      </c>
      <c r="L396" s="9" t="str">
        <f aca="false">IF($C396="","","ALL|"&amp;COUNTIF($C$4:$C396,"?*"))</f>
        <v/>
      </c>
    </row>
    <row r="397" customFormat="false" ht="15" hidden="false" customHeight="false" outlineLevel="0" collapsed="false">
      <c r="A397" s="6"/>
      <c r="B397" s="6"/>
      <c r="C397" s="3"/>
      <c r="D397" s="6"/>
      <c r="E397" s="6"/>
      <c r="F397" s="7"/>
      <c r="G397" s="6"/>
      <c r="H397" s="8" t="str">
        <f aca="false">IF(OR($F397="",$G397=""),"",$F397+7*$G397-3)</f>
        <v/>
      </c>
      <c r="I397" s="3"/>
      <c r="J397" s="9" t="str">
        <f aca="false">IF(OR($C397="",$D397=""),"",$D397&amp;"|"&amp;COUNTIFS($D$4:$D397,$D397,$C$4:$C397,"?*"))</f>
        <v/>
      </c>
      <c r="K397" s="9" t="str">
        <f aca="false">IF(OR($C397="",$B397=""),"",$B397&amp;"|"&amp;COUNTIFS($B$4:$B397,$B397,$C$4:$C397,"?*"))</f>
        <v/>
      </c>
      <c r="L397" s="9" t="str">
        <f aca="false">IF($C397="","","ALL|"&amp;COUNTIF($C$4:$C397,"?*"))</f>
        <v/>
      </c>
    </row>
    <row r="398" customFormat="false" ht="15" hidden="false" customHeight="false" outlineLevel="0" collapsed="false">
      <c r="A398" s="6"/>
      <c r="B398" s="6"/>
      <c r="C398" s="3"/>
      <c r="D398" s="6"/>
      <c r="E398" s="6"/>
      <c r="F398" s="7"/>
      <c r="G398" s="6"/>
      <c r="H398" s="8" t="str">
        <f aca="false">IF(OR($F398="",$G398=""),"",$F398+7*$G398-3)</f>
        <v/>
      </c>
      <c r="I398" s="3"/>
      <c r="J398" s="9" t="str">
        <f aca="false">IF(OR($C398="",$D398=""),"",$D398&amp;"|"&amp;COUNTIFS($D$4:$D398,$D398,$C$4:$C398,"?*"))</f>
        <v/>
      </c>
      <c r="K398" s="9" t="str">
        <f aca="false">IF(OR($C398="",$B398=""),"",$B398&amp;"|"&amp;COUNTIFS($B$4:$B398,$B398,$C$4:$C398,"?*"))</f>
        <v/>
      </c>
      <c r="L398" s="9" t="str">
        <f aca="false">IF($C398="","","ALL|"&amp;COUNTIF($C$4:$C398,"?*"))</f>
        <v/>
      </c>
    </row>
    <row r="399" customFormat="false" ht="15" hidden="false" customHeight="false" outlineLevel="0" collapsed="false">
      <c r="A399" s="6"/>
      <c r="B399" s="6"/>
      <c r="C399" s="3"/>
      <c r="D399" s="6"/>
      <c r="E399" s="6"/>
      <c r="F399" s="7"/>
      <c r="G399" s="6"/>
      <c r="H399" s="8" t="str">
        <f aca="false">IF(OR($F399="",$G399=""),"",$F399+7*$G399-3)</f>
        <v/>
      </c>
      <c r="I399" s="3"/>
      <c r="J399" s="9" t="str">
        <f aca="false">IF(OR($C399="",$D399=""),"",$D399&amp;"|"&amp;COUNTIFS($D$4:$D399,$D399,$C$4:$C399,"?*"))</f>
        <v/>
      </c>
      <c r="K399" s="9" t="str">
        <f aca="false">IF(OR($C399="",$B399=""),"",$B399&amp;"|"&amp;COUNTIFS($B$4:$B399,$B399,$C$4:$C399,"?*"))</f>
        <v/>
      </c>
      <c r="L399" s="9" t="str">
        <f aca="false">IF($C399="","","ALL|"&amp;COUNTIF($C$4:$C399,"?*"))</f>
        <v/>
      </c>
    </row>
    <row r="400" customFormat="false" ht="15" hidden="false" customHeight="false" outlineLevel="0" collapsed="false">
      <c r="A400" s="6"/>
      <c r="B400" s="6"/>
      <c r="C400" s="3"/>
      <c r="D400" s="6"/>
      <c r="E400" s="6"/>
      <c r="F400" s="7"/>
      <c r="G400" s="6"/>
      <c r="H400" s="8" t="str">
        <f aca="false">IF(OR($F400="",$G400=""),"",$F400+7*$G400-3)</f>
        <v/>
      </c>
      <c r="I400" s="3"/>
      <c r="J400" s="9" t="str">
        <f aca="false">IF(OR($C400="",$D400=""),"",$D400&amp;"|"&amp;COUNTIFS($D$4:$D400,$D400,$C$4:$C400,"?*"))</f>
        <v/>
      </c>
      <c r="K400" s="9" t="str">
        <f aca="false">IF(OR($C400="",$B400=""),"",$B400&amp;"|"&amp;COUNTIFS($B$4:$B400,$B400,$C$4:$C400,"?*"))</f>
        <v/>
      </c>
      <c r="L400" s="9" t="str">
        <f aca="false">IF($C400="","","ALL|"&amp;COUNTIF($C$4:$C400,"?*"))</f>
        <v/>
      </c>
    </row>
    <row r="401" customFormat="false" ht="15" hidden="false" customHeight="false" outlineLevel="0" collapsed="false">
      <c r="A401" s="6"/>
      <c r="B401" s="6"/>
      <c r="C401" s="3"/>
      <c r="D401" s="6"/>
      <c r="E401" s="6"/>
      <c r="F401" s="7"/>
      <c r="G401" s="6"/>
      <c r="H401" s="8" t="str">
        <f aca="false">IF(OR($F401="",$G401=""),"",$F401+7*$G401-3)</f>
        <v/>
      </c>
      <c r="I401" s="3"/>
      <c r="J401" s="9" t="str">
        <f aca="false">IF(OR($C401="",$D401=""),"",$D401&amp;"|"&amp;COUNTIFS($D$4:$D401,$D401,$C$4:$C401,"?*"))</f>
        <v/>
      </c>
      <c r="K401" s="9" t="str">
        <f aca="false">IF(OR($C401="",$B401=""),"",$B401&amp;"|"&amp;COUNTIFS($B$4:$B401,$B401,$C$4:$C401,"?*"))</f>
        <v/>
      </c>
      <c r="L401" s="9" t="str">
        <f aca="false">IF($C401="","","ALL|"&amp;COUNTIF($C$4:$C401,"?*"))</f>
        <v/>
      </c>
    </row>
    <row r="402" customFormat="false" ht="15" hidden="false" customHeight="false" outlineLevel="0" collapsed="false">
      <c r="A402" s="6"/>
      <c r="B402" s="6"/>
      <c r="C402" s="3"/>
      <c r="D402" s="6"/>
      <c r="E402" s="6"/>
      <c r="F402" s="7"/>
      <c r="G402" s="6"/>
      <c r="H402" s="8" t="str">
        <f aca="false">IF(OR($F402="",$G402=""),"",$F402+7*$G402-3)</f>
        <v/>
      </c>
      <c r="I402" s="3"/>
      <c r="J402" s="9" t="str">
        <f aca="false">IF(OR($C402="",$D402=""),"",$D402&amp;"|"&amp;COUNTIFS($D$4:$D402,$D402,$C$4:$C402,"?*"))</f>
        <v/>
      </c>
      <c r="K402" s="9" t="str">
        <f aca="false">IF(OR($C402="",$B402=""),"",$B402&amp;"|"&amp;COUNTIFS($B$4:$B402,$B402,$C$4:$C402,"?*"))</f>
        <v/>
      </c>
      <c r="L402" s="9" t="str">
        <f aca="false">IF($C402="","","ALL|"&amp;COUNTIF($C$4:$C402,"?*"))</f>
        <v/>
      </c>
    </row>
    <row r="403" customFormat="false" ht="15" hidden="false" customHeight="false" outlineLevel="0" collapsed="false">
      <c r="A403" s="6"/>
      <c r="B403" s="6"/>
      <c r="C403" s="3"/>
      <c r="D403" s="6"/>
      <c r="E403" s="6"/>
      <c r="F403" s="7"/>
      <c r="G403" s="6"/>
      <c r="H403" s="8" t="str">
        <f aca="false">IF(OR($F403="",$G403=""),"",$F403+7*$G403-3)</f>
        <v/>
      </c>
      <c r="I403" s="3"/>
      <c r="J403" s="9" t="str">
        <f aca="false">IF(OR($C403="",$D403=""),"",$D403&amp;"|"&amp;COUNTIFS($D$4:$D403,$D403,$C$4:$C403,"?*"))</f>
        <v/>
      </c>
      <c r="K403" s="9" t="str">
        <f aca="false">IF(OR($C403="",$B403=""),"",$B403&amp;"|"&amp;COUNTIFS($B$4:$B403,$B403,$C$4:$C403,"?*"))</f>
        <v/>
      </c>
      <c r="L403" s="9" t="str">
        <f aca="false">IF($C403="","","ALL|"&amp;COUNTIF($C$4:$C403,"?*"))</f>
        <v/>
      </c>
    </row>
  </sheetData>
  <autoFilter ref="A3:I403"/>
  <conditionalFormatting sqref="E4:E403">
    <cfRule type="expression" priority="2" aboveAverage="0" equalAverage="0" bottom="0" percent="0" rank="0" text="" dxfId="10">
      <formula>E4="Not Started"</formula>
    </cfRule>
    <cfRule type="expression" priority="3" aboveAverage="0" equalAverage="0" bottom="0" percent="0" rank="0" text="" dxfId="11">
      <formula>E4="In Progress"</formula>
    </cfRule>
    <cfRule type="expression" priority="4" aboveAverage="0" equalAverage="0" bottom="0" percent="0" rank="0" text="" dxfId="12">
      <formula>E4="Blocked"</formula>
    </cfRule>
    <cfRule type="expression" priority="5" aboveAverage="0" equalAverage="0" bottom="0" percent="0" rank="0" text="" dxfId="13">
      <formula>E4="Complete"</formula>
    </cfRule>
    <cfRule type="expression" priority="6" aboveAverage="0" equalAverage="0" bottom="0" percent="0" rank="0" text="" dxfId="14">
      <formula>E4="Partially Completed"</formula>
    </cfRule>
  </conditionalFormatting>
  <conditionalFormatting sqref="H4:H403">
    <cfRule type="expression" priority="7" aboveAverage="0" equalAverage="0" bottom="0" percent="0" rank="0" text="" dxfId="15">
      <formula>AND(ISNUMBER($H4),$H4&lt;TODAY(),$E4&lt;&gt;"Complete")</formula>
    </cfRule>
  </conditionalFormatting>
  <conditionalFormatting sqref="A4:D403 F4:I403">
    <cfRule type="expression" priority="8" aboveAverage="0" equalAverage="0" bottom="0" percent="0" rank="0" text="" dxfId="16">
      <formula>AND($A4&lt;&gt;"",ISERROR(FIND(".",$A4)))</formula>
    </cfRule>
  </conditionalFormatting>
  <dataValidations count="4">
    <dataValidation allowBlank="true" errorStyle="stop" operator="between" showDropDown="false" showErrorMessage="false" showInputMessage="false" sqref="B4:B403" type="list">
      <formula1>"G1 ED305 live digital twin,G2 SCooP dataset &amp; paper,Shared SCooP testbed,Dual-Link Communication,Semantic Communication"</formula1>
      <formula2>0</formula2>
    </dataValidation>
    <dataValidation allowBlank="true" errorStyle="stop" operator="between" showDropDown="false" showErrorMessage="false" showInputMessage="false" sqref="E4:E403" type="list">
      <formula1>"Not Started,In Progress,Blocked,Complete,Partially Completed"</formula1>
      <formula2>0</formula2>
    </dataValidation>
    <dataValidation allowBlank="true" errorStyle="stop" operator="between" showDropDown="false" showErrorMessage="false" showInputMessage="false" sqref="D4:D403" type="list">
      <formula1>People!$A$4:$A$33</formula1>
      <formula2>0</formula2>
    </dataValidation>
    <dataValidation allowBlank="true" errorStyle="stop" operator="between" showDropDown="false" showErrorMessage="false" showInputMessage="false" sqref="G4:G403" type="whole">
      <formula1>1</formula1>
      <formula2>104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302</v>
      </c>
    </row>
    <row r="2" customFormat="false" ht="15" hidden="false" customHeight="false" outlineLevel="0" collapsed="false">
      <c r="A2" s="4" t="s">
        <v>303</v>
      </c>
    </row>
    <row r="4" customFormat="false" ht="30" hidden="false" customHeight="true" outlineLevel="0" collapsed="false">
      <c r="A4" s="5" t="s">
        <v>30</v>
      </c>
      <c r="B4" s="5" t="s">
        <v>45</v>
      </c>
      <c r="C4" s="5" t="s">
        <v>48</v>
      </c>
      <c r="D4" s="5" t="s">
        <v>139</v>
      </c>
      <c r="E4" s="5" t="s">
        <v>304</v>
      </c>
      <c r="F4" s="5" t="s">
        <v>71</v>
      </c>
      <c r="G4" s="5" t="s">
        <v>305</v>
      </c>
      <c r="H4" s="5" t="s">
        <v>306</v>
      </c>
      <c r="I4" s="5" t="s">
        <v>307</v>
      </c>
    </row>
    <row r="5" customFormat="false" ht="15" hidden="false" customHeight="false" outlineLevel="0" collapsed="false">
      <c r="A5" s="10" t="s">
        <v>133</v>
      </c>
      <c r="B5" s="10" t="n">
        <f aca="false">COUNTIFS(Tasks!$B$4:$B$403,$A5,Tasks!$C$4:$C$403,"?*",Tasks!$E$4:$E$403,"Not Started")</f>
        <v>41</v>
      </c>
      <c r="C5" s="10" t="n">
        <f aca="false">COUNTIFS(Tasks!$B$4:$B$403,$A5,Tasks!$C$4:$C$403,"?*",Tasks!$E$4:$E$403,"In Progress")</f>
        <v>1</v>
      </c>
      <c r="D5" s="10" t="n">
        <f aca="false">COUNTIFS(Tasks!$B$4:$B$403,$A5,Tasks!$C$4:$C$403,"?*",Tasks!$E$4:$E$403,"Blocked")</f>
        <v>1</v>
      </c>
      <c r="E5" s="10" t="n">
        <f aca="false">COUNTIFS(Tasks!$B$4:$B$403,$A5,Tasks!$C$4:$C$403,"?*",Tasks!$E$4:$E$403,"Complete")</f>
        <v>0</v>
      </c>
      <c r="F5" s="10" t="n">
        <f aca="false">COUNTIFS(Tasks!$B$4:$B$403,$A5,Tasks!$C$4:$C$403,"?*",Tasks!$E$4:$E$403,"Partially Completed")</f>
        <v>0</v>
      </c>
      <c r="G5" s="10" t="n">
        <f aca="false">COUNTIFS(Tasks!$B$4:$B$403,$A5,Tasks!$C$4:$C$403,"?*",Tasks!$E$4:$E$403,"")</f>
        <v>0</v>
      </c>
      <c r="H5" s="2" t="n">
        <f aca="false">SUM(B5:G5)</f>
        <v>43</v>
      </c>
      <c r="I5" s="11" t="n">
        <f aca="true">COUNTIFS(Tasks!$B$4:$B$403,$A5,Tasks!$C$4:$C$403,"?*",Tasks!$H$4:$H$403,"&lt;"&amp;TODAY(),Tasks!$E$4:$E$403,"&lt;&gt;Complete")</f>
        <v>6</v>
      </c>
    </row>
    <row r="6" customFormat="false" ht="15" hidden="false" customHeight="false" outlineLevel="0" collapsed="false">
      <c r="A6" s="10" t="s">
        <v>68</v>
      </c>
      <c r="B6" s="10" t="n">
        <f aca="false">COUNTIFS(Tasks!$B$4:$B$403,$A6,Tasks!$C$4:$C$403,"?*",Tasks!$E$4:$E$403,"Not Started")</f>
        <v>21</v>
      </c>
      <c r="C6" s="10" t="n">
        <f aca="false">COUNTIFS(Tasks!$B$4:$B$403,$A6,Tasks!$C$4:$C$403,"?*",Tasks!$E$4:$E$403,"In Progress")</f>
        <v>4</v>
      </c>
      <c r="D6" s="10" t="n">
        <f aca="false">COUNTIFS(Tasks!$B$4:$B$403,$A6,Tasks!$C$4:$C$403,"?*",Tasks!$E$4:$E$403,"Blocked")</f>
        <v>0</v>
      </c>
      <c r="E6" s="10" t="n">
        <f aca="false">COUNTIFS(Tasks!$B$4:$B$403,$A6,Tasks!$C$4:$C$403,"?*",Tasks!$E$4:$E$403,"Complete")</f>
        <v>0</v>
      </c>
      <c r="F6" s="10" t="n">
        <f aca="false">COUNTIFS(Tasks!$B$4:$B$403,$A6,Tasks!$C$4:$C$403,"?*",Tasks!$E$4:$E$403,"Partially Completed")</f>
        <v>2</v>
      </c>
      <c r="G6" s="10" t="n">
        <f aca="false">COUNTIFS(Tasks!$B$4:$B$403,$A6,Tasks!$C$4:$C$403,"?*",Tasks!$E$4:$E$403,"")</f>
        <v>2</v>
      </c>
      <c r="H6" s="2" t="n">
        <f aca="false">SUM(B6:G6)</f>
        <v>29</v>
      </c>
      <c r="I6" s="11" t="n">
        <f aca="true">COUNTIFS(Tasks!$B$4:$B$403,$A6,Tasks!$C$4:$C$403,"?*",Tasks!$H$4:$H$403,"&lt;"&amp;TODAY(),Tasks!$E$4:$E$403,"&lt;&gt;Complete")</f>
        <v>5</v>
      </c>
    </row>
    <row r="7" customFormat="false" ht="15" hidden="false" customHeight="false" outlineLevel="0" collapsed="false">
      <c r="A7" s="10" t="s">
        <v>42</v>
      </c>
      <c r="B7" s="10" t="n">
        <f aca="false">COUNTIFS(Tasks!$B$4:$B$403,$A7,Tasks!$C$4:$C$403,"?*",Tasks!$E$4:$E$403,"Not Started")</f>
        <v>2</v>
      </c>
      <c r="C7" s="10" t="n">
        <f aca="false">COUNTIFS(Tasks!$B$4:$B$403,$A7,Tasks!$C$4:$C$403,"?*",Tasks!$E$4:$E$403,"In Progress")</f>
        <v>4</v>
      </c>
      <c r="D7" s="10" t="n">
        <f aca="false">COUNTIFS(Tasks!$B$4:$B$403,$A7,Tasks!$C$4:$C$403,"?*",Tasks!$E$4:$E$403,"Blocked")</f>
        <v>0</v>
      </c>
      <c r="E7" s="10" t="n">
        <f aca="false">COUNTIFS(Tasks!$B$4:$B$403,$A7,Tasks!$C$4:$C$403,"?*",Tasks!$E$4:$E$403,"Complete")</f>
        <v>0</v>
      </c>
      <c r="F7" s="10" t="n">
        <f aca="false">COUNTIFS(Tasks!$B$4:$B$403,$A7,Tasks!$C$4:$C$403,"?*",Tasks!$E$4:$E$403,"Partially Completed")</f>
        <v>0</v>
      </c>
      <c r="G7" s="10" t="n">
        <f aca="false">COUNTIFS(Tasks!$B$4:$B$403,$A7,Tasks!$C$4:$C$403,"?*",Tasks!$E$4:$E$403,"")</f>
        <v>5</v>
      </c>
      <c r="H7" s="2" t="n">
        <f aca="false">SUM(B7:G7)</f>
        <v>11</v>
      </c>
      <c r="I7" s="11" t="n">
        <f aca="true">COUNTIFS(Tasks!$B$4:$B$403,$A7,Tasks!$C$4:$C$403,"?*",Tasks!$H$4:$H$403,"&lt;"&amp;TODAY(),Tasks!$E$4:$E$403,"&lt;&gt;Complete")</f>
        <v>3</v>
      </c>
    </row>
    <row r="8" customFormat="false" ht="15" hidden="false" customHeight="false" outlineLevel="0" collapsed="false">
      <c r="A8" s="10" t="s">
        <v>227</v>
      </c>
      <c r="B8" s="10" t="n">
        <f aca="false">COUNTIFS(Tasks!$B$4:$B$403,$A8,Tasks!$C$4:$C$403,"?*",Tasks!$E$4:$E$403,"Not Started")</f>
        <v>13</v>
      </c>
      <c r="C8" s="10" t="n">
        <f aca="false">COUNTIFS(Tasks!$B$4:$B$403,$A8,Tasks!$C$4:$C$403,"?*",Tasks!$E$4:$E$403,"In Progress")</f>
        <v>2</v>
      </c>
      <c r="D8" s="10" t="n">
        <f aca="false">COUNTIFS(Tasks!$B$4:$B$403,$A8,Tasks!$C$4:$C$403,"?*",Tasks!$E$4:$E$403,"Blocked")</f>
        <v>0</v>
      </c>
      <c r="E8" s="10" t="n">
        <f aca="false">COUNTIFS(Tasks!$B$4:$B$403,$A8,Tasks!$C$4:$C$403,"?*",Tasks!$E$4:$E$403,"Complete")</f>
        <v>0</v>
      </c>
      <c r="F8" s="10" t="n">
        <f aca="false">COUNTIFS(Tasks!$B$4:$B$403,$A8,Tasks!$C$4:$C$403,"?*",Tasks!$E$4:$E$403,"Partially Completed")</f>
        <v>7</v>
      </c>
      <c r="G8" s="10" t="n">
        <f aca="false">COUNTIFS(Tasks!$B$4:$B$403,$A8,Tasks!$C$4:$C$403,"?*",Tasks!$E$4:$E$403,"")</f>
        <v>0</v>
      </c>
      <c r="H8" s="2" t="n">
        <f aca="false">SUM(B8:G8)</f>
        <v>22</v>
      </c>
      <c r="I8" s="11" t="n">
        <f aca="true">COUNTIFS(Tasks!$B$4:$B$403,$A8,Tasks!$C$4:$C$403,"?*",Tasks!$H$4:$H$403,"&lt;"&amp;TODAY(),Tasks!$E$4:$E$403,"&lt;&gt;Complete")</f>
        <v>22</v>
      </c>
    </row>
    <row r="9" customFormat="false" ht="15" hidden="false" customHeight="false" outlineLevel="0" collapsed="false">
      <c r="A9" s="10" t="s">
        <v>273</v>
      </c>
      <c r="B9" s="10" t="n">
        <f aca="false">COUNTIFS(Tasks!$B$4:$B$403,$A9,Tasks!$C$4:$C$403,"?*",Tasks!$E$4:$E$403,"Not Started")</f>
        <v>14</v>
      </c>
      <c r="C9" s="10" t="n">
        <f aca="false">COUNTIFS(Tasks!$B$4:$B$403,$A9,Tasks!$C$4:$C$403,"?*",Tasks!$E$4:$E$403,"In Progress")</f>
        <v>0</v>
      </c>
      <c r="D9" s="10" t="n">
        <f aca="false">COUNTIFS(Tasks!$B$4:$B$403,$A9,Tasks!$C$4:$C$403,"?*",Tasks!$E$4:$E$403,"Blocked")</f>
        <v>0</v>
      </c>
      <c r="E9" s="10" t="n">
        <f aca="false">COUNTIFS(Tasks!$B$4:$B$403,$A9,Tasks!$C$4:$C$403,"?*",Tasks!$E$4:$E$403,"Complete")</f>
        <v>0</v>
      </c>
      <c r="F9" s="10" t="n">
        <f aca="false">COUNTIFS(Tasks!$B$4:$B$403,$A9,Tasks!$C$4:$C$403,"?*",Tasks!$E$4:$E$403,"Partially Completed")</f>
        <v>0</v>
      </c>
      <c r="G9" s="10" t="n">
        <f aca="false">COUNTIFS(Tasks!$B$4:$B$403,$A9,Tasks!$C$4:$C$403,"?*",Tasks!$E$4:$E$403,"")</f>
        <v>0</v>
      </c>
      <c r="H9" s="2" t="n">
        <f aca="false">SUM(B9:G9)</f>
        <v>14</v>
      </c>
      <c r="I9" s="11" t="n">
        <f aca="true">COUNTIFS(Tasks!$B$4:$B$403,$A9,Tasks!$C$4:$C$403,"?*",Tasks!$H$4:$H$403,"&lt;"&amp;TODAY(),Tasks!$E$4:$E$403,"&lt;&gt;Complete")</f>
        <v>6</v>
      </c>
    </row>
    <row r="10" customFormat="false" ht="15" hidden="false" customHeight="false" outlineLevel="0" collapsed="false">
      <c r="A10" s="2" t="s">
        <v>306</v>
      </c>
      <c r="B10" s="2" t="n">
        <f aca="false">SUM(B5:B9)</f>
        <v>91</v>
      </c>
      <c r="C10" s="2" t="n">
        <f aca="false">SUM(C5:C9)</f>
        <v>11</v>
      </c>
      <c r="D10" s="2" t="n">
        <f aca="false">SUM(D5:D9)</f>
        <v>1</v>
      </c>
      <c r="E10" s="2" t="n">
        <f aca="false">SUM(E5:E9)</f>
        <v>0</v>
      </c>
      <c r="F10" s="2" t="n">
        <f aca="false">SUM(F5:F9)</f>
        <v>9</v>
      </c>
      <c r="G10" s="2" t="n">
        <f aca="false">SUM(G5:G9)</f>
        <v>7</v>
      </c>
      <c r="H10" s="2" t="n">
        <f aca="false">SUM(H5:H9)</f>
        <v>119</v>
      </c>
      <c r="I10" s="2" t="n">
        <f aca="false">SUM(I5:I9)</f>
        <v>42</v>
      </c>
    </row>
    <row r="13" customFormat="false" ht="30" hidden="false" customHeight="true" outlineLevel="0" collapsed="false">
      <c r="A13" s="5" t="s">
        <v>308</v>
      </c>
      <c r="B13" s="5" t="s">
        <v>45</v>
      </c>
      <c r="C13" s="5" t="s">
        <v>48</v>
      </c>
      <c r="D13" s="5" t="s">
        <v>139</v>
      </c>
      <c r="E13" s="5" t="s">
        <v>304</v>
      </c>
      <c r="F13" s="5" t="s">
        <v>71</v>
      </c>
      <c r="G13" s="5" t="s">
        <v>305</v>
      </c>
      <c r="H13" s="5" t="s">
        <v>306</v>
      </c>
      <c r="I13" s="5" t="s">
        <v>307</v>
      </c>
    </row>
    <row r="14" customFormat="false" ht="15" hidden="false" customHeight="false" outlineLevel="0" collapsed="false">
      <c r="A14" s="10" t="str">
        <f aca="false">People!$A$4</f>
        <v>GS-SLAM owner</v>
      </c>
      <c r="B14" s="10" t="n">
        <f aca="false">COUNTIFS(Tasks!$D$4:$D$403,$A14,Tasks!$C$4:$C$403,"?*",Tasks!$E$4:$E$403,"Not Started")</f>
        <v>8</v>
      </c>
      <c r="C14" s="10" t="n">
        <f aca="false">COUNTIFS(Tasks!$D$4:$D$403,$A14,Tasks!$C$4:$C$403,"?*",Tasks!$E$4:$E$403,"In Progress")</f>
        <v>0</v>
      </c>
      <c r="D14" s="10" t="n">
        <f aca="false">COUNTIFS(Tasks!$D$4:$D$403,$A14,Tasks!$C$4:$C$403,"?*",Tasks!$E$4:$E$403,"Blocked")</f>
        <v>0</v>
      </c>
      <c r="E14" s="10" t="n">
        <f aca="false">COUNTIFS(Tasks!$D$4:$D$403,$A14,Tasks!$C$4:$C$403,"?*",Tasks!$E$4:$E$403,"Complete")</f>
        <v>0</v>
      </c>
      <c r="F14" s="10" t="n">
        <f aca="false">COUNTIFS(Tasks!$D$4:$D$403,$A14,Tasks!$C$4:$C$403,"?*",Tasks!$E$4:$E$403,"Partially Completed")</f>
        <v>0</v>
      </c>
      <c r="G14" s="10" t="n">
        <f aca="false">COUNTIFS(Tasks!$D$4:$D$403,$A14,Tasks!$C$4:$C$403,"?*",Tasks!$E$4:$E$403,"")</f>
        <v>0</v>
      </c>
      <c r="H14" s="2" t="n">
        <f aca="false">SUM(B14:G14)</f>
        <v>8</v>
      </c>
      <c r="I14" s="11" t="n">
        <f aca="true">COUNTIFS(Tasks!$D$4:$D$403,$A14,Tasks!$C$4:$C$403,"?*",Tasks!$H$4:$H$403,"&lt;"&amp;TODAY(),Tasks!$E$4:$E$403,"&lt;&gt;Complete")</f>
        <v>2</v>
      </c>
    </row>
    <row r="15" customFormat="false" ht="15" hidden="false" customHeight="false" outlineLevel="0" collapsed="false">
      <c r="A15" s="10" t="str">
        <f aca="false">People!$A$5</f>
        <v>Isaac Sim owner</v>
      </c>
      <c r="B15" s="10" t="n">
        <f aca="false">COUNTIFS(Tasks!$D$4:$D$403,$A15,Tasks!$C$4:$C$403,"?*",Tasks!$E$4:$E$403,"Not Started")</f>
        <v>8</v>
      </c>
      <c r="C15" s="10" t="n">
        <f aca="false">COUNTIFS(Tasks!$D$4:$D$403,$A15,Tasks!$C$4:$C$403,"?*",Tasks!$E$4:$E$403,"In Progress")</f>
        <v>0</v>
      </c>
      <c r="D15" s="10" t="n">
        <f aca="false">COUNTIFS(Tasks!$D$4:$D$403,$A15,Tasks!$C$4:$C$403,"?*",Tasks!$E$4:$E$403,"Blocked")</f>
        <v>0</v>
      </c>
      <c r="E15" s="10" t="n">
        <f aca="false">COUNTIFS(Tasks!$D$4:$D$403,$A15,Tasks!$C$4:$C$403,"?*",Tasks!$E$4:$E$403,"Complete")</f>
        <v>0</v>
      </c>
      <c r="F15" s="10" t="n">
        <f aca="false">COUNTIFS(Tasks!$D$4:$D$403,$A15,Tasks!$C$4:$C$403,"?*",Tasks!$E$4:$E$403,"Partially Completed")</f>
        <v>0</v>
      </c>
      <c r="G15" s="10" t="n">
        <f aca="false">COUNTIFS(Tasks!$D$4:$D$403,$A15,Tasks!$C$4:$C$403,"?*",Tasks!$E$4:$E$403,"")</f>
        <v>0</v>
      </c>
      <c r="H15" s="2" t="n">
        <f aca="false">SUM(B15:G15)</f>
        <v>8</v>
      </c>
      <c r="I15" s="11" t="n">
        <f aca="true">COUNTIFS(Tasks!$D$4:$D$403,$A15,Tasks!$C$4:$C$403,"?*",Tasks!$H$4:$H$403,"&lt;"&amp;TODAY(),Tasks!$E$4:$E$403,"&lt;&gt;Complete")</f>
        <v>0</v>
      </c>
    </row>
    <row r="16" customFormat="false" ht="15" hidden="false" customHeight="false" outlineLevel="0" collapsed="false">
      <c r="A16" s="10" t="str">
        <f aca="false">People!$A$6</f>
        <v>Sensors &amp; platform owner</v>
      </c>
      <c r="B16" s="10" t="n">
        <f aca="false">COUNTIFS(Tasks!$D$4:$D$403,$A16,Tasks!$C$4:$C$403,"?*",Tasks!$E$4:$E$403,"Not Started")</f>
        <v>6</v>
      </c>
      <c r="C16" s="10" t="n">
        <f aca="false">COUNTIFS(Tasks!$D$4:$D$403,$A16,Tasks!$C$4:$C$403,"?*",Tasks!$E$4:$E$403,"In Progress")</f>
        <v>5</v>
      </c>
      <c r="D16" s="10" t="n">
        <f aca="false">COUNTIFS(Tasks!$D$4:$D$403,$A16,Tasks!$C$4:$C$403,"?*",Tasks!$E$4:$E$403,"Blocked")</f>
        <v>1</v>
      </c>
      <c r="E16" s="10" t="n">
        <f aca="false">COUNTIFS(Tasks!$D$4:$D$403,$A16,Tasks!$C$4:$C$403,"?*",Tasks!$E$4:$E$403,"Complete")</f>
        <v>0</v>
      </c>
      <c r="F16" s="10" t="n">
        <f aca="false">COUNTIFS(Tasks!$D$4:$D$403,$A16,Tasks!$C$4:$C$403,"?*",Tasks!$E$4:$E$403,"Partially Completed")</f>
        <v>0</v>
      </c>
      <c r="G16" s="10" t="n">
        <f aca="false">COUNTIFS(Tasks!$D$4:$D$403,$A16,Tasks!$C$4:$C$403,"?*",Tasks!$E$4:$E$403,"")</f>
        <v>5</v>
      </c>
      <c r="H16" s="2" t="n">
        <f aca="false">SUM(B16:G16)</f>
        <v>17</v>
      </c>
      <c r="I16" s="11" t="n">
        <f aca="true">COUNTIFS(Tasks!$D$4:$D$403,$A16,Tasks!$C$4:$C$403,"?*",Tasks!$H$4:$H$403,"&lt;"&amp;TODAY(),Tasks!$E$4:$E$403,"&lt;&gt;Complete")</f>
        <v>3</v>
      </c>
    </row>
    <row r="17" customFormat="false" ht="15" hidden="false" customHeight="false" outlineLevel="0" collapsed="false">
      <c r="A17" s="10" t="str">
        <f aca="false">People!$A$7</f>
        <v>Scene detection owner</v>
      </c>
      <c r="B17" s="10" t="n">
        <f aca="false">COUNTIFS(Tasks!$D$4:$D$403,$A17,Tasks!$C$4:$C$403,"?*",Tasks!$E$4:$E$403,"Not Started")</f>
        <v>11</v>
      </c>
      <c r="C17" s="10" t="n">
        <f aca="false">COUNTIFS(Tasks!$D$4:$D$403,$A17,Tasks!$C$4:$C$403,"?*",Tasks!$E$4:$E$403,"In Progress")</f>
        <v>0</v>
      </c>
      <c r="D17" s="10" t="n">
        <f aca="false">COUNTIFS(Tasks!$D$4:$D$403,$A17,Tasks!$C$4:$C$403,"?*",Tasks!$E$4:$E$403,"Blocked")</f>
        <v>0</v>
      </c>
      <c r="E17" s="10" t="n">
        <f aca="false">COUNTIFS(Tasks!$D$4:$D$403,$A17,Tasks!$C$4:$C$403,"?*",Tasks!$E$4:$E$403,"Complete")</f>
        <v>0</v>
      </c>
      <c r="F17" s="10" t="n">
        <f aca="false">COUNTIFS(Tasks!$D$4:$D$403,$A17,Tasks!$C$4:$C$403,"?*",Tasks!$E$4:$E$403,"Partially Completed")</f>
        <v>0</v>
      </c>
      <c r="G17" s="10" t="n">
        <f aca="false">COUNTIFS(Tasks!$D$4:$D$403,$A17,Tasks!$C$4:$C$403,"?*",Tasks!$E$4:$E$403,"")</f>
        <v>0</v>
      </c>
      <c r="H17" s="2" t="n">
        <f aca="false">SUM(B17:G17)</f>
        <v>11</v>
      </c>
      <c r="I17" s="11" t="n">
        <f aca="true">COUNTIFS(Tasks!$D$4:$D$403,$A17,Tasks!$C$4:$C$403,"?*",Tasks!$H$4:$H$403,"&lt;"&amp;TODAY(),Tasks!$E$4:$E$403,"&lt;&gt;Complete")</f>
        <v>4</v>
      </c>
    </row>
    <row r="18" customFormat="false" ht="15" hidden="false" customHeight="false" outlineLevel="0" collapsed="false">
      <c r="A18" s="10" t="str">
        <f aca="false">People!$A$8</f>
        <v>Sionna RT owner</v>
      </c>
      <c r="B18" s="10" t="n">
        <f aca="false">COUNTIFS(Tasks!$D$4:$D$403,$A18,Tasks!$C$4:$C$403,"?*",Tasks!$E$4:$E$403,"Not Started")</f>
        <v>4</v>
      </c>
      <c r="C18" s="10" t="n">
        <f aca="false">COUNTIFS(Tasks!$D$4:$D$403,$A18,Tasks!$C$4:$C$403,"?*",Tasks!$E$4:$E$403,"In Progress")</f>
        <v>0</v>
      </c>
      <c r="D18" s="10" t="n">
        <f aca="false">COUNTIFS(Tasks!$D$4:$D$403,$A18,Tasks!$C$4:$C$403,"?*",Tasks!$E$4:$E$403,"Blocked")</f>
        <v>0</v>
      </c>
      <c r="E18" s="10" t="n">
        <f aca="false">COUNTIFS(Tasks!$D$4:$D$403,$A18,Tasks!$C$4:$C$403,"?*",Tasks!$E$4:$E$403,"Complete")</f>
        <v>0</v>
      </c>
      <c r="F18" s="10" t="n">
        <f aca="false">COUNTIFS(Tasks!$D$4:$D$403,$A18,Tasks!$C$4:$C$403,"?*",Tasks!$E$4:$E$403,"Partially Completed")</f>
        <v>0</v>
      </c>
      <c r="G18" s="10" t="n">
        <f aca="false">COUNTIFS(Tasks!$D$4:$D$403,$A18,Tasks!$C$4:$C$403,"?*",Tasks!$E$4:$E$403,"")</f>
        <v>0</v>
      </c>
      <c r="H18" s="2" t="n">
        <f aca="false">SUM(B18:G18)</f>
        <v>4</v>
      </c>
      <c r="I18" s="11" t="n">
        <f aca="true">COUNTIFS(Tasks!$D$4:$D$403,$A18,Tasks!$C$4:$C$403,"?*",Tasks!$H$4:$H$403,"&lt;"&amp;TODAY(),Tasks!$E$4:$E$403,"&lt;&gt;Complete")</f>
        <v>0</v>
      </c>
    </row>
    <row r="19" customFormat="false" ht="15" hidden="false" customHeight="false" outlineLevel="0" collapsed="false">
      <c r="A19" s="10" t="str">
        <f aca="false">People!$A$9</f>
        <v>SCooP owner</v>
      </c>
      <c r="B19" s="10" t="n">
        <f aca="false">COUNTIFS(Tasks!$D$4:$D$403,$A19,Tasks!$C$4:$C$403,"?*",Tasks!$E$4:$E$403,"Not Started")</f>
        <v>21</v>
      </c>
      <c r="C19" s="10" t="n">
        <f aca="false">COUNTIFS(Tasks!$D$4:$D$403,$A19,Tasks!$C$4:$C$403,"?*",Tasks!$E$4:$E$403,"In Progress")</f>
        <v>4</v>
      </c>
      <c r="D19" s="10" t="n">
        <f aca="false">COUNTIFS(Tasks!$D$4:$D$403,$A19,Tasks!$C$4:$C$403,"?*",Tasks!$E$4:$E$403,"Blocked")</f>
        <v>0</v>
      </c>
      <c r="E19" s="10" t="n">
        <f aca="false">COUNTIFS(Tasks!$D$4:$D$403,$A19,Tasks!$C$4:$C$403,"?*",Tasks!$E$4:$E$403,"Complete")</f>
        <v>0</v>
      </c>
      <c r="F19" s="10" t="n">
        <f aca="false">COUNTIFS(Tasks!$D$4:$D$403,$A19,Tasks!$C$4:$C$403,"?*",Tasks!$E$4:$E$403,"Partially Completed")</f>
        <v>2</v>
      </c>
      <c r="G19" s="10" t="n">
        <f aca="false">COUNTIFS(Tasks!$D$4:$D$403,$A19,Tasks!$C$4:$C$403,"?*",Tasks!$E$4:$E$403,"")</f>
        <v>2</v>
      </c>
      <c r="H19" s="2" t="n">
        <f aca="false">SUM(B19:G19)</f>
        <v>29</v>
      </c>
      <c r="I19" s="11" t="n">
        <f aca="true">COUNTIFS(Tasks!$D$4:$D$403,$A19,Tasks!$C$4:$C$403,"?*",Tasks!$H$4:$H$403,"&lt;"&amp;TODAY(),Tasks!$E$4:$E$403,"&lt;&gt;Complete")</f>
        <v>5</v>
      </c>
    </row>
    <row r="20" customFormat="false" ht="15" hidden="false" customHeight="false" outlineLevel="0" collapsed="false">
      <c r="A20" s="10" t="str">
        <f aca="false">People!$A$10</f>
        <v>Dual-link owner</v>
      </c>
      <c r="B20" s="10" t="n">
        <f aca="false">COUNTIFS(Tasks!$D$4:$D$403,$A20,Tasks!$C$4:$C$403,"?*",Tasks!$E$4:$E$403,"Not Started")</f>
        <v>13</v>
      </c>
      <c r="C20" s="10" t="n">
        <f aca="false">COUNTIFS(Tasks!$D$4:$D$403,$A20,Tasks!$C$4:$C$403,"?*",Tasks!$E$4:$E$403,"In Progress")</f>
        <v>2</v>
      </c>
      <c r="D20" s="10" t="n">
        <f aca="false">COUNTIFS(Tasks!$D$4:$D$403,$A20,Tasks!$C$4:$C$403,"?*",Tasks!$E$4:$E$403,"Blocked")</f>
        <v>0</v>
      </c>
      <c r="E20" s="10" t="n">
        <f aca="false">COUNTIFS(Tasks!$D$4:$D$403,$A20,Tasks!$C$4:$C$403,"?*",Tasks!$E$4:$E$403,"Complete")</f>
        <v>0</v>
      </c>
      <c r="F20" s="10" t="n">
        <f aca="false">COUNTIFS(Tasks!$D$4:$D$403,$A20,Tasks!$C$4:$C$403,"?*",Tasks!$E$4:$E$403,"Partially Completed")</f>
        <v>7</v>
      </c>
      <c r="G20" s="10" t="n">
        <f aca="false">COUNTIFS(Tasks!$D$4:$D$403,$A20,Tasks!$C$4:$C$403,"?*",Tasks!$E$4:$E$403,"")</f>
        <v>0</v>
      </c>
      <c r="H20" s="2" t="n">
        <f aca="false">SUM(B20:G20)</f>
        <v>22</v>
      </c>
      <c r="I20" s="11" t="n">
        <f aca="true">COUNTIFS(Tasks!$D$4:$D$403,$A20,Tasks!$C$4:$C$403,"?*",Tasks!$H$4:$H$403,"&lt;"&amp;TODAY(),Tasks!$E$4:$E$403,"&lt;&gt;Complete")</f>
        <v>22</v>
      </c>
    </row>
    <row r="21" customFormat="false" ht="15" hidden="false" customHeight="false" outlineLevel="0" collapsed="false">
      <c r="A21" s="10" t="str">
        <f aca="false">People!$A$11</f>
        <v>Semantic comm owner</v>
      </c>
      <c r="B21" s="10" t="n">
        <f aca="false">COUNTIFS(Tasks!$D$4:$D$403,$A21,Tasks!$C$4:$C$403,"?*",Tasks!$E$4:$E$403,"Not Started")</f>
        <v>14</v>
      </c>
      <c r="C21" s="10" t="n">
        <f aca="false">COUNTIFS(Tasks!$D$4:$D$403,$A21,Tasks!$C$4:$C$403,"?*",Tasks!$E$4:$E$403,"In Progress")</f>
        <v>0</v>
      </c>
      <c r="D21" s="10" t="n">
        <f aca="false">COUNTIFS(Tasks!$D$4:$D$403,$A21,Tasks!$C$4:$C$403,"?*",Tasks!$E$4:$E$403,"Blocked")</f>
        <v>0</v>
      </c>
      <c r="E21" s="10" t="n">
        <f aca="false">COUNTIFS(Tasks!$D$4:$D$403,$A21,Tasks!$C$4:$C$403,"?*",Tasks!$E$4:$E$403,"Complete")</f>
        <v>0</v>
      </c>
      <c r="F21" s="10" t="n">
        <f aca="false">COUNTIFS(Tasks!$D$4:$D$403,$A21,Tasks!$C$4:$C$403,"?*",Tasks!$E$4:$E$403,"Partially Completed")</f>
        <v>0</v>
      </c>
      <c r="G21" s="10" t="n">
        <f aca="false">COUNTIFS(Tasks!$D$4:$D$403,$A21,Tasks!$C$4:$C$403,"?*",Tasks!$E$4:$E$403,"")</f>
        <v>0</v>
      </c>
      <c r="H21" s="2" t="n">
        <f aca="false">SUM(B21:G21)</f>
        <v>14</v>
      </c>
      <c r="I21" s="11" t="n">
        <f aca="true">COUNTIFS(Tasks!$D$4:$D$403,$A21,Tasks!$C$4:$C$403,"?*",Tasks!$H$4:$H$403,"&lt;"&amp;TODAY(),Tasks!$E$4:$E$403,"&lt;&gt;Complete")</f>
        <v>6</v>
      </c>
    </row>
    <row r="22" customFormat="false" ht="15" hidden="false" customHeight="false" outlineLevel="0" collapsed="false">
      <c r="A22" s="10" t="str">
        <f aca="false">People!$A$12</f>
        <v>Team</v>
      </c>
      <c r="B22" s="10" t="n">
        <f aca="false">COUNTIFS(Tasks!$D$4:$D$403,$A22,Tasks!$C$4:$C$403,"?*",Tasks!$E$4:$E$403,"Not Started")</f>
        <v>6</v>
      </c>
      <c r="C22" s="10" t="n">
        <f aca="false">COUNTIFS(Tasks!$D$4:$D$403,$A22,Tasks!$C$4:$C$403,"?*",Tasks!$E$4:$E$403,"In Progress")</f>
        <v>0</v>
      </c>
      <c r="D22" s="10" t="n">
        <f aca="false">COUNTIFS(Tasks!$D$4:$D$403,$A22,Tasks!$C$4:$C$403,"?*",Tasks!$E$4:$E$403,"Blocked")</f>
        <v>0</v>
      </c>
      <c r="E22" s="10" t="n">
        <f aca="false">COUNTIFS(Tasks!$D$4:$D$403,$A22,Tasks!$C$4:$C$403,"?*",Tasks!$E$4:$E$403,"Complete")</f>
        <v>0</v>
      </c>
      <c r="F22" s="10" t="n">
        <f aca="false">COUNTIFS(Tasks!$D$4:$D$403,$A22,Tasks!$C$4:$C$403,"?*",Tasks!$E$4:$E$403,"Partially Completed")</f>
        <v>0</v>
      </c>
      <c r="G22" s="10" t="n">
        <f aca="false">COUNTIFS(Tasks!$D$4:$D$403,$A22,Tasks!$C$4:$C$403,"?*",Tasks!$E$4:$E$403,"")</f>
        <v>0</v>
      </c>
      <c r="H22" s="2" t="n">
        <f aca="false">SUM(B22:G22)</f>
        <v>6</v>
      </c>
      <c r="I22" s="11" t="n">
        <f aca="true">COUNTIFS(Tasks!$D$4:$D$403,$A22,Tasks!$C$4:$C$403,"?*",Tasks!$H$4:$H$403,"&lt;"&amp;TODAY(),Tasks!$E$4:$E$403,"&lt;&gt;Complete")</f>
        <v>0</v>
      </c>
    </row>
    <row r="23" customFormat="false" ht="15" hidden="false" customHeight="false" outlineLevel="0" collapsed="false">
      <c r="A23" s="2" t="s">
        <v>306</v>
      </c>
      <c r="B23" s="2" t="n">
        <f aca="false">SUM(B14:B22)</f>
        <v>91</v>
      </c>
      <c r="C23" s="2" t="n">
        <f aca="false">SUM(C14:C22)</f>
        <v>11</v>
      </c>
      <c r="D23" s="2" t="n">
        <f aca="false">SUM(D14:D22)</f>
        <v>1</v>
      </c>
      <c r="E23" s="2" t="n">
        <f aca="false">SUM(E14:E22)</f>
        <v>0</v>
      </c>
      <c r="F23" s="2" t="n">
        <f aca="false">SUM(F14:F22)</f>
        <v>9</v>
      </c>
      <c r="G23" s="2" t="n">
        <f aca="false">SUM(G14:G22)</f>
        <v>7</v>
      </c>
      <c r="H23" s="2" t="n">
        <f aca="false">SUM(H14:H22)</f>
        <v>119</v>
      </c>
      <c r="I23" s="2" t="n">
        <f aca="false">SUM(I14:I22)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309</v>
      </c>
    </row>
    <row r="2" customFormat="false" ht="15" hidden="false" customHeight="false" outlineLevel="0" collapsed="false">
      <c r="B2" s="2"/>
      <c r="C2" s="12" t="s">
        <v>310</v>
      </c>
      <c r="E2" s="13" t="str">
        <f aca="true">COUNTIF(Tasks!$C$4:$C$403,"?*")&amp;" tasks   ·   "&amp;COUNTIFS(Tasks!$H$4:$H$403,"&lt;"&amp;TODAY(),Tasks!$E$4:$E$403,"&lt;&gt;Complete")&amp;" overdue"</f>
        <v>119 tasks   ·   42 overdue</v>
      </c>
    </row>
    <row r="3" customFormat="false" ht="15" hidden="false" customHeight="false" outlineLevel="0" collapsed="false">
      <c r="B3" s="2" t="s">
        <v>311</v>
      </c>
      <c r="C3" s="14" t="n">
        <v>46195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36</v>
      </c>
      <c r="H4" s="15" t="n">
        <f aca="false">$C$3+7*0</f>
        <v>46195</v>
      </c>
      <c r="I4" s="15" t="n">
        <f aca="false">$C$3+7*1</f>
        <v>46202</v>
      </c>
      <c r="J4" s="15" t="n">
        <f aca="false">$C$3+7*2</f>
        <v>46209</v>
      </c>
      <c r="K4" s="15" t="n">
        <f aca="false">$C$3+7*3</f>
        <v>46216</v>
      </c>
      <c r="L4" s="15" t="n">
        <f aca="false">$C$3+7*4</f>
        <v>46223</v>
      </c>
      <c r="M4" s="15" t="n">
        <f aca="false">$C$3+7*5</f>
        <v>46230</v>
      </c>
      <c r="N4" s="15" t="n">
        <f aca="false">$C$3+7*6</f>
        <v>46237</v>
      </c>
      <c r="O4" s="15" t="n">
        <f aca="false">$C$3+7*7</f>
        <v>46244</v>
      </c>
      <c r="P4" s="15" t="n">
        <f aca="false">$C$3+7*8</f>
        <v>46251</v>
      </c>
      <c r="Q4" s="15" t="n">
        <f aca="false">$C$3+7*9</f>
        <v>46258</v>
      </c>
      <c r="R4" s="15" t="n">
        <f aca="false">$C$3+7*10</f>
        <v>46265</v>
      </c>
      <c r="S4" s="15" t="n">
        <f aca="false">$C$3+7*11</f>
        <v>46272</v>
      </c>
      <c r="T4" s="15" t="n">
        <f aca="false">$C$3+7*12</f>
        <v>46279</v>
      </c>
      <c r="U4" s="15" t="n">
        <f aca="false">$C$3+7*13</f>
        <v>46286</v>
      </c>
      <c r="V4" s="15" t="n">
        <f aca="false">$C$3+7*14</f>
        <v>46293</v>
      </c>
      <c r="W4" s="15" t="n">
        <f aca="false">$C$3+7*15</f>
        <v>46300</v>
      </c>
      <c r="X4" s="15" t="n">
        <f aca="false">$C$3+7*16</f>
        <v>46307</v>
      </c>
      <c r="Y4" s="15" t="n">
        <f aca="false">$C$3+7*17</f>
        <v>46314</v>
      </c>
      <c r="Z4" s="15" t="n">
        <f aca="false">$C$3+7*18</f>
        <v>46321</v>
      </c>
      <c r="AA4" s="15" t="n">
        <f aca="false">$C$3+7*19</f>
        <v>46328</v>
      </c>
      <c r="AB4" s="15" t="n">
        <f aca="false">$C$3+7*20</f>
        <v>46335</v>
      </c>
      <c r="AC4" s="15" t="n">
        <f aca="false">$C$3+7*21</f>
        <v>46342</v>
      </c>
      <c r="AD4" s="15" t="n">
        <f aca="false">$C$3+7*22</f>
        <v>46349</v>
      </c>
      <c r="AE4" s="15" t="n">
        <f aca="false">$C$3+7*23</f>
        <v>46356</v>
      </c>
      <c r="AF4" s="15" t="n">
        <f aca="false">$C$3+7*24</f>
        <v>46363</v>
      </c>
      <c r="AG4" s="15" t="n">
        <f aca="false">$C$3+7*25</f>
        <v>46370</v>
      </c>
      <c r="AH4" s="15" t="n">
        <f aca="false">$C$3+7*26</f>
        <v>46377</v>
      </c>
      <c r="AI4" s="15" t="n">
        <f aca="false">$C$3+7*27</f>
        <v>46384</v>
      </c>
      <c r="AJ4" s="15" t="n">
        <f aca="false">$C$3+7*28</f>
        <v>46391</v>
      </c>
      <c r="AK4" s="15" t="n">
        <f aca="false">$C$3+7*29</f>
        <v>46398</v>
      </c>
      <c r="AL4" s="15" t="n">
        <f aca="false">$C$3+7*30</f>
        <v>46405</v>
      </c>
      <c r="AM4" s="15" t="n">
        <f aca="false">$C$3+7*31</f>
        <v>46412</v>
      </c>
      <c r="AN4" s="15" t="n">
        <f aca="false">$C$3+7*32</f>
        <v>46419</v>
      </c>
      <c r="AO4" s="15" t="n">
        <f aca="false">$C$3+7*33</f>
        <v>46426</v>
      </c>
      <c r="AP4" s="15" t="n">
        <f aca="false">$C$3+7*34</f>
        <v>46433</v>
      </c>
      <c r="AQ4" s="15" t="n">
        <f aca="false">$C$3+7*35</f>
        <v>46440</v>
      </c>
      <c r="AR4" s="15" t="n">
        <f aca="false">$C$3+7*36</f>
        <v>46447</v>
      </c>
      <c r="AS4" s="15" t="n">
        <f aca="false">$C$3+7*37</f>
        <v>46454</v>
      </c>
      <c r="AT4" s="15" t="n">
        <f aca="false">$C$3+7*38</f>
        <v>46461</v>
      </c>
      <c r="AU4" s="15" t="n">
        <f aca="false">$C$3+7*39</f>
        <v>46468</v>
      </c>
      <c r="AV4" s="15" t="n">
        <f aca="false">$C$3+7*40</f>
        <v>46475</v>
      </c>
      <c r="AW4" s="15" t="n">
        <f aca="false">$C$3+7*41</f>
        <v>46482</v>
      </c>
      <c r="AX4" s="15" t="n">
        <f aca="false">$C$3+7*42</f>
        <v>46489</v>
      </c>
      <c r="AY4" s="15" t="n">
        <f aca="false">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IFERROR(MATCH($C$2&amp;"|"&amp;(ROW()-4),Tasks!$L$4:$L$403,0)+3,"")</f>
        <v>4</v>
      </c>
      <c r="B5" s="17" t="str">
        <f aca="false">IF($A5="","",IF(INDEX(Tasks!$A:$A,$A5)="","",INDEX(Tasks!$A:$A,$A5)))</f>
        <v>TB-1</v>
      </c>
      <c r="C5" s="17" t="str">
        <f aca="false">IF($A5="","",IF(ISERROR(FIND(".",INDEX(Tasks!$A:$A,$A5))),"","   ")&amp;INDEX(Tasks!$C:$C,$A5))</f>
        <v>Hardware inventory &amp; specs</v>
      </c>
      <c r="D5" s="17" t="str">
        <f aca="false">IF($A5="","",IF(INDEX(Tasks!$D:$D,$A5)="","",INDEX(Tasks!$D:$D,$A5)))</f>
        <v>Sensors &amp; platform owner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46307</v>
      </c>
      <c r="G5" s="18" t="n">
        <f aca="false">IF($A5="","",IF(INDEX(Tasks!$H:$H,$A5)="","",INDEX(Tasks!$H:$H,$A5)))</f>
        <v>46318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IFERROR(MATCH($C$2&amp;"|"&amp;(ROW()-4),Tasks!$L$4:$L$403,0)+3,"")</f>
        <v>5</v>
      </c>
      <c r="B6" s="17" t="str">
        <f aca="false">IF($A6="","",IF(INDEX(Tasks!$A:$A,$A6)="","",INDEX(Tasks!$A:$A,$A6)))</f>
        <v>TB-2</v>
      </c>
      <c r="C6" s="17" t="str">
        <f aca="false">IF($A6="","",IF(ISERROR(FIND(".",INDEX(Tasks!$A:$A,$A6))),"","   ")&amp;INDEX(Tasks!$C:$C,$A6))</f>
        <v>Sensor calibration (all units)</v>
      </c>
      <c r="D6" s="17" t="str">
        <f aca="false">IF($A6="","",IF(INDEX(Tasks!$D:$D,$A6)="","",INDEX(Tasks!$D:$D,$A6)))</f>
        <v>Sensors &amp; platform owner</v>
      </c>
      <c r="E6" s="17" t="str">
        <f aca="false">IF($A6="","",IF(INDEX(Tasks!$E:$E,$A6)="","",INDEX(Tasks!$E:$E,$A6)))</f>
        <v>In Progress</v>
      </c>
      <c r="F6" s="18" t="n">
        <f aca="false">IF($A6="","",IF(INDEX(Tasks!$F:$F,$A6)="","",INDEX(Tasks!$F:$F,$A6)))</f>
        <v>46195</v>
      </c>
      <c r="G6" s="18" t="n">
        <f aca="false">IF($A6="","",IF(INDEX(Tasks!$H:$H,$A6)="","",INDEX(Tasks!$H:$H,$A6)))</f>
        <v>46206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IFERROR(MATCH($C$2&amp;"|"&amp;(ROW()-4),Tasks!$L$4:$L$403,0)+3,"")</f>
        <v>6</v>
      </c>
      <c r="B7" s="17" t="str">
        <f aca="false">IF($A7="","",IF(INDEX(Tasks!$A:$A,$A7)="","",INDEX(Tasks!$A:$A,$A7)))</f>
        <v>TB-2.1</v>
      </c>
      <c r="C7" s="17" t="str">
        <f aca="false">IF($A7="","",IF(ISERROR(FIND(".",INDEX(Tasks!$A:$A,$A7))),"","   ")&amp;INDEX(Tasks!$C:$C,$A7))</f>
        <v>   Sensor Calibration (LiDAR-Camera, LiDAR-IMU, Camera-Radar, Intrinsics, Realsense-Zed, Mobile-Infra Extrinsics)</v>
      </c>
      <c r="D7" s="17" t="str">
        <f aca="false">IF($A7="","",IF(INDEX(Tasks!$D:$D,$A7)="","",INDEX(Tasks!$D:$D,$A7)))</f>
        <v>Sensors &amp; platform owner</v>
      </c>
      <c r="E7" s="17" t="str">
        <f aca="false">IF($A7="","",IF(INDEX(Tasks!$E:$E,$A7)="","",INDEX(Tasks!$E:$E,$A7)))</f>
        <v>In Progress</v>
      </c>
      <c r="F7" s="18" t="n">
        <f aca="false">IF($A7="","",IF(INDEX(Tasks!$F:$F,$A7)="","",INDEX(Tasks!$F:$F,$A7)))</f>
        <v>46195</v>
      </c>
      <c r="G7" s="18" t="n">
        <f aca="false">IF($A7="","",IF(INDEX(Tasks!$H:$H,$A7)="","",INDEX(Tasks!$H:$H,$A7)))</f>
        <v>46206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IFERROR(MATCH($C$2&amp;"|"&amp;(ROW()-4),Tasks!$L$4:$L$403,0)+3,"")</f>
        <v>7</v>
      </c>
      <c r="B8" s="17" t="str">
        <f aca="false">IF($A8="","",IF(INDEX(Tasks!$A:$A,$A8)="","",INDEX(Tasks!$A:$A,$A8)))</f>
        <v>TB-2.2</v>
      </c>
      <c r="C8" s="17" t="str">
        <f aca="false">IF($A8="","",IF(ISERROR(FIND(".",INDEX(Tasks!$A:$A,$A8))),"","   ")&amp;INDEX(Tasks!$C:$C,$A8))</f>
        <v>   Calibration: LiDAR - Camera</v>
      </c>
      <c r="D8" s="17" t="str">
        <f aca="false">IF($A8="","",IF(INDEX(Tasks!$D:$D,$A8)="","",INDEX(Tasks!$D:$D,$A8)))</f>
        <v>Sensors &amp; platform owner</v>
      </c>
      <c r="E8" s="17" t="str">
        <f aca="false">IF($A8="","",IF(INDEX(Tasks!$E:$E,$A8)="","",INDEX(Tasks!$E:$E,$A8)))</f>
        <v/>
      </c>
      <c r="F8" s="18" t="str">
        <f aca="false">IF($A8="","",IF(INDEX(Tasks!$F:$F,$A8)="","",INDEX(Tasks!$F:$F,$A8)))</f>
        <v/>
      </c>
      <c r="G8" s="18" t="str">
        <f aca="false">IF($A8="","",IF(INDEX(Tasks!$H:$H,$A8)="","",INDEX(Tasks!$H:$H,$A8)))</f>
        <v/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IFERROR(MATCH($C$2&amp;"|"&amp;(ROW()-4),Tasks!$L$4:$L$403,0)+3,"")</f>
        <v>8</v>
      </c>
      <c r="B9" s="17" t="str">
        <f aca="false">IF($A9="","",IF(INDEX(Tasks!$A:$A,$A9)="","",INDEX(Tasks!$A:$A,$A9)))</f>
        <v>TB-2.3</v>
      </c>
      <c r="C9" s="17" t="str">
        <f aca="false">IF($A9="","",IF(ISERROR(FIND(".",INDEX(Tasks!$A:$A,$A9))),"","   ")&amp;INDEX(Tasks!$C:$C,$A9))</f>
        <v>   Calibration: LiDAR - IMU</v>
      </c>
      <c r="D9" s="17" t="str">
        <f aca="false">IF($A9="","",IF(INDEX(Tasks!$D:$D,$A9)="","",INDEX(Tasks!$D:$D,$A9)))</f>
        <v>Sensors &amp; platform owner</v>
      </c>
      <c r="E9" s="17" t="str">
        <f aca="false">IF($A9="","",IF(INDEX(Tasks!$E:$E,$A9)="","",INDEX(Tasks!$E:$E,$A9)))</f>
        <v/>
      </c>
      <c r="F9" s="18" t="str">
        <f aca="false">IF($A9="","",IF(INDEX(Tasks!$F:$F,$A9)="","",INDEX(Tasks!$F:$F,$A9)))</f>
        <v/>
      </c>
      <c r="G9" s="18" t="str">
        <f aca="false">IF($A9="","",IF(INDEX(Tasks!$H:$H,$A9)="","",INDEX(Tasks!$H:$H,$A9)))</f>
        <v/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IFERROR(MATCH($C$2&amp;"|"&amp;(ROW()-4),Tasks!$L$4:$L$403,0)+3,"")</f>
        <v>9</v>
      </c>
      <c r="B10" s="17" t="str">
        <f aca="false">IF($A10="","",IF(INDEX(Tasks!$A:$A,$A10)="","",INDEX(Tasks!$A:$A,$A10)))</f>
        <v>TB-2.4</v>
      </c>
      <c r="C10" s="17" t="str">
        <f aca="false">IF($A10="","",IF(ISERROR(FIND(".",INDEX(Tasks!$A:$A,$A10))),"","   ")&amp;INDEX(Tasks!$C:$C,$A10))</f>
        <v>   Calibration: RealSense - ZED</v>
      </c>
      <c r="D10" s="17" t="str">
        <f aca="false">IF($A10="","",IF(INDEX(Tasks!$D:$D,$A10)="","",INDEX(Tasks!$D:$D,$A10)))</f>
        <v>Sensors &amp; platform owner</v>
      </c>
      <c r="E10" s="17" t="str">
        <f aca="false">IF($A10="","",IF(INDEX(Tasks!$E:$E,$A10)="","",INDEX(Tasks!$E:$E,$A10)))</f>
        <v/>
      </c>
      <c r="F10" s="18" t="str">
        <f aca="false">IF($A10="","",IF(INDEX(Tasks!$F:$F,$A10)="","",INDEX(Tasks!$F:$F,$A10)))</f>
        <v/>
      </c>
      <c r="G10" s="18" t="str">
        <f aca="false">IF($A10="","",IF(INDEX(Tasks!$H:$H,$A10)="","",INDEX(Tasks!$H:$H,$A10)))</f>
        <v/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IFERROR(MATCH($C$2&amp;"|"&amp;(ROW()-4),Tasks!$L$4:$L$403,0)+3,"")</f>
        <v>10</v>
      </c>
      <c r="B11" s="17" t="str">
        <f aca="false">IF($A11="","",IF(INDEX(Tasks!$A:$A,$A11)="","",INDEX(Tasks!$A:$A,$A11)))</f>
        <v>TB-2.5</v>
      </c>
      <c r="C11" s="17" t="str">
        <f aca="false">IF($A11="","",IF(ISERROR(FIND(".",INDEX(Tasks!$A:$A,$A11))),"","   ")&amp;INDEX(Tasks!$C:$C,$A11))</f>
        <v>   Calibration: ZED - Arducam</v>
      </c>
      <c r="D11" s="17" t="str">
        <f aca="false">IF($A11="","",IF(INDEX(Tasks!$D:$D,$A11)="","",INDEX(Tasks!$D:$D,$A11)))</f>
        <v>Sensors &amp; platform owner</v>
      </c>
      <c r="E11" s="17" t="str">
        <f aca="false">IF($A11="","",IF(INDEX(Tasks!$E:$E,$A11)="","",INDEX(Tasks!$E:$E,$A11)))</f>
        <v/>
      </c>
      <c r="F11" s="18" t="str">
        <f aca="false">IF($A11="","",IF(INDEX(Tasks!$F:$F,$A11)="","",INDEX(Tasks!$F:$F,$A11)))</f>
        <v/>
      </c>
      <c r="G11" s="18" t="str">
        <f aca="false">IF($A11="","",IF(INDEX(Tasks!$H:$H,$A11)="","",INDEX(Tasks!$H:$H,$A11)))</f>
        <v/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IFERROR(MATCH($C$2&amp;"|"&amp;(ROW()-4),Tasks!$L$4:$L$403,0)+3,"")</f>
        <v>11</v>
      </c>
      <c r="B12" s="17" t="str">
        <f aca="false">IF($A12="","",IF(INDEX(Tasks!$A:$A,$A12)="","",INDEX(Tasks!$A:$A,$A12)))</f>
        <v>TB-2.6</v>
      </c>
      <c r="C12" s="17" t="str">
        <f aca="false">IF($A12="","",IF(ISERROR(FIND(".",INDEX(Tasks!$A:$A,$A12))),"","   ")&amp;INDEX(Tasks!$C:$C,$A12))</f>
        <v>   Calibration: Radars - ZED</v>
      </c>
      <c r="D12" s="17" t="str">
        <f aca="false">IF($A12="","",IF(INDEX(Tasks!$D:$D,$A12)="","",INDEX(Tasks!$D:$D,$A12)))</f>
        <v>Sensors &amp; platform owner</v>
      </c>
      <c r="E12" s="17" t="str">
        <f aca="false">IF($A12="","",IF(INDEX(Tasks!$E:$E,$A12)="","",INDEX(Tasks!$E:$E,$A12)))</f>
        <v/>
      </c>
      <c r="F12" s="18" t="str">
        <f aca="false">IF($A12="","",IF(INDEX(Tasks!$F:$F,$A12)="","",INDEX(Tasks!$F:$F,$A12)))</f>
        <v/>
      </c>
      <c r="G12" s="18" t="str">
        <f aca="false">IF($A12="","",IF(INDEX(Tasks!$H:$H,$A12)="","",INDEX(Tasks!$H:$H,$A12)))</f>
        <v/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IFERROR(MATCH($C$2&amp;"|"&amp;(ROW()-4),Tasks!$L$4:$L$403,0)+3,"")</f>
        <v>12</v>
      </c>
      <c r="B13" s="17" t="str">
        <f aca="false">IF($A13="","",IF(INDEX(Tasks!$A:$A,$A13)="","",INDEX(Tasks!$A:$A,$A13)))</f>
        <v>TB-3</v>
      </c>
      <c r="C13" s="17" t="str">
        <f aca="false">IF($A13="","",IF(ISERROR(FIND(".",INDEX(Tasks!$A:$A,$A13))),"","   ")&amp;INDEX(Tasks!$C:$C,$A13))</f>
        <v>Time sync &amp; TF chain</v>
      </c>
      <c r="D13" s="17" t="str">
        <f aca="false">IF($A13="","",IF(INDEX(Tasks!$D:$D,$A13)="","",INDEX(Tasks!$D:$D,$A13)))</f>
        <v>Sensors &amp; platform owner</v>
      </c>
      <c r="E13" s="17" t="str">
        <f aca="false">IF($A13="","",IF(INDEX(Tasks!$E:$E,$A13)="","",INDEX(Tasks!$E:$E,$A13)))</f>
        <v>In Progress</v>
      </c>
      <c r="F13" s="18" t="n">
        <f aca="false">IF($A13="","",IF(INDEX(Tasks!$F:$F,$A13)="","",INDEX(Tasks!$F:$F,$A13)))</f>
        <v>46202</v>
      </c>
      <c r="G13" s="18" t="n">
        <f aca="false">IF($A13="","",IF(INDEX(Tasks!$H:$H,$A13)="","",INDEX(Tasks!$H:$H,$A13)))</f>
        <v>46206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IFERROR(MATCH($C$2&amp;"|"&amp;(ROW()-4),Tasks!$L$4:$L$403,0)+3,"")</f>
        <v>13</v>
      </c>
      <c r="B14" s="17" t="str">
        <f aca="false">IF($A14="","",IF(INDEX(Tasks!$A:$A,$A14)="","",INDEX(Tasks!$A:$A,$A14)))</f>
        <v>TB-4</v>
      </c>
      <c r="C14" s="17" t="str">
        <f aca="false">IF($A14="","",IF(ISERROR(FIND(".",INDEX(Tasks!$A:$A,$A14))),"","   ")&amp;INDEX(Tasks!$C:$C,$A14))</f>
        <v>Wi-Fi &amp; comms logging</v>
      </c>
      <c r="D14" s="17" t="str">
        <f aca="false">IF($A14="","",IF(INDEX(Tasks!$D:$D,$A14)="","",INDEX(Tasks!$D:$D,$A14)))</f>
        <v>Sensors &amp; platform owner</v>
      </c>
      <c r="E14" s="17" t="str">
        <f aca="false">IF($A14="","",IF(INDEX(Tasks!$E:$E,$A14)="","",INDEX(Tasks!$E:$E,$A14)))</f>
        <v>In Progress</v>
      </c>
      <c r="F14" s="18" t="n">
        <f aca="false">IF($A14="","",IF(INDEX(Tasks!$F:$F,$A14)="","",INDEX(Tasks!$F:$F,$A14)))</f>
        <v>46307</v>
      </c>
      <c r="G14" s="18" t="n">
        <f aca="false">IF($A14="","",IF(INDEX(Tasks!$H:$H,$A14)="","",INDEX(Tasks!$H:$H,$A14)))</f>
        <v>46318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IFERROR(MATCH($C$2&amp;"|"&amp;(ROW()-4),Tasks!$L$4:$L$403,0)+3,"")</f>
        <v>14</v>
      </c>
      <c r="B15" s="17" t="str">
        <f aca="false">IF($A15="","",IF(INDEX(Tasks!$A:$A,$A15)="","",INDEX(Tasks!$A:$A,$A15)))</f>
        <v>TB-5</v>
      </c>
      <c r="C15" s="17" t="str">
        <f aca="false">IF($A15="","",IF(ISERROR(FIND(".",INDEX(Tasks!$A:$A,$A15))),"","   ")&amp;INDEX(Tasks!$C:$C,$A15))</f>
        <v>Recording tooling fixes</v>
      </c>
      <c r="D15" s="17" t="str">
        <f aca="false">IF($A15="","",IF(INDEX(Tasks!$D:$D,$A15)="","",INDEX(Tasks!$D:$D,$A15)))</f>
        <v>Sensors &amp; platform owner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46307</v>
      </c>
      <c r="G15" s="18" t="n">
        <f aca="false">IF($A15="","",IF(INDEX(Tasks!$H:$H,$A15)="","",INDEX(Tasks!$H:$H,$A15)))</f>
        <v>46318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IFERROR(MATCH($C$2&amp;"|"&amp;(ROW()-4),Tasks!$L$4:$L$403,0)+3,"")</f>
        <v>15</v>
      </c>
      <c r="B16" s="17" t="str">
        <f aca="false">IF($A16="","",IF(INDEX(Tasks!$A:$A,$A16)="","",INDEX(Tasks!$A:$A,$A16)))</f>
        <v>G2-DS-1</v>
      </c>
      <c r="C16" s="17" t="str">
        <f aca="false">IF($A16="","",IF(ISERROR(FIND(".",INDEX(Tasks!$A:$A,$A16))),"","   ")&amp;INDEX(Tasks!$C:$C,$A16))</f>
        <v>Recording campaign</v>
      </c>
      <c r="D16" s="17" t="str">
        <f aca="false">IF($A16="","",IF(INDEX(Tasks!$D:$D,$A16)="","",INDEX(Tasks!$D:$D,$A16)))</f>
        <v>SCooP owner</v>
      </c>
      <c r="E16" s="17" t="str">
        <f aca="false">IF($A16="","",IF(INDEX(Tasks!$E:$E,$A16)="","",INDEX(Tasks!$E:$E,$A16)))</f>
        <v>Partially Completed</v>
      </c>
      <c r="F16" s="18" t="n">
        <f aca="false">IF($A16="","",IF(INDEX(Tasks!$F:$F,$A16)="","",INDEX(Tasks!$F:$F,$A16)))</f>
        <v>46314</v>
      </c>
      <c r="G16" s="18" t="n">
        <f aca="false">IF($A16="","",IF(INDEX(Tasks!$H:$H,$A16)="","",INDEX(Tasks!$H:$H,$A16)))</f>
        <v>46353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IFERROR(MATCH($C$2&amp;"|"&amp;(ROW()-4),Tasks!$L$4:$L$403,0)+3,"")</f>
        <v>16</v>
      </c>
      <c r="B17" s="17" t="str">
        <f aca="false">IF($A17="","",IF(INDEX(Tasks!$A:$A,$A17)="","",INDEX(Tasks!$A:$A,$A17)))</f>
        <v>G2-DS-1.1</v>
      </c>
      <c r="C17" s="17" t="str">
        <f aca="false">IF($A17="","",IF(ISERROR(FIND(".",INDEX(Tasks!$A:$A,$A17))),"","   ")&amp;INDEX(Tasks!$C:$C,$A17))</f>
        <v>   Indoor Trajectory Sessions</v>
      </c>
      <c r="D17" s="17" t="str">
        <f aca="false">IF($A17="","",IF(INDEX(Tasks!$D:$D,$A17)="","",INDEX(Tasks!$D:$D,$A17)))</f>
        <v>SCooP owner</v>
      </c>
      <c r="E17" s="17" t="str">
        <f aca="false">IF($A17="","",IF(INDEX(Tasks!$E:$E,$A17)="","",INDEX(Tasks!$E:$E,$A17)))</f>
        <v>Partially Completed</v>
      </c>
      <c r="F17" s="18" t="n">
        <f aca="false">IF($A17="","",IF(INDEX(Tasks!$F:$F,$A17)="","",INDEX(Tasks!$F:$F,$A17)))</f>
        <v>46202</v>
      </c>
      <c r="G17" s="18" t="n">
        <f aca="false">IF($A17="","",IF(INDEX(Tasks!$H:$H,$A17)="","",INDEX(Tasks!$H:$H,$A17)))</f>
        <v>46206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IFERROR(MATCH($C$2&amp;"|"&amp;(ROW()-4),Tasks!$L$4:$L$403,0)+3,"")</f>
        <v>17</v>
      </c>
      <c r="B18" s="17" t="str">
        <f aca="false">IF($A18="","",IF(INDEX(Tasks!$A:$A,$A18)="","",INDEX(Tasks!$A:$A,$A18)))</f>
        <v>G2-DS-1.2</v>
      </c>
      <c r="C18" s="17" t="str">
        <f aca="false">IF($A18="","",IF(ISERROR(FIND(".",INDEX(Tasks!$A:$A,$A18))),"","   ")&amp;INDEX(Tasks!$C:$C,$A18))</f>
        <v>   Outdoor Trajectory Sessions</v>
      </c>
      <c r="D18" s="17" t="str">
        <f aca="false">IF($A18="","",IF(INDEX(Tasks!$D:$D,$A18)="","",INDEX(Tasks!$D:$D,$A18)))</f>
        <v>SCooP owner</v>
      </c>
      <c r="E18" s="17" t="str">
        <f aca="false">IF($A18="","",IF(INDEX(Tasks!$E:$E,$A18)="","",INDEX(Tasks!$E:$E,$A18)))</f>
        <v>Not Started</v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n">
        <f aca="false">IFERROR(MATCH($C$2&amp;"|"&amp;(ROW()-4),Tasks!$L$4:$L$403,0)+3,"")</f>
        <v>18</v>
      </c>
      <c r="B19" s="17" t="str">
        <f aca="false">IF($A19="","",IF(INDEX(Tasks!$A:$A,$A19)="","",INDEX(Tasks!$A:$A,$A19)))</f>
        <v>G2-DS-1.3</v>
      </c>
      <c r="C19" s="17" t="str">
        <f aca="false">IF($A19="","",IF(ISERROR(FIND(".",INDEX(Tasks!$A:$A,$A19))),"","   ")&amp;INDEX(Tasks!$C:$C,$A19))</f>
        <v>   Record sites 2 and 3</v>
      </c>
      <c r="D19" s="17" t="str">
        <f aca="false">IF($A19="","",IF(INDEX(Tasks!$D:$D,$A19)="","",INDEX(Tasks!$D:$D,$A19)))</f>
        <v>SCooP owner</v>
      </c>
      <c r="E19" s="17" t="str">
        <f aca="false">IF($A19="","",IF(INDEX(Tasks!$E:$E,$A19)="","",INDEX(Tasks!$E:$E,$A19)))</f>
        <v>Not Started</v>
      </c>
      <c r="F19" s="18" t="n">
        <f aca="false">IF($A19="","",IF(INDEX(Tasks!$F:$F,$A19)="","",INDEX(Tasks!$F:$F,$A19)))</f>
        <v>46321</v>
      </c>
      <c r="G19" s="18" t="n">
        <f aca="false">IF($A19="","",IF(INDEX(Tasks!$H:$H,$A19)="","",INDEX(Tasks!$H:$H,$A19)))</f>
        <v>46346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n">
        <f aca="false">IFERROR(MATCH($C$2&amp;"|"&amp;(ROW()-4),Tasks!$L$4:$L$403,0)+3,"")</f>
        <v>19</v>
      </c>
      <c r="B20" s="17" t="str">
        <f aca="false">IF($A20="","",IF(INDEX(Tasks!$A:$A,$A20)="","",INDEX(Tasks!$A:$A,$A20)))</f>
        <v>G2-DS-1.4</v>
      </c>
      <c r="C20" s="17" t="str">
        <f aca="false">IF($A20="","",IF(ISERROR(FIND(".",INDEX(Tasks!$A:$A,$A20))),"","   ")&amp;INDEX(Tasks!$C:$C,$A20))</f>
        <v>   Calibration rosbag</v>
      </c>
      <c r="D20" s="17" t="str">
        <f aca="false">IF($A20="","",IF(INDEX(Tasks!$D:$D,$A20)="","",INDEX(Tasks!$D:$D,$A20)))</f>
        <v>SCooP owner</v>
      </c>
      <c r="E20" s="17" t="str">
        <f aca="false">IF($A20="","",IF(INDEX(Tasks!$E:$E,$A20)="","",INDEX(Tasks!$E:$E,$A20)))</f>
        <v/>
      </c>
      <c r="F20" s="18" t="n">
        <f aca="false">IF($A20="","",IF(INDEX(Tasks!$F:$F,$A20)="","",INDEX(Tasks!$F:$F,$A20)))</f>
        <v>46314</v>
      </c>
      <c r="G20" s="18" t="n">
        <f aca="false">IF($A20="","",IF(INDEX(Tasks!$H:$H,$A20)="","",INDEX(Tasks!$H:$H,$A20)))</f>
        <v>46318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n">
        <f aca="false">IFERROR(MATCH($C$2&amp;"|"&amp;(ROW()-4),Tasks!$L$4:$L$403,0)+3,"")</f>
        <v>20</v>
      </c>
      <c r="B21" s="17" t="str">
        <f aca="false">IF($A21="","",IF(INDEX(Tasks!$A:$A,$A21)="","",INDEX(Tasks!$A:$A,$A21)))</f>
        <v>G2-DS-1.5</v>
      </c>
      <c r="C21" s="17" t="str">
        <f aca="false">IF($A21="","",IF(ISERROR(FIND(".",INDEX(Tasks!$A:$A,$A21))),"","   ")&amp;INDEX(Tasks!$C:$C,$A21))</f>
        <v>   Short test recordings</v>
      </c>
      <c r="D21" s="17" t="str">
        <f aca="false">IF($A21="","",IF(INDEX(Tasks!$D:$D,$A21)="","",INDEX(Tasks!$D:$D,$A21)))</f>
        <v>SCooP owner</v>
      </c>
      <c r="E21" s="17" t="str">
        <f aca="false">IF($A21="","",IF(INDEX(Tasks!$E:$E,$A21)="","",INDEX(Tasks!$E:$E,$A21)))</f>
        <v/>
      </c>
      <c r="F21" s="18" t="n">
        <f aca="false">IF($A21="","",IF(INDEX(Tasks!$F:$F,$A21)="","",INDEX(Tasks!$F:$F,$A21)))</f>
        <v>46314</v>
      </c>
      <c r="G21" s="18" t="n">
        <f aca="false">IF($A21="","",IF(INDEX(Tasks!$H:$H,$A21)="","",INDEX(Tasks!$H:$H,$A21)))</f>
        <v>46318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n">
        <f aca="false">IFERROR(MATCH($C$2&amp;"|"&amp;(ROW()-4),Tasks!$L$4:$L$403,0)+3,"")</f>
        <v>21</v>
      </c>
      <c r="B22" s="17" t="str">
        <f aca="false">IF($A22="","",IF(INDEX(Tasks!$A:$A,$A22)="","",INDEX(Tasks!$A:$A,$A22)))</f>
        <v>G2-DS-2</v>
      </c>
      <c r="C22" s="17" t="str">
        <f aca="false">IF($A22="","",IF(ISERROR(FIND(".",INDEX(Tasks!$A:$A,$A22))),"","   ")&amp;INDEX(Tasks!$C:$C,$A22))</f>
        <v>Per-pass processing</v>
      </c>
      <c r="D22" s="17" t="str">
        <f aca="false">IF($A22="","",IF(INDEX(Tasks!$D:$D,$A22)="","",INDEX(Tasks!$D:$D,$A22)))</f>
        <v>SCooP owner</v>
      </c>
      <c r="E22" s="17" t="str">
        <f aca="false">IF($A22="","",IF(INDEX(Tasks!$E:$E,$A22)="","",INDEX(Tasks!$E:$E,$A22)))</f>
        <v>In Progress</v>
      </c>
      <c r="F22" s="18" t="n">
        <f aca="false">IF($A22="","",IF(INDEX(Tasks!$F:$F,$A22)="","",INDEX(Tasks!$F:$F,$A22)))</f>
        <v>46307</v>
      </c>
      <c r="G22" s="18" t="n">
        <f aca="false">IF($A22="","",IF(INDEX(Tasks!$H:$H,$A22)="","",INDEX(Tasks!$H:$H,$A22)))</f>
        <v>46374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n">
        <f aca="false">IFERROR(MATCH($C$2&amp;"|"&amp;(ROW()-4),Tasks!$L$4:$L$403,0)+3,"")</f>
        <v>22</v>
      </c>
      <c r="B23" s="17" t="str">
        <f aca="false">IF($A23="","",IF(INDEX(Tasks!$A:$A,$A23)="","",INDEX(Tasks!$A:$A,$A23)))</f>
        <v>G2-DS-2.1</v>
      </c>
      <c r="C23" s="17" t="str">
        <f aca="false">IF($A23="","",IF(ISERROR(FIND(".",INDEX(Tasks!$A:$A,$A23))),"","   ")&amp;INDEX(Tasks!$C:$C,$A23))</f>
        <v>   Merging Sensor Data</v>
      </c>
      <c r="D23" s="17" t="str">
        <f aca="false">IF($A23="","",IF(INDEX(Tasks!$D:$D,$A23)="","",INDEX(Tasks!$D:$D,$A23)))</f>
        <v>SCooP owner</v>
      </c>
      <c r="E23" s="17" t="str">
        <f aca="false">IF($A23="","",IF(INDEX(Tasks!$E:$E,$A23)="","",INDEX(Tasks!$E:$E,$A23)))</f>
        <v>In Progress</v>
      </c>
      <c r="F23" s="18" t="n">
        <f aca="false">IF($A23="","",IF(INDEX(Tasks!$F:$F,$A23)="","",INDEX(Tasks!$F:$F,$A23)))</f>
        <v>46202</v>
      </c>
      <c r="G23" s="18" t="n">
        <f aca="false">IF($A23="","",IF(INDEX(Tasks!$H:$H,$A23)="","",INDEX(Tasks!$H:$H,$A23)))</f>
        <v>46206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n">
        <f aca="false">IFERROR(MATCH($C$2&amp;"|"&amp;(ROW()-4),Tasks!$L$4:$L$403,0)+3,"")</f>
        <v>23</v>
      </c>
      <c r="B24" s="17" t="str">
        <f aca="false">IF($A24="","",IF(INDEX(Tasks!$A:$A,$A24)="","",INDEX(Tasks!$A:$A,$A24)))</f>
        <v>G2-DS-2.2</v>
      </c>
      <c r="C24" s="17" t="str">
        <f aca="false">IF($A24="","",IF(ISERROR(FIND(".",INDEX(Tasks!$A:$A,$A24))),"","   ")&amp;INDEX(Tasks!$C:$C,$A24))</f>
        <v>   Timestamp Alignment Post-Processing</v>
      </c>
      <c r="D24" s="17" t="str">
        <f aca="false">IF($A24="","",IF(INDEX(Tasks!$D:$D,$A24)="","",INDEX(Tasks!$D:$D,$A24)))</f>
        <v>SCooP owner</v>
      </c>
      <c r="E24" s="17" t="str">
        <f aca="false">IF($A24="","",IF(INDEX(Tasks!$E:$E,$A24)="","",INDEX(Tasks!$E:$E,$A24)))</f>
        <v>Not Started</v>
      </c>
      <c r="F24" s="18" t="n">
        <f aca="false">IF($A24="","",IF(INDEX(Tasks!$F:$F,$A24)="","",INDEX(Tasks!$F:$F,$A24)))</f>
        <v>46202</v>
      </c>
      <c r="G24" s="18" t="n">
        <f aca="false">IF($A24="","",IF(INDEX(Tasks!$H:$H,$A24)="","",INDEX(Tasks!$H:$H,$A24)))</f>
        <v>46206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n">
        <f aca="false">IFERROR(MATCH($C$2&amp;"|"&amp;(ROW()-4),Tasks!$L$4:$L$403,0)+3,"")</f>
        <v>24</v>
      </c>
      <c r="B25" s="17" t="str">
        <f aca="false">IF($A25="","",IF(INDEX(Tasks!$A:$A,$A25)="","",INDEX(Tasks!$A:$A,$A25)))</f>
        <v>G2-DS-3</v>
      </c>
      <c r="C25" s="17" t="str">
        <f aca="false">IF($A25="","",IF(ISERROR(FIND(".",INDEX(Tasks!$A:$A,$A25))),"","   ")&amp;INDEX(Tasks!$C:$C,$A25))</f>
        <v>Reference maps &amp; board networks per site</v>
      </c>
      <c r="D25" s="17" t="str">
        <f aca="false">IF($A25="","",IF(INDEX(Tasks!$D:$D,$A25)="","",INDEX(Tasks!$D:$D,$A25)))</f>
        <v>SCooP owner</v>
      </c>
      <c r="E25" s="17" t="str">
        <f aca="false">IF($A25="","",IF(INDEX(Tasks!$E:$E,$A25)="","",INDEX(Tasks!$E:$E,$A25)))</f>
        <v>In Progress</v>
      </c>
      <c r="F25" s="18" t="n">
        <f aca="false">IF($A25="","",IF(INDEX(Tasks!$F:$F,$A25)="","",INDEX(Tasks!$F:$F,$A25)))</f>
        <v>46307</v>
      </c>
      <c r="G25" s="18" t="n">
        <f aca="false">IF($A25="","",IF(INDEX(Tasks!$H:$H,$A25)="","",INDEX(Tasks!$H:$H,$A25)))</f>
        <v>46360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n">
        <f aca="false">IFERROR(MATCH($C$2&amp;"|"&amp;(ROW()-4),Tasks!$L$4:$L$403,0)+3,"")</f>
        <v>25</v>
      </c>
      <c r="B26" s="17" t="str">
        <f aca="false">IF($A26="","",IF(INDEX(Tasks!$A:$A,$A26)="","",INDEX(Tasks!$A:$A,$A26)))</f>
        <v>G2-DS-3.1</v>
      </c>
      <c r="C26" s="17" t="str">
        <f aca="false">IF($A26="","",IF(ISERROR(FIND(".",INDEX(Tasks!$A:$A,$A26))),"","   ")&amp;INDEX(Tasks!$C:$C,$A26))</f>
        <v>   Localization and Mapping</v>
      </c>
      <c r="D26" s="17" t="str">
        <f aca="false">IF($A26="","",IF(INDEX(Tasks!$D:$D,$A26)="","",INDEX(Tasks!$D:$D,$A26)))</f>
        <v>SCooP owner</v>
      </c>
      <c r="E26" s="17" t="str">
        <f aca="false">IF($A26="","",IF(INDEX(Tasks!$E:$E,$A26)="","",INDEX(Tasks!$E:$E,$A26)))</f>
        <v>Not Started</v>
      </c>
      <c r="F26" s="18" t="n">
        <f aca="false">IF($A26="","",IF(INDEX(Tasks!$F:$F,$A26)="","",INDEX(Tasks!$F:$F,$A26)))</f>
        <v>46202</v>
      </c>
      <c r="G26" s="18" t="n">
        <f aca="false">IF($A26="","",IF(INDEX(Tasks!$H:$H,$A26)="","",INDEX(Tasks!$H:$H,$A26)))</f>
        <v>46206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n">
        <f aca="false">IFERROR(MATCH($C$2&amp;"|"&amp;(ROW()-4),Tasks!$L$4:$L$403,0)+3,"")</f>
        <v>26</v>
      </c>
      <c r="B27" s="17" t="str">
        <f aca="false">IF($A27="","",IF(INDEX(Tasks!$A:$A,$A27)="","",INDEX(Tasks!$A:$A,$A27)))</f>
        <v>G2-DS-3.2</v>
      </c>
      <c r="C27" s="17" t="str">
        <f aca="false">IF($A27="","",IF(ISERROR(FIND(".",INDEX(Tasks!$A:$A,$A27))),"","   ")&amp;INDEX(Tasks!$C:$C,$A27))</f>
        <v>   Mesh Conversion</v>
      </c>
      <c r="D27" s="17" t="str">
        <f aca="false">IF($A27="","",IF(INDEX(Tasks!$D:$D,$A27)="","",INDEX(Tasks!$D:$D,$A27)))</f>
        <v>SCooP owner</v>
      </c>
      <c r="E27" s="17" t="str">
        <f aca="false">IF($A27="","",IF(INDEX(Tasks!$E:$E,$A27)="","",INDEX(Tasks!$E:$E,$A27)))</f>
        <v>Not Started</v>
      </c>
      <c r="F27" s="18" t="n">
        <f aca="false">IF($A27="","",IF(INDEX(Tasks!$F:$F,$A27)="","",INDEX(Tasks!$F:$F,$A27)))</f>
        <v>46209</v>
      </c>
      <c r="G27" s="18" t="n">
        <f aca="false">IF($A27="","",IF(INDEX(Tasks!$H:$H,$A27)="","",INDEX(Tasks!$H:$H,$A27)))</f>
        <v>46220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n">
        <f aca="false">IFERROR(MATCH($C$2&amp;"|"&amp;(ROW()-4),Tasks!$L$4:$L$403,0)+3,"")</f>
        <v>27</v>
      </c>
      <c r="B28" s="17" t="str">
        <f aca="false">IF($A28="","",IF(INDEX(Tasks!$A:$A,$A28)="","",INDEX(Tasks!$A:$A,$A28)))</f>
        <v>G2-DS-4</v>
      </c>
      <c r="C28" s="17" t="str">
        <f aca="false">IF($A28="","",IF(ISERROR(FIND(".",INDEX(Tasks!$A:$A,$A28))),"","   ")&amp;INDEX(Tasks!$C:$C,$A28))</f>
        <v>Reference poses (map stages 03-10)</v>
      </c>
      <c r="D28" s="17" t="str">
        <f aca="false">IF($A28="","",IF(INDEX(Tasks!$D:$D,$A28)="","",INDEX(Tasks!$D:$D,$A28)))</f>
        <v>SCooP owner</v>
      </c>
      <c r="E28" s="17" t="str">
        <f aca="false">IF($A28="","",IF(INDEX(Tasks!$E:$E,$A28)="","",INDEX(Tasks!$E:$E,$A28)))</f>
        <v>In Progress</v>
      </c>
      <c r="F28" s="18" t="n">
        <f aca="false">IF($A28="","",IF(INDEX(Tasks!$F:$F,$A28)="","",INDEX(Tasks!$F:$F,$A28)))</f>
        <v>46307</v>
      </c>
      <c r="G28" s="18" t="n">
        <f aca="false">IF($A28="","",IF(INDEX(Tasks!$H:$H,$A28)="","",INDEX(Tasks!$H:$H,$A28)))</f>
        <v>46346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n">
        <f aca="false">IFERROR(MATCH($C$2&amp;"|"&amp;(ROW()-4),Tasks!$L$4:$L$403,0)+3,"")</f>
        <v>28</v>
      </c>
      <c r="B29" s="17" t="str">
        <f aca="false">IF($A29="","",IF(INDEX(Tasks!$A:$A,$A29)="","",INDEX(Tasks!$A:$A,$A29)))</f>
        <v>G2-DS-5</v>
      </c>
      <c r="C29" s="17" t="str">
        <f aca="false">IF($A29="","",IF(ISERROR(FIND(".",INDEX(Tasks!$A:$A,$A29))),"","   ")&amp;INDEX(Tasks!$C:$C,$A29))</f>
        <v>Ground-truth validation</v>
      </c>
      <c r="D29" s="17" t="str">
        <f aca="false">IF($A29="","",IF(INDEX(Tasks!$D:$D,$A29)="","",INDEX(Tasks!$D:$D,$A29)))</f>
        <v>SCooP owner</v>
      </c>
      <c r="E29" s="17" t="str">
        <f aca="false">IF($A29="","",IF(INDEX(Tasks!$E:$E,$A29)="","",INDEX(Tasks!$E:$E,$A29)))</f>
        <v>Not Started</v>
      </c>
      <c r="F29" s="18" t="n">
        <f aca="false">IF($A29="","",IF(INDEX(Tasks!$F:$F,$A29)="","",INDEX(Tasks!$F:$F,$A29)))</f>
        <v>46342</v>
      </c>
      <c r="G29" s="18" t="n">
        <f aca="false">IF($A29="","",IF(INDEX(Tasks!$H:$H,$A29)="","",INDEX(Tasks!$H:$H,$A29)))</f>
        <v>46360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n">
        <f aca="false">IFERROR(MATCH($C$2&amp;"|"&amp;(ROW()-4),Tasks!$L$4:$L$403,0)+3,"")</f>
        <v>29</v>
      </c>
      <c r="B30" s="17" t="str">
        <f aca="false">IF($A30="","",IF(INDEX(Tasks!$A:$A,$A30)="","",INDEX(Tasks!$A:$A,$A30)))</f>
        <v>G2-DS-6</v>
      </c>
      <c r="C30" s="17" t="str">
        <f aca="false">IF($A30="","",IF(ISERROR(FIND(".",INDEX(Tasks!$A:$A,$A30))),"","   ")&amp;INDEX(Tasks!$C:$C,$A30))</f>
        <v>Annotations</v>
      </c>
      <c r="D30" s="17" t="str">
        <f aca="false">IF($A30="","",IF(INDEX(Tasks!$D:$D,$A30)="","",INDEX(Tasks!$D:$D,$A30)))</f>
        <v>SCooP owner</v>
      </c>
      <c r="E30" s="17" t="str">
        <f aca="false">IF($A30="","",IF(INDEX(Tasks!$E:$E,$A30)="","",INDEX(Tasks!$E:$E,$A30)))</f>
        <v>Not Started</v>
      </c>
      <c r="F30" s="18" t="n">
        <f aca="false">IF($A30="","",IF(INDEX(Tasks!$F:$F,$A30)="","",INDEX(Tasks!$F:$F,$A30)))</f>
        <v>46335</v>
      </c>
      <c r="G30" s="18" t="n">
        <f aca="false">IF($A30="","",IF(INDEX(Tasks!$H:$H,$A30)="","",INDEX(Tasks!$H:$H,$A30)))</f>
        <v>46381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n">
        <f aca="false">IFERROR(MATCH($C$2&amp;"|"&amp;(ROW()-4),Tasks!$L$4:$L$403,0)+3,"")</f>
        <v>30</v>
      </c>
      <c r="B31" s="17" t="str">
        <f aca="false">IF($A31="","",IF(INDEX(Tasks!$A:$A,$A31)="","",INDEX(Tasks!$A:$A,$A31)))</f>
        <v>G2-DS-6.1</v>
      </c>
      <c r="C31" s="17" t="str">
        <f aca="false">IF($A31="","",IF(ISERROR(FIND(".",INDEX(Tasks!$A:$A,$A31))),"","   ")&amp;INDEX(Tasks!$C:$C,$A31))</f>
        <v>   Label QA (Coverage &amp; Class Balance)</v>
      </c>
      <c r="D31" s="17" t="str">
        <f aca="false">IF($A31="","",IF(INDEX(Tasks!$D:$D,$A31)="","",INDEX(Tasks!$D:$D,$A31)))</f>
        <v>SCooP owner</v>
      </c>
      <c r="E31" s="17" t="str">
        <f aca="false">IF($A31="","",IF(INDEX(Tasks!$E:$E,$A31)="","",INDEX(Tasks!$E:$E,$A31)))</f>
        <v>Not Started</v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n">
        <f aca="false">IFERROR(MATCH($C$2&amp;"|"&amp;(ROW()-4),Tasks!$L$4:$L$403,0)+3,"")</f>
        <v>31</v>
      </c>
      <c r="B32" s="17" t="str">
        <f aca="false">IF($A32="","",IF(INDEX(Tasks!$A:$A,$A32)="","",INDEX(Tasks!$A:$A,$A32)))</f>
        <v>G2-DS-7</v>
      </c>
      <c r="C32" s="17" t="str">
        <f aca="false">IF($A32="","",IF(ISERROR(FIND(".",INDEX(Tasks!$A:$A,$A32))),"","   ")&amp;INDEX(Tasks!$C:$C,$A32))</f>
        <v>Collaboration geometry &amp; comm ground truth</v>
      </c>
      <c r="D32" s="17" t="str">
        <f aca="false">IF($A32="","",IF(INDEX(Tasks!$D:$D,$A32)="","",INDEX(Tasks!$D:$D,$A32)))</f>
        <v>SCooP owner</v>
      </c>
      <c r="E32" s="17" t="str">
        <f aca="false">IF($A32="","",IF(INDEX(Tasks!$E:$E,$A32)="","",INDEX(Tasks!$E:$E,$A32)))</f>
        <v>Not Started</v>
      </c>
      <c r="F32" s="18" t="n">
        <f aca="false">IF($A32="","",IF(INDEX(Tasks!$F:$F,$A32)="","",INDEX(Tasks!$F:$F,$A32)))</f>
        <v>46349</v>
      </c>
      <c r="G32" s="18" t="n">
        <f aca="false">IF($A32="","",IF(INDEX(Tasks!$H:$H,$A32)="","",INDEX(Tasks!$H:$H,$A32)))</f>
        <v>46381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n">
        <f aca="false">IFERROR(MATCH($C$2&amp;"|"&amp;(ROW()-4),Tasks!$L$4:$L$403,0)+3,"")</f>
        <v>32</v>
      </c>
      <c r="B33" s="17" t="str">
        <f aca="false">IF($A33="","",IF(INDEX(Tasks!$A:$A,$A33)="","",INDEX(Tasks!$A:$A,$A33)))</f>
        <v>G2-DS-8</v>
      </c>
      <c r="C33" s="17" t="str">
        <f aca="false">IF($A33="","",IF(ISERROR(FIND(".",INDEX(Tasks!$A:$A,$A33))),"","   ")&amp;INDEX(Tasks!$C:$C,$A33))</f>
        <v>Release</v>
      </c>
      <c r="D33" s="17" t="str">
        <f aca="false">IF($A33="","",IF(INDEX(Tasks!$D:$D,$A33)="","",INDEX(Tasks!$D:$D,$A33)))</f>
        <v>SCooP owner</v>
      </c>
      <c r="E33" s="17" t="str">
        <f aca="false">IF($A33="","",IF(INDEX(Tasks!$E:$E,$A33)="","",INDEX(Tasks!$E:$E,$A33)))</f>
        <v>Not Started</v>
      </c>
      <c r="F33" s="18" t="n">
        <f aca="false">IF($A33="","",IF(INDEX(Tasks!$F:$F,$A33)="","",INDEX(Tasks!$F:$F,$A33)))</f>
        <v>46384</v>
      </c>
      <c r="G33" s="18" t="n">
        <f aca="false">IF($A33="","",IF(INDEX(Tasks!$H:$H,$A33)="","",INDEX(Tasks!$H:$H,$A33)))</f>
        <v>46416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n">
        <f aca="false">IFERROR(MATCH($C$2&amp;"|"&amp;(ROW()-4),Tasks!$L$4:$L$403,0)+3,"")</f>
        <v>33</v>
      </c>
      <c r="B34" s="17" t="str">
        <f aca="false">IF($A34="","",IF(INDEX(Tasks!$A:$A,$A34)="","",INDEX(Tasks!$A:$A,$A34)))</f>
        <v>G2-DS-8.1</v>
      </c>
      <c r="C34" s="17" t="str">
        <f aca="false">IF($A34="","",IF(ISERROR(FIND(".",INDEX(Tasks!$A:$A,$A34))),"","   ")&amp;INDEX(Tasks!$C:$C,$A34))</f>
        <v>   Dataset Packaging &amp; Documentation</v>
      </c>
      <c r="D34" s="17" t="str">
        <f aca="false">IF($A34="","",IF(INDEX(Tasks!$D:$D,$A34)="","",INDEX(Tasks!$D:$D,$A34)))</f>
        <v>SCooP owner</v>
      </c>
      <c r="E34" s="17" t="str">
        <f aca="false">IF($A34="","",IF(INDEX(Tasks!$E:$E,$A34)="","",INDEX(Tasks!$E:$E,$A34)))</f>
        <v>Not Started</v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n">
        <f aca="false">IFERROR(MATCH($C$2&amp;"|"&amp;(ROW()-4),Tasks!$L$4:$L$403,0)+3,"")</f>
        <v>34</v>
      </c>
      <c r="B35" s="17" t="str">
        <f aca="false">IF($A35="","",IF(INDEX(Tasks!$A:$A,$A35)="","",INDEX(Tasks!$A:$A,$A35)))</f>
        <v>G2-DS-8.2</v>
      </c>
      <c r="C35" s="17" t="str">
        <f aca="false">IF($A35="","",IF(ISERROR(FIND(".",INDEX(Tasks!$A:$A,$A35))),"","   ")&amp;INDEX(Tasks!$C:$C,$A35))</f>
        <v>   Devkit</v>
      </c>
      <c r="D35" s="17" t="str">
        <f aca="false">IF($A35="","",IF(INDEX(Tasks!$D:$D,$A35)="","",INDEX(Tasks!$D:$D,$A35)))</f>
        <v>SCooP owner</v>
      </c>
      <c r="E35" s="17" t="str">
        <f aca="false">IF($A35="","",IF(INDEX(Tasks!$E:$E,$A35)="","",INDEX(Tasks!$E:$E,$A35)))</f>
        <v>Not Started</v>
      </c>
      <c r="F35" s="18" t="n">
        <f aca="false">IF($A35="","",IF(INDEX(Tasks!$F:$F,$A35)="","",INDEX(Tasks!$F:$F,$A35)))</f>
        <v>46384</v>
      </c>
      <c r="G35" s="18" t="n">
        <f aca="false">IF($A35="","",IF(INDEX(Tasks!$H:$H,$A35)="","",INDEX(Tasks!$H:$H,$A35)))</f>
        <v>46409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n">
        <f aca="false">IFERROR(MATCH($C$2&amp;"|"&amp;(ROW()-4),Tasks!$L$4:$L$403,0)+3,"")</f>
        <v>35</v>
      </c>
      <c r="B36" s="17" t="str">
        <f aca="false">IF($A36="","",IF(INDEX(Tasks!$A:$A,$A36)="","",INDEX(Tasks!$A:$A,$A36)))</f>
        <v>G2-DS-8.3</v>
      </c>
      <c r="C36" s="17" t="str">
        <f aca="false">IF($A36="","",IF(ISERROR(FIND(".",INDEX(Tasks!$A:$A,$A36))),"","   ")&amp;INDEX(Tasks!$C:$C,$A36))</f>
        <v>   License, DOI, hosting</v>
      </c>
      <c r="D36" s="17" t="str">
        <f aca="false">IF($A36="","",IF(INDEX(Tasks!$D:$D,$A36)="","",INDEX(Tasks!$D:$D,$A36)))</f>
        <v>SCooP owner</v>
      </c>
      <c r="E36" s="17" t="str">
        <f aca="false">IF($A36="","",IF(INDEX(Tasks!$E:$E,$A36)="","",INDEX(Tasks!$E:$E,$A36)))</f>
        <v>Not Started</v>
      </c>
      <c r="F36" s="18" t="n">
        <f aca="false">IF($A36="","",IF(INDEX(Tasks!$F:$F,$A36)="","",INDEX(Tasks!$F:$F,$A36)))</f>
        <v>46398</v>
      </c>
      <c r="G36" s="18" t="n">
        <f aca="false">IF($A36="","",IF(INDEX(Tasks!$H:$H,$A36)="","",INDEX(Tasks!$H:$H,$A36)))</f>
        <v>46409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n">
        <f aca="false">IFERROR(MATCH($C$2&amp;"|"&amp;(ROW()-4),Tasks!$L$4:$L$403,0)+3,"")</f>
        <v>36</v>
      </c>
      <c r="B37" s="17" t="str">
        <f aca="false">IF($A37="","",IF(INDEX(Tasks!$A:$A,$A37)="","",INDEX(Tasks!$A:$A,$A37)))</f>
        <v>G2-BP-A</v>
      </c>
      <c r="C37" s="17" t="str">
        <f aca="false">IF($A37="","",IF(ISERROR(FIND(".",INDEX(Tasks!$A:$A,$A37))),"","   ")&amp;INDEX(Tasks!$C:$C,$A37))</f>
        <v>Ground-truth numbers (RESULTS_PLAN A0)</v>
      </c>
      <c r="D37" s="17" t="str">
        <f aca="false">IF($A37="","",IF(INDEX(Tasks!$D:$D,$A37)="","",INDEX(Tasks!$D:$D,$A37)))</f>
        <v>SCooP owner</v>
      </c>
      <c r="E37" s="17" t="str">
        <f aca="false">IF($A37="","",IF(INDEX(Tasks!$E:$E,$A37)="","",INDEX(Tasks!$E:$E,$A37)))</f>
        <v>Not Started</v>
      </c>
      <c r="F37" s="18" t="n">
        <f aca="false">IF($A37="","",IF(INDEX(Tasks!$F:$F,$A37)="","",INDEX(Tasks!$F:$F,$A37)))</f>
        <v>46314</v>
      </c>
      <c r="G37" s="18" t="n">
        <f aca="false">IF($A37="","",IF(INDEX(Tasks!$H:$H,$A37)="","",INDEX(Tasks!$H:$H,$A37)))</f>
        <v>46332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n">
        <f aca="false">IFERROR(MATCH($C$2&amp;"|"&amp;(ROW()-4),Tasks!$L$4:$L$403,0)+3,"")</f>
        <v>37</v>
      </c>
      <c r="B38" s="17" t="str">
        <f aca="false">IF($A38="","",IF(INDEX(Tasks!$A:$A,$A38)="","",INDEX(Tasks!$A:$A,$A38)))</f>
        <v>G2-BP-B</v>
      </c>
      <c r="C38" s="17" t="str">
        <f aca="false">IF($A38="","",IF(ISERROR(FIND(".",INDEX(Tasks!$A:$A,$A38))),"","   ")&amp;INDEX(Tasks!$C:$C,$A38))</f>
        <v>Inventory &amp; statistics tables (B)</v>
      </c>
      <c r="D38" s="17" t="str">
        <f aca="false">IF($A38="","",IF(INDEX(Tasks!$D:$D,$A38)="","",INDEX(Tasks!$D:$D,$A38)))</f>
        <v>SCooP owner</v>
      </c>
      <c r="E38" s="17" t="str">
        <f aca="false">IF($A38="","",IF(INDEX(Tasks!$E:$E,$A38)="","",INDEX(Tasks!$E:$E,$A38)))</f>
        <v>Not Started</v>
      </c>
      <c r="F38" s="18" t="n">
        <f aca="false">IF($A38="","",IF(INDEX(Tasks!$F:$F,$A38)="","",INDEX(Tasks!$F:$F,$A38)))</f>
        <v>46342</v>
      </c>
      <c r="G38" s="18" t="n">
        <f aca="false">IF($A38="","",IF(INDEX(Tasks!$H:$H,$A38)="","",INDEX(Tasks!$H:$H,$A38)))</f>
        <v>46360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n">
        <f aca="false">IFERROR(MATCH($C$2&amp;"|"&amp;(ROW()-4),Tasks!$L$4:$L$403,0)+3,"")</f>
        <v>38</v>
      </c>
      <c r="B39" s="17" t="str">
        <f aca="false">IF($A39="","",IF(INDEX(Tasks!$A:$A,$A39)="","",INDEX(Tasks!$A:$A,$A39)))</f>
        <v>G2-BP-C</v>
      </c>
      <c r="C39" s="17" t="str">
        <f aca="false">IF($A39="","",IF(ISERROR(FIND(".",INDEX(Tasks!$A:$A,$A39))),"","   ")&amp;INDEX(Tasks!$C:$C,$A39))</f>
        <v>Geometry validation (C)</v>
      </c>
      <c r="D39" s="17" t="str">
        <f aca="false">IF($A39="","",IF(INDEX(Tasks!$D:$D,$A39)="","",INDEX(Tasks!$D:$D,$A39)))</f>
        <v>SCooP owner</v>
      </c>
      <c r="E39" s="17" t="str">
        <f aca="false">IF($A39="","",IF(INDEX(Tasks!$E:$E,$A39)="","",INDEX(Tasks!$E:$E,$A39)))</f>
        <v>Not Started</v>
      </c>
      <c r="F39" s="18" t="n">
        <f aca="false">IF($A39="","",IF(INDEX(Tasks!$F:$F,$A39)="","",INDEX(Tasks!$F:$F,$A39)))</f>
        <v>46363</v>
      </c>
      <c r="G39" s="18" t="n">
        <f aca="false">IF($A39="","",IF(INDEX(Tasks!$H:$H,$A39)="","",INDEX(Tasks!$H:$H,$A39)))</f>
        <v>46381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n">
        <f aca="false">IFERROR(MATCH($C$2&amp;"|"&amp;(ROW()-4),Tasks!$L$4:$L$403,0)+3,"")</f>
        <v>39</v>
      </c>
      <c r="B40" s="17" t="str">
        <f aca="false">IF($A40="","",IF(INDEX(Tasks!$A:$A,$A40)="","",INDEX(Tasks!$A:$A,$A40)))</f>
        <v>G2-BP-D</v>
      </c>
      <c r="C40" s="17" t="str">
        <f aca="false">IF($A40="","",IF(ISERROR(FIND(".",INDEX(Tasks!$A:$A,$A40))),"","   ")&amp;INDEX(Tasks!$C:$C,$A40))</f>
        <v>T2 collaborative perception under 3 channels (D)</v>
      </c>
      <c r="D40" s="17" t="str">
        <f aca="false">IF($A40="","",IF(INDEX(Tasks!$D:$D,$A40)="","",INDEX(Tasks!$D:$D,$A40)))</f>
        <v>SCooP owner</v>
      </c>
      <c r="E40" s="17" t="str">
        <f aca="false">IF($A40="","",IF(INDEX(Tasks!$E:$E,$A40)="","",INDEX(Tasks!$E:$E,$A40)))</f>
        <v>Not Started</v>
      </c>
      <c r="F40" s="18" t="n">
        <f aca="false">IF($A40="","",IF(INDEX(Tasks!$F:$F,$A40)="","",INDEX(Tasks!$F:$F,$A40)))</f>
        <v>46363</v>
      </c>
      <c r="G40" s="18" t="n">
        <f aca="false">IF($A40="","",IF(INDEX(Tasks!$H:$H,$A40)="","",INDEX(Tasks!$H:$H,$A40)))</f>
        <v>46395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n">
        <f aca="false">IFERROR(MATCH($C$2&amp;"|"&amp;(ROW()-4),Tasks!$L$4:$L$403,0)+3,"")</f>
        <v>40</v>
      </c>
      <c r="B41" s="17" t="str">
        <f aca="false">IF($A41="","",IF(INDEX(Tasks!$A:$A,$A41)="","",INDEX(Tasks!$A:$A,$A41)))</f>
        <v>G2-BP-E</v>
      </c>
      <c r="C41" s="17" t="str">
        <f aca="false">IF($A41="","",IF(ISERROR(FIND(".",INDEX(Tasks!$A:$A,$A41))),"","   ")&amp;INDEX(Tasks!$C:$C,$A41))</f>
        <v>T1 collaborative SLAM (E)</v>
      </c>
      <c r="D41" s="17" t="str">
        <f aca="false">IF($A41="","",IF(INDEX(Tasks!$D:$D,$A41)="","",INDEX(Tasks!$D:$D,$A41)))</f>
        <v>SCooP owner</v>
      </c>
      <c r="E41" s="17" t="str">
        <f aca="false">IF($A41="","",IF(INDEX(Tasks!$E:$E,$A41)="","",INDEX(Tasks!$E:$E,$A41)))</f>
        <v>Not Started</v>
      </c>
      <c r="F41" s="18" t="n">
        <f aca="false">IF($A41="","",IF(INDEX(Tasks!$F:$F,$A41)="","",INDEX(Tasks!$F:$F,$A41)))</f>
        <v>46363</v>
      </c>
      <c r="G41" s="18" t="n">
        <f aca="false">IF($A41="","",IF(INDEX(Tasks!$H:$H,$A41)="","",INDEX(Tasks!$H:$H,$A41)))</f>
        <v>46395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n">
        <f aca="false">IFERROR(MATCH($C$2&amp;"|"&amp;(ROW()-4),Tasks!$L$4:$L$403,0)+3,"")</f>
        <v>41</v>
      </c>
      <c r="B42" s="17" t="str">
        <f aca="false">IF($A42="","",IF(INDEX(Tasks!$A:$A,$A42)="","",INDEX(Tasks!$A:$A,$A42)))</f>
        <v>G2-BP-F</v>
      </c>
      <c r="C42" s="17" t="str">
        <f aca="false">IF($A42="","",IF(ISERROR(FIND(".",INDEX(Tasks!$A:$A,$A42))),"","   ")&amp;INDEX(Tasks!$C:$C,$A42))</f>
        <v>Q2 regression (F)</v>
      </c>
      <c r="D42" s="17" t="str">
        <f aca="false">IF($A42="","",IF(INDEX(Tasks!$D:$D,$A42)="","",INDEX(Tasks!$D:$D,$A42)))</f>
        <v>SCooP owner</v>
      </c>
      <c r="E42" s="17" t="str">
        <f aca="false">IF($A42="","",IF(INDEX(Tasks!$E:$E,$A42)="","",INDEX(Tasks!$E:$E,$A42)))</f>
        <v>Not Started</v>
      </c>
      <c r="F42" s="18" t="n">
        <f aca="false">IF($A42="","",IF(INDEX(Tasks!$F:$F,$A42)="","",INDEX(Tasks!$F:$F,$A42)))</f>
        <v>46398</v>
      </c>
      <c r="G42" s="18" t="n">
        <f aca="false">IF($A42="","",IF(INDEX(Tasks!$H:$H,$A42)="","",INDEX(Tasks!$H:$H,$A42)))</f>
        <v>46409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n">
        <f aca="false">IFERROR(MATCH($C$2&amp;"|"&amp;(ROW()-4),Tasks!$L$4:$L$403,0)+3,"")</f>
        <v>42</v>
      </c>
      <c r="B43" s="17" t="str">
        <f aca="false">IF($A43="","",IF(INDEX(Tasks!$A:$A,$A43)="","",INDEX(Tasks!$A:$A,$A43)))</f>
        <v>G2-BP-G</v>
      </c>
      <c r="C43" s="17" t="str">
        <f aca="false">IF($A43="","",IF(ISERROR(FIND(".",INDEX(Tasks!$A:$A,$A43))),"","   ")&amp;INDEX(Tasks!$C:$C,$A43))</f>
        <v>Write-up (G)</v>
      </c>
      <c r="D43" s="17" t="str">
        <f aca="false">IF($A43="","",IF(INDEX(Tasks!$D:$D,$A43)="","",INDEX(Tasks!$D:$D,$A43)))</f>
        <v>SCooP owner</v>
      </c>
      <c r="E43" s="17" t="str">
        <f aca="false">IF($A43="","",IF(INDEX(Tasks!$E:$E,$A43)="","",INDEX(Tasks!$E:$E,$A43)))</f>
        <v>Not Started</v>
      </c>
      <c r="F43" s="18" t="n">
        <f aca="false">IF($A43="","",IF(INDEX(Tasks!$F:$F,$A43)="","",INDEX(Tasks!$F:$F,$A43)))</f>
        <v>46398</v>
      </c>
      <c r="G43" s="18" t="n">
        <f aca="false">IF($A43="","",IF(INDEX(Tasks!$H:$H,$A43)="","",INDEX(Tasks!$H:$H,$A43)))</f>
        <v>46423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n">
        <f aca="false">IFERROR(MATCH($C$2&amp;"|"&amp;(ROW()-4),Tasks!$L$4:$L$403,0)+3,"")</f>
        <v>43</v>
      </c>
      <c r="B44" s="17" t="str">
        <f aca="false">IF($A44="","",IF(INDEX(Tasks!$A:$A,$A44)="","",INDEX(Tasks!$A:$A,$A44)))</f>
        <v>G2-M1</v>
      </c>
      <c r="C44" s="17" t="str">
        <f aca="false">IF($A44="","",IF(ISERROR(FIND(".",INDEX(Tasks!$A:$A,$A44))),"","   ")&amp;INDEX(Tasks!$C:$C,$A44))</f>
        <v>Paper submitted (IJRR)</v>
      </c>
      <c r="D44" s="17" t="str">
        <f aca="false">IF($A44="","",IF(INDEX(Tasks!$D:$D,$A44)="","",INDEX(Tasks!$D:$D,$A44)))</f>
        <v>SCooP owner</v>
      </c>
      <c r="E44" s="17" t="str">
        <f aca="false">IF($A44="","",IF(INDEX(Tasks!$E:$E,$A44)="","",INDEX(Tasks!$E:$E,$A44)))</f>
        <v>Not Started</v>
      </c>
      <c r="F44" s="18" t="n">
        <f aca="false">IF($A44="","",IF(INDEX(Tasks!$F:$F,$A44)="","",INDEX(Tasks!$F:$F,$A44)))</f>
        <v>46426</v>
      </c>
      <c r="G44" s="18" t="n">
        <f aca="false">IF($A44="","",IF(INDEX(Tasks!$H:$H,$A44)="","",INDEX(Tasks!$H:$H,$A44)))</f>
        <v>46430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n">
        <f aca="false">IFERROR(MATCH($C$2&amp;"|"&amp;(ROW()-4),Tasks!$L$4:$L$403,0)+3,"")</f>
        <v>44</v>
      </c>
      <c r="B45" s="17" t="str">
        <f aca="false">IF($A45="","",IF(INDEX(Tasks!$A:$A,$A45)="","",INDEX(Tasks!$A:$A,$A45)))</f>
        <v>G1-SP-1</v>
      </c>
      <c r="C45" s="17" t="str">
        <f aca="false">IF($A45="","",IF(ISERROR(FIND(".",INDEX(Tasks!$A:$A,$A45))),"","   ")&amp;INDEX(Tasks!$C:$C,$A45))</f>
        <v>Sensor rig &amp; TF tree per robot</v>
      </c>
      <c r="D45" s="17" t="str">
        <f aca="false">IF($A45="","",IF(INDEX(Tasks!$D:$D,$A45)="","",INDEX(Tasks!$D:$D,$A45)))</f>
        <v>Sensors &amp; platform owner</v>
      </c>
      <c r="E45" s="17" t="str">
        <f aca="false">IF($A45="","",IF(INDEX(Tasks!$E:$E,$A45)="","",INDEX(Tasks!$E:$E,$A45)))</f>
        <v>Not Started</v>
      </c>
      <c r="F45" s="18" t="n">
        <f aca="false">IF($A45="","",IF(INDEX(Tasks!$F:$F,$A45)="","",INDEX(Tasks!$F:$F,$A45)))</f>
        <v>46307</v>
      </c>
      <c r="G45" s="18" t="n">
        <f aca="false">IF($A45="","",IF(INDEX(Tasks!$H:$H,$A45)="","",INDEX(Tasks!$H:$H,$A45)))</f>
        <v>46318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n">
        <f aca="false">IFERROR(MATCH($C$2&amp;"|"&amp;(ROW()-4),Tasks!$L$4:$L$403,0)+3,"")</f>
        <v>45</v>
      </c>
      <c r="B46" s="17" t="str">
        <f aca="false">IF($A46="","",IF(INDEX(Tasks!$A:$A,$A46)="","",INDEX(Tasks!$A:$A,$A46)))</f>
        <v>G1-SP-2</v>
      </c>
      <c r="C46" s="17" t="str">
        <f aca="false">IF($A46="","",IF(ISERROR(FIND(".",INDEX(Tasks!$A:$A,$A46))),"","   ")&amp;INDEX(Tasks!$C:$C,$A46))</f>
        <v>Odometry: front end + fusion filter</v>
      </c>
      <c r="D46" s="17" t="str">
        <f aca="false">IF($A46="","",IF(INDEX(Tasks!$D:$D,$A46)="","",INDEX(Tasks!$D:$D,$A46)))</f>
        <v>Sensors &amp; platform owner</v>
      </c>
      <c r="E46" s="17" t="str">
        <f aca="false">IF($A46="","",IF(INDEX(Tasks!$E:$E,$A46)="","",INDEX(Tasks!$E:$E,$A46)))</f>
        <v>Not Started</v>
      </c>
      <c r="F46" s="18" t="n">
        <f aca="false">IF($A46="","",IF(INDEX(Tasks!$F:$F,$A46)="","",INDEX(Tasks!$F:$F,$A46)))</f>
        <v>46314</v>
      </c>
      <c r="G46" s="18" t="n">
        <f aca="false">IF($A46="","",IF(INDEX(Tasks!$H:$H,$A46)="","",INDEX(Tasks!$H:$H,$A46)))</f>
        <v>46339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n">
        <f aca="false">IFERROR(MATCH($C$2&amp;"|"&amp;(ROW()-4),Tasks!$L$4:$L$403,0)+3,"")</f>
        <v>46</v>
      </c>
      <c r="B47" s="17" t="str">
        <f aca="false">IF($A47="","",IF(INDEX(Tasks!$A:$A,$A47)="","",INDEX(Tasks!$A:$A,$A47)))</f>
        <v>G1-SP-3</v>
      </c>
      <c r="C47" s="17" t="str">
        <f aca="false">IF($A47="","",IF(ISERROR(FIND(".",INDEX(Tasks!$A:$A,$A47))),"","   ")&amp;INDEX(Tasks!$C:$C,$A47))</f>
        <v>ED305 camera calibration in the room frame</v>
      </c>
      <c r="D47" s="17" t="str">
        <f aca="false">IF($A47="","",IF(INDEX(Tasks!$D:$D,$A47)="","",INDEX(Tasks!$D:$D,$A47)))</f>
        <v>Sensors &amp; platform owner</v>
      </c>
      <c r="E47" s="17" t="str">
        <f aca="false">IF($A47="","",IF(INDEX(Tasks!$E:$E,$A47)="","",INDEX(Tasks!$E:$E,$A47)))</f>
        <v>Blocked</v>
      </c>
      <c r="F47" s="18" t="n">
        <f aca="false">IF($A47="","",IF(INDEX(Tasks!$F:$F,$A47)="","",INDEX(Tasks!$F:$F,$A47)))</f>
        <v>46307</v>
      </c>
      <c r="G47" s="18" t="n">
        <f aca="false">IF($A47="","",IF(INDEX(Tasks!$H:$H,$A47)="","",INDEX(Tasks!$H:$H,$A47)))</f>
        <v>46318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n">
        <f aca="false">IFERROR(MATCH($C$2&amp;"|"&amp;(ROW()-4),Tasks!$L$4:$L$403,0)+3,"")</f>
        <v>47</v>
      </c>
      <c r="B48" s="17" t="str">
        <f aca="false">IF($A48="","",IF(INDEX(Tasks!$A:$A,$A48)="","",INDEX(Tasks!$A:$A,$A48)))</f>
        <v>G1-SP-4</v>
      </c>
      <c r="C48" s="17" t="str">
        <f aca="false">IF($A48="","",IF(ISERROR(FIND(".",INDEX(Tasks!$A:$A,$A48))),"","   ")&amp;INDEX(Tasks!$C:$C,$A48))</f>
        <v>ED305 coverage &amp; camera placement</v>
      </c>
      <c r="D48" s="17" t="str">
        <f aca="false">IF($A48="","",IF(INDEX(Tasks!$D:$D,$A48)="","",INDEX(Tasks!$D:$D,$A48)))</f>
        <v>Sensors &amp; platform owner</v>
      </c>
      <c r="E48" s="17" t="str">
        <f aca="false">IF($A48="","",IF(INDEX(Tasks!$E:$E,$A48)="","",INDEX(Tasks!$E:$E,$A48)))</f>
        <v>In Progress</v>
      </c>
      <c r="F48" s="18" t="n">
        <f aca="false">IF($A48="","",IF(INDEX(Tasks!$F:$F,$A48)="","",INDEX(Tasks!$F:$F,$A48)))</f>
        <v>46321</v>
      </c>
      <c r="G48" s="18" t="n">
        <f aca="false">IF($A48="","",IF(INDEX(Tasks!$H:$H,$A48)="","",INDEX(Tasks!$H:$H,$A48)))</f>
        <v>46339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n">
        <f aca="false">IFERROR(MATCH($C$2&amp;"|"&amp;(ROW()-4),Tasks!$L$4:$L$403,0)+3,"")</f>
        <v>48</v>
      </c>
      <c r="B49" s="17" t="str">
        <f aca="false">IF($A49="","",IF(INDEX(Tasks!$A:$A,$A49)="","",INDEX(Tasks!$A:$A,$A49)))</f>
        <v>G1-SP-5</v>
      </c>
      <c r="C49" s="17" t="str">
        <f aca="false">IF($A49="","",IF(ISERROR(FIND(".",INDEX(Tasks!$A:$A,$A49))),"","   ")&amp;INDEX(Tasks!$C:$C,$A49))</f>
        <v>Printed pan-tilt heads</v>
      </c>
      <c r="D49" s="17" t="str">
        <f aca="false">IF($A49="","",IF(INDEX(Tasks!$D:$D,$A49)="","",INDEX(Tasks!$D:$D,$A49)))</f>
        <v>Sensors &amp; platform owner</v>
      </c>
      <c r="E49" s="17" t="str">
        <f aca="false">IF($A49="","",IF(INDEX(Tasks!$E:$E,$A49)="","",INDEX(Tasks!$E:$E,$A49)))</f>
        <v>Not Started</v>
      </c>
      <c r="F49" s="18" t="n">
        <f aca="false">IF($A49="","",IF(INDEX(Tasks!$F:$F,$A49)="","",INDEX(Tasks!$F:$F,$A49)))</f>
        <v>46314</v>
      </c>
      <c r="G49" s="18" t="n">
        <f aca="false">IF($A49="","",IF(INDEX(Tasks!$H:$H,$A49)="","",INDEX(Tasks!$H:$H,$A49)))</f>
        <v>46332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n">
        <f aca="false">IFERROR(MATCH($C$2&amp;"|"&amp;(ROW()-4),Tasks!$L$4:$L$403,0)+3,"")</f>
        <v>49</v>
      </c>
      <c r="B50" s="17" t="str">
        <f aca="false">IF($A50="","",IF(INDEX(Tasks!$A:$A,$A50)="","",INDEX(Tasks!$A:$A,$A50)))</f>
        <v>G1-SP-6</v>
      </c>
      <c r="C50" s="17" t="str">
        <f aca="false">IF($A50="","",IF(ISERROR(FIND(".",INDEX(Tasks!$A:$A,$A50))),"","   ")&amp;INDEX(Tasks!$C:$C,$A50))</f>
        <v>ED305 camera time sync</v>
      </c>
      <c r="D50" s="17" t="str">
        <f aca="false">IF($A50="","",IF(INDEX(Tasks!$D:$D,$A50)="","",INDEX(Tasks!$D:$D,$A50)))</f>
        <v>Sensors &amp; platform owner</v>
      </c>
      <c r="E50" s="17" t="str">
        <f aca="false">IF($A50="","",IF(INDEX(Tasks!$E:$E,$A50)="","",INDEX(Tasks!$E:$E,$A50)))</f>
        <v>Not Started</v>
      </c>
      <c r="F50" s="18" t="n">
        <f aca="false">IF($A50="","",IF(INDEX(Tasks!$F:$F,$A50)="","",INDEX(Tasks!$F:$F,$A50)))</f>
        <v>46321</v>
      </c>
      <c r="G50" s="18" t="n">
        <f aca="false">IF($A50="","",IF(INDEX(Tasks!$H:$H,$A50)="","",INDEX(Tasks!$H:$H,$A50)))</f>
        <v>46332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n">
        <f aca="false">IFERROR(MATCH($C$2&amp;"|"&amp;(ROW()-4),Tasks!$L$4:$L$403,0)+3,"")</f>
        <v>50</v>
      </c>
      <c r="B51" s="17" t="str">
        <f aca="false">IF($A51="","",IF(INDEX(Tasks!$A:$A,$A51)="","",INDEX(Tasks!$A:$A,$A51)))</f>
        <v>G1-GS-1</v>
      </c>
      <c r="C51" s="17" t="str">
        <f aca="false">IF($A51="","",IF(ISERROR(FIND(".",INDEX(Tasks!$A:$A,$A51))),"","   ")&amp;INDEX(Tasks!$C:$C,$A51))</f>
        <v>Metric prior</v>
      </c>
      <c r="D51" s="17" t="str">
        <f aca="false">IF($A51="","",IF(INDEX(Tasks!$D:$D,$A51)="","",INDEX(Tasks!$D:$D,$A51)))</f>
        <v>GS-SLAM owner</v>
      </c>
      <c r="E51" s="17" t="str">
        <f aca="false">IF($A51="","",IF(INDEX(Tasks!$E:$E,$A51)="","",INDEX(Tasks!$E:$E,$A51)))</f>
        <v>Not Started</v>
      </c>
      <c r="F51" s="18" t="n">
        <f aca="false">IF($A51="","",IF(INDEX(Tasks!$F:$F,$A51)="","",INDEX(Tasks!$F:$F,$A51)))</f>
        <v>46307</v>
      </c>
      <c r="G51" s="18" t="n">
        <f aca="false">IF($A51="","",IF(INDEX(Tasks!$H:$H,$A51)="","",INDEX(Tasks!$H:$H,$A51)))</f>
        <v>46318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n">
        <f aca="false">IFERROR(MATCH($C$2&amp;"|"&amp;(ROW()-4),Tasks!$L$4:$L$403,0)+3,"")</f>
        <v>51</v>
      </c>
      <c r="B52" s="17" t="str">
        <f aca="false">IF($A52="","",IF(INDEX(Tasks!$A:$A,$A52)="","",INDEX(Tasks!$A:$A,$A52)))</f>
        <v>G1-GS-2</v>
      </c>
      <c r="C52" s="17" t="str">
        <f aca="false">IF($A52="","",IF(ISERROR(FIND(".",INDEX(Tasks!$A:$A,$A52))),"","   ")&amp;INDEX(Tasks!$C:$C,$A52))</f>
        <v>Tracking + keyframe gate</v>
      </c>
      <c r="D52" s="17" t="str">
        <f aca="false">IF($A52="","",IF(INDEX(Tasks!$D:$D,$A52)="","",INDEX(Tasks!$D:$D,$A52)))</f>
        <v>GS-SLAM owner</v>
      </c>
      <c r="E52" s="17" t="str">
        <f aca="false">IF($A52="","",IF(INDEX(Tasks!$E:$E,$A52)="","",INDEX(Tasks!$E:$E,$A52)))</f>
        <v>Not Started</v>
      </c>
      <c r="F52" s="18" t="n">
        <f aca="false">IF($A52="","",IF(INDEX(Tasks!$F:$F,$A52)="","",INDEX(Tasks!$F:$F,$A52)))</f>
        <v>46314</v>
      </c>
      <c r="G52" s="18" t="n">
        <f aca="false">IF($A52="","",IF(INDEX(Tasks!$H:$H,$A52)="","",INDEX(Tasks!$H:$H,$A52)))</f>
        <v>46339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n">
        <f aca="false">IFERROR(MATCH($C$2&amp;"|"&amp;(ROW()-4),Tasks!$L$4:$L$403,0)+3,"")</f>
        <v>52</v>
      </c>
      <c r="B53" s="17" t="str">
        <f aca="false">IF($A53="","",IF(INDEX(Tasks!$A:$A,$A53)="","",INDEX(Tasks!$A:$A,$A53)))</f>
        <v>G1-GS-3</v>
      </c>
      <c r="C53" s="17" t="str">
        <f aca="false">IF($A53="","",IF(ISERROR(FIND(".",INDEX(Tasks!$A:$A,$A53))),"","   ")&amp;INDEX(Tasks!$C:$C,$A53))</f>
        <v>Mapping + loop closure</v>
      </c>
      <c r="D53" s="17" t="str">
        <f aca="false">IF($A53="","",IF(INDEX(Tasks!$D:$D,$A53)="","",INDEX(Tasks!$D:$D,$A53)))</f>
        <v>GS-SLAM owner</v>
      </c>
      <c r="E53" s="17" t="str">
        <f aca="false">IF($A53="","",IF(INDEX(Tasks!$E:$E,$A53)="","",INDEX(Tasks!$E:$E,$A53)))</f>
        <v>Not Started</v>
      </c>
      <c r="F53" s="18" t="n">
        <f aca="false">IF($A53="","",IF(INDEX(Tasks!$F:$F,$A53)="","",INDEX(Tasks!$F:$F,$A53)))</f>
        <v>46328</v>
      </c>
      <c r="G53" s="18" t="n">
        <f aca="false">IF($A53="","",IF(INDEX(Tasks!$H:$H,$A53)="","",INDEX(Tasks!$H:$H,$A53)))</f>
        <v>46353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n">
        <f aca="false">IFERROR(MATCH($C$2&amp;"|"&amp;(ROW()-4),Tasks!$L$4:$L$403,0)+3,"")</f>
        <v>53</v>
      </c>
      <c r="B54" s="17" t="str">
        <f aca="false">IF($A54="","",IF(INDEX(Tasks!$A:$A,$A54)="","",INDEX(Tasks!$A:$A,$A54)))</f>
        <v>G1-GS-3.1</v>
      </c>
      <c r="C54" s="17" t="str">
        <f aca="false">IF($A54="","",IF(ISERROR(FIND(".",INDEX(Tasks!$A:$A,$A54))),"","   ")&amp;INDEX(Tasks!$C:$C,$A54))</f>
        <v>   Dynamic-Object Filter (Pre-Registration)</v>
      </c>
      <c r="D54" s="17" t="str">
        <f aca="false">IF($A54="","",IF(INDEX(Tasks!$D:$D,$A54)="","",INDEX(Tasks!$D:$D,$A54)))</f>
        <v>GS-SLAM owner</v>
      </c>
      <c r="E54" s="17" t="str">
        <f aca="false">IF($A54="","",IF(INDEX(Tasks!$E:$E,$A54)="","",INDEX(Tasks!$E:$E,$A54)))</f>
        <v>Not Started</v>
      </c>
      <c r="F54" s="18" t="n">
        <f aca="false">IF($A54="","",IF(INDEX(Tasks!$F:$F,$A54)="","",INDEX(Tasks!$F:$F,$A54)))</f>
        <v>46202</v>
      </c>
      <c r="G54" s="18" t="n">
        <f aca="false">IF($A54="","",IF(INDEX(Tasks!$H:$H,$A54)="","",INDEX(Tasks!$H:$H,$A54)))</f>
        <v>46206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n">
        <f aca="false">IFERROR(MATCH($C$2&amp;"|"&amp;(ROW()-4),Tasks!$L$4:$L$403,0)+3,"")</f>
        <v>54</v>
      </c>
      <c r="B55" s="17" t="str">
        <f aca="false">IF($A55="","",IF(INDEX(Tasks!$A:$A,$A55)="","",INDEX(Tasks!$A:$A,$A55)))</f>
        <v>G1-GS-3.2</v>
      </c>
      <c r="C55" s="17" t="str">
        <f aca="false">IF($A55="","",IF(ISERROR(FIND(".",INDEX(Tasks!$A:$A,$A55))),"","   ")&amp;INDEX(Tasks!$C:$C,$A55))</f>
        <v>   Static Point Cloud Registration</v>
      </c>
      <c r="D55" s="17" t="str">
        <f aca="false">IF($A55="","",IF(INDEX(Tasks!$D:$D,$A55)="","",INDEX(Tasks!$D:$D,$A55)))</f>
        <v>GS-SLAM owner</v>
      </c>
      <c r="E55" s="17" t="str">
        <f aca="false">IF($A55="","",IF(INDEX(Tasks!$E:$E,$A55)="","",INDEX(Tasks!$E:$E,$A55)))</f>
        <v>Not Started</v>
      </c>
      <c r="F55" s="18" t="n">
        <f aca="false">IF($A55="","",IF(INDEX(Tasks!$F:$F,$A55)="","",INDEX(Tasks!$F:$F,$A55)))</f>
        <v>46202</v>
      </c>
      <c r="G55" s="18" t="n">
        <f aca="false">IF($A55="","",IF(INDEX(Tasks!$H:$H,$A55)="","",INDEX(Tasks!$H:$H,$A55)))</f>
        <v>46206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n">
        <f aca="false">IFERROR(MATCH($C$2&amp;"|"&amp;(ROW()-4),Tasks!$L$4:$L$403,0)+3,"")</f>
        <v>55</v>
      </c>
      <c r="B56" s="17" t="str">
        <f aca="false">IF($A56="","",IF(INDEX(Tasks!$A:$A,$A56)="","",INDEX(Tasks!$A:$A,$A56)))</f>
        <v>G1-GS-4</v>
      </c>
      <c r="C56" s="17" t="str">
        <f aca="false">IF($A56="","",IF(ISERROR(FIND(".",INDEX(Tasks!$A:$A,$A56))),"","   ")&amp;INDEX(Tasks!$C:$C,$A56))</f>
        <v>Real-time budget</v>
      </c>
      <c r="D56" s="17" t="str">
        <f aca="false">IF($A56="","",IF(INDEX(Tasks!$D:$D,$A56)="","",INDEX(Tasks!$D:$D,$A56)))</f>
        <v>GS-SLAM owner</v>
      </c>
      <c r="E56" s="17" t="str">
        <f aca="false">IF($A56="","",IF(INDEX(Tasks!$E:$E,$A56)="","",INDEX(Tasks!$E:$E,$A56)))</f>
        <v>Not Started</v>
      </c>
      <c r="F56" s="18" t="n">
        <f aca="false">IF($A56="","",IF(INDEX(Tasks!$F:$F,$A56)="","",INDEX(Tasks!$F:$F,$A56)))</f>
        <v>46349</v>
      </c>
      <c r="G56" s="18" t="n">
        <f aca="false">IF($A56="","",IF(INDEX(Tasks!$H:$H,$A56)="","",INDEX(Tasks!$H:$H,$A56)))</f>
        <v>46360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n">
        <f aca="false">IFERROR(MATCH($C$2&amp;"|"&amp;(ROW()-4),Tasks!$L$4:$L$403,0)+3,"")</f>
        <v>56</v>
      </c>
      <c r="B57" s="17" t="str">
        <f aca="false">IF($A57="","",IF(INDEX(Tasks!$A:$A,$A57)="","",INDEX(Tasks!$A:$A,$A57)))</f>
        <v>G1-GS-5</v>
      </c>
      <c r="C57" s="17" t="str">
        <f aca="false">IF($A57="","",IF(ISERROR(FIND(".",INDEX(Tasks!$A:$A,$A57))),"","   ")&amp;INDEX(Tasks!$C:$C,$A57))</f>
        <v>Map fusion (multi-robot)</v>
      </c>
      <c r="D57" s="17" t="str">
        <f aca="false">IF($A57="","",IF(INDEX(Tasks!$D:$D,$A57)="","",INDEX(Tasks!$D:$D,$A57)))</f>
        <v>GS-SLAM owner</v>
      </c>
      <c r="E57" s="17" t="str">
        <f aca="false">IF($A57="","",IF(INDEX(Tasks!$E:$E,$A57)="","",INDEX(Tasks!$E:$E,$A57)))</f>
        <v>Not Started</v>
      </c>
      <c r="F57" s="18" t="n">
        <f aca="false">IF($A57="","",IF(INDEX(Tasks!$F:$F,$A57)="","",INDEX(Tasks!$F:$F,$A57)))</f>
        <v>46356</v>
      </c>
      <c r="G57" s="18" t="n">
        <f aca="false">IF($A57="","",IF(INDEX(Tasks!$H:$H,$A57)="","",INDEX(Tasks!$H:$H,$A57)))</f>
        <v>46381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n">
        <f aca="false">IFERROR(MATCH($C$2&amp;"|"&amp;(ROW()-4),Tasks!$L$4:$L$403,0)+3,"")</f>
        <v>57</v>
      </c>
      <c r="B58" s="17" t="str">
        <f aca="false">IF($A58="","",IF(INDEX(Tasks!$A:$A,$A58)="","",INDEX(Tasks!$A:$A,$A58)))</f>
        <v>G1-GS-6</v>
      </c>
      <c r="C58" s="17" t="str">
        <f aca="false">IF($A58="","",IF(ISERROR(FIND(".",INDEX(Tasks!$A:$A,$A58))),"","   ")&amp;INDEX(Tasks!$C:$C,$A58))</f>
        <v>Evaluation</v>
      </c>
      <c r="D58" s="17" t="str">
        <f aca="false">IF($A58="","",IF(INDEX(Tasks!$D:$D,$A58)="","",INDEX(Tasks!$D:$D,$A58)))</f>
        <v>GS-SLAM owner</v>
      </c>
      <c r="E58" s="17" t="str">
        <f aca="false">IF($A58="","",IF(INDEX(Tasks!$E:$E,$A58)="","",INDEX(Tasks!$E:$E,$A58)))</f>
        <v>Not Started</v>
      </c>
      <c r="F58" s="18" t="n">
        <f aca="false">IF($A58="","",IF(INDEX(Tasks!$F:$F,$A58)="","",INDEX(Tasks!$F:$F,$A58)))</f>
        <v>46377</v>
      </c>
      <c r="G58" s="18" t="n">
        <f aca="false">IF($A58="","",IF(INDEX(Tasks!$H:$H,$A58)="","",INDEX(Tasks!$H:$H,$A58)))</f>
        <v>46388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n">
        <f aca="false">IFERROR(MATCH($C$2&amp;"|"&amp;(ROW()-4),Tasks!$L$4:$L$403,0)+3,"")</f>
        <v>58</v>
      </c>
      <c r="B59" s="17" t="str">
        <f aca="false">IF($A59="","",IF(INDEX(Tasks!$A:$A,$A59)="","",INDEX(Tasks!$A:$A,$A59)))</f>
        <v>G1-SD-1</v>
      </c>
      <c r="C59" s="17" t="str">
        <f aca="false">IF($A59="","",IF(ISERROR(FIND(".",INDEX(Tasks!$A:$A,$A59))),"","   ")&amp;INDEX(Tasks!$C:$C,$A59))</f>
        <v>Object asset library</v>
      </c>
      <c r="D59" s="17" t="str">
        <f aca="false">IF($A59="","",IF(INDEX(Tasks!$D:$D,$A59)="","",INDEX(Tasks!$D:$D,$A59)))</f>
        <v>Scene detection owner</v>
      </c>
      <c r="E59" s="17" t="str">
        <f aca="false">IF($A59="","",IF(INDEX(Tasks!$E:$E,$A59)="","",INDEX(Tasks!$E:$E,$A59)))</f>
        <v>Not Started</v>
      </c>
      <c r="F59" s="18" t="n">
        <f aca="false">IF($A59="","",IF(INDEX(Tasks!$F:$F,$A59)="","",INDEX(Tasks!$F:$F,$A59)))</f>
        <v>46307</v>
      </c>
      <c r="G59" s="18" t="n">
        <f aca="false">IF($A59="","",IF(INDEX(Tasks!$H:$H,$A59)="","",INDEX(Tasks!$H:$H,$A59)))</f>
        <v>46325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n">
        <f aca="false">IFERROR(MATCH($C$2&amp;"|"&amp;(ROW()-4),Tasks!$L$4:$L$403,0)+3,"")</f>
        <v>59</v>
      </c>
      <c r="B60" s="17" t="str">
        <f aca="false">IF($A60="","",IF(INDEX(Tasks!$A:$A,$A60)="","",INDEX(Tasks!$A:$A,$A60)))</f>
        <v>G1-SD-2</v>
      </c>
      <c r="C60" s="17" t="str">
        <f aca="false">IF($A60="","",IF(ISERROR(FIND(".",INDEX(Tasks!$A:$A,$A60))),"","   ")&amp;INDEX(Tasks!$C:$C,$A60))</f>
        <v>Object retrieval from G*</v>
      </c>
      <c r="D60" s="17" t="str">
        <f aca="false">IF($A60="","",IF(INDEX(Tasks!$D:$D,$A60)="","",INDEX(Tasks!$D:$D,$A60)))</f>
        <v>Scene detection owner</v>
      </c>
      <c r="E60" s="17" t="str">
        <f aca="false">IF($A60="","",IF(INDEX(Tasks!$E:$E,$A60)="","",INDEX(Tasks!$E:$E,$A60)))</f>
        <v>Not Started</v>
      </c>
      <c r="F60" s="18" t="n">
        <f aca="false">IF($A60="","",IF(INDEX(Tasks!$F:$F,$A60)="","",INDEX(Tasks!$F:$F,$A60)))</f>
        <v>46328</v>
      </c>
      <c r="G60" s="18" t="n">
        <f aca="false">IF($A60="","",IF(INDEX(Tasks!$H:$H,$A60)="","",INDEX(Tasks!$H:$H,$A60)))</f>
        <v>46353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n">
        <f aca="false">IFERROR(MATCH($C$2&amp;"|"&amp;(ROW()-4),Tasks!$L$4:$L$403,0)+3,"")</f>
        <v>60</v>
      </c>
      <c r="B61" s="17" t="str">
        <f aca="false">IF($A61="","",IF(INDEX(Tasks!$A:$A,$A61)="","",INDEX(Tasks!$A:$A,$A61)))</f>
        <v>G1-SD-2.1</v>
      </c>
      <c r="C61" s="17" t="str">
        <f aca="false">IF($A61="","",IF(ISERROR(FIND(".",INDEX(Tasks!$A:$A,$A61))),"","   ")&amp;INDEX(Tasks!$C:$C,$A61))</f>
        <v>   Object Detection &amp; Instance Identification (RGB / RGBD / LiDAR / Radar)</v>
      </c>
      <c r="D61" s="17" t="str">
        <f aca="false">IF($A61="","",IF(INDEX(Tasks!$D:$D,$A61)="","",INDEX(Tasks!$D:$D,$A61)))</f>
        <v>Scene detection owner</v>
      </c>
      <c r="E61" s="17" t="str">
        <f aca="false">IF($A61="","",IF(INDEX(Tasks!$E:$E,$A61)="","",INDEX(Tasks!$E:$E,$A61)))</f>
        <v>Not Started</v>
      </c>
      <c r="F61" s="18" t="n">
        <f aca="false">IF($A61="","",IF(INDEX(Tasks!$F:$F,$A61)="","",INDEX(Tasks!$F:$F,$A61)))</f>
        <v>46209</v>
      </c>
      <c r="G61" s="18" t="n">
        <f aca="false">IF($A61="","",IF(INDEX(Tasks!$H:$H,$A61)="","",INDEX(Tasks!$H:$H,$A61)))</f>
        <v>46220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n">
        <f aca="false">IFERROR(MATCH($C$2&amp;"|"&amp;(ROW()-4),Tasks!$L$4:$L$403,0)+3,"")</f>
        <v>61</v>
      </c>
      <c r="B62" s="17" t="str">
        <f aca="false">IF($A62="","",IF(INDEX(Tasks!$A:$A,$A62)="","",INDEX(Tasks!$A:$A,$A62)))</f>
        <v>G1-SD-2.2</v>
      </c>
      <c r="C62" s="17" t="str">
        <f aca="false">IF($A62="","",IF(ISERROR(FIND(".",INDEX(Tasks!$A:$A,$A62))),"","   ")&amp;INDEX(Tasks!$C:$C,$A62))</f>
        <v>   Radar + Panoptic Fusion Tracking</v>
      </c>
      <c r="D62" s="17" t="str">
        <f aca="false">IF($A62="","",IF(INDEX(Tasks!$D:$D,$A62)="","",INDEX(Tasks!$D:$D,$A62)))</f>
        <v>Scene detection owner</v>
      </c>
      <c r="E62" s="17" t="str">
        <f aca="false">IF($A62="","",IF(INDEX(Tasks!$E:$E,$A62)="","",INDEX(Tasks!$E:$E,$A62)))</f>
        <v>Not Started</v>
      </c>
      <c r="F62" s="18" t="n">
        <f aca="false">IF($A62="","",IF(INDEX(Tasks!$F:$F,$A62)="","",INDEX(Tasks!$F:$F,$A62)))</f>
        <v>46209</v>
      </c>
      <c r="G62" s="18" t="n">
        <f aca="false">IF($A62="","",IF(INDEX(Tasks!$H:$H,$A62)="","",INDEX(Tasks!$H:$H,$A62)))</f>
        <v>46220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n">
        <f aca="false">IFERROR(MATCH($C$2&amp;"|"&amp;(ROW()-4),Tasks!$L$4:$L$403,0)+3,"")</f>
        <v>62</v>
      </c>
      <c r="B63" s="17" t="str">
        <f aca="false">IF($A63="","",IF(INDEX(Tasks!$A:$A,$A63)="","",INDEX(Tasks!$A:$A,$A63)))</f>
        <v>G1-SD-3</v>
      </c>
      <c r="C63" s="17" t="str">
        <f aca="false">IF($A63="","",IF(ISERROR(FIND(".",INDEX(Tasks!$A:$A,$A63))),"","   ")&amp;INDEX(Tasks!$C:$C,$A63))</f>
        <v>Decomposition: segments &amp; materials</v>
      </c>
      <c r="D63" s="17" t="str">
        <f aca="false">IF($A63="","",IF(INDEX(Tasks!$D:$D,$A63)="","",INDEX(Tasks!$D:$D,$A63)))</f>
        <v>Scene detection owner</v>
      </c>
      <c r="E63" s="17" t="str">
        <f aca="false">IF($A63="","",IF(INDEX(Tasks!$E:$E,$A63)="","",INDEX(Tasks!$E:$E,$A63)))</f>
        <v>Not Started</v>
      </c>
      <c r="F63" s="18" t="n">
        <f aca="false">IF($A63="","",IF(INDEX(Tasks!$F:$F,$A63)="","",INDEX(Tasks!$F:$F,$A63)))</f>
        <v>46335</v>
      </c>
      <c r="G63" s="18" t="n">
        <f aca="false">IF($A63="","",IF(INDEX(Tasks!$H:$H,$A63)="","",INDEX(Tasks!$H:$H,$A63)))</f>
        <v>46360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n">
        <f aca="false">IFERROR(MATCH($C$2&amp;"|"&amp;(ROW()-4),Tasks!$L$4:$L$403,0)+3,"")</f>
        <v>63</v>
      </c>
      <c r="B64" s="17" t="str">
        <f aca="false">IF($A64="","",IF(INDEX(Tasks!$A:$A,$A64)="","",INDEX(Tasks!$A:$A,$A64)))</f>
        <v>G1-SD-4</v>
      </c>
      <c r="C64" s="17" t="str">
        <f aca="false">IF($A64="","",IF(ISERROR(FIND(".",INDEX(Tasks!$A:$A,$A64))),"","   ")&amp;INDEX(Tasks!$C:$C,$A64))</f>
        <v>Change detection</v>
      </c>
      <c r="D64" s="17" t="str">
        <f aca="false">IF($A64="","",IF(INDEX(Tasks!$D:$D,$A64)="","",INDEX(Tasks!$D:$D,$A64)))</f>
        <v>Scene detection owner</v>
      </c>
      <c r="E64" s="17" t="str">
        <f aca="false">IF($A64="","",IF(INDEX(Tasks!$E:$E,$A64)="","",INDEX(Tasks!$E:$E,$A64)))</f>
        <v>Not Started</v>
      </c>
      <c r="F64" s="18" t="n">
        <f aca="false">IF($A64="","",IF(INDEX(Tasks!$F:$F,$A64)="","",INDEX(Tasks!$F:$F,$A64)))</f>
        <v>46356</v>
      </c>
      <c r="G64" s="18" t="n">
        <f aca="false">IF($A64="","",IF(INDEX(Tasks!$H:$H,$A64)="","",INDEX(Tasks!$H:$H,$A64)))</f>
        <v>46381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n">
        <f aca="false">IFERROR(MATCH($C$2&amp;"|"&amp;(ROW()-4),Tasks!$L$4:$L$403,0)+3,"")</f>
        <v>64</v>
      </c>
      <c r="B65" s="17" t="str">
        <f aca="false">IF($A65="","",IF(INDEX(Tasks!$A:$A,$A65)="","",INDEX(Tasks!$A:$A,$A65)))</f>
        <v>G1-SD-4.1</v>
      </c>
      <c r="C65" s="17" t="str">
        <f aca="false">IF($A65="","",IF(ISERROR(FIND(".",INDEX(Tasks!$A:$A,$A65))),"","   ")&amp;INDEX(Tasks!$C:$C,$A65))</f>
        <v>   Change Detection (Object Moved / Appeared / Disappeared)</v>
      </c>
      <c r="D65" s="17" t="str">
        <f aca="false">IF($A65="","",IF(INDEX(Tasks!$D:$D,$A65)="","",INDEX(Tasks!$D:$D,$A65)))</f>
        <v>Scene detection owner</v>
      </c>
      <c r="E65" s="17" t="str">
        <f aca="false">IF($A65="","",IF(INDEX(Tasks!$E:$E,$A65)="","",INDEX(Tasks!$E:$E,$A65)))</f>
        <v>Not Started</v>
      </c>
      <c r="F65" s="18" t="n">
        <f aca="false">IF($A65="","",IF(INDEX(Tasks!$F:$F,$A65)="","",INDEX(Tasks!$F:$F,$A65)))</f>
        <v>46223</v>
      </c>
      <c r="G65" s="18" t="n">
        <f aca="false">IF($A65="","",IF(INDEX(Tasks!$H:$H,$A65)="","",INDEX(Tasks!$H:$H,$A65)))</f>
        <v>46227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n">
        <f aca="false">IFERROR(MATCH($C$2&amp;"|"&amp;(ROW()-4),Tasks!$L$4:$L$403,0)+3,"")</f>
        <v>65</v>
      </c>
      <c r="B66" s="17" t="str">
        <f aca="false">IF($A66="","",IF(INDEX(Tasks!$A:$A,$A66)="","",INDEX(Tasks!$A:$A,$A66)))</f>
        <v>G1-SD-5</v>
      </c>
      <c r="C66" s="17" t="str">
        <f aca="false">IF($A66="","",IF(ISERROR(FIND(".",INDEX(Tasks!$A:$A,$A66))),"","   ")&amp;INDEX(Tasks!$C:$C,$A66))</f>
        <v>Maintenance with change history</v>
      </c>
      <c r="D66" s="17" t="str">
        <f aca="false">IF($A66="","",IF(INDEX(Tasks!$D:$D,$A66)="","",INDEX(Tasks!$D:$D,$A66)))</f>
        <v>Scene detection owner</v>
      </c>
      <c r="E66" s="17" t="str">
        <f aca="false">IF($A66="","",IF(INDEX(Tasks!$E:$E,$A66)="","",INDEX(Tasks!$E:$E,$A66)))</f>
        <v>Not Started</v>
      </c>
      <c r="F66" s="18" t="n">
        <f aca="false">IF($A66="","",IF(INDEX(Tasks!$F:$F,$A66)="","",INDEX(Tasks!$F:$F,$A66)))</f>
        <v>46370</v>
      </c>
      <c r="G66" s="18" t="n">
        <f aca="false">IF($A66="","",IF(INDEX(Tasks!$H:$H,$A66)="","",INDEX(Tasks!$H:$H,$A66)))</f>
        <v>46388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n">
        <f aca="false">IFERROR(MATCH($C$2&amp;"|"&amp;(ROW()-4),Tasks!$L$4:$L$403,0)+3,"")</f>
        <v>66</v>
      </c>
      <c r="B67" s="17" t="str">
        <f aca="false">IF($A67="","",IF(INDEX(Tasks!$A:$A,$A67)="","",INDEX(Tasks!$A:$A,$A67)))</f>
        <v>G1-SD-5.1</v>
      </c>
      <c r="C67" s="17" t="str">
        <f aca="false">IF($A67="","",IF(ISERROR(FIND(".",INDEX(Tasks!$A:$A,$A67))),"","   ")&amp;INDEX(Tasks!$C:$C,$A67))</f>
        <v>   Scene Graph &amp; Map Update on Change (with Change History)</v>
      </c>
      <c r="D67" s="17" t="str">
        <f aca="false">IF($A67="","",IF(INDEX(Tasks!$D:$D,$A67)="","",INDEX(Tasks!$D:$D,$A67)))</f>
        <v>Scene detection owner</v>
      </c>
      <c r="E67" s="17" t="str">
        <f aca="false">IF($A67="","",IF(INDEX(Tasks!$E:$E,$A67)="","",INDEX(Tasks!$E:$E,$A67)))</f>
        <v>Not Started</v>
      </c>
      <c r="F67" s="18" t="n">
        <f aca="false">IF($A67="","",IF(INDEX(Tasks!$F:$F,$A67)="","",INDEX(Tasks!$F:$F,$A67)))</f>
        <v>46223</v>
      </c>
      <c r="G67" s="18" t="n">
        <f aca="false">IF($A67="","",IF(INDEX(Tasks!$H:$H,$A67)="","",INDEX(Tasks!$H:$H,$A67)))</f>
        <v>46234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n">
        <f aca="false">IFERROR(MATCH($C$2&amp;"|"&amp;(ROW()-4),Tasks!$L$4:$L$403,0)+3,"")</f>
        <v>67</v>
      </c>
      <c r="B68" s="17" t="str">
        <f aca="false">IF($A68="","",IF(INDEX(Tasks!$A:$A,$A68)="","",INDEX(Tasks!$A:$A,$A68)))</f>
        <v>G1-SD-6</v>
      </c>
      <c r="C68" s="17" t="str">
        <f aca="false">IF($A68="","",IF(ISERROR(FIND(".",INDEX(Tasks!$A:$A,$A68))),"","   ")&amp;INDEX(Tasks!$C:$C,$A68))</f>
        <v>USD edits to Isaac</v>
      </c>
      <c r="D68" s="17" t="str">
        <f aca="false">IF($A68="","",IF(INDEX(Tasks!$D:$D,$A68)="","",INDEX(Tasks!$D:$D,$A68)))</f>
        <v>Scene detection owner</v>
      </c>
      <c r="E68" s="17" t="str">
        <f aca="false">IF($A68="","",IF(INDEX(Tasks!$E:$E,$A68)="","",INDEX(Tasks!$E:$E,$A68)))</f>
        <v>Not Started</v>
      </c>
      <c r="F68" s="18" t="n">
        <f aca="false">IF($A68="","",IF(INDEX(Tasks!$F:$F,$A68)="","",INDEX(Tasks!$F:$F,$A68)))</f>
        <v>46370</v>
      </c>
      <c r="G68" s="18" t="n">
        <f aca="false">IF($A68="","",IF(INDEX(Tasks!$H:$H,$A68)="","",INDEX(Tasks!$H:$H,$A68)))</f>
        <v>46388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n">
        <f aca="false">IFERROR(MATCH($C$2&amp;"|"&amp;(ROW()-4),Tasks!$L$4:$L$403,0)+3,"")</f>
        <v>68</v>
      </c>
      <c r="B69" s="17" t="str">
        <f aca="false">IF($A69="","",IF(INDEX(Tasks!$A:$A,$A69)="","",INDEX(Tasks!$A:$A,$A69)))</f>
        <v>G1-SD-7</v>
      </c>
      <c r="C69" s="17" t="str">
        <f aca="false">IF($A69="","",IF(ISERROR(FIND(".",INDEX(Tasks!$A:$A,$A69))),"","   ")&amp;INDEX(Tasks!$C:$C,$A69))</f>
        <v>Live targets from the ED305 cameras</v>
      </c>
      <c r="D69" s="17" t="str">
        <f aca="false">IF($A69="","",IF(INDEX(Tasks!$D:$D,$A69)="","",INDEX(Tasks!$D:$D,$A69)))</f>
        <v>Scene detection owner</v>
      </c>
      <c r="E69" s="17" t="str">
        <f aca="false">IF($A69="","",IF(INDEX(Tasks!$E:$E,$A69)="","",INDEX(Tasks!$E:$E,$A69)))</f>
        <v>Not Started</v>
      </c>
      <c r="F69" s="18" t="n">
        <f aca="false">IF($A69="","",IF(INDEX(Tasks!$F:$F,$A69)="","",INDEX(Tasks!$F:$F,$A69)))</f>
        <v>46349</v>
      </c>
      <c r="G69" s="18" t="n">
        <f aca="false">IF($A69="","",IF(INDEX(Tasks!$H:$H,$A69)="","",INDEX(Tasks!$H:$H,$A69)))</f>
        <v>46374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n">
        <f aca="false">IFERROR(MATCH($C$2&amp;"|"&amp;(ROW()-4),Tasks!$L$4:$L$403,0)+3,"")</f>
        <v>69</v>
      </c>
      <c r="B70" s="17" t="str">
        <f aca="false">IF($A70="","",IF(INDEX(Tasks!$A:$A,$A70)="","",INDEX(Tasks!$A:$A,$A70)))</f>
        <v>G1-IS-1</v>
      </c>
      <c r="C70" s="17" t="str">
        <f aca="false">IF($A70="","",IF(ISERROR(FIND(".",INDEX(Tasks!$A:$A,$A70))),"","   ")&amp;INDEX(Tasks!$C:$C,$A70))</f>
        <v>ED305 USD stage in the room frame</v>
      </c>
      <c r="D70" s="17" t="str">
        <f aca="false">IF($A70="","",IF(INDEX(Tasks!$D:$D,$A70)="","",INDEX(Tasks!$D:$D,$A70)))</f>
        <v>Isaac Sim owner</v>
      </c>
      <c r="E70" s="17" t="str">
        <f aca="false">IF($A70="","",IF(INDEX(Tasks!$E:$E,$A70)="","",INDEX(Tasks!$E:$E,$A70)))</f>
        <v>Not Started</v>
      </c>
      <c r="F70" s="18" t="n">
        <f aca="false">IF($A70="","",IF(INDEX(Tasks!$F:$F,$A70)="","",INDEX(Tasks!$F:$F,$A70)))</f>
        <v>46307</v>
      </c>
      <c r="G70" s="18" t="n">
        <f aca="false">IF($A70="","",IF(INDEX(Tasks!$H:$H,$A70)="","",INDEX(Tasks!$H:$H,$A70)))</f>
        <v>46325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n">
        <f aca="false">IFERROR(MATCH($C$2&amp;"|"&amp;(ROW()-4),Tasks!$L$4:$L$403,0)+3,"")</f>
        <v>70</v>
      </c>
      <c r="B71" s="17" t="str">
        <f aca="false">IF($A71="","",IF(INDEX(Tasks!$A:$A,$A71)="","",INDEX(Tasks!$A:$A,$A71)))</f>
        <v>G1-IS-2</v>
      </c>
      <c r="C71" s="17" t="str">
        <f aca="false">IF($A71="","",IF(ISERROR(FIND(".",INDEX(Tasks!$A:$A,$A71))),"","   ")&amp;INDEX(Tasks!$C:$C,$A71))</f>
        <v>Robot + antenna prims, live pose</v>
      </c>
      <c r="D71" s="17" t="str">
        <f aca="false">IF($A71="","",IF(INDEX(Tasks!$D:$D,$A71)="","",INDEX(Tasks!$D:$D,$A71)))</f>
        <v>Isaac Sim owner</v>
      </c>
      <c r="E71" s="17" t="str">
        <f aca="false">IF($A71="","",IF(INDEX(Tasks!$E:$E,$A71)="","",INDEX(Tasks!$E:$E,$A71)))</f>
        <v>Not Started</v>
      </c>
      <c r="F71" s="18" t="n">
        <f aca="false">IF($A71="","",IF(INDEX(Tasks!$F:$F,$A71)="","",INDEX(Tasks!$F:$F,$A71)))</f>
        <v>46321</v>
      </c>
      <c r="G71" s="18" t="n">
        <f aca="false">IF($A71="","",IF(INDEX(Tasks!$H:$H,$A71)="","",INDEX(Tasks!$H:$H,$A71)))</f>
        <v>46339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n">
        <f aca="false">IFERROR(MATCH($C$2&amp;"|"&amp;(ROW()-4),Tasks!$L$4:$L$403,0)+3,"")</f>
        <v>71</v>
      </c>
      <c r="B72" s="17" t="str">
        <f aca="false">IF($A72="","",IF(INDEX(Tasks!$A:$A,$A72)="","",INDEX(Tasks!$A:$A,$A72)))</f>
        <v>G1-IS-3</v>
      </c>
      <c r="C72" s="17" t="str">
        <f aca="false">IF($A72="","",IF(ISERROR(FIND(".",INDEX(Tasks!$A:$A,$A72))),"","   ")&amp;INDEX(Tasks!$C:$C,$A72))</f>
        <v>Gaussian layer</v>
      </c>
      <c r="D72" s="17" t="str">
        <f aca="false">IF($A72="","",IF(INDEX(Tasks!$D:$D,$A72)="","",INDEX(Tasks!$D:$D,$A72)))</f>
        <v>Isaac Sim owner</v>
      </c>
      <c r="E72" s="17" t="str">
        <f aca="false">IF($A72="","",IF(INDEX(Tasks!$E:$E,$A72)="","",INDEX(Tasks!$E:$E,$A72)))</f>
        <v>Not Started</v>
      </c>
      <c r="F72" s="18" t="n">
        <f aca="false">IF($A72="","",IF(INDEX(Tasks!$F:$F,$A72)="","",INDEX(Tasks!$F:$F,$A72)))</f>
        <v>46335</v>
      </c>
      <c r="G72" s="18" t="n">
        <f aca="false">IF($A72="","",IF(INDEX(Tasks!$H:$H,$A72)="","",INDEX(Tasks!$H:$H,$A72)))</f>
        <v>46353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n">
        <f aca="false">IFERROR(MATCH($C$2&amp;"|"&amp;(ROW()-4),Tasks!$L$4:$L$403,0)+3,"")</f>
        <v>72</v>
      </c>
      <c r="B73" s="17" t="str">
        <f aca="false">IF($A73="","",IF(INDEX(Tasks!$A:$A,$A73)="","",INDEX(Tasks!$A:$A,$A73)))</f>
        <v>G1-IS-4</v>
      </c>
      <c r="C73" s="17" t="str">
        <f aca="false">IF($A73="","",IF(ISERROR(FIND(".",INDEX(Tasks!$A:$A,$A73))),"","   ")&amp;INDEX(Tasks!$C:$C,$A73))</f>
        <v>Mesh layer</v>
      </c>
      <c r="D73" s="17" t="str">
        <f aca="false">IF($A73="","",IF(INDEX(Tasks!$D:$D,$A73)="","",INDEX(Tasks!$D:$D,$A73)))</f>
        <v>Isaac Sim owner</v>
      </c>
      <c r="E73" s="17" t="str">
        <f aca="false">IF($A73="","",IF(INDEX(Tasks!$E:$E,$A73)="","",INDEX(Tasks!$E:$E,$A73)))</f>
        <v>Not Started</v>
      </c>
      <c r="F73" s="18" t="n">
        <f aca="false">IF($A73="","",IF(INDEX(Tasks!$F:$F,$A73)="","",INDEX(Tasks!$F:$F,$A73)))</f>
        <v>46328</v>
      </c>
      <c r="G73" s="18" t="n">
        <f aca="false">IF($A73="","",IF(INDEX(Tasks!$H:$H,$A73)="","",INDEX(Tasks!$H:$H,$A73)))</f>
        <v>46346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n">
        <f aca="false">IFERROR(MATCH($C$2&amp;"|"&amp;(ROW()-4),Tasks!$L$4:$L$403,0)+3,"")</f>
        <v>73</v>
      </c>
      <c r="B74" s="17" t="str">
        <f aca="false">IF($A74="","",IF(INDEX(Tasks!$A:$A,$A74)="","",INDEX(Tasks!$A:$A,$A74)))</f>
        <v>G1-IS-5</v>
      </c>
      <c r="C74" s="17" t="str">
        <f aca="false">IF($A74="","",IF(ISERROR(FIND(".",INDEX(Tasks!$A:$A,$A74))),"","   ")&amp;INDEX(Tasks!$C:$C,$A74))</f>
        <v>Expected-view render</v>
      </c>
      <c r="D74" s="17" t="str">
        <f aca="false">IF($A74="","",IF(INDEX(Tasks!$D:$D,$A74)="","",INDEX(Tasks!$D:$D,$A74)))</f>
        <v>Isaac Sim owner</v>
      </c>
      <c r="E74" s="17" t="str">
        <f aca="false">IF($A74="","",IF(INDEX(Tasks!$E:$E,$A74)="","",INDEX(Tasks!$E:$E,$A74)))</f>
        <v>Not Started</v>
      </c>
      <c r="F74" s="18" t="n">
        <f aca="false">IF($A74="","",IF(INDEX(Tasks!$F:$F,$A74)="","",INDEX(Tasks!$F:$F,$A74)))</f>
        <v>46349</v>
      </c>
      <c r="G74" s="18" t="n">
        <f aca="false">IF($A74="","",IF(INDEX(Tasks!$H:$H,$A74)="","",INDEX(Tasks!$H:$H,$A74)))</f>
        <v>46367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n">
        <f aca="false">IFERROR(MATCH($C$2&amp;"|"&amp;(ROW()-4),Tasks!$L$4:$L$403,0)+3,"")</f>
        <v>74</v>
      </c>
      <c r="B75" s="17" t="str">
        <f aca="false">IF($A75="","",IF(INDEX(Tasks!$A:$A,$A75)="","",INDEX(Tasks!$A:$A,$A75)))</f>
        <v>G1-IS-6</v>
      </c>
      <c r="C75" s="17" t="str">
        <f aca="false">IF($A75="","",IF(ISERROR(FIND(".",INDEX(Tasks!$A:$A,$A75))),"","   ")&amp;INDEX(Tasks!$C:$C,$A75))</f>
        <v>Apply live USD edits</v>
      </c>
      <c r="D75" s="17" t="str">
        <f aca="false">IF($A75="","",IF(INDEX(Tasks!$D:$D,$A75)="","",INDEX(Tasks!$D:$D,$A75)))</f>
        <v>Isaac Sim owner</v>
      </c>
      <c r="E75" s="17" t="str">
        <f aca="false">IF($A75="","",IF(INDEX(Tasks!$E:$E,$A75)="","",INDEX(Tasks!$E:$E,$A75)))</f>
        <v>Not Started</v>
      </c>
      <c r="F75" s="18" t="n">
        <f aca="false">IF($A75="","",IF(INDEX(Tasks!$F:$F,$A75)="","",INDEX(Tasks!$F:$F,$A75)))</f>
        <v>46370</v>
      </c>
      <c r="G75" s="18" t="n">
        <f aca="false">IF($A75="","",IF(INDEX(Tasks!$H:$H,$A75)="","",INDEX(Tasks!$H:$H,$A75)))</f>
        <v>46388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n">
        <f aca="false">IFERROR(MATCH($C$2&amp;"|"&amp;(ROW()-4),Tasks!$L$4:$L$403,0)+3,"")</f>
        <v>75</v>
      </c>
      <c r="B76" s="17" t="str">
        <f aca="false">IF($A76="","",IF(INDEX(Tasks!$A:$A,$A76)="","",INDEX(Tasks!$A:$A,$A76)))</f>
        <v>G1-IS-7</v>
      </c>
      <c r="C76" s="17" t="str">
        <f aca="false">IF($A76="","",IF(ISERROR(FIND(".",INDEX(Tasks!$A:$A,$A76))),"","   ")&amp;INDEX(Tasks!$C:$C,$A76))</f>
        <v>Control commands to robots</v>
      </c>
      <c r="D76" s="17" t="str">
        <f aca="false">IF($A76="","",IF(INDEX(Tasks!$D:$D,$A76)="","",INDEX(Tasks!$D:$D,$A76)))</f>
        <v>Isaac Sim owner</v>
      </c>
      <c r="E76" s="17" t="str">
        <f aca="false">IF($A76="","",IF(INDEX(Tasks!$E:$E,$A76)="","",INDEX(Tasks!$E:$E,$A76)))</f>
        <v>Not Started</v>
      </c>
      <c r="F76" s="18" t="n">
        <f aca="false">IF($A76="","",IF(INDEX(Tasks!$F:$F,$A76)="","",INDEX(Tasks!$F:$F,$A76)))</f>
        <v>46391</v>
      </c>
      <c r="G76" s="18" t="n">
        <f aca="false">IF($A76="","",IF(INDEX(Tasks!$H:$H,$A76)="","",INDEX(Tasks!$H:$H,$A76)))</f>
        <v>46402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n">
        <f aca="false">IFERROR(MATCH($C$2&amp;"|"&amp;(ROW()-4),Tasks!$L$4:$L$403,0)+3,"")</f>
        <v>76</v>
      </c>
      <c r="B77" s="17" t="str">
        <f aca="false">IF($A77="","",IF(INDEX(Tasks!$A:$A,$A77)="","",INDEX(Tasks!$A:$A,$A77)))</f>
        <v>G1-IS-8</v>
      </c>
      <c r="C77" s="17" t="str">
        <f aca="false">IF($A77="","",IF(ISERROR(FIND(".",INDEX(Tasks!$A:$A,$A77))),"","   ")&amp;INDEX(Tasks!$C:$C,$A77))</f>
        <v>Export to Sionna</v>
      </c>
      <c r="D77" s="17" t="str">
        <f aca="false">IF($A77="","",IF(INDEX(Tasks!$D:$D,$A77)="","",INDEX(Tasks!$D:$D,$A77)))</f>
        <v>Isaac Sim owner</v>
      </c>
      <c r="E77" s="17" t="str">
        <f aca="false">IF($A77="","",IF(INDEX(Tasks!$E:$E,$A77)="","",INDEX(Tasks!$E:$E,$A77)))</f>
        <v>Not Started</v>
      </c>
      <c r="F77" s="18" t="n">
        <f aca="false">IF($A77="","",IF(INDEX(Tasks!$F:$F,$A77)="","",INDEX(Tasks!$F:$F,$A77)))</f>
        <v>46356</v>
      </c>
      <c r="G77" s="18" t="n">
        <f aca="false">IF($A77="","",IF(INDEX(Tasks!$H:$H,$A77)="","",INDEX(Tasks!$H:$H,$A77)))</f>
        <v>46367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n">
        <f aca="false">IFERROR(MATCH($C$2&amp;"|"&amp;(ROW()-4),Tasks!$L$4:$L$403,0)+3,"")</f>
        <v>77</v>
      </c>
      <c r="B78" s="17" t="str">
        <f aca="false">IF($A78="","",IF(INDEX(Tasks!$A:$A,$A78)="","",INDEX(Tasks!$A:$A,$A78)))</f>
        <v>G1-SR-1</v>
      </c>
      <c r="C78" s="17" t="str">
        <f aca="false">IF($A78="","",IF(ISERROR(FIND(".",INDEX(Tasks!$A:$A,$A78))),"","   ")&amp;INDEX(Tasks!$C:$C,$A78))</f>
        <v>Scene export USD -&gt; Mitsuba</v>
      </c>
      <c r="D78" s="17" t="str">
        <f aca="false">IF($A78="","",IF(INDEX(Tasks!$D:$D,$A78)="","",INDEX(Tasks!$D:$D,$A78)))</f>
        <v>Sionna RT owner</v>
      </c>
      <c r="E78" s="17" t="str">
        <f aca="false">IF($A78="","",IF(INDEX(Tasks!$E:$E,$A78)="","",INDEX(Tasks!$E:$E,$A78)))</f>
        <v>Not Started</v>
      </c>
      <c r="F78" s="18" t="n">
        <f aca="false">IF($A78="","",IF(INDEX(Tasks!$F:$F,$A78)="","",INDEX(Tasks!$F:$F,$A78)))</f>
        <v>46363</v>
      </c>
      <c r="G78" s="18" t="n">
        <f aca="false">IF($A78="","",IF(INDEX(Tasks!$H:$H,$A78)="","",INDEX(Tasks!$H:$H,$A78)))</f>
        <v>46374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n">
        <f aca="false">IFERROR(MATCH($C$2&amp;"|"&amp;(ROW()-4),Tasks!$L$4:$L$403,0)+3,"")</f>
        <v>78</v>
      </c>
      <c r="B79" s="17" t="str">
        <f aca="false">IF($A79="","",IF(INDEX(Tasks!$A:$A,$A79)="","",INDEX(Tasks!$A:$A,$A79)))</f>
        <v>G1-SR-2</v>
      </c>
      <c r="C79" s="17" t="str">
        <f aca="false">IF($A79="","",IF(ISERROR(FIND(".",INDEX(Tasks!$A:$A,$A79))),"","   ")&amp;INDEX(Tasks!$C:$C,$A79))</f>
        <v>Path solver, all Tx/Rx links</v>
      </c>
      <c r="D79" s="17" t="str">
        <f aca="false">IF($A79="","",IF(INDEX(Tasks!$D:$D,$A79)="","",INDEX(Tasks!$D:$D,$A79)))</f>
        <v>Sionna RT owner</v>
      </c>
      <c r="E79" s="17" t="str">
        <f aca="false">IF($A79="","",IF(INDEX(Tasks!$E:$E,$A79)="","",INDEX(Tasks!$E:$E,$A79)))</f>
        <v>Not Started</v>
      </c>
      <c r="F79" s="18" t="n">
        <f aca="false">IF($A79="","",IF(INDEX(Tasks!$F:$F,$A79)="","",INDEX(Tasks!$F:$F,$A79)))</f>
        <v>46370</v>
      </c>
      <c r="G79" s="18" t="n">
        <f aca="false">IF($A79="","",IF(INDEX(Tasks!$H:$H,$A79)="","",INDEX(Tasks!$H:$H,$A79)))</f>
        <v>46388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n">
        <f aca="false">IFERROR(MATCH($C$2&amp;"|"&amp;(ROW()-4),Tasks!$L$4:$L$403,0)+3,"")</f>
        <v>79</v>
      </c>
      <c r="B80" s="17" t="str">
        <f aca="false">IF($A80="","",IF(INDEX(Tasks!$A:$A,$A80)="","",INDEX(Tasks!$A:$A,$A80)))</f>
        <v>G1-SR-3</v>
      </c>
      <c r="C80" s="17" t="str">
        <f aca="false">IF($A80="","",IF(ISERROR(FIND(".",INDEX(Tasks!$A:$A,$A80))),"","   ")&amp;INDEX(Tasks!$C:$C,$A80))</f>
        <v>Channel output</v>
      </c>
      <c r="D80" s="17" t="str">
        <f aca="false">IF($A80="","",IF(INDEX(Tasks!$D:$D,$A80)="","",INDEX(Tasks!$D:$D,$A80)))</f>
        <v>Sionna RT owner</v>
      </c>
      <c r="E80" s="17" t="str">
        <f aca="false">IF($A80="","",IF(INDEX(Tasks!$E:$E,$A80)="","",INDEX(Tasks!$E:$E,$A80)))</f>
        <v>Not Started</v>
      </c>
      <c r="F80" s="18" t="n">
        <f aca="false">IF($A80="","",IF(INDEX(Tasks!$F:$F,$A80)="","",INDEX(Tasks!$F:$F,$A80)))</f>
        <v>46384</v>
      </c>
      <c r="G80" s="18" t="n">
        <f aca="false">IF($A80="","",IF(INDEX(Tasks!$H:$H,$A80)="","",INDEX(Tasks!$H:$H,$A80)))</f>
        <v>46395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n">
        <f aca="false">IFERROR(MATCH($C$2&amp;"|"&amp;(ROW()-4),Tasks!$L$4:$L$403,0)+3,"")</f>
        <v>80</v>
      </c>
      <c r="B81" s="17" t="str">
        <f aca="false">IF($A81="","",IF(INDEX(Tasks!$A:$A,$A81)="","",INDEX(Tasks!$A:$A,$A81)))</f>
        <v>G1-SR-4</v>
      </c>
      <c r="C81" s="17" t="str">
        <f aca="false">IF($A81="","",IF(ISERROR(FIND(".",INDEX(Tasks!$A:$A,$A81))),"","   ")&amp;INDEX(Tasks!$C:$C,$A81))</f>
        <v>Validate against measured channels</v>
      </c>
      <c r="D81" s="17" t="str">
        <f aca="false">IF($A81="","",IF(INDEX(Tasks!$D:$D,$A81)="","",INDEX(Tasks!$D:$D,$A81)))</f>
        <v>Sionna RT owner</v>
      </c>
      <c r="E81" s="17" t="str">
        <f aca="false">IF($A81="","",IF(INDEX(Tasks!$E:$E,$A81)="","",INDEX(Tasks!$E:$E,$A81)))</f>
        <v>Not Started</v>
      </c>
      <c r="F81" s="18" t="n">
        <f aca="false">IF($A81="","",IF(INDEX(Tasks!$F:$F,$A81)="","",INDEX(Tasks!$F:$F,$A81)))</f>
        <v>46391</v>
      </c>
      <c r="G81" s="18" t="n">
        <f aca="false">IF($A81="","",IF(INDEX(Tasks!$H:$H,$A81)="","",INDEX(Tasks!$H:$H,$A81)))</f>
        <v>46409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n">
        <f aca="false">IFERROR(MATCH($C$2&amp;"|"&amp;(ROW()-4),Tasks!$L$4:$L$403,0)+3,"")</f>
        <v>81</v>
      </c>
      <c r="B82" s="17" t="str">
        <f aca="false">IF($A82="","",IF(INDEX(Tasks!$A:$A,$A82)="","",INDEX(Tasks!$A:$A,$A82)))</f>
        <v>G1-M1</v>
      </c>
      <c r="C82" s="17" t="str">
        <f aca="false">IF($A82="","",IF(ISERROR(FIND(".",INDEX(Tasks!$A:$A,$A82))),"","   ")&amp;INDEX(Tasks!$C:$C,$A82))</f>
        <v>M1 Offline map in Isaac</v>
      </c>
      <c r="D82" s="17" t="str">
        <f aca="false">IF($A82="","",IF(INDEX(Tasks!$D:$D,$A82)="","",INDEX(Tasks!$D:$D,$A82)))</f>
        <v>Team</v>
      </c>
      <c r="E82" s="17" t="str">
        <f aca="false">IF($A82="","",IF(INDEX(Tasks!$E:$E,$A82)="","",INDEX(Tasks!$E:$E,$A82)))</f>
        <v>Not Started</v>
      </c>
      <c r="F82" s="18" t="n">
        <f aca="false">IF($A82="","",IF(INDEX(Tasks!$F:$F,$A82)="","",INDEX(Tasks!$F:$F,$A82)))</f>
        <v>46349</v>
      </c>
      <c r="G82" s="18" t="n">
        <f aca="false">IF($A82="","",IF(INDEX(Tasks!$H:$H,$A82)="","",INDEX(Tasks!$H:$H,$A82)))</f>
        <v>46353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n">
        <f aca="false">IFERROR(MATCH($C$2&amp;"|"&amp;(ROW()-4),Tasks!$L$4:$L$403,0)+3,"")</f>
        <v>82</v>
      </c>
      <c r="B83" s="17" t="str">
        <f aca="false">IF($A83="","",IF(INDEX(Tasks!$A:$A,$A83)="","",INDEX(Tasks!$A:$A,$A83)))</f>
        <v>G1-M2</v>
      </c>
      <c r="C83" s="17" t="str">
        <f aca="false">IF($A83="","",IF(ISERROR(FIND(".",INDEX(Tasks!$A:$A,$A83))),"","   ")&amp;INDEX(Tasks!$C:$C,$A83))</f>
        <v>M2 Live robot pose in Isaac</v>
      </c>
      <c r="D83" s="17" t="str">
        <f aca="false">IF($A83="","",IF(INDEX(Tasks!$D:$D,$A83)="","",INDEX(Tasks!$D:$D,$A83)))</f>
        <v>Team</v>
      </c>
      <c r="E83" s="17" t="str">
        <f aca="false">IF($A83="","",IF(INDEX(Tasks!$E:$E,$A83)="","",INDEX(Tasks!$E:$E,$A83)))</f>
        <v>Not Started</v>
      </c>
      <c r="F83" s="18" t="n">
        <f aca="false">IF($A83="","",IF(INDEX(Tasks!$F:$F,$A83)="","",INDEX(Tasks!$F:$F,$A83)))</f>
        <v>46363</v>
      </c>
      <c r="G83" s="18" t="n">
        <f aca="false">IF($A83="","",IF(INDEX(Tasks!$H:$H,$A83)="","",INDEX(Tasks!$H:$H,$A83)))</f>
        <v>46367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n">
        <f aca="false">IFERROR(MATCH($C$2&amp;"|"&amp;(ROW()-4),Tasks!$L$4:$L$403,0)+3,"")</f>
        <v>83</v>
      </c>
      <c r="B84" s="17" t="str">
        <f aca="false">IF($A84="","",IF(INDEX(Tasks!$A:$A,$A84)="","",INDEX(Tasks!$A:$A,$A84)))</f>
        <v>G1-M3</v>
      </c>
      <c r="C84" s="17" t="str">
        <f aca="false">IF($A84="","",IF(ISERROR(FIND(".",INDEX(Tasks!$A:$A,$A84))),"","   ")&amp;INDEX(Tasks!$C:$C,$A84))</f>
        <v>M3 Change loop</v>
      </c>
      <c r="D84" s="17" t="str">
        <f aca="false">IF($A84="","",IF(INDEX(Tasks!$D:$D,$A84)="","",INDEX(Tasks!$D:$D,$A84)))</f>
        <v>Team</v>
      </c>
      <c r="E84" s="17" t="str">
        <f aca="false">IF($A84="","",IF(INDEX(Tasks!$E:$E,$A84)="","",INDEX(Tasks!$E:$E,$A84)))</f>
        <v>Not Started</v>
      </c>
      <c r="F84" s="18" t="n">
        <f aca="false">IF($A84="","",IF(INDEX(Tasks!$F:$F,$A84)="","",INDEX(Tasks!$F:$F,$A84)))</f>
        <v>46391</v>
      </c>
      <c r="G84" s="18" t="n">
        <f aca="false">IF($A84="","",IF(INDEX(Tasks!$H:$H,$A84)="","",INDEX(Tasks!$H:$H,$A84)))</f>
        <v>46395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n">
        <f aca="false">IFERROR(MATCH($C$2&amp;"|"&amp;(ROW()-4),Tasks!$L$4:$L$403,0)+3,"")</f>
        <v>84</v>
      </c>
      <c r="B85" s="17" t="str">
        <f aca="false">IF($A85="","",IF(INDEX(Tasks!$A:$A,$A85)="","",INDEX(Tasks!$A:$A,$A85)))</f>
        <v>G1-M4</v>
      </c>
      <c r="C85" s="17" t="str">
        <f aca="false">IF($A85="","",IF(ISERROR(FIND(".",INDEX(Tasks!$A:$A,$A85))),"","   ")&amp;INDEX(Tasks!$C:$C,$A85))</f>
        <v>M4 Two robots, fused map</v>
      </c>
      <c r="D85" s="17" t="str">
        <f aca="false">IF($A85="","",IF(INDEX(Tasks!$D:$D,$A85)="","",INDEX(Tasks!$D:$D,$A85)))</f>
        <v>Team</v>
      </c>
      <c r="E85" s="17" t="str">
        <f aca="false">IF($A85="","",IF(INDEX(Tasks!$E:$E,$A85)="","",INDEX(Tasks!$E:$E,$A85)))</f>
        <v>Not Started</v>
      </c>
      <c r="F85" s="18" t="n">
        <f aca="false">IF($A85="","",IF(INDEX(Tasks!$F:$F,$A85)="","",INDEX(Tasks!$F:$F,$A85)))</f>
        <v>46391</v>
      </c>
      <c r="G85" s="18" t="n">
        <f aca="false">IF($A85="","",IF(INDEX(Tasks!$H:$H,$A85)="","",INDEX(Tasks!$H:$H,$A85)))</f>
        <v>46395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n">
        <f aca="false">IFERROR(MATCH($C$2&amp;"|"&amp;(ROW()-4),Tasks!$L$4:$L$403,0)+3,"")</f>
        <v>85</v>
      </c>
      <c r="B86" s="17" t="str">
        <f aca="false">IF($A86="","",IF(INDEX(Tasks!$A:$A,$A86)="","",INDEX(Tasks!$A:$A,$A86)))</f>
        <v>G1-M5</v>
      </c>
      <c r="C86" s="17" t="str">
        <f aca="false">IF($A86="","",IF(ISERROR(FIND(".",INDEX(Tasks!$A:$A,$A86))),"","   ")&amp;INDEX(Tasks!$C:$C,$A86))</f>
        <v>M5 ED305 targets live in the twin</v>
      </c>
      <c r="D86" s="17" t="str">
        <f aca="false">IF($A86="","",IF(INDEX(Tasks!$D:$D,$A86)="","",INDEX(Tasks!$D:$D,$A86)))</f>
        <v>Team</v>
      </c>
      <c r="E86" s="17" t="str">
        <f aca="false">IF($A86="","",IF(INDEX(Tasks!$E:$E,$A86)="","",INDEX(Tasks!$E:$E,$A86)))</f>
        <v>Not Started</v>
      </c>
      <c r="F86" s="18" t="n">
        <f aca="false">IF($A86="","",IF(INDEX(Tasks!$F:$F,$A86)="","",INDEX(Tasks!$F:$F,$A86)))</f>
        <v>46398</v>
      </c>
      <c r="G86" s="18" t="n">
        <f aca="false">IF($A86="","",IF(INDEX(Tasks!$H:$H,$A86)="","",INDEX(Tasks!$H:$H,$A86)))</f>
        <v>46402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n">
        <f aca="false">IFERROR(MATCH($C$2&amp;"|"&amp;(ROW()-4),Tasks!$L$4:$L$403,0)+3,"")</f>
        <v>86</v>
      </c>
      <c r="B87" s="17" t="str">
        <f aca="false">IF($A87="","",IF(INDEX(Tasks!$A:$A,$A87)="","",INDEX(Tasks!$A:$A,$A87)))</f>
        <v>G1-M6</v>
      </c>
      <c r="C87" s="17" t="str">
        <f aca="false">IF($A87="","",IF(ISERROR(FIND(".",INDEX(Tasks!$A:$A,$A87))),"","   ")&amp;INDEX(Tasks!$C:$C,$A87))</f>
        <v>M6 Radio channels from the live twin</v>
      </c>
      <c r="D87" s="17" t="str">
        <f aca="false">IF($A87="","",IF(INDEX(Tasks!$D:$D,$A87)="","",INDEX(Tasks!$D:$D,$A87)))</f>
        <v>Team</v>
      </c>
      <c r="E87" s="17" t="str">
        <f aca="false">IF($A87="","",IF(INDEX(Tasks!$E:$E,$A87)="","",INDEX(Tasks!$E:$E,$A87)))</f>
        <v>Not Started</v>
      </c>
      <c r="F87" s="18" t="n">
        <f aca="false">IF($A87="","",IF(INDEX(Tasks!$F:$F,$A87)="","",INDEX(Tasks!$F:$F,$A87)))</f>
        <v>46405</v>
      </c>
      <c r="G87" s="18" t="n">
        <f aca="false">IF($A87="","",IF(INDEX(Tasks!$H:$H,$A87)="","",INDEX(Tasks!$H:$H,$A87)))</f>
        <v>46409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n">
        <f aca="false">IFERROR(MATCH($C$2&amp;"|"&amp;(ROW()-4),Tasks!$L$4:$L$403,0)+3,"")</f>
        <v>87</v>
      </c>
      <c r="B88" s="17" t="str">
        <f aca="false">IF($A88="","",IF(INDEX(Tasks!$A:$A,$A88)="","",INDEX(Tasks!$A:$A,$A88)))</f>
        <v>DL-1</v>
      </c>
      <c r="C88" s="17" t="str">
        <f aca="false">IF($A88="","",IF(ISERROR(FIND(".",INDEX(Tasks!$A:$A,$A88))),"","   ")&amp;INDEX(Tasks!$C:$C,$A88))</f>
        <v>Define dual-link architecture</v>
      </c>
      <c r="D88" s="17" t="str">
        <f aca="false">IF($A88="","",IF(INDEX(Tasks!$D:$D,$A88)="","",INDEX(Tasks!$D:$D,$A88)))</f>
        <v>Dual-link owner</v>
      </c>
      <c r="E88" s="17" t="str">
        <f aca="false">IF($A88="","",IF(INDEX(Tasks!$E:$E,$A88)="","",INDEX(Tasks!$E:$E,$A88)))</f>
        <v>Partially Completed</v>
      </c>
      <c r="F88" s="18" t="n">
        <f aca="false">IF($A88="","",IF(INDEX(Tasks!$F:$F,$A88)="","",INDEX(Tasks!$F:$F,$A88)))</f>
        <v>46195</v>
      </c>
      <c r="G88" s="18" t="n">
        <f aca="false">IF($A88="","",IF(INDEX(Tasks!$H:$H,$A88)="","",INDEX(Tasks!$H:$H,$A88)))</f>
        <v>46199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n">
        <f aca="false">IFERROR(MATCH($C$2&amp;"|"&amp;(ROW()-4),Tasks!$L$4:$L$403,0)+3,"")</f>
        <v>88</v>
      </c>
      <c r="B89" s="17" t="str">
        <f aca="false">IF($A89="","",IF(INDEX(Tasks!$A:$A,$A89)="","",INDEX(Tasks!$A:$A,$A89)))</f>
        <v>DL-1.1</v>
      </c>
      <c r="C89" s="17" t="str">
        <f aca="false">IF($A89="","",IF(ISERROR(FIND(".",INDEX(Tasks!$A:$A,$A89))),"","   ")&amp;INDEX(Tasks!$C:$C,$A89))</f>
        <v>   Link Pairing Selection (WiFi + WiFi)</v>
      </c>
      <c r="D89" s="17" t="str">
        <f aca="false">IF($A89="","",IF(INDEX(Tasks!$D:$D,$A89)="","",INDEX(Tasks!$D:$D,$A89)))</f>
        <v>Dual-link owner</v>
      </c>
      <c r="E89" s="17" t="str">
        <f aca="false">IF($A89="","",IF(INDEX(Tasks!$E:$E,$A89)="","",INDEX(Tasks!$E:$E,$A89)))</f>
        <v>Partially Completed</v>
      </c>
      <c r="F89" s="18" t="n">
        <f aca="false">IF($A89="","",IF(INDEX(Tasks!$F:$F,$A89)="","",INDEX(Tasks!$F:$F,$A89)))</f>
        <v>46195</v>
      </c>
      <c r="G89" s="18" t="n">
        <f aca="false">IF($A89="","",IF(INDEX(Tasks!$H:$H,$A89)="","",INDEX(Tasks!$H:$H,$A89)))</f>
        <v>46199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n">
        <f aca="false">IFERROR(MATCH($C$2&amp;"|"&amp;(ROW()-4),Tasks!$L$4:$L$403,0)+3,"")</f>
        <v>89</v>
      </c>
      <c r="B90" s="17" t="str">
        <f aca="false">IF($A90="","",IF(INDEX(Tasks!$A:$A,$A90)="","",INDEX(Tasks!$A:$A,$A90)))</f>
        <v>DL-1.2</v>
      </c>
      <c r="C90" s="17" t="str">
        <f aca="false">IF($A90="","",IF(ISERROR(FIND(".",INDEX(Tasks!$A:$A,$A90))),"","   ")&amp;INDEX(Tasks!$C:$C,$A90))</f>
        <v>   QoS-Tiered Traffic-Steering Policy</v>
      </c>
      <c r="D90" s="17" t="str">
        <f aca="false">IF($A90="","",IF(INDEX(Tasks!$D:$D,$A90)="","",INDEX(Tasks!$D:$D,$A90)))</f>
        <v>Dual-link owner</v>
      </c>
      <c r="E90" s="17" t="str">
        <f aca="false">IF($A90="","",IF(INDEX(Tasks!$E:$E,$A90)="","",INDEX(Tasks!$E:$E,$A90)))</f>
        <v>Partially Completed</v>
      </c>
      <c r="F90" s="18" t="n">
        <f aca="false">IF($A90="","",IF(INDEX(Tasks!$F:$F,$A90)="","",INDEX(Tasks!$F:$F,$A90)))</f>
        <v>46195</v>
      </c>
      <c r="G90" s="18" t="n">
        <f aca="false">IF($A90="","",IF(INDEX(Tasks!$H:$H,$A90)="","",INDEX(Tasks!$H:$H,$A90)))</f>
        <v>46199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n">
        <f aca="false">IFERROR(MATCH($C$2&amp;"|"&amp;(ROW()-4),Tasks!$L$4:$L$403,0)+3,"")</f>
        <v>90</v>
      </c>
      <c r="B91" s="17" t="str">
        <f aca="false">IF($A91="","",IF(INDEX(Tasks!$A:$A,$A91)="","",INDEX(Tasks!$A:$A,$A91)))</f>
        <v>DL-2</v>
      </c>
      <c r="C91" s="17" t="str">
        <f aca="false">IF($A91="","",IF(ISERROR(FIND(".",INDEX(Tasks!$A:$A,$A91))),"","   ")&amp;INDEX(Tasks!$C:$C,$A91))</f>
        <v>Build link monitor</v>
      </c>
      <c r="D91" s="17" t="str">
        <f aca="false">IF($A91="","",IF(INDEX(Tasks!$D:$D,$A91)="","",INDEX(Tasks!$D:$D,$A91)))</f>
        <v>Dual-link owner</v>
      </c>
      <c r="E91" s="17" t="str">
        <f aca="false">IF($A91="","",IF(INDEX(Tasks!$E:$E,$A91)="","",INDEX(Tasks!$E:$E,$A91)))</f>
        <v>Partially Completed</v>
      </c>
      <c r="F91" s="18" t="n">
        <f aca="false">IF($A91="","",IF(INDEX(Tasks!$F:$F,$A91)="","",INDEX(Tasks!$F:$F,$A91)))</f>
        <v>46195</v>
      </c>
      <c r="G91" s="18" t="n">
        <f aca="false">IF($A91="","",IF(INDEX(Tasks!$H:$H,$A91)="","",INDEX(Tasks!$H:$H,$A91)))</f>
        <v>46199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n">
        <f aca="false">IFERROR(MATCH($C$2&amp;"|"&amp;(ROW()-4),Tasks!$L$4:$L$403,0)+3,"")</f>
        <v>91</v>
      </c>
      <c r="B92" s="17" t="str">
        <f aca="false">IF($A92="","",IF(INDEX(Tasks!$A:$A,$A92)="","",INDEX(Tasks!$A:$A,$A92)))</f>
        <v>DL-2.1</v>
      </c>
      <c r="C92" s="17" t="str">
        <f aca="false">IF($A92="","",IF(ISERROR(FIND(".",INDEX(Tasks!$A:$A,$A92))),"","   ")&amp;INDEX(Tasks!$C:$C,$A92))</f>
        <v>   PER / MTU Tracking</v>
      </c>
      <c r="D92" s="17" t="str">
        <f aca="false">IF($A92="","",IF(INDEX(Tasks!$D:$D,$A92)="","",INDEX(Tasks!$D:$D,$A92)))</f>
        <v>Dual-link owner</v>
      </c>
      <c r="E92" s="17" t="str">
        <f aca="false">IF($A92="","",IF(INDEX(Tasks!$E:$E,$A92)="","",INDEX(Tasks!$E:$E,$A92)))</f>
        <v>Partially Completed</v>
      </c>
      <c r="F92" s="18" t="n">
        <f aca="false">IF($A92="","",IF(INDEX(Tasks!$F:$F,$A92)="","",INDEX(Tasks!$F:$F,$A92)))</f>
        <v>46195</v>
      </c>
      <c r="G92" s="18" t="n">
        <f aca="false">IF($A92="","",IF(INDEX(Tasks!$H:$H,$A92)="","",INDEX(Tasks!$H:$H,$A92)))</f>
        <v>46199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n">
        <f aca="false">IFERROR(MATCH($C$2&amp;"|"&amp;(ROW()-4),Tasks!$L$4:$L$403,0)+3,"")</f>
        <v>92</v>
      </c>
      <c r="B93" s="17" t="str">
        <f aca="false">IF($A93="","",IF(INDEX(Tasks!$A:$A,$A93)="","",INDEX(Tasks!$A:$A,$A93)))</f>
        <v>DL-2.2</v>
      </c>
      <c r="C93" s="17" t="str">
        <f aca="false">IF($A93="","",IF(ISERROR(FIND(".",INDEX(Tasks!$A:$A,$A93))),"","   ")&amp;INDEX(Tasks!$C:$C,$A93))</f>
        <v>   Throughput / RTT / Queue-Health Tracking</v>
      </c>
      <c r="D93" s="17" t="str">
        <f aca="false">IF($A93="","",IF(INDEX(Tasks!$D:$D,$A93)="","",INDEX(Tasks!$D:$D,$A93)))</f>
        <v>Dual-link owner</v>
      </c>
      <c r="E93" s="17" t="str">
        <f aca="false">IF($A93="","",IF(INDEX(Tasks!$E:$E,$A93)="","",INDEX(Tasks!$E:$E,$A93)))</f>
        <v>Partially Completed</v>
      </c>
      <c r="F93" s="18" t="n">
        <f aca="false">IF($A93="","",IF(INDEX(Tasks!$F:$F,$A93)="","",INDEX(Tasks!$F:$F,$A93)))</f>
        <v>46195</v>
      </c>
      <c r="G93" s="18" t="n">
        <f aca="false">IF($A93="","",IF(INDEX(Tasks!$H:$H,$A93)="","",INDEX(Tasks!$H:$H,$A93)))</f>
        <v>46199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n">
        <f aca="false">IFERROR(MATCH($C$2&amp;"|"&amp;(ROW()-4),Tasks!$L$4:$L$403,0)+3,"")</f>
        <v>93</v>
      </c>
      <c r="B94" s="17" t="str">
        <f aca="false">IF($A94="","",IF(INDEX(Tasks!$A:$A,$A94)="","",INDEX(Tasks!$A:$A,$A94)))</f>
        <v>DL-3</v>
      </c>
      <c r="C94" s="17" t="str">
        <f aca="false">IF($A94="","",IF(ISERROR(FIND(".",INDEX(Tasks!$A:$A,$A94))),"","   ")&amp;INDEX(Tasks!$C:$C,$A94))</f>
        <v>Implement link compression</v>
      </c>
      <c r="D94" s="17" t="str">
        <f aca="false">IF($A94="","",IF(INDEX(Tasks!$D:$D,$A94)="","",INDEX(Tasks!$D:$D,$A94)))</f>
        <v>Dual-link owner</v>
      </c>
      <c r="E94" s="17" t="str">
        <f aca="false">IF($A94="","",IF(INDEX(Tasks!$E:$E,$A94)="","",INDEX(Tasks!$E:$E,$A94)))</f>
        <v>In Progress</v>
      </c>
      <c r="F94" s="18" t="n">
        <f aca="false">IF($A94="","",IF(INDEX(Tasks!$F:$F,$A94)="","",INDEX(Tasks!$F:$F,$A94)))</f>
        <v>46195</v>
      </c>
      <c r="G94" s="18" t="n">
        <f aca="false">IF($A94="","",IF(INDEX(Tasks!$H:$H,$A94)="","",INDEX(Tasks!$H:$H,$A94)))</f>
        <v>46199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n">
        <f aca="false">IFERROR(MATCH($C$2&amp;"|"&amp;(ROW()-4),Tasks!$L$4:$L$403,0)+3,"")</f>
        <v>94</v>
      </c>
      <c r="B95" s="17" t="str">
        <f aca="false">IF($A95="","",IF(INDEX(Tasks!$A:$A,$A95)="","",INDEX(Tasks!$A:$A,$A95)))</f>
        <v>DL-3.1</v>
      </c>
      <c r="C95" s="17" t="str">
        <f aca="false">IF($A95="","",IF(ISERROR(FIND(".",INDEX(Tasks!$A:$A,$A95))),"","   ")&amp;INDEX(Tasks!$C:$C,$A95))</f>
        <v>   Compression Module (Link-Monitor Reactive)</v>
      </c>
      <c r="D95" s="17" t="str">
        <f aca="false">IF($A95="","",IF(INDEX(Tasks!$D:$D,$A95)="","",INDEX(Tasks!$D:$D,$A95)))</f>
        <v>Dual-link owner</v>
      </c>
      <c r="E95" s="17" t="str">
        <f aca="false">IF($A95="","",IF(INDEX(Tasks!$E:$E,$A95)="","",INDEX(Tasks!$E:$E,$A95)))</f>
        <v>Partially Completed</v>
      </c>
      <c r="F95" s="18" t="n">
        <f aca="false">IF($A95="","",IF(INDEX(Tasks!$F:$F,$A95)="","",INDEX(Tasks!$F:$F,$A95)))</f>
        <v>46195</v>
      </c>
      <c r="G95" s="18" t="n">
        <f aca="false">IF($A95="","",IF(INDEX(Tasks!$H:$H,$A95)="","",INDEX(Tasks!$H:$H,$A95)))</f>
        <v>46199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n">
        <f aca="false">IFERROR(MATCH($C$2&amp;"|"&amp;(ROW()-4),Tasks!$L$4:$L$403,0)+3,"")</f>
        <v>95</v>
      </c>
      <c r="B96" s="17" t="str">
        <f aca="false">IF($A96="","",IF(INDEX(Tasks!$A:$A,$A96)="","",INDEX(Tasks!$A:$A,$A96)))</f>
        <v>DL-3.2</v>
      </c>
      <c r="C96" s="17" t="str">
        <f aca="false">IF($A96="","",IF(ISERROR(FIND(".",INDEX(Tasks!$A:$A,$A96))),"","   ")&amp;INDEX(Tasks!$C:$C,$A96))</f>
        <v>   Compression Threshold Tuning</v>
      </c>
      <c r="D96" s="17" t="str">
        <f aca="false">IF($A96="","",IF(INDEX(Tasks!$D:$D,$A96)="","",INDEX(Tasks!$D:$D,$A96)))</f>
        <v>Dual-link owner</v>
      </c>
      <c r="E96" s="17" t="str">
        <f aca="false">IF($A96="","",IF(INDEX(Tasks!$E:$E,$A96)="","",INDEX(Tasks!$E:$E,$A96)))</f>
        <v>In Progress</v>
      </c>
      <c r="F96" s="18" t="n">
        <f aca="false">IF($A96="","",IF(INDEX(Tasks!$F:$F,$A96)="","",INDEX(Tasks!$F:$F,$A96)))</f>
        <v>46195</v>
      </c>
      <c r="G96" s="18" t="n">
        <f aca="false">IF($A96="","",IF(INDEX(Tasks!$H:$H,$A96)="","",INDEX(Tasks!$H:$H,$A96)))</f>
        <v>46199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n">
        <f aca="false">IFERROR(MATCH($C$2&amp;"|"&amp;(ROW()-4),Tasks!$L$4:$L$403,0)+3,"")</f>
        <v>96</v>
      </c>
      <c r="B97" s="17" t="str">
        <f aca="false">IF($A97="","",IF(INDEX(Tasks!$A:$A,$A97)="","",INDEX(Tasks!$A:$A,$A97)))</f>
        <v>DL-4</v>
      </c>
      <c r="C97" s="17" t="str">
        <f aca="false">IF($A97="","",IF(ISERROR(FIND(".",INDEX(Tasks!$A:$A,$A97))),"","   ")&amp;INDEX(Tasks!$C:$C,$A97))</f>
        <v>Validate Switching Strategies — WiFi1 + WiFi2</v>
      </c>
      <c r="D97" s="17" t="str">
        <f aca="false">IF($A97="","",IF(INDEX(Tasks!$D:$D,$A97)="","",INDEX(Tasks!$D:$D,$A97)))</f>
        <v>Dual-link owner</v>
      </c>
      <c r="E97" s="17" t="str">
        <f aca="false">IF($A97="","",IF(INDEX(Tasks!$E:$E,$A97)="","",INDEX(Tasks!$E:$E,$A97)))</f>
        <v>Not Started</v>
      </c>
      <c r="F97" s="18" t="n">
        <f aca="false">IF($A97="","",IF(INDEX(Tasks!$F:$F,$A97)="","",INDEX(Tasks!$F:$F,$A97)))</f>
        <v>46195</v>
      </c>
      <c r="G97" s="18" t="n">
        <f aca="false">IF($A97="","",IF(INDEX(Tasks!$H:$H,$A97)="","",INDEX(Tasks!$H:$H,$A97)))</f>
        <v>46199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n">
        <f aca="false">IFERROR(MATCH($C$2&amp;"|"&amp;(ROW()-4),Tasks!$L$4:$L$403,0)+3,"")</f>
        <v>97</v>
      </c>
      <c r="B98" s="17" t="str">
        <f aca="false">IF($A98="","",IF(INDEX(Tasks!$A:$A,$A98)="","",INDEX(Tasks!$A:$A,$A98)))</f>
        <v>DL-4.1</v>
      </c>
      <c r="C98" s="17" t="str">
        <f aca="false">IF($A98="","",IF(ISERROR(FIND(".",INDEX(Tasks!$A:$A,$A98))),"","   ")&amp;INDEX(Tasks!$C:$C,$A98))</f>
        <v>   Single-Link Baseline</v>
      </c>
      <c r="D98" s="17" t="str">
        <f aca="false">IF($A98="","",IF(INDEX(Tasks!$D:$D,$A98)="","",INDEX(Tasks!$D:$D,$A98)))</f>
        <v>Dual-link owner</v>
      </c>
      <c r="E98" s="17" t="str">
        <f aca="false">IF($A98="","",IF(INDEX(Tasks!$E:$E,$A98)="","",INDEX(Tasks!$E:$E,$A98)))</f>
        <v>Not Started</v>
      </c>
      <c r="F98" s="18" t="n">
        <f aca="false">IF($A98="","",IF(INDEX(Tasks!$F:$F,$A98)="","",INDEX(Tasks!$F:$F,$A98)))</f>
        <v>46195</v>
      </c>
      <c r="G98" s="18" t="n">
        <f aca="false">IF($A98="","",IF(INDEX(Tasks!$H:$H,$A98)="","",INDEX(Tasks!$H:$H,$A98)))</f>
        <v>46199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n">
        <f aca="false">IFERROR(MATCH($C$2&amp;"|"&amp;(ROW()-4),Tasks!$L$4:$L$403,0)+3,"")</f>
        <v>98</v>
      </c>
      <c r="B99" s="17" t="str">
        <f aca="false">IF($A99="","",IF(INDEX(Tasks!$A:$A,$A99)="","",INDEX(Tasks!$A:$A,$A99)))</f>
        <v>DL-4.2</v>
      </c>
      <c r="C99" s="17" t="str">
        <f aca="false">IF($A99="","",IF(ISERROR(FIND(".",INDEX(Tasks!$A:$A,$A99))),"","   ")&amp;INDEX(Tasks!$C:$C,$A99))</f>
        <v>   Full Topic Switchover</v>
      </c>
      <c r="D99" s="17" t="str">
        <f aca="false">IF($A99="","",IF(INDEX(Tasks!$D:$D,$A99)="","",INDEX(Tasks!$D:$D,$A99)))</f>
        <v>Dual-link owner</v>
      </c>
      <c r="E99" s="17" t="str">
        <f aca="false">IF($A99="","",IF(INDEX(Tasks!$E:$E,$A99)="","",INDEX(Tasks!$E:$E,$A99)))</f>
        <v>Not Started</v>
      </c>
      <c r="F99" s="18" t="n">
        <f aca="false">IF($A99="","",IF(INDEX(Tasks!$F:$F,$A99)="","",INDEX(Tasks!$F:$F,$A99)))</f>
        <v>46195</v>
      </c>
      <c r="G99" s="18" t="n">
        <f aca="false">IF($A99="","",IF(INDEX(Tasks!$H:$H,$A99)="","",INDEX(Tasks!$H:$H,$A99)))</f>
        <v>46199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n">
        <f aca="false">IFERROR(MATCH($C$2&amp;"|"&amp;(ROW()-4),Tasks!$L$4:$L$403,0)+3,"")</f>
        <v>99</v>
      </c>
      <c r="B100" s="17" t="str">
        <f aca="false">IF($A100="","",IF(INDEX(Tasks!$A:$A,$A100)="","",INDEX(Tasks!$A:$A,$A100)))</f>
        <v>DL-4.3</v>
      </c>
      <c r="C100" s="17" t="str">
        <f aca="false">IF($A100="","",IF(ISERROR(FIND(".",INDEX(Tasks!$A:$A,$A100))),"","   ")&amp;INDEX(Tasks!$C:$C,$A100))</f>
        <v>   True Dual-Link (QoS-Tiered Per-Topic)</v>
      </c>
      <c r="D100" s="17" t="str">
        <f aca="false">IF($A100="","",IF(INDEX(Tasks!$D:$D,$A100)="","",INDEX(Tasks!$D:$D,$A100)))</f>
        <v>Dual-link owner</v>
      </c>
      <c r="E100" s="17" t="str">
        <f aca="false">IF($A100="","",IF(INDEX(Tasks!$E:$E,$A100)="","",INDEX(Tasks!$E:$E,$A100)))</f>
        <v>Not Started</v>
      </c>
      <c r="F100" s="18" t="n">
        <f aca="false">IF($A100="","",IF(INDEX(Tasks!$F:$F,$A100)="","",INDEX(Tasks!$F:$F,$A100)))</f>
        <v>46202</v>
      </c>
      <c r="G100" s="18" t="n">
        <f aca="false">IF($A100="","",IF(INDEX(Tasks!$H:$H,$A100)="","",INDEX(Tasks!$H:$H,$A100)))</f>
        <v>46206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n">
        <f aca="false">IFERROR(MATCH($C$2&amp;"|"&amp;(ROW()-4),Tasks!$L$4:$L$403,0)+3,"")</f>
        <v>100</v>
      </c>
      <c r="B101" s="17" t="str">
        <f aca="false">IF($A101="","",IF(INDEX(Tasks!$A:$A,$A101)="","",INDEX(Tasks!$A:$A,$A101)))</f>
        <v>DL-5</v>
      </c>
      <c r="C101" s="17" t="str">
        <f aca="false">IF($A101="","",IF(ISERROR(FIND(".",INDEX(Tasks!$A:$A,$A101))),"","   ")&amp;INDEX(Tasks!$C:$C,$A101))</f>
        <v>Extend to WiFi + 5G</v>
      </c>
      <c r="D101" s="17" t="str">
        <f aca="false">IF($A101="","",IF(INDEX(Tasks!$D:$D,$A101)="","",INDEX(Tasks!$D:$D,$A101)))</f>
        <v>Dual-link owner</v>
      </c>
      <c r="E101" s="17" t="str">
        <f aca="false">IF($A101="","",IF(INDEX(Tasks!$E:$E,$A101)="","",INDEX(Tasks!$E:$E,$A101)))</f>
        <v>Not Started</v>
      </c>
      <c r="F101" s="18" t="n">
        <f aca="false">IF($A101="","",IF(INDEX(Tasks!$F:$F,$A101)="","",INDEX(Tasks!$F:$F,$A101)))</f>
        <v>46202</v>
      </c>
      <c r="G101" s="18" t="n">
        <f aca="false">IF($A101="","",IF(INDEX(Tasks!$H:$H,$A101)="","",INDEX(Tasks!$H:$H,$A101)))</f>
        <v>46213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n">
        <f aca="false">IFERROR(MATCH($C$2&amp;"|"&amp;(ROW()-4),Tasks!$L$4:$L$403,0)+3,"")</f>
        <v>101</v>
      </c>
      <c r="B102" s="17" t="str">
        <f aca="false">IF($A102="","",IF(INDEX(Tasks!$A:$A,$A102)="","",INDEX(Tasks!$A:$A,$A102)))</f>
        <v>DL-5.1</v>
      </c>
      <c r="C102" s="17" t="str">
        <f aca="false">IF($A102="","",IF(ISERROR(FIND(".",INDEX(Tasks!$A:$A,$A102))),"","   ")&amp;INDEX(Tasks!$C:$C,$A102))</f>
        <v>   WiFi + 5G Link Pairing &amp; Switching Validation</v>
      </c>
      <c r="D102" s="17" t="str">
        <f aca="false">IF($A102="","",IF(INDEX(Tasks!$D:$D,$A102)="","",INDEX(Tasks!$D:$D,$A102)))</f>
        <v>Dual-link owner</v>
      </c>
      <c r="E102" s="17" t="str">
        <f aca="false">IF($A102="","",IF(INDEX(Tasks!$E:$E,$A102)="","",INDEX(Tasks!$E:$E,$A102)))</f>
        <v>Not Started</v>
      </c>
      <c r="F102" s="18" t="n">
        <f aca="false">IF($A102="","",IF(INDEX(Tasks!$F:$F,$A102)="","",INDEX(Tasks!$F:$F,$A102)))</f>
        <v>46202</v>
      </c>
      <c r="G102" s="18" t="n">
        <f aca="false">IF($A102="","",IF(INDEX(Tasks!$H:$H,$A102)="","",INDEX(Tasks!$H:$H,$A102)))</f>
        <v>46206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n">
        <f aca="false">IFERROR(MATCH($C$2&amp;"|"&amp;(ROW()-4),Tasks!$L$4:$L$403,0)+3,"")</f>
        <v>102</v>
      </c>
      <c r="B103" s="17" t="str">
        <f aca="false">IF($A103="","",IF(INDEX(Tasks!$A:$A,$A103)="","",INDEX(Tasks!$A:$A,$A103)))</f>
        <v>DL-5.2</v>
      </c>
      <c r="C103" s="17" t="str">
        <f aca="false">IF($A103="","",IF(ISERROR(FIND(".",INDEX(Tasks!$A:$A,$A103))),"","   ")&amp;INDEX(Tasks!$C:$C,$A103))</f>
        <v>   Application-Level Testing on WiFi + 5G</v>
      </c>
      <c r="D103" s="17" t="str">
        <f aca="false">IF($A103="","",IF(INDEX(Tasks!$D:$D,$A103)="","",INDEX(Tasks!$D:$D,$A103)))</f>
        <v>Dual-link owner</v>
      </c>
      <c r="E103" s="17" t="str">
        <f aca="false">IF($A103="","",IF(INDEX(Tasks!$E:$E,$A103)="","",INDEX(Tasks!$E:$E,$A103)))</f>
        <v>Not Started</v>
      </c>
      <c r="F103" s="18" t="n">
        <f aca="false">IF($A103="","",IF(INDEX(Tasks!$F:$F,$A103)="","",INDEX(Tasks!$F:$F,$A103)))</f>
        <v>46209</v>
      </c>
      <c r="G103" s="18" t="n">
        <f aca="false">IF($A103="","",IF(INDEX(Tasks!$H:$H,$A103)="","",INDEX(Tasks!$H:$H,$A103)))</f>
        <v>46213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n">
        <f aca="false">IFERROR(MATCH($C$2&amp;"|"&amp;(ROW()-4),Tasks!$L$4:$L$403,0)+3,"")</f>
        <v>103</v>
      </c>
      <c r="B104" s="17" t="str">
        <f aca="false">IF($A104="","",IF(INDEX(Tasks!$A:$A,$A104)="","",INDEX(Tasks!$A:$A,$A104)))</f>
        <v>DL-6</v>
      </c>
      <c r="C104" s="17" t="str">
        <f aca="false">IF($A104="","",IF(ISERROR(FIND(".",INDEX(Tasks!$A:$A,$A104))),"","   ")&amp;INDEX(Tasks!$C:$C,$A104))</f>
        <v>Test failover &amp; reliability</v>
      </c>
      <c r="D104" s="17" t="str">
        <f aca="false">IF($A104="","",IF(INDEX(Tasks!$D:$D,$A104)="","",INDEX(Tasks!$D:$D,$A104)))</f>
        <v>Dual-link owner</v>
      </c>
      <c r="E104" s="17" t="str">
        <f aca="false">IF($A104="","",IF(INDEX(Tasks!$E:$E,$A104)="","",INDEX(Tasks!$E:$E,$A104)))</f>
        <v>Not Started</v>
      </c>
      <c r="F104" s="18" t="n">
        <f aca="false">IF($A104="","",IF(INDEX(Tasks!$F:$F,$A104)="","",INDEX(Tasks!$F:$F,$A104)))</f>
        <v>46216</v>
      </c>
      <c r="G104" s="18" t="n">
        <f aca="false">IF($A104="","",IF(INDEX(Tasks!$H:$H,$A104)="","",INDEX(Tasks!$H:$H,$A104)))</f>
        <v>46220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n">
        <f aca="false">IFERROR(MATCH($C$2&amp;"|"&amp;(ROW()-4),Tasks!$L$4:$L$403,0)+3,"")</f>
        <v>104</v>
      </c>
      <c r="B105" s="17" t="str">
        <f aca="false">IF($A105="","",IF(INDEX(Tasks!$A:$A,$A105)="","",INDEX(Tasks!$A:$A,$A105)))</f>
        <v>DL-6.1</v>
      </c>
      <c r="C105" s="17" t="str">
        <f aca="false">IF($A105="","",IF(ISERROR(FIND(".",INDEX(Tasks!$A:$A,$A105))),"","   ")&amp;INDEX(Tasks!$C:$C,$A105))</f>
        <v>   Failover Test Scenarios</v>
      </c>
      <c r="D105" s="17" t="str">
        <f aca="false">IF($A105="","",IF(INDEX(Tasks!$D:$D,$A105)="","",INDEX(Tasks!$D:$D,$A105)))</f>
        <v>Dual-link owner</v>
      </c>
      <c r="E105" s="17" t="str">
        <f aca="false">IF($A105="","",IF(INDEX(Tasks!$E:$E,$A105)="","",INDEX(Tasks!$E:$E,$A105)))</f>
        <v>Not Started</v>
      </c>
      <c r="F105" s="18" t="n">
        <f aca="false">IF($A105="","",IF(INDEX(Tasks!$F:$F,$A105)="","",INDEX(Tasks!$F:$F,$A105)))</f>
        <v>46216</v>
      </c>
      <c r="G105" s="18" t="n">
        <f aca="false">IF($A105="","",IF(INDEX(Tasks!$H:$H,$A105)="","",INDEX(Tasks!$H:$H,$A105)))</f>
        <v>46220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n">
        <f aca="false">IFERROR(MATCH($C$2&amp;"|"&amp;(ROW()-4),Tasks!$L$4:$L$403,0)+3,"")</f>
        <v>105</v>
      </c>
      <c r="B106" s="17" t="str">
        <f aca="false">IF($A106="","",IF(INDEX(Tasks!$A:$A,$A106)="","",INDEX(Tasks!$A:$A,$A106)))</f>
        <v>DL-6.2</v>
      </c>
      <c r="C106" s="17" t="str">
        <f aca="false">IF($A106="","",IF(ISERROR(FIND(".",INDEX(Tasks!$A:$A,$A106))),"","   ")&amp;INDEX(Tasks!$C:$C,$A106))</f>
        <v>   Availability / Latency Target Validation</v>
      </c>
      <c r="D106" s="17" t="str">
        <f aca="false">IF($A106="","",IF(INDEX(Tasks!$D:$D,$A106)="","",INDEX(Tasks!$D:$D,$A106)))</f>
        <v>Dual-link owner</v>
      </c>
      <c r="E106" s="17" t="str">
        <f aca="false">IF($A106="","",IF(INDEX(Tasks!$E:$E,$A106)="","",INDEX(Tasks!$E:$E,$A106)))</f>
        <v>Not Started</v>
      </c>
      <c r="F106" s="18" t="n">
        <f aca="false">IF($A106="","",IF(INDEX(Tasks!$F:$F,$A106)="","",INDEX(Tasks!$F:$F,$A106)))</f>
        <v>46216</v>
      </c>
      <c r="G106" s="18" t="n">
        <f aca="false">IF($A106="","",IF(INDEX(Tasks!$H:$H,$A106)="","",INDEX(Tasks!$H:$H,$A106)))</f>
        <v>46220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n">
        <f aca="false">IFERROR(MATCH($C$2&amp;"|"&amp;(ROW()-4),Tasks!$L$4:$L$403,0)+3,"")</f>
        <v>106</v>
      </c>
      <c r="B107" s="17" t="str">
        <f aca="false">IF($A107="","",IF(INDEX(Tasks!$A:$A,$A107)="","",INDEX(Tasks!$A:$A,$A107)))</f>
        <v>DL-7</v>
      </c>
      <c r="C107" s="17" t="str">
        <f aca="false">IF($A107="","",IF(ISERROR(FIND(".",INDEX(Tasks!$A:$A,$A107))),"","   ")&amp;INDEX(Tasks!$C:$C,$A107))</f>
        <v>Integrate with digital twin</v>
      </c>
      <c r="D107" s="17" t="str">
        <f aca="false">IF($A107="","",IF(INDEX(Tasks!$D:$D,$A107)="","",INDEX(Tasks!$D:$D,$A107)))</f>
        <v>Dual-link owner</v>
      </c>
      <c r="E107" s="17" t="str">
        <f aca="false">IF($A107="","",IF(INDEX(Tasks!$E:$E,$A107)="","",INDEX(Tasks!$E:$E,$A107)))</f>
        <v>Not Started</v>
      </c>
      <c r="F107" s="18" t="n">
        <f aca="false">IF($A107="","",IF(INDEX(Tasks!$F:$F,$A107)="","",INDEX(Tasks!$F:$F,$A107)))</f>
        <v>46223</v>
      </c>
      <c r="G107" s="18" t="n">
        <f aca="false">IF($A107="","",IF(INDEX(Tasks!$H:$H,$A107)="","",INDEX(Tasks!$H:$H,$A107)))</f>
        <v>46234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n">
        <f aca="false">IFERROR(MATCH($C$2&amp;"|"&amp;(ROW()-4),Tasks!$L$4:$L$403,0)+3,"")</f>
        <v>107</v>
      </c>
      <c r="B108" s="17" t="str">
        <f aca="false">IF($A108="","",IF(INDEX(Tasks!$A:$A,$A108)="","",INDEX(Tasks!$A:$A,$A108)))</f>
        <v>DL-7.1</v>
      </c>
      <c r="C108" s="17" t="str">
        <f aca="false">IF($A108="","",IF(ISERROR(FIND(".",INDEX(Tasks!$A:$A,$A108))),"","   ")&amp;INDEX(Tasks!$C:$C,$A108))</f>
        <v>   Predictive Handover &lt;-&gt; Twin Tracking Wiring</v>
      </c>
      <c r="D108" s="17" t="str">
        <f aca="false">IF($A108="","",IF(INDEX(Tasks!$D:$D,$A108)="","",INDEX(Tasks!$D:$D,$A108)))</f>
        <v>Dual-link owner</v>
      </c>
      <c r="E108" s="17" t="str">
        <f aca="false">IF($A108="","",IF(INDEX(Tasks!$E:$E,$A108)="","",INDEX(Tasks!$E:$E,$A108)))</f>
        <v>Not Started</v>
      </c>
      <c r="F108" s="18" t="n">
        <f aca="false">IF($A108="","",IF(INDEX(Tasks!$F:$F,$A108)="","",INDEX(Tasks!$F:$F,$A108)))</f>
        <v>46223</v>
      </c>
      <c r="G108" s="18" t="n">
        <f aca="false">IF($A108="","",IF(INDEX(Tasks!$H:$H,$A108)="","",INDEX(Tasks!$H:$H,$A108)))</f>
        <v>46227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n">
        <f aca="false">IFERROR(MATCH($C$2&amp;"|"&amp;(ROW()-4),Tasks!$L$4:$L$403,0)+3,"")</f>
        <v>108</v>
      </c>
      <c r="B109" s="17" t="str">
        <f aca="false">IF($A109="","",IF(INDEX(Tasks!$A:$A,$A109)="","",INDEX(Tasks!$A:$A,$A109)))</f>
        <v>DL-7.2</v>
      </c>
      <c r="C109" s="17" t="str">
        <f aca="false">IF($A109="","",IF(ISERROR(FIND(".",INDEX(Tasks!$A:$A,$A109))),"","   ")&amp;INDEX(Tasks!$C:$C,$A109))</f>
        <v>   End-to-End Integration Test</v>
      </c>
      <c r="D109" s="17" t="str">
        <f aca="false">IF($A109="","",IF(INDEX(Tasks!$D:$D,$A109)="","",INDEX(Tasks!$D:$D,$A109)))</f>
        <v>Dual-link owner</v>
      </c>
      <c r="E109" s="17" t="str">
        <f aca="false">IF($A109="","",IF(INDEX(Tasks!$E:$E,$A109)="","",INDEX(Tasks!$E:$E,$A109)))</f>
        <v>Not Started</v>
      </c>
      <c r="F109" s="18" t="n">
        <f aca="false">IF($A109="","",IF(INDEX(Tasks!$F:$F,$A109)="","",INDEX(Tasks!$F:$F,$A109)))</f>
        <v>46230</v>
      </c>
      <c r="G109" s="18" t="n">
        <f aca="false">IF($A109="","",IF(INDEX(Tasks!$H:$H,$A109)="","",INDEX(Tasks!$H:$H,$A109)))</f>
        <v>46234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n">
        <f aca="false">IFERROR(MATCH($C$2&amp;"|"&amp;(ROW()-4),Tasks!$L$4:$L$403,0)+3,"")</f>
        <v>109</v>
      </c>
      <c r="B110" s="17" t="str">
        <f aca="false">IF($A110="","",IF(INDEX(Tasks!$A:$A,$A110)="","",INDEX(Tasks!$A:$A,$A110)))</f>
        <v>SC-1</v>
      </c>
      <c r="C110" s="17" t="str">
        <f aca="false">IF($A110="","",IF(ISERROR(FIND(".",INDEX(Tasks!$A:$A,$A110))),"","   ")&amp;INDEX(Tasks!$C:$C,$A110))</f>
        <v>Object Recognition (Camera Encoder/Decoder)</v>
      </c>
      <c r="D110" s="17" t="str">
        <f aca="false">IF($A110="","",IF(INDEX(Tasks!$D:$D,$A110)="","",INDEX(Tasks!$D:$D,$A110)))</f>
        <v>Semantic comm owner</v>
      </c>
      <c r="E110" s="17" t="str">
        <f aca="false">IF($A110="","",IF(INDEX(Tasks!$E:$E,$A110)="","",INDEX(Tasks!$E:$E,$A110)))</f>
        <v>Not Started</v>
      </c>
      <c r="F110" s="18" t="n">
        <f aca="false">IF($A110="","",IF(INDEX(Tasks!$F:$F,$A110)="","",INDEX(Tasks!$F:$F,$A110)))</f>
        <v>46195</v>
      </c>
      <c r="G110" s="18" t="n">
        <f aca="false">IF($A110="","",IF(INDEX(Tasks!$H:$H,$A110)="","",INDEX(Tasks!$H:$H,$A110)))</f>
        <v>46206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n">
        <f aca="false">IFERROR(MATCH($C$2&amp;"|"&amp;(ROW()-4),Tasks!$L$4:$L$403,0)+3,"")</f>
        <v>110</v>
      </c>
      <c r="B111" s="17" t="str">
        <f aca="false">IF($A111="","",IF(INDEX(Tasks!$A:$A,$A111)="","",INDEX(Tasks!$A:$A,$A111)))</f>
        <v>SC-1.1</v>
      </c>
      <c r="C111" s="17" t="str">
        <f aca="false">IF($A111="","",IF(ISERROR(FIND(".",INDEX(Tasks!$A:$A,$A111))),"","   ")&amp;INDEX(Tasks!$C:$C,$A111))</f>
        <v>   Encoder + Decoder</v>
      </c>
      <c r="D111" s="17" t="str">
        <f aca="false">IF($A111="","",IF(INDEX(Tasks!$D:$D,$A111)="","",INDEX(Tasks!$D:$D,$A111)))</f>
        <v>Semantic comm owner</v>
      </c>
      <c r="E111" s="17" t="str">
        <f aca="false">IF($A111="","",IF(INDEX(Tasks!$E:$E,$A111)="","",INDEX(Tasks!$E:$E,$A111)))</f>
        <v>Not Started</v>
      </c>
      <c r="F111" s="18" t="n">
        <f aca="false">IF($A111="","",IF(INDEX(Tasks!$F:$F,$A111)="","",INDEX(Tasks!$F:$F,$A111)))</f>
        <v>46195</v>
      </c>
      <c r="G111" s="18" t="n">
        <f aca="false">IF($A111="","",IF(INDEX(Tasks!$H:$H,$A111)="","",INDEX(Tasks!$H:$H,$A111)))</f>
        <v>46206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n">
        <f aca="false">IFERROR(MATCH($C$2&amp;"|"&amp;(ROW()-4),Tasks!$L$4:$L$403,0)+3,"")</f>
        <v>111</v>
      </c>
      <c r="B112" s="17" t="str">
        <f aca="false">IF($A112="","",IF(INDEX(Tasks!$A:$A,$A112)="","",INDEX(Tasks!$A:$A,$A112)))</f>
        <v>SC-1.2</v>
      </c>
      <c r="C112" s="17" t="str">
        <f aca="false">IF($A112="","",IF(ISERROR(FIND(".",INDEX(Tasks!$A:$A,$A112))),"","   ")&amp;INDEX(Tasks!$C:$C,$A112))</f>
        <v>   Accuracy Validation</v>
      </c>
      <c r="D112" s="17" t="str">
        <f aca="false">IF($A112="","",IF(INDEX(Tasks!$D:$D,$A112)="","",INDEX(Tasks!$D:$D,$A112)))</f>
        <v>Semantic comm owner</v>
      </c>
      <c r="E112" s="17" t="str">
        <f aca="false">IF($A112="","",IF(INDEX(Tasks!$E:$E,$A112)="","",INDEX(Tasks!$E:$E,$A112)))</f>
        <v>Not Started</v>
      </c>
      <c r="F112" s="18" t="n">
        <f aca="false">IF($A112="","",IF(INDEX(Tasks!$F:$F,$A112)="","",INDEX(Tasks!$F:$F,$A112)))</f>
        <v>46202</v>
      </c>
      <c r="G112" s="18" t="n">
        <f aca="false">IF($A112="","",IF(INDEX(Tasks!$H:$H,$A112)="","",INDEX(Tasks!$H:$H,$A112)))</f>
        <v>46206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n">
        <f aca="false">IFERROR(MATCH($C$2&amp;"|"&amp;(ROW()-4),Tasks!$L$4:$L$403,0)+3,"")</f>
        <v>112</v>
      </c>
      <c r="B113" s="17" t="str">
        <f aca="false">IF($A113="","",IF(INDEX(Tasks!$A:$A,$A113)="","",INDEX(Tasks!$A:$A,$A113)))</f>
        <v>SC-2</v>
      </c>
      <c r="C113" s="17" t="str">
        <f aca="false">IF($A113="","",IF(ISERROR(FIND(".",INDEX(Tasks!$A:$A,$A113))),"","   ")&amp;INDEX(Tasks!$C:$C,$A113))</f>
        <v>Build Core Framework</v>
      </c>
      <c r="D113" s="17" t="str">
        <f aca="false">IF($A113="","",IF(INDEX(Tasks!$D:$D,$A113)="","",INDEX(Tasks!$D:$D,$A113)))</f>
        <v>Semantic comm owner</v>
      </c>
      <c r="E113" s="17" t="str">
        <f aca="false">IF($A113="","",IF(INDEX(Tasks!$E:$E,$A113)="","",INDEX(Tasks!$E:$E,$A113)))</f>
        <v>Not Started</v>
      </c>
      <c r="F113" s="18" t="n">
        <f aca="false">IF($A113="","",IF(INDEX(Tasks!$F:$F,$A113)="","",INDEX(Tasks!$F:$F,$A113)))</f>
        <v>46209</v>
      </c>
      <c r="G113" s="18" t="n">
        <f aca="false">IF($A113="","",IF(INDEX(Tasks!$H:$H,$A113)="","",INDEX(Tasks!$H:$H,$A113)))</f>
        <v>46220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n">
        <f aca="false">IFERROR(MATCH($C$2&amp;"|"&amp;(ROW()-4),Tasks!$L$4:$L$403,0)+3,"")</f>
        <v>113</v>
      </c>
      <c r="B114" s="17" t="str">
        <f aca="false">IF($A114="","",IF(INDEX(Tasks!$A:$A,$A114)="","",INDEX(Tasks!$A:$A,$A114)))</f>
        <v>SC-2.1</v>
      </c>
      <c r="C114" s="17" t="str">
        <f aca="false">IF($A114="","",IF(ISERROR(FIND(".",INDEX(Tasks!$A:$A,$A114))),"","   ")&amp;INDEX(Tasks!$C:$C,$A114))</f>
        <v>   Baseline 3-Stage Framework</v>
      </c>
      <c r="D114" s="17" t="str">
        <f aca="false">IF($A114="","",IF(INDEX(Tasks!$D:$D,$A114)="","",INDEX(Tasks!$D:$D,$A114)))</f>
        <v>Semantic comm owner</v>
      </c>
      <c r="E114" s="17" t="str">
        <f aca="false">IF($A114="","",IF(INDEX(Tasks!$E:$E,$A114)="","",INDEX(Tasks!$E:$E,$A114)))</f>
        <v>Not Started</v>
      </c>
      <c r="F114" s="18" t="n">
        <f aca="false">IF($A114="","",IF(INDEX(Tasks!$F:$F,$A114)="","",INDEX(Tasks!$F:$F,$A114)))</f>
        <v>46209</v>
      </c>
      <c r="G114" s="18" t="n">
        <f aca="false">IF($A114="","",IF(INDEX(Tasks!$H:$H,$A114)="","",INDEX(Tasks!$H:$H,$A114)))</f>
        <v>46220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n">
        <f aca="false">IFERROR(MATCH($C$2&amp;"|"&amp;(ROW()-4),Tasks!$L$4:$L$403,0)+3,"")</f>
        <v>114</v>
      </c>
      <c r="B115" s="17" t="str">
        <f aca="false">IF($A115="","",IF(INDEX(Tasks!$A:$A,$A115)="","",INDEX(Tasks!$A:$A,$A115)))</f>
        <v>SC-2.2</v>
      </c>
      <c r="C115" s="17" t="str">
        <f aca="false">IF($A115="","",IF(ISERROR(FIND(".",INDEX(Tasks!$A:$A,$A115))),"","   ")&amp;INDEX(Tasks!$C:$C,$A115))</f>
        <v>   Realistic Channel Model</v>
      </c>
      <c r="D115" s="17" t="str">
        <f aca="false">IF($A115="","",IF(INDEX(Tasks!$D:$D,$A115)="","",INDEX(Tasks!$D:$D,$A115)))</f>
        <v>Semantic comm owner</v>
      </c>
      <c r="E115" s="17" t="str">
        <f aca="false">IF($A115="","",IF(INDEX(Tasks!$E:$E,$A115)="","",INDEX(Tasks!$E:$E,$A115)))</f>
        <v>Not Started</v>
      </c>
      <c r="F115" s="18" t="n">
        <f aca="false">IF($A115="","",IF(INDEX(Tasks!$F:$F,$A115)="","",INDEX(Tasks!$F:$F,$A115)))</f>
        <v>46216</v>
      </c>
      <c r="G115" s="18" t="n">
        <f aca="false">IF($A115="","",IF(INDEX(Tasks!$H:$H,$A115)="","",INDEX(Tasks!$H:$H,$A115)))</f>
        <v>46220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n">
        <f aca="false">IFERROR(MATCH($C$2&amp;"|"&amp;(ROW()-4),Tasks!$L$4:$L$403,0)+3,"")</f>
        <v>115</v>
      </c>
      <c r="B116" s="17" t="str">
        <f aca="false">IF($A116="","",IF(INDEX(Tasks!$A:$A,$A116)="","",INDEX(Tasks!$A:$A,$A116)))</f>
        <v>SC-3</v>
      </c>
      <c r="C116" s="17" t="str">
        <f aca="false">IF($A116="","",IF(ISERROR(FIND(".",INDEX(Tasks!$A:$A,$A116))),"","   ")&amp;INDEX(Tasks!$C:$C,$A116))</f>
        <v>Dynamic Bandwidth Management</v>
      </c>
      <c r="D116" s="17" t="str">
        <f aca="false">IF($A116="","",IF(INDEX(Tasks!$D:$D,$A116)="","",INDEX(Tasks!$D:$D,$A116)))</f>
        <v>Semantic comm owner</v>
      </c>
      <c r="E116" s="17" t="str">
        <f aca="false">IF($A116="","",IF(INDEX(Tasks!$E:$E,$A116)="","",INDEX(Tasks!$E:$E,$A116)))</f>
        <v>Not Started</v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n">
        <f aca="false">IFERROR(MATCH($C$2&amp;"|"&amp;(ROW()-4),Tasks!$L$4:$L$403,0)+3,"")</f>
        <v>116</v>
      </c>
      <c r="B117" s="17" t="str">
        <f aca="false">IF($A117="","",IF(INDEX(Tasks!$A:$A,$A117)="","",INDEX(Tasks!$A:$A,$A117)))</f>
        <v>SC-3.1</v>
      </c>
      <c r="C117" s="17" t="str">
        <f aca="false">IF($A117="","",IF(ISERROR(FIND(".",INDEX(Tasks!$A:$A,$A117))),"","   ")&amp;INDEX(Tasks!$C:$C,$A117))</f>
        <v>   Semantic Allocation</v>
      </c>
      <c r="D117" s="17" t="str">
        <f aca="false">IF($A117="","",IF(INDEX(Tasks!$D:$D,$A117)="","",INDEX(Tasks!$D:$D,$A117)))</f>
        <v>Semantic comm owner</v>
      </c>
      <c r="E117" s="17" t="str">
        <f aca="false">IF($A117="","",IF(INDEX(Tasks!$E:$E,$A117)="","",INDEX(Tasks!$E:$E,$A117)))</f>
        <v>Not Started</v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n">
        <f aca="false">IFERROR(MATCH($C$2&amp;"|"&amp;(ROW()-4),Tasks!$L$4:$L$403,0)+3,"")</f>
        <v>117</v>
      </c>
      <c r="B118" s="17" t="str">
        <f aca="false">IF($A118="","",IF(INDEX(Tasks!$A:$A,$A118)="","",INDEX(Tasks!$A:$A,$A118)))</f>
        <v>SC-3.2</v>
      </c>
      <c r="C118" s="17" t="str">
        <f aca="false">IF($A118="","",IF(ISERROR(FIND(".",INDEX(Tasks!$A:$A,$A118))),"","   ")&amp;INDEX(Tasks!$C:$C,$A118))</f>
        <v>   Physical Constraint Bounds</v>
      </c>
      <c r="D118" s="17" t="str">
        <f aca="false">IF($A118="","",IF(INDEX(Tasks!$D:$D,$A118)="","",INDEX(Tasks!$D:$D,$A118)))</f>
        <v>Semantic comm owner</v>
      </c>
      <c r="E118" s="17" t="str">
        <f aca="false">IF($A118="","",IF(INDEX(Tasks!$E:$E,$A118)="","",INDEX(Tasks!$E:$E,$A118)))</f>
        <v>Not Started</v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n">
        <f aca="false">IFERROR(MATCH($C$2&amp;"|"&amp;(ROW()-4),Tasks!$L$4:$L$403,0)+3,"")</f>
        <v>118</v>
      </c>
      <c r="B119" s="17" t="str">
        <f aca="false">IF($A119="","",IF(INDEX(Tasks!$A:$A,$A119)="","",INDEX(Tasks!$A:$A,$A119)))</f>
        <v>SC-3.3</v>
      </c>
      <c r="C119" s="17" t="str">
        <f aca="false">IF($A119="","",IF(ISERROR(FIND(".",INDEX(Tasks!$A:$A,$A119))),"","   ")&amp;INDEX(Tasks!$C:$C,$A119))</f>
        <v>   Per-Modality Truncation</v>
      </c>
      <c r="D119" s="17" t="str">
        <f aca="false">IF($A119="","",IF(INDEX(Tasks!$D:$D,$A119)="","",INDEX(Tasks!$D:$D,$A119)))</f>
        <v>Semantic comm owner</v>
      </c>
      <c r="E119" s="17" t="str">
        <f aca="false">IF($A119="","",IF(INDEX(Tasks!$E:$E,$A119)="","",INDEX(Tasks!$E:$E,$A119)))</f>
        <v>Not Started</v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n">
        <f aca="false">IFERROR(MATCH($C$2&amp;"|"&amp;(ROW()-4),Tasks!$L$4:$L$403,0)+3,"")</f>
        <v>119</v>
      </c>
      <c r="B120" s="17" t="str">
        <f aca="false">IF($A120="","",IF(INDEX(Tasks!$A:$A,$A120)="","",INDEX(Tasks!$A:$A,$A120)))</f>
        <v>SC-3.4</v>
      </c>
      <c r="C120" s="17" t="str">
        <f aca="false">IF($A120="","",IF(ISERROR(FIND(".",INDEX(Tasks!$A:$A,$A120))),"","   ")&amp;INDEX(Tasks!$C:$C,$A120))</f>
        <v>   Cost-Aware Feedback Loop</v>
      </c>
      <c r="D120" s="17" t="str">
        <f aca="false">IF($A120="","",IF(INDEX(Tasks!$D:$D,$A120)="","",INDEX(Tasks!$D:$D,$A120)))</f>
        <v>Semantic comm owner</v>
      </c>
      <c r="E120" s="17" t="str">
        <f aca="false">IF($A120="","",IF(INDEX(Tasks!$E:$E,$A120)="","",INDEX(Tasks!$E:$E,$A120)))</f>
        <v>Not Started</v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n">
        <f aca="false">IFERROR(MATCH($C$2&amp;"|"&amp;(ROW()-4),Tasks!$L$4:$L$403,0)+3,"")</f>
        <v>120</v>
      </c>
      <c r="B121" s="17" t="str">
        <f aca="false">IF($A121="","",IF(INDEX(Tasks!$A:$A,$A121)="","",INDEX(Tasks!$A:$A,$A121)))</f>
        <v>SC-4</v>
      </c>
      <c r="C121" s="17" t="str">
        <f aca="false">IF($A121="","",IF(ISERROR(FIND(".",INDEX(Tasks!$A:$A,$A121))),"","   ")&amp;INDEX(Tasks!$C:$C,$A121))</f>
        <v>Multi-Task Transmission</v>
      </c>
      <c r="D121" s="17" t="str">
        <f aca="false">IF($A121="","",IF(INDEX(Tasks!$D:$D,$A121)="","",INDEX(Tasks!$D:$D,$A121)))</f>
        <v>Semantic comm owner</v>
      </c>
      <c r="E121" s="17" t="str">
        <f aca="false">IF($A121="","",IF(INDEX(Tasks!$E:$E,$A121)="","",INDEX(Tasks!$E:$E,$A121)))</f>
        <v>Not Started</v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n">
        <f aca="false">IFERROR(MATCH($C$2&amp;"|"&amp;(ROW()-4),Tasks!$L$4:$L$403,0)+3,"")</f>
        <v>121</v>
      </c>
      <c r="B122" s="17" t="str">
        <f aca="false">IF($A122="","",IF(INDEX(Tasks!$A:$A,$A122)="","",INDEX(Tasks!$A:$A,$A122)))</f>
        <v>SC-5</v>
      </c>
      <c r="C122" s="17" t="str">
        <f aca="false">IF($A122="","",IF(ISERROR(FIND(".",INDEX(Tasks!$A:$A,$A122))),"","   ")&amp;INDEX(Tasks!$C:$C,$A122))</f>
        <v>Train &amp; Evaluate on Dataset</v>
      </c>
      <c r="D122" s="17" t="str">
        <f aca="false">IF($A122="","",IF(INDEX(Tasks!$D:$D,$A122)="","",INDEX(Tasks!$D:$D,$A122)))</f>
        <v>Semantic comm owner</v>
      </c>
      <c r="E122" s="17" t="str">
        <f aca="false">IF($A122="","",IF(INDEX(Tasks!$E:$E,$A122)="","",INDEX(Tasks!$E:$E,$A122)))</f>
        <v>Not Started</v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n">
        <f aca="false">IFERROR(MATCH($C$2&amp;"|"&amp;(ROW()-4),Tasks!$L$4:$L$403,0)+3,"")</f>
        <v>122</v>
      </c>
      <c r="B123" s="17" t="str">
        <f aca="false">IF($A123="","",IF(INDEX(Tasks!$A:$A,$A123)="","",INDEX(Tasks!$A:$A,$A123)))</f>
        <v>SC-6</v>
      </c>
      <c r="C123" s="17" t="str">
        <f aca="false">IF($A123="","",IF(ISERROR(FIND(".",INDEX(Tasks!$A:$A,$A123))),"","   ")&amp;INDEX(Tasks!$C:$C,$A123))</f>
        <v>Integrate with Dual-Link</v>
      </c>
      <c r="D123" s="17" t="str">
        <f aca="false">IF($A123="","",IF(INDEX(Tasks!$D:$D,$A123)="","",INDEX(Tasks!$D:$D,$A123)))</f>
        <v>Semantic comm owner</v>
      </c>
      <c r="E123" s="17" t="str">
        <f aca="false">IF($A123="","",IF(INDEX(Tasks!$E:$E,$A123)="","",INDEX(Tasks!$E:$E,$A123)))</f>
        <v>Not Started</v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IFERROR(MATCH($C$2&amp;"|"&amp;(ROW()-4),Tasks!$L$4:$L$403,0)+3,"")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IF($A124="","",IF(INDEX(Tasks!$D:$D,$A124)="","",INDEX(Tasks!$D:$D,$A124)))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  <row r="125" customFormat="false" ht="15" hidden="false" customHeight="false" outlineLevel="0" collapsed="false">
      <c r="A125" s="16" t="str">
        <f aca="false">IFERROR(MATCH($C$2&amp;"|"&amp;(ROW()-4),Tasks!$L$4:$L$403,0)+3,"")</f>
        <v/>
      </c>
      <c r="B125" s="17" t="str">
        <f aca="false">IF($A125="","",IF(INDEX(Tasks!$A:$A,$A125)="","",INDEX(Tasks!$A:$A,$A125)))</f>
        <v/>
      </c>
      <c r="C125" s="17" t="str">
        <f aca="false">IF($A125="","",IF(ISERROR(FIND(".",INDEX(Tasks!$A:$A,$A125))),"","   ")&amp;INDEX(Tasks!$C:$C,$A125))</f>
        <v/>
      </c>
      <c r="D125" s="17" t="str">
        <f aca="false">IF($A125="","",IF(INDEX(Tasks!$D:$D,$A125)="","",INDEX(Tasks!$D:$D,$A125)))</f>
        <v/>
      </c>
      <c r="E125" s="17" t="str">
        <f aca="false">IF($A125="","",IF(INDEX(Tasks!$E:$E,$A125)="","",INDEX(Tasks!$E:$E,$A125)))</f>
        <v/>
      </c>
      <c r="F125" s="18" t="str">
        <f aca="false">IF($A125="","",IF(INDEX(Tasks!$F:$F,$A125)="","",INDEX(Tasks!$F:$F,$A125)))</f>
        <v/>
      </c>
      <c r="G125" s="18" t="str">
        <f aca="false">IF($A125="","",IF(INDEX(Tasks!$H:$H,$A125)="","",INDEX(Tasks!$H:$H,$A125)))</f>
        <v/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</row>
    <row r="126" customFormat="false" ht="15" hidden="false" customHeight="false" outlineLevel="0" collapsed="false">
      <c r="A126" s="16" t="str">
        <f aca="false">IFERROR(MATCH($C$2&amp;"|"&amp;(ROW()-4),Tasks!$L$4:$L$403,0)+3,"")</f>
        <v/>
      </c>
      <c r="B126" s="17" t="str">
        <f aca="false">IF($A126="","",IF(INDEX(Tasks!$A:$A,$A126)="","",INDEX(Tasks!$A:$A,$A126)))</f>
        <v/>
      </c>
      <c r="C126" s="17" t="str">
        <f aca="false">IF($A126="","",IF(ISERROR(FIND(".",INDEX(Tasks!$A:$A,$A126))),"","   ")&amp;INDEX(Tasks!$C:$C,$A126))</f>
        <v/>
      </c>
      <c r="D126" s="17" t="str">
        <f aca="false">IF($A126="","",IF(INDEX(Tasks!$D:$D,$A126)="","",INDEX(Tasks!$D:$D,$A126)))</f>
        <v/>
      </c>
      <c r="E126" s="17" t="str">
        <f aca="false">IF($A126="","",IF(INDEX(Tasks!$E:$E,$A126)="","",INDEX(Tasks!$E:$E,$A126)))</f>
        <v/>
      </c>
      <c r="F126" s="18" t="str">
        <f aca="false">IF($A126="","",IF(INDEX(Tasks!$F:$F,$A126)="","",INDEX(Tasks!$F:$F,$A126)))</f>
        <v/>
      </c>
      <c r="G126" s="18" t="str">
        <f aca="false">IF($A126="","",IF(INDEX(Tasks!$H:$H,$A126)="","",INDEX(Tasks!$H:$H,$A126)))</f>
        <v/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</row>
    <row r="127" customFormat="false" ht="15" hidden="false" customHeight="false" outlineLevel="0" collapsed="false">
      <c r="A127" s="16" t="str">
        <f aca="false">IFERROR(MATCH($C$2&amp;"|"&amp;(ROW()-4),Tasks!$L$4:$L$403,0)+3,"")</f>
        <v/>
      </c>
      <c r="B127" s="17" t="str">
        <f aca="false">IF($A127="","",IF(INDEX(Tasks!$A:$A,$A127)="","",INDEX(Tasks!$A:$A,$A127)))</f>
        <v/>
      </c>
      <c r="C127" s="17" t="str">
        <f aca="false">IF($A127="","",IF(ISERROR(FIND(".",INDEX(Tasks!$A:$A,$A127))),"","   ")&amp;INDEX(Tasks!$C:$C,$A127))</f>
        <v/>
      </c>
      <c r="D127" s="17" t="str">
        <f aca="false">IF($A127="","",IF(INDEX(Tasks!$D:$D,$A127)="","",INDEX(Tasks!$D:$D,$A127)))</f>
        <v/>
      </c>
      <c r="E127" s="17" t="str">
        <f aca="false">IF($A127="","",IF(INDEX(Tasks!$E:$E,$A127)="","",INDEX(Tasks!$E:$E,$A127)))</f>
        <v/>
      </c>
      <c r="F127" s="18" t="str">
        <f aca="false">IF($A127="","",IF(INDEX(Tasks!$F:$F,$A127)="","",INDEX(Tasks!$F:$F,$A127)))</f>
        <v/>
      </c>
      <c r="G127" s="18" t="str">
        <f aca="false">IF($A127="","",IF(INDEX(Tasks!$H:$H,$A127)="","",INDEX(Tasks!$H:$H,$A127)))</f>
        <v/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</row>
    <row r="128" customFormat="false" ht="15" hidden="false" customHeight="false" outlineLevel="0" collapsed="false">
      <c r="A128" s="16" t="str">
        <f aca="false">IFERROR(MATCH($C$2&amp;"|"&amp;(ROW()-4),Tasks!$L$4:$L$403,0)+3,"")</f>
        <v/>
      </c>
      <c r="B128" s="17" t="str">
        <f aca="false">IF($A128="","",IF(INDEX(Tasks!$A:$A,$A128)="","",INDEX(Tasks!$A:$A,$A128)))</f>
        <v/>
      </c>
      <c r="C128" s="17" t="str">
        <f aca="false">IF($A128="","",IF(ISERROR(FIND(".",INDEX(Tasks!$A:$A,$A128))),"","   ")&amp;INDEX(Tasks!$C:$C,$A128))</f>
        <v/>
      </c>
      <c r="D128" s="17" t="str">
        <f aca="false">IF($A128="","",IF(INDEX(Tasks!$D:$D,$A128)="","",INDEX(Tasks!$D:$D,$A128)))</f>
        <v/>
      </c>
      <c r="E128" s="17" t="str">
        <f aca="false">IF($A128="","",IF(INDEX(Tasks!$E:$E,$A128)="","",INDEX(Tasks!$E:$E,$A128)))</f>
        <v/>
      </c>
      <c r="F128" s="18" t="str">
        <f aca="false">IF($A128="","",IF(INDEX(Tasks!$F:$F,$A128)="","",INDEX(Tasks!$F:$F,$A128)))</f>
        <v/>
      </c>
      <c r="G128" s="18" t="str">
        <f aca="false">IF($A128="","",IF(INDEX(Tasks!$H:$H,$A128)="","",INDEX(Tasks!$H:$H,$A128)))</f>
        <v/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</row>
    <row r="129" customFormat="false" ht="15" hidden="false" customHeight="false" outlineLevel="0" collapsed="false">
      <c r="A129" s="16" t="str">
        <f aca="false">IFERROR(MATCH($C$2&amp;"|"&amp;(ROW()-4),Tasks!$L$4:$L$403,0)+3,"")</f>
        <v/>
      </c>
      <c r="B129" s="17" t="str">
        <f aca="false">IF($A129="","",IF(INDEX(Tasks!$A:$A,$A129)="","",INDEX(Tasks!$A:$A,$A129)))</f>
        <v/>
      </c>
      <c r="C129" s="17" t="str">
        <f aca="false">IF($A129="","",IF(ISERROR(FIND(".",INDEX(Tasks!$A:$A,$A129))),"","   ")&amp;INDEX(Tasks!$C:$C,$A129))</f>
        <v/>
      </c>
      <c r="D129" s="17" t="str">
        <f aca="false">IF($A129="","",IF(INDEX(Tasks!$D:$D,$A129)="","",INDEX(Tasks!$D:$D,$A129)))</f>
        <v/>
      </c>
      <c r="E129" s="17" t="str">
        <f aca="false">IF($A129="","",IF(INDEX(Tasks!$E:$E,$A129)="","",INDEX(Tasks!$E:$E,$A129)))</f>
        <v/>
      </c>
      <c r="F129" s="18" t="str">
        <f aca="false">IF($A129="","",IF(INDEX(Tasks!$F:$F,$A129)="","",INDEX(Tasks!$F:$F,$A129)))</f>
        <v/>
      </c>
      <c r="G129" s="18" t="str">
        <f aca="false">IF($A129="","",IF(INDEX(Tasks!$H:$H,$A129)="","",INDEX(Tasks!$H:$H,$A129)))</f>
        <v/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</row>
    <row r="130" customFormat="false" ht="15" hidden="false" customHeight="false" outlineLevel="0" collapsed="false">
      <c r="A130" s="16" t="str">
        <f aca="false">IFERROR(MATCH($C$2&amp;"|"&amp;(ROW()-4),Tasks!$L$4:$L$403,0)+3,"")</f>
        <v/>
      </c>
      <c r="B130" s="17" t="str">
        <f aca="false">IF($A130="","",IF(INDEX(Tasks!$A:$A,$A130)="","",INDEX(Tasks!$A:$A,$A130)))</f>
        <v/>
      </c>
      <c r="C130" s="17" t="str">
        <f aca="false">IF($A130="","",IF(ISERROR(FIND(".",INDEX(Tasks!$A:$A,$A130))),"","   ")&amp;INDEX(Tasks!$C:$C,$A130))</f>
        <v/>
      </c>
      <c r="D130" s="17" t="str">
        <f aca="false">IF($A130="","",IF(INDEX(Tasks!$D:$D,$A130)="","",INDEX(Tasks!$D:$D,$A130)))</f>
        <v/>
      </c>
      <c r="E130" s="17" t="str">
        <f aca="false">IF($A130="","",IF(INDEX(Tasks!$E:$E,$A130)="","",INDEX(Tasks!$E:$E,$A130)))</f>
        <v/>
      </c>
      <c r="F130" s="18" t="str">
        <f aca="false">IF($A130="","",IF(INDEX(Tasks!$F:$F,$A130)="","",INDEX(Tasks!$F:$F,$A130)))</f>
        <v/>
      </c>
      <c r="G130" s="18" t="str">
        <f aca="false">IF($A130="","",IF(INDEX(Tasks!$H:$H,$A130)="","",INDEX(Tasks!$H:$H,$A130)))</f>
        <v/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</row>
    <row r="131" customFormat="false" ht="15" hidden="false" customHeight="false" outlineLevel="0" collapsed="false">
      <c r="A131" s="16" t="str">
        <f aca="false">IFERROR(MATCH($C$2&amp;"|"&amp;(ROW()-4),Tasks!$L$4:$L$403,0)+3,"")</f>
        <v/>
      </c>
      <c r="B131" s="17" t="str">
        <f aca="false">IF($A131="","",IF(INDEX(Tasks!$A:$A,$A131)="","",INDEX(Tasks!$A:$A,$A131)))</f>
        <v/>
      </c>
      <c r="C131" s="17" t="str">
        <f aca="false">IF($A131="","",IF(ISERROR(FIND(".",INDEX(Tasks!$A:$A,$A131))),"","   ")&amp;INDEX(Tasks!$C:$C,$A131))</f>
        <v/>
      </c>
      <c r="D131" s="17" t="str">
        <f aca="false">IF($A131="","",IF(INDEX(Tasks!$D:$D,$A131)="","",INDEX(Tasks!$D:$D,$A131)))</f>
        <v/>
      </c>
      <c r="E131" s="17" t="str">
        <f aca="false">IF($A131="","",IF(INDEX(Tasks!$E:$E,$A131)="","",INDEX(Tasks!$E:$E,$A131)))</f>
        <v/>
      </c>
      <c r="F131" s="18" t="str">
        <f aca="false">IF($A131="","",IF(INDEX(Tasks!$F:$F,$A131)="","",INDEX(Tasks!$F:$F,$A131)))</f>
        <v/>
      </c>
      <c r="G131" s="18" t="str">
        <f aca="false">IF($A131="","",IF(INDEX(Tasks!$H:$H,$A131)="","",INDEX(Tasks!$H:$H,$A131)))</f>
        <v/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</row>
    <row r="132" customFormat="false" ht="15" hidden="false" customHeight="false" outlineLevel="0" collapsed="false">
      <c r="A132" s="16" t="str">
        <f aca="false">IFERROR(MATCH($C$2&amp;"|"&amp;(ROW()-4),Tasks!$L$4:$L$403,0)+3,"")</f>
        <v/>
      </c>
      <c r="B132" s="17" t="str">
        <f aca="false">IF($A132="","",IF(INDEX(Tasks!$A:$A,$A132)="","",INDEX(Tasks!$A:$A,$A132)))</f>
        <v/>
      </c>
      <c r="C132" s="17" t="str">
        <f aca="false">IF($A132="","",IF(ISERROR(FIND(".",INDEX(Tasks!$A:$A,$A132))),"","   ")&amp;INDEX(Tasks!$C:$C,$A132))</f>
        <v/>
      </c>
      <c r="D132" s="17" t="str">
        <f aca="false">IF($A132="","",IF(INDEX(Tasks!$D:$D,$A132)="","",INDEX(Tasks!$D:$D,$A132)))</f>
        <v/>
      </c>
      <c r="E132" s="17" t="str">
        <f aca="false">IF($A132="","",IF(INDEX(Tasks!$E:$E,$A132)="","",INDEX(Tasks!$E:$E,$A132)))</f>
        <v/>
      </c>
      <c r="F132" s="18" t="str">
        <f aca="false">IF($A132="","",IF(INDEX(Tasks!$F:$F,$A132)="","",INDEX(Tasks!$F:$F,$A132)))</f>
        <v/>
      </c>
      <c r="G132" s="18" t="str">
        <f aca="false">IF($A132="","",IF(INDEX(Tasks!$H:$H,$A132)="","",INDEX(Tasks!$H:$H,$A132)))</f>
        <v/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</row>
    <row r="133" customFormat="false" ht="15" hidden="false" customHeight="false" outlineLevel="0" collapsed="false">
      <c r="A133" s="16" t="str">
        <f aca="false">IFERROR(MATCH($C$2&amp;"|"&amp;(ROW()-4),Tasks!$L$4:$L$403,0)+3,"")</f>
        <v/>
      </c>
      <c r="B133" s="17" t="str">
        <f aca="false">IF($A133="","",IF(INDEX(Tasks!$A:$A,$A133)="","",INDEX(Tasks!$A:$A,$A133)))</f>
        <v/>
      </c>
      <c r="C133" s="17" t="str">
        <f aca="false">IF($A133="","",IF(ISERROR(FIND(".",INDEX(Tasks!$A:$A,$A133))),"","   ")&amp;INDEX(Tasks!$C:$C,$A133))</f>
        <v/>
      </c>
      <c r="D133" s="17" t="str">
        <f aca="false">IF($A133="","",IF(INDEX(Tasks!$D:$D,$A133)="","",INDEX(Tasks!$D:$D,$A133)))</f>
        <v/>
      </c>
      <c r="E133" s="17" t="str">
        <f aca="false">IF($A133="","",IF(INDEX(Tasks!$E:$E,$A133)="","",INDEX(Tasks!$E:$E,$A133)))</f>
        <v/>
      </c>
      <c r="F133" s="18" t="str">
        <f aca="false">IF($A133="","",IF(INDEX(Tasks!$F:$F,$A133)="","",INDEX(Tasks!$F:$F,$A133)))</f>
        <v/>
      </c>
      <c r="G133" s="18" t="str">
        <f aca="false">IF($A133="","",IF(INDEX(Tasks!$H:$H,$A133)="","",INDEX(Tasks!$H:$H,$A133)))</f>
        <v/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</row>
    <row r="134" customFormat="false" ht="15" hidden="false" customHeight="false" outlineLevel="0" collapsed="false">
      <c r="A134" s="16" t="str">
        <f aca="false">IFERROR(MATCH($C$2&amp;"|"&amp;(ROW()-4),Tasks!$L$4:$L$403,0)+3,"")</f>
        <v/>
      </c>
      <c r="B134" s="17" t="str">
        <f aca="false">IF($A134="","",IF(INDEX(Tasks!$A:$A,$A134)="","",INDEX(Tasks!$A:$A,$A134)))</f>
        <v/>
      </c>
      <c r="C134" s="17" t="str">
        <f aca="false">IF($A134="","",IF(ISERROR(FIND(".",INDEX(Tasks!$A:$A,$A134))),"","   ")&amp;INDEX(Tasks!$C:$C,$A134))</f>
        <v/>
      </c>
      <c r="D134" s="17" t="str">
        <f aca="false">IF($A134="","",IF(INDEX(Tasks!$D:$D,$A134)="","",INDEX(Tasks!$D:$D,$A134)))</f>
        <v/>
      </c>
      <c r="E134" s="17" t="str">
        <f aca="false">IF($A134="","",IF(INDEX(Tasks!$E:$E,$A134)="","",INDEX(Tasks!$E:$E,$A134)))</f>
        <v/>
      </c>
      <c r="F134" s="18" t="str">
        <f aca="false">IF($A134="","",IF(INDEX(Tasks!$F:$F,$A134)="","",INDEX(Tasks!$F:$F,$A134)))</f>
        <v/>
      </c>
      <c r="G134" s="18" t="str">
        <f aca="false">IF($A134="","",IF(INDEX(Tasks!$H:$H,$A134)="","",INDEX(Tasks!$H:$H,$A134)))</f>
        <v/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</row>
    <row r="135" customFormat="false" ht="15" hidden="false" customHeight="false" outlineLevel="0" collapsed="false">
      <c r="A135" s="16" t="str">
        <f aca="false">IFERROR(MATCH($C$2&amp;"|"&amp;(ROW()-4),Tasks!$L$4:$L$403,0)+3,"")</f>
        <v/>
      </c>
      <c r="B135" s="17" t="str">
        <f aca="false">IF($A135="","",IF(INDEX(Tasks!$A:$A,$A135)="","",INDEX(Tasks!$A:$A,$A135)))</f>
        <v/>
      </c>
      <c r="C135" s="17" t="str">
        <f aca="false">IF($A135="","",IF(ISERROR(FIND(".",INDEX(Tasks!$A:$A,$A135))),"","   ")&amp;INDEX(Tasks!$C:$C,$A135))</f>
        <v/>
      </c>
      <c r="D135" s="17" t="str">
        <f aca="false">IF($A135="","",IF(INDEX(Tasks!$D:$D,$A135)="","",INDEX(Tasks!$D:$D,$A135)))</f>
        <v/>
      </c>
      <c r="E135" s="17" t="str">
        <f aca="false">IF($A135="","",IF(INDEX(Tasks!$E:$E,$A135)="","",INDEX(Tasks!$E:$E,$A135)))</f>
        <v/>
      </c>
      <c r="F135" s="18" t="str">
        <f aca="false">IF($A135="","",IF(INDEX(Tasks!$F:$F,$A135)="","",INDEX(Tasks!$F:$F,$A135)))</f>
        <v/>
      </c>
      <c r="G135" s="18" t="str">
        <f aca="false">IF($A135="","",IF(INDEX(Tasks!$H:$H,$A135)="","",INDEX(Tasks!$H:$H,$A135)))</f>
        <v/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</row>
    <row r="136" customFormat="false" ht="15" hidden="false" customHeight="false" outlineLevel="0" collapsed="false">
      <c r="A136" s="16" t="str">
        <f aca="false">IFERROR(MATCH($C$2&amp;"|"&amp;(ROW()-4),Tasks!$L$4:$L$403,0)+3,"")</f>
        <v/>
      </c>
      <c r="B136" s="17" t="str">
        <f aca="false">IF($A136="","",IF(INDEX(Tasks!$A:$A,$A136)="","",INDEX(Tasks!$A:$A,$A136)))</f>
        <v/>
      </c>
      <c r="C136" s="17" t="str">
        <f aca="false">IF($A136="","",IF(ISERROR(FIND(".",INDEX(Tasks!$A:$A,$A136))),"","   ")&amp;INDEX(Tasks!$C:$C,$A136))</f>
        <v/>
      </c>
      <c r="D136" s="17" t="str">
        <f aca="false">IF($A136="","",IF(INDEX(Tasks!$D:$D,$A136)="","",INDEX(Tasks!$D:$D,$A136)))</f>
        <v/>
      </c>
      <c r="E136" s="17" t="str">
        <f aca="false">IF($A136="","",IF(INDEX(Tasks!$E:$E,$A136)="","",INDEX(Tasks!$E:$E,$A136)))</f>
        <v/>
      </c>
      <c r="F136" s="18" t="str">
        <f aca="false">IF($A136="","",IF(INDEX(Tasks!$F:$F,$A136)="","",INDEX(Tasks!$F:$F,$A136)))</f>
        <v/>
      </c>
      <c r="G136" s="18" t="str">
        <f aca="false">IF($A136="","",IF(INDEX(Tasks!$H:$H,$A136)="","",INDEX(Tasks!$H:$H,$A136)))</f>
        <v/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</row>
    <row r="137" customFormat="false" ht="15" hidden="false" customHeight="false" outlineLevel="0" collapsed="false">
      <c r="A137" s="16" t="str">
        <f aca="false">IFERROR(MATCH($C$2&amp;"|"&amp;(ROW()-4),Tasks!$L$4:$L$403,0)+3,"")</f>
        <v/>
      </c>
      <c r="B137" s="17" t="str">
        <f aca="false">IF($A137="","",IF(INDEX(Tasks!$A:$A,$A137)="","",INDEX(Tasks!$A:$A,$A137)))</f>
        <v/>
      </c>
      <c r="C137" s="17" t="str">
        <f aca="false">IF($A137="","",IF(ISERROR(FIND(".",INDEX(Tasks!$A:$A,$A137))),"","   ")&amp;INDEX(Tasks!$C:$C,$A137))</f>
        <v/>
      </c>
      <c r="D137" s="17" t="str">
        <f aca="false">IF($A137="","",IF(INDEX(Tasks!$D:$D,$A137)="","",INDEX(Tasks!$D:$D,$A137)))</f>
        <v/>
      </c>
      <c r="E137" s="17" t="str">
        <f aca="false">IF($A137="","",IF(INDEX(Tasks!$E:$E,$A137)="","",INDEX(Tasks!$E:$E,$A137)))</f>
        <v/>
      </c>
      <c r="F137" s="18" t="str">
        <f aca="false">IF($A137="","",IF(INDEX(Tasks!$F:$F,$A137)="","",INDEX(Tasks!$F:$F,$A137)))</f>
        <v/>
      </c>
      <c r="G137" s="18" t="str">
        <f aca="false">IF($A137="","",IF(INDEX(Tasks!$H:$H,$A137)="","",INDEX(Tasks!$H:$H,$A137)))</f>
        <v/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</row>
    <row r="138" customFormat="false" ht="15" hidden="false" customHeight="false" outlineLevel="0" collapsed="false">
      <c r="A138" s="16" t="str">
        <f aca="false">IFERROR(MATCH($C$2&amp;"|"&amp;(ROW()-4),Tasks!$L$4:$L$403,0)+3,"")</f>
        <v/>
      </c>
      <c r="B138" s="17" t="str">
        <f aca="false">IF($A138="","",IF(INDEX(Tasks!$A:$A,$A138)="","",INDEX(Tasks!$A:$A,$A138)))</f>
        <v/>
      </c>
      <c r="C138" s="17" t="str">
        <f aca="false">IF($A138="","",IF(ISERROR(FIND(".",INDEX(Tasks!$A:$A,$A138))),"","   ")&amp;INDEX(Tasks!$C:$C,$A138))</f>
        <v/>
      </c>
      <c r="D138" s="17" t="str">
        <f aca="false">IF($A138="","",IF(INDEX(Tasks!$D:$D,$A138)="","",INDEX(Tasks!$D:$D,$A138)))</f>
        <v/>
      </c>
      <c r="E138" s="17" t="str">
        <f aca="false">IF($A138="","",IF(INDEX(Tasks!$E:$E,$A138)="","",INDEX(Tasks!$E:$E,$A138)))</f>
        <v/>
      </c>
      <c r="F138" s="18" t="str">
        <f aca="false">IF($A138="","",IF(INDEX(Tasks!$F:$F,$A138)="","",INDEX(Tasks!$F:$F,$A138)))</f>
        <v/>
      </c>
      <c r="G138" s="18" t="str">
        <f aca="false">IF($A138="","",IF(INDEX(Tasks!$H:$H,$A138)="","",INDEX(Tasks!$H:$H,$A138)))</f>
        <v/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</row>
    <row r="139" customFormat="false" ht="15" hidden="false" customHeight="false" outlineLevel="0" collapsed="false">
      <c r="A139" s="16" t="str">
        <f aca="false">IFERROR(MATCH($C$2&amp;"|"&amp;(ROW()-4),Tasks!$L$4:$L$403,0)+3,"")</f>
        <v/>
      </c>
      <c r="B139" s="17" t="str">
        <f aca="false">IF($A139="","",IF(INDEX(Tasks!$A:$A,$A139)="","",INDEX(Tasks!$A:$A,$A139)))</f>
        <v/>
      </c>
      <c r="C139" s="17" t="str">
        <f aca="false">IF($A139="","",IF(ISERROR(FIND(".",INDEX(Tasks!$A:$A,$A139))),"","   ")&amp;INDEX(Tasks!$C:$C,$A139))</f>
        <v/>
      </c>
      <c r="D139" s="17" t="str">
        <f aca="false">IF($A139="","",IF(INDEX(Tasks!$D:$D,$A139)="","",INDEX(Tasks!$D:$D,$A139)))</f>
        <v/>
      </c>
      <c r="E139" s="17" t="str">
        <f aca="false">IF($A139="","",IF(INDEX(Tasks!$E:$E,$A139)="","",INDEX(Tasks!$E:$E,$A139)))</f>
        <v/>
      </c>
      <c r="F139" s="18" t="str">
        <f aca="false">IF($A139="","",IF(INDEX(Tasks!$F:$F,$A139)="","",INDEX(Tasks!$F:$F,$A139)))</f>
        <v/>
      </c>
      <c r="G139" s="18" t="str">
        <f aca="false">IF($A139="","",IF(INDEX(Tasks!$H:$H,$A139)="","",INDEX(Tasks!$H:$H,$A139)))</f>
        <v/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</row>
    <row r="140" customFormat="false" ht="15" hidden="false" customHeight="false" outlineLevel="0" collapsed="false">
      <c r="A140" s="16" t="str">
        <f aca="false">IFERROR(MATCH($C$2&amp;"|"&amp;(ROW()-4),Tasks!$L$4:$L$403,0)+3,"")</f>
        <v/>
      </c>
      <c r="B140" s="17" t="str">
        <f aca="false">IF($A140="","",IF(INDEX(Tasks!$A:$A,$A140)="","",INDEX(Tasks!$A:$A,$A140)))</f>
        <v/>
      </c>
      <c r="C140" s="17" t="str">
        <f aca="false">IF($A140="","",IF(ISERROR(FIND(".",INDEX(Tasks!$A:$A,$A140))),"","   ")&amp;INDEX(Tasks!$C:$C,$A140))</f>
        <v/>
      </c>
      <c r="D140" s="17" t="str">
        <f aca="false">IF($A140="","",IF(INDEX(Tasks!$D:$D,$A140)="","",INDEX(Tasks!$D:$D,$A140)))</f>
        <v/>
      </c>
      <c r="E140" s="17" t="str">
        <f aca="false">IF($A140="","",IF(INDEX(Tasks!$E:$E,$A140)="","",INDEX(Tasks!$E:$E,$A140)))</f>
        <v/>
      </c>
      <c r="F140" s="18" t="str">
        <f aca="false">IF($A140="","",IF(INDEX(Tasks!$F:$F,$A140)="","",INDEX(Tasks!$F:$F,$A140)))</f>
        <v/>
      </c>
      <c r="G140" s="18" t="str">
        <f aca="false">IF($A140="","",IF(INDEX(Tasks!$H:$H,$A140)="","",INDEX(Tasks!$H:$H,$A140)))</f>
        <v/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</row>
    <row r="141" customFormat="false" ht="15" hidden="false" customHeight="false" outlineLevel="0" collapsed="false">
      <c r="A141" s="16" t="str">
        <f aca="false">IFERROR(MATCH($C$2&amp;"|"&amp;(ROW()-4),Tasks!$L$4:$L$403,0)+3,"")</f>
        <v/>
      </c>
      <c r="B141" s="17" t="str">
        <f aca="false">IF($A141="","",IF(INDEX(Tasks!$A:$A,$A141)="","",INDEX(Tasks!$A:$A,$A141)))</f>
        <v/>
      </c>
      <c r="C141" s="17" t="str">
        <f aca="false">IF($A141="","",IF(ISERROR(FIND(".",INDEX(Tasks!$A:$A,$A141))),"","   ")&amp;INDEX(Tasks!$C:$C,$A141))</f>
        <v/>
      </c>
      <c r="D141" s="17" t="str">
        <f aca="false">IF($A141="","",IF(INDEX(Tasks!$D:$D,$A141)="","",INDEX(Tasks!$D:$D,$A141)))</f>
        <v/>
      </c>
      <c r="E141" s="17" t="str">
        <f aca="false">IF($A141="","",IF(INDEX(Tasks!$E:$E,$A141)="","",INDEX(Tasks!$E:$E,$A141)))</f>
        <v/>
      </c>
      <c r="F141" s="18" t="str">
        <f aca="false">IF($A141="","",IF(INDEX(Tasks!$F:$F,$A141)="","",INDEX(Tasks!$F:$F,$A141)))</f>
        <v/>
      </c>
      <c r="G141" s="18" t="str">
        <f aca="false">IF($A141="","",IF(INDEX(Tasks!$H:$H,$A141)="","",INDEX(Tasks!$H:$H,$A141)))</f>
        <v/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</row>
    <row r="142" customFormat="false" ht="15" hidden="false" customHeight="false" outlineLevel="0" collapsed="false">
      <c r="A142" s="16" t="str">
        <f aca="false">IFERROR(MATCH($C$2&amp;"|"&amp;(ROW()-4),Tasks!$L$4:$L$403,0)+3,"")</f>
        <v/>
      </c>
      <c r="B142" s="17" t="str">
        <f aca="false">IF($A142="","",IF(INDEX(Tasks!$A:$A,$A142)="","",INDEX(Tasks!$A:$A,$A142)))</f>
        <v/>
      </c>
      <c r="C142" s="17" t="str">
        <f aca="false">IF($A142="","",IF(ISERROR(FIND(".",INDEX(Tasks!$A:$A,$A142))),"","   ")&amp;INDEX(Tasks!$C:$C,$A142))</f>
        <v/>
      </c>
      <c r="D142" s="17" t="str">
        <f aca="false">IF($A142="","",IF(INDEX(Tasks!$D:$D,$A142)="","",INDEX(Tasks!$D:$D,$A142)))</f>
        <v/>
      </c>
      <c r="E142" s="17" t="str">
        <f aca="false">IF($A142="","",IF(INDEX(Tasks!$E:$E,$A142)="","",INDEX(Tasks!$E:$E,$A142)))</f>
        <v/>
      </c>
      <c r="F142" s="18" t="str">
        <f aca="false">IF($A142="","",IF(INDEX(Tasks!$F:$F,$A142)="","",INDEX(Tasks!$F:$F,$A142)))</f>
        <v/>
      </c>
      <c r="G142" s="18" t="str">
        <f aca="false">IF($A142="","",IF(INDEX(Tasks!$H:$H,$A142)="","",INDEX(Tasks!$H:$H,$A142)))</f>
        <v/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</row>
    <row r="143" customFormat="false" ht="15" hidden="false" customHeight="false" outlineLevel="0" collapsed="false">
      <c r="A143" s="16" t="str">
        <f aca="false">IFERROR(MATCH($C$2&amp;"|"&amp;(ROW()-4),Tasks!$L$4:$L$403,0)+3,"")</f>
        <v/>
      </c>
      <c r="B143" s="17" t="str">
        <f aca="false">IF($A143="","",IF(INDEX(Tasks!$A:$A,$A143)="","",INDEX(Tasks!$A:$A,$A143)))</f>
        <v/>
      </c>
      <c r="C143" s="17" t="str">
        <f aca="false">IF($A143="","",IF(ISERROR(FIND(".",INDEX(Tasks!$A:$A,$A143))),"","   ")&amp;INDEX(Tasks!$C:$C,$A143))</f>
        <v/>
      </c>
      <c r="D143" s="17" t="str">
        <f aca="false">IF($A143="","",IF(INDEX(Tasks!$D:$D,$A143)="","",INDEX(Tasks!$D:$D,$A143)))</f>
        <v/>
      </c>
      <c r="E143" s="17" t="str">
        <f aca="false">IF($A143="","",IF(INDEX(Tasks!$E:$E,$A143)="","",INDEX(Tasks!$E:$E,$A143)))</f>
        <v/>
      </c>
      <c r="F143" s="18" t="str">
        <f aca="false">IF($A143="","",IF(INDEX(Tasks!$F:$F,$A143)="","",INDEX(Tasks!$F:$F,$A143)))</f>
        <v/>
      </c>
      <c r="G143" s="18" t="str">
        <f aca="false">IF($A143="","",IF(INDEX(Tasks!$H:$H,$A143)="","",INDEX(Tasks!$H:$H,$A143)))</f>
        <v/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</row>
    <row r="144" customFormat="false" ht="15" hidden="false" customHeight="false" outlineLevel="0" collapsed="false">
      <c r="A144" s="16" t="str">
        <f aca="false">IFERROR(MATCH($C$2&amp;"|"&amp;(ROW()-4),Tasks!$L$4:$L$403,0)+3,"")</f>
        <v/>
      </c>
      <c r="B144" s="17" t="str">
        <f aca="false">IF($A144="","",IF(INDEX(Tasks!$A:$A,$A144)="","",INDEX(Tasks!$A:$A,$A144)))</f>
        <v/>
      </c>
      <c r="C144" s="17" t="str">
        <f aca="false">IF($A144="","",IF(ISERROR(FIND(".",INDEX(Tasks!$A:$A,$A144))),"","   ")&amp;INDEX(Tasks!$C:$C,$A144))</f>
        <v/>
      </c>
      <c r="D144" s="17" t="str">
        <f aca="false">IF($A144="","",IF(INDEX(Tasks!$D:$D,$A144)="","",INDEX(Tasks!$D:$D,$A144)))</f>
        <v/>
      </c>
      <c r="E144" s="17" t="str">
        <f aca="false">IF($A144="","",IF(INDEX(Tasks!$E:$E,$A144)="","",INDEX(Tasks!$E:$E,$A144)))</f>
        <v/>
      </c>
      <c r="F144" s="18" t="str">
        <f aca="false">IF($A144="","",IF(INDEX(Tasks!$F:$F,$A144)="","",INDEX(Tasks!$F:$F,$A144)))</f>
        <v/>
      </c>
      <c r="G144" s="18" t="str">
        <f aca="false">IF($A144="","",IF(INDEX(Tasks!$H:$H,$A144)="","",INDEX(Tasks!$H:$H,$A144)))</f>
        <v/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</row>
    <row r="145" customFormat="false" ht="15" hidden="false" customHeight="false" outlineLevel="0" collapsed="false">
      <c r="A145" s="16" t="str">
        <f aca="false">IFERROR(MATCH($C$2&amp;"|"&amp;(ROW()-4),Tasks!$L$4:$L$403,0)+3,"")</f>
        <v/>
      </c>
      <c r="B145" s="17" t="str">
        <f aca="false">IF($A145="","",IF(INDEX(Tasks!$A:$A,$A145)="","",INDEX(Tasks!$A:$A,$A145)))</f>
        <v/>
      </c>
      <c r="C145" s="17" t="str">
        <f aca="false">IF($A145="","",IF(ISERROR(FIND(".",INDEX(Tasks!$A:$A,$A145))),"","   ")&amp;INDEX(Tasks!$C:$C,$A145))</f>
        <v/>
      </c>
      <c r="D145" s="17" t="str">
        <f aca="false">IF($A145="","",IF(INDEX(Tasks!$D:$D,$A145)="","",INDEX(Tasks!$D:$D,$A145)))</f>
        <v/>
      </c>
      <c r="E145" s="17" t="str">
        <f aca="false">IF($A145="","",IF(INDEX(Tasks!$E:$E,$A145)="","",INDEX(Tasks!$E:$E,$A145)))</f>
        <v/>
      </c>
      <c r="F145" s="18" t="str">
        <f aca="false">IF($A145="","",IF(INDEX(Tasks!$F:$F,$A145)="","",INDEX(Tasks!$F:$F,$A145)))</f>
        <v/>
      </c>
      <c r="G145" s="18" t="str">
        <f aca="false">IF($A145="","",IF(INDEX(Tasks!$H:$H,$A145)="","",INDEX(Tasks!$H:$H,$A145)))</f>
        <v/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</row>
    <row r="146" customFormat="false" ht="15" hidden="false" customHeight="false" outlineLevel="0" collapsed="false">
      <c r="A146" s="16" t="str">
        <f aca="false">IFERROR(MATCH($C$2&amp;"|"&amp;(ROW()-4),Tasks!$L$4:$L$403,0)+3,"")</f>
        <v/>
      </c>
      <c r="B146" s="17" t="str">
        <f aca="false">IF($A146="","",IF(INDEX(Tasks!$A:$A,$A146)="","",INDEX(Tasks!$A:$A,$A146)))</f>
        <v/>
      </c>
      <c r="C146" s="17" t="str">
        <f aca="false">IF($A146="","",IF(ISERROR(FIND(".",INDEX(Tasks!$A:$A,$A146))),"","   ")&amp;INDEX(Tasks!$C:$C,$A146))</f>
        <v/>
      </c>
      <c r="D146" s="17" t="str">
        <f aca="false">IF($A146="","",IF(INDEX(Tasks!$D:$D,$A146)="","",INDEX(Tasks!$D:$D,$A146)))</f>
        <v/>
      </c>
      <c r="E146" s="17" t="str">
        <f aca="false">IF($A146="","",IF(INDEX(Tasks!$E:$E,$A146)="","",INDEX(Tasks!$E:$E,$A146)))</f>
        <v/>
      </c>
      <c r="F146" s="18" t="str">
        <f aca="false">IF($A146="","",IF(INDEX(Tasks!$F:$F,$A146)="","",INDEX(Tasks!$F:$F,$A146)))</f>
        <v/>
      </c>
      <c r="G146" s="18" t="str">
        <f aca="false">IF($A146="","",IF(INDEX(Tasks!$H:$H,$A146)="","",INDEX(Tasks!$H:$H,$A146)))</f>
        <v/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</row>
    <row r="147" customFormat="false" ht="15" hidden="false" customHeight="false" outlineLevel="0" collapsed="false">
      <c r="A147" s="16" t="str">
        <f aca="false">IFERROR(MATCH($C$2&amp;"|"&amp;(ROW()-4),Tasks!$L$4:$L$403,0)+3,"")</f>
        <v/>
      </c>
      <c r="B147" s="17" t="str">
        <f aca="false">IF($A147="","",IF(INDEX(Tasks!$A:$A,$A147)="","",INDEX(Tasks!$A:$A,$A147)))</f>
        <v/>
      </c>
      <c r="C147" s="17" t="str">
        <f aca="false">IF($A147="","",IF(ISERROR(FIND(".",INDEX(Tasks!$A:$A,$A147))),"","   ")&amp;INDEX(Tasks!$C:$C,$A147))</f>
        <v/>
      </c>
      <c r="D147" s="17" t="str">
        <f aca="false">IF($A147="","",IF(INDEX(Tasks!$D:$D,$A147)="","",INDEX(Tasks!$D:$D,$A147)))</f>
        <v/>
      </c>
      <c r="E147" s="17" t="str">
        <f aca="false">IF($A147="","",IF(INDEX(Tasks!$E:$E,$A147)="","",INDEX(Tasks!$E:$E,$A147)))</f>
        <v/>
      </c>
      <c r="F147" s="18" t="str">
        <f aca="false">IF($A147="","",IF(INDEX(Tasks!$F:$F,$A147)="","",INDEX(Tasks!$F:$F,$A147)))</f>
        <v/>
      </c>
      <c r="G147" s="18" t="str">
        <f aca="false">IF($A147="","",IF(INDEX(Tasks!$H:$H,$A147)="","",INDEX(Tasks!$H:$H,$A147)))</f>
        <v/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</row>
    <row r="148" customFormat="false" ht="15" hidden="false" customHeight="false" outlineLevel="0" collapsed="false">
      <c r="A148" s="16" t="str">
        <f aca="false">IFERROR(MATCH($C$2&amp;"|"&amp;(ROW()-4),Tasks!$L$4:$L$403,0)+3,"")</f>
        <v/>
      </c>
      <c r="B148" s="17" t="str">
        <f aca="false">IF($A148="","",IF(INDEX(Tasks!$A:$A,$A148)="","",INDEX(Tasks!$A:$A,$A148)))</f>
        <v/>
      </c>
      <c r="C148" s="17" t="str">
        <f aca="false">IF($A148="","",IF(ISERROR(FIND(".",INDEX(Tasks!$A:$A,$A148))),"","   ")&amp;INDEX(Tasks!$C:$C,$A148))</f>
        <v/>
      </c>
      <c r="D148" s="17" t="str">
        <f aca="false">IF($A148="","",IF(INDEX(Tasks!$D:$D,$A148)="","",INDEX(Tasks!$D:$D,$A148)))</f>
        <v/>
      </c>
      <c r="E148" s="17" t="str">
        <f aca="false">IF($A148="","",IF(INDEX(Tasks!$E:$E,$A148)="","",INDEX(Tasks!$E:$E,$A148)))</f>
        <v/>
      </c>
      <c r="F148" s="18" t="str">
        <f aca="false">IF($A148="","",IF(INDEX(Tasks!$F:$F,$A148)="","",INDEX(Tasks!$F:$F,$A148)))</f>
        <v/>
      </c>
      <c r="G148" s="18" t="str">
        <f aca="false">IF($A148="","",IF(INDEX(Tasks!$H:$H,$A148)="","",INDEX(Tasks!$H:$H,$A148)))</f>
        <v/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</row>
    <row r="149" customFormat="false" ht="15" hidden="false" customHeight="false" outlineLevel="0" collapsed="false">
      <c r="A149" s="16" t="str">
        <f aca="false">IFERROR(MATCH($C$2&amp;"|"&amp;(ROW()-4),Tasks!$L$4:$L$403,0)+3,"")</f>
        <v/>
      </c>
      <c r="B149" s="17" t="str">
        <f aca="false">IF($A149="","",IF(INDEX(Tasks!$A:$A,$A149)="","",INDEX(Tasks!$A:$A,$A149)))</f>
        <v/>
      </c>
      <c r="C149" s="17" t="str">
        <f aca="false">IF($A149="","",IF(ISERROR(FIND(".",INDEX(Tasks!$A:$A,$A149))),"","   ")&amp;INDEX(Tasks!$C:$C,$A149))</f>
        <v/>
      </c>
      <c r="D149" s="17" t="str">
        <f aca="false">IF($A149="","",IF(INDEX(Tasks!$D:$D,$A149)="","",INDEX(Tasks!$D:$D,$A149)))</f>
        <v/>
      </c>
      <c r="E149" s="17" t="str">
        <f aca="false">IF($A149="","",IF(INDEX(Tasks!$E:$E,$A149)="","",INDEX(Tasks!$E:$E,$A149)))</f>
        <v/>
      </c>
      <c r="F149" s="18" t="str">
        <f aca="false">IF($A149="","",IF(INDEX(Tasks!$F:$F,$A149)="","",INDEX(Tasks!$F:$F,$A149)))</f>
        <v/>
      </c>
      <c r="G149" s="18" t="str">
        <f aca="false">IF($A149="","",IF(INDEX(Tasks!$H:$H,$A149)="","",INDEX(Tasks!$H:$H,$A149)))</f>
        <v/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</row>
    <row r="150" customFormat="false" ht="15" hidden="false" customHeight="false" outlineLevel="0" collapsed="false">
      <c r="A150" s="16" t="str">
        <f aca="false">IFERROR(MATCH($C$2&amp;"|"&amp;(ROW()-4),Tasks!$L$4:$L$403,0)+3,"")</f>
        <v/>
      </c>
      <c r="B150" s="17" t="str">
        <f aca="false">IF($A150="","",IF(INDEX(Tasks!$A:$A,$A150)="","",INDEX(Tasks!$A:$A,$A150)))</f>
        <v/>
      </c>
      <c r="C150" s="17" t="str">
        <f aca="false">IF($A150="","",IF(ISERROR(FIND(".",INDEX(Tasks!$A:$A,$A150))),"","   ")&amp;INDEX(Tasks!$C:$C,$A150))</f>
        <v/>
      </c>
      <c r="D150" s="17" t="str">
        <f aca="false">IF($A150="","",IF(INDEX(Tasks!$D:$D,$A150)="","",INDEX(Tasks!$D:$D,$A150)))</f>
        <v/>
      </c>
      <c r="E150" s="17" t="str">
        <f aca="false">IF($A150="","",IF(INDEX(Tasks!$E:$E,$A150)="","",INDEX(Tasks!$E:$E,$A150)))</f>
        <v/>
      </c>
      <c r="F150" s="18" t="str">
        <f aca="false">IF($A150="","",IF(INDEX(Tasks!$F:$F,$A150)="","",INDEX(Tasks!$F:$F,$A150)))</f>
        <v/>
      </c>
      <c r="G150" s="18" t="str">
        <f aca="false">IF($A150="","",IF(INDEX(Tasks!$H:$H,$A150)="","",INDEX(Tasks!$H:$H,$A150)))</f>
        <v/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</row>
    <row r="151" customFormat="false" ht="15" hidden="false" customHeight="false" outlineLevel="0" collapsed="false">
      <c r="A151" s="16" t="str">
        <f aca="false">IFERROR(MATCH($C$2&amp;"|"&amp;(ROW()-4),Tasks!$L$4:$L$403,0)+3,"")</f>
        <v/>
      </c>
      <c r="B151" s="17" t="str">
        <f aca="false">IF($A151="","",IF(INDEX(Tasks!$A:$A,$A151)="","",INDEX(Tasks!$A:$A,$A151)))</f>
        <v/>
      </c>
      <c r="C151" s="17" t="str">
        <f aca="false">IF($A151="","",IF(ISERROR(FIND(".",INDEX(Tasks!$A:$A,$A151))),"","   ")&amp;INDEX(Tasks!$C:$C,$A151))</f>
        <v/>
      </c>
      <c r="D151" s="17" t="str">
        <f aca="false">IF($A151="","",IF(INDEX(Tasks!$D:$D,$A151)="","",INDEX(Tasks!$D:$D,$A151)))</f>
        <v/>
      </c>
      <c r="E151" s="17" t="str">
        <f aca="false">IF($A151="","",IF(INDEX(Tasks!$E:$E,$A151)="","",INDEX(Tasks!$E:$E,$A151)))</f>
        <v/>
      </c>
      <c r="F151" s="18" t="str">
        <f aca="false">IF($A151="","",IF(INDEX(Tasks!$F:$F,$A151)="","",INDEX(Tasks!$F:$F,$A151)))</f>
        <v/>
      </c>
      <c r="G151" s="18" t="str">
        <f aca="false">IF($A151="","",IF(INDEX(Tasks!$H:$H,$A151)="","",INDEX(Tasks!$H:$H,$A151)))</f>
        <v/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</row>
    <row r="152" customFormat="false" ht="15" hidden="false" customHeight="false" outlineLevel="0" collapsed="false">
      <c r="A152" s="16" t="str">
        <f aca="false">IFERROR(MATCH($C$2&amp;"|"&amp;(ROW()-4),Tasks!$L$4:$L$403,0)+3,"")</f>
        <v/>
      </c>
      <c r="B152" s="17" t="str">
        <f aca="false">IF($A152="","",IF(INDEX(Tasks!$A:$A,$A152)="","",INDEX(Tasks!$A:$A,$A152)))</f>
        <v/>
      </c>
      <c r="C152" s="17" t="str">
        <f aca="false">IF($A152="","",IF(ISERROR(FIND(".",INDEX(Tasks!$A:$A,$A152))),"","   ")&amp;INDEX(Tasks!$C:$C,$A152))</f>
        <v/>
      </c>
      <c r="D152" s="17" t="str">
        <f aca="false">IF($A152="","",IF(INDEX(Tasks!$D:$D,$A152)="","",INDEX(Tasks!$D:$D,$A152)))</f>
        <v/>
      </c>
      <c r="E152" s="17" t="str">
        <f aca="false">IF($A152="","",IF(INDEX(Tasks!$E:$E,$A152)="","",INDEX(Tasks!$E:$E,$A152)))</f>
        <v/>
      </c>
      <c r="F152" s="18" t="str">
        <f aca="false">IF($A152="","",IF(INDEX(Tasks!$F:$F,$A152)="","",INDEX(Tasks!$F:$F,$A152)))</f>
        <v/>
      </c>
      <c r="G152" s="18" t="str">
        <f aca="false">IF($A152="","",IF(INDEX(Tasks!$H:$H,$A152)="","",INDEX(Tasks!$H:$H,$A152)))</f>
        <v/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 customFormat="false" ht="15" hidden="false" customHeight="false" outlineLevel="0" collapsed="false">
      <c r="A153" s="16" t="str">
        <f aca="false">IFERROR(MATCH($C$2&amp;"|"&amp;(ROW()-4),Tasks!$L$4:$L$403,0)+3,"")</f>
        <v/>
      </c>
      <c r="B153" s="17" t="str">
        <f aca="false">IF($A153="","",IF(INDEX(Tasks!$A:$A,$A153)="","",INDEX(Tasks!$A:$A,$A153)))</f>
        <v/>
      </c>
      <c r="C153" s="17" t="str">
        <f aca="false">IF($A153="","",IF(ISERROR(FIND(".",INDEX(Tasks!$A:$A,$A153))),"","   ")&amp;INDEX(Tasks!$C:$C,$A153))</f>
        <v/>
      </c>
      <c r="D153" s="17" t="str">
        <f aca="false">IF($A153="","",IF(INDEX(Tasks!$D:$D,$A153)="","",INDEX(Tasks!$D:$D,$A153)))</f>
        <v/>
      </c>
      <c r="E153" s="17" t="str">
        <f aca="false">IF($A153="","",IF(INDEX(Tasks!$E:$E,$A153)="","",INDEX(Tasks!$E:$E,$A153)))</f>
        <v/>
      </c>
      <c r="F153" s="18" t="str">
        <f aca="false">IF($A153="","",IF(INDEX(Tasks!$F:$F,$A153)="","",INDEX(Tasks!$F:$F,$A153)))</f>
        <v/>
      </c>
      <c r="G153" s="18" t="str">
        <f aca="false">IF($A153="","",IF(INDEX(Tasks!$H:$H,$A153)="","",INDEX(Tasks!$H:$H,$A153)))</f>
        <v/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</row>
    <row r="154" customFormat="false" ht="15" hidden="false" customHeight="false" outlineLevel="0" collapsed="false">
      <c r="A154" s="16" t="str">
        <f aca="false">IFERROR(MATCH($C$2&amp;"|"&amp;(ROW()-4),Tasks!$L$4:$L$403,0)+3,"")</f>
        <v/>
      </c>
      <c r="B154" s="17" t="str">
        <f aca="false">IF($A154="","",IF(INDEX(Tasks!$A:$A,$A154)="","",INDEX(Tasks!$A:$A,$A154)))</f>
        <v/>
      </c>
      <c r="C154" s="17" t="str">
        <f aca="false">IF($A154="","",IF(ISERROR(FIND(".",INDEX(Tasks!$A:$A,$A154))),"","   ")&amp;INDEX(Tasks!$C:$C,$A154))</f>
        <v/>
      </c>
      <c r="D154" s="17" t="str">
        <f aca="false">IF($A154="","",IF(INDEX(Tasks!$D:$D,$A154)="","",INDEX(Tasks!$D:$D,$A154)))</f>
        <v/>
      </c>
      <c r="E154" s="17" t="str">
        <f aca="false">IF($A154="","",IF(INDEX(Tasks!$E:$E,$A154)="","",INDEX(Tasks!$E:$E,$A154)))</f>
        <v/>
      </c>
      <c r="F154" s="18" t="str">
        <f aca="false">IF($A154="","",IF(INDEX(Tasks!$F:$F,$A154)="","",INDEX(Tasks!$F:$F,$A154)))</f>
        <v/>
      </c>
      <c r="G154" s="18" t="str">
        <f aca="false">IF($A154="","",IF(INDEX(Tasks!$H:$H,$A154)="","",INDEX(Tasks!$H:$H,$A154)))</f>
        <v/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</row>
    <row r="155" customFormat="false" ht="15" hidden="false" customHeight="false" outlineLevel="0" collapsed="false">
      <c r="A155" s="16" t="str">
        <f aca="false">IFERROR(MATCH($C$2&amp;"|"&amp;(ROW()-4),Tasks!$L$4:$L$403,0)+3,"")</f>
        <v/>
      </c>
      <c r="B155" s="17" t="str">
        <f aca="false">IF($A155="","",IF(INDEX(Tasks!$A:$A,$A155)="","",INDEX(Tasks!$A:$A,$A155)))</f>
        <v/>
      </c>
      <c r="C155" s="17" t="str">
        <f aca="false">IF($A155="","",IF(ISERROR(FIND(".",INDEX(Tasks!$A:$A,$A155))),"","   ")&amp;INDEX(Tasks!$C:$C,$A155))</f>
        <v/>
      </c>
      <c r="D155" s="17" t="str">
        <f aca="false">IF($A155="","",IF(INDEX(Tasks!$D:$D,$A155)="","",INDEX(Tasks!$D:$D,$A155)))</f>
        <v/>
      </c>
      <c r="E155" s="17" t="str">
        <f aca="false">IF($A155="","",IF(INDEX(Tasks!$E:$E,$A155)="","",INDEX(Tasks!$E:$E,$A155)))</f>
        <v/>
      </c>
      <c r="F155" s="18" t="str">
        <f aca="false">IF($A155="","",IF(INDEX(Tasks!$F:$F,$A155)="","",INDEX(Tasks!$F:$F,$A155)))</f>
        <v/>
      </c>
      <c r="G155" s="18" t="str">
        <f aca="false">IF($A155="","",IF(INDEX(Tasks!$H:$H,$A155)="","",INDEX(Tasks!$H:$H,$A155)))</f>
        <v/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</row>
    <row r="156" customFormat="false" ht="15" hidden="false" customHeight="false" outlineLevel="0" collapsed="false">
      <c r="A156" s="16" t="str">
        <f aca="false">IFERROR(MATCH($C$2&amp;"|"&amp;(ROW()-4),Tasks!$L$4:$L$403,0)+3,"")</f>
        <v/>
      </c>
      <c r="B156" s="17" t="str">
        <f aca="false">IF($A156="","",IF(INDEX(Tasks!$A:$A,$A156)="","",INDEX(Tasks!$A:$A,$A156)))</f>
        <v/>
      </c>
      <c r="C156" s="17" t="str">
        <f aca="false">IF($A156="","",IF(ISERROR(FIND(".",INDEX(Tasks!$A:$A,$A156))),"","   ")&amp;INDEX(Tasks!$C:$C,$A156))</f>
        <v/>
      </c>
      <c r="D156" s="17" t="str">
        <f aca="false">IF($A156="","",IF(INDEX(Tasks!$D:$D,$A156)="","",INDEX(Tasks!$D:$D,$A156)))</f>
        <v/>
      </c>
      <c r="E156" s="17" t="str">
        <f aca="false">IF($A156="","",IF(INDEX(Tasks!$E:$E,$A156)="","",INDEX(Tasks!$E:$E,$A156)))</f>
        <v/>
      </c>
      <c r="F156" s="18" t="str">
        <f aca="false">IF($A156="","",IF(INDEX(Tasks!$F:$F,$A156)="","",INDEX(Tasks!$F:$F,$A156)))</f>
        <v/>
      </c>
      <c r="G156" s="18" t="str">
        <f aca="false">IF($A156="","",IF(INDEX(Tasks!$H:$H,$A156)="","",INDEX(Tasks!$H:$H,$A156)))</f>
        <v/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</row>
    <row r="157" customFormat="false" ht="15" hidden="false" customHeight="false" outlineLevel="0" collapsed="false">
      <c r="A157" s="16" t="str">
        <f aca="false">IFERROR(MATCH($C$2&amp;"|"&amp;(ROW()-4),Tasks!$L$4:$L$403,0)+3,"")</f>
        <v/>
      </c>
      <c r="B157" s="17" t="str">
        <f aca="false">IF($A157="","",IF(INDEX(Tasks!$A:$A,$A157)="","",INDEX(Tasks!$A:$A,$A157)))</f>
        <v/>
      </c>
      <c r="C157" s="17" t="str">
        <f aca="false">IF($A157="","",IF(ISERROR(FIND(".",INDEX(Tasks!$A:$A,$A157))),"","   ")&amp;INDEX(Tasks!$C:$C,$A157))</f>
        <v/>
      </c>
      <c r="D157" s="17" t="str">
        <f aca="false">IF($A157="","",IF(INDEX(Tasks!$D:$D,$A157)="","",INDEX(Tasks!$D:$D,$A157)))</f>
        <v/>
      </c>
      <c r="E157" s="17" t="str">
        <f aca="false">IF($A157="","",IF(INDEX(Tasks!$E:$E,$A157)="","",INDEX(Tasks!$E:$E,$A157)))</f>
        <v/>
      </c>
      <c r="F157" s="18" t="str">
        <f aca="false">IF($A157="","",IF(INDEX(Tasks!$F:$F,$A157)="","",INDEX(Tasks!$F:$F,$A157)))</f>
        <v/>
      </c>
      <c r="G157" s="18" t="str">
        <f aca="false">IF($A157="","",IF(INDEX(Tasks!$H:$H,$A157)="","",INDEX(Tasks!$H:$H,$A157)))</f>
        <v/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</row>
    <row r="158" customFormat="false" ht="15" hidden="false" customHeight="false" outlineLevel="0" collapsed="false">
      <c r="A158" s="16" t="str">
        <f aca="false">IFERROR(MATCH($C$2&amp;"|"&amp;(ROW()-4),Tasks!$L$4:$L$403,0)+3,"")</f>
        <v/>
      </c>
      <c r="B158" s="17" t="str">
        <f aca="false">IF($A158="","",IF(INDEX(Tasks!$A:$A,$A158)="","",INDEX(Tasks!$A:$A,$A158)))</f>
        <v/>
      </c>
      <c r="C158" s="17" t="str">
        <f aca="false">IF($A158="","",IF(ISERROR(FIND(".",INDEX(Tasks!$A:$A,$A158))),"","   ")&amp;INDEX(Tasks!$C:$C,$A158))</f>
        <v/>
      </c>
      <c r="D158" s="17" t="str">
        <f aca="false">IF($A158="","",IF(INDEX(Tasks!$D:$D,$A158)="","",INDEX(Tasks!$D:$D,$A158)))</f>
        <v/>
      </c>
      <c r="E158" s="17" t="str">
        <f aca="false">IF($A158="","",IF(INDEX(Tasks!$E:$E,$A158)="","",INDEX(Tasks!$E:$E,$A158)))</f>
        <v/>
      </c>
      <c r="F158" s="18" t="str">
        <f aca="false">IF($A158="","",IF(INDEX(Tasks!$F:$F,$A158)="","",INDEX(Tasks!$F:$F,$A158)))</f>
        <v/>
      </c>
      <c r="G158" s="18" t="str">
        <f aca="false">IF($A158="","",IF(INDEX(Tasks!$H:$H,$A158)="","",INDEX(Tasks!$H:$H,$A158)))</f>
        <v/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</row>
    <row r="159" customFormat="false" ht="15" hidden="false" customHeight="false" outlineLevel="0" collapsed="false">
      <c r="A159" s="16" t="str">
        <f aca="false">IFERROR(MATCH($C$2&amp;"|"&amp;(ROW()-4),Tasks!$L$4:$L$403,0)+3,"")</f>
        <v/>
      </c>
      <c r="B159" s="17" t="str">
        <f aca="false">IF($A159="","",IF(INDEX(Tasks!$A:$A,$A159)="","",INDEX(Tasks!$A:$A,$A159)))</f>
        <v/>
      </c>
      <c r="C159" s="17" t="str">
        <f aca="false">IF($A159="","",IF(ISERROR(FIND(".",INDEX(Tasks!$A:$A,$A159))),"","   ")&amp;INDEX(Tasks!$C:$C,$A159))</f>
        <v/>
      </c>
      <c r="D159" s="17" t="str">
        <f aca="false">IF($A159="","",IF(INDEX(Tasks!$D:$D,$A159)="","",INDEX(Tasks!$D:$D,$A159)))</f>
        <v/>
      </c>
      <c r="E159" s="17" t="str">
        <f aca="false">IF($A159="","",IF(INDEX(Tasks!$E:$E,$A159)="","",INDEX(Tasks!$E:$E,$A159)))</f>
        <v/>
      </c>
      <c r="F159" s="18" t="str">
        <f aca="false">IF($A159="","",IF(INDEX(Tasks!$F:$F,$A159)="","",INDEX(Tasks!$F:$F,$A159)))</f>
        <v/>
      </c>
      <c r="G159" s="18" t="str">
        <f aca="false">IF($A159="","",IF(INDEX(Tasks!$H:$H,$A159)="","",INDEX(Tasks!$H:$H,$A159)))</f>
        <v/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</row>
    <row r="160" customFormat="false" ht="15" hidden="false" customHeight="false" outlineLevel="0" collapsed="false">
      <c r="A160" s="16" t="str">
        <f aca="false">IFERROR(MATCH($C$2&amp;"|"&amp;(ROW()-4),Tasks!$L$4:$L$403,0)+3,"")</f>
        <v/>
      </c>
      <c r="B160" s="17" t="str">
        <f aca="false">IF($A160="","",IF(INDEX(Tasks!$A:$A,$A160)="","",INDEX(Tasks!$A:$A,$A160)))</f>
        <v/>
      </c>
      <c r="C160" s="17" t="str">
        <f aca="false">IF($A160="","",IF(ISERROR(FIND(".",INDEX(Tasks!$A:$A,$A160))),"","   ")&amp;INDEX(Tasks!$C:$C,$A160))</f>
        <v/>
      </c>
      <c r="D160" s="17" t="str">
        <f aca="false">IF($A160="","",IF(INDEX(Tasks!$D:$D,$A160)="","",INDEX(Tasks!$D:$D,$A160)))</f>
        <v/>
      </c>
      <c r="E160" s="17" t="str">
        <f aca="false">IF($A160="","",IF(INDEX(Tasks!$E:$E,$A160)="","",INDEX(Tasks!$E:$E,$A160)))</f>
        <v/>
      </c>
      <c r="F160" s="18" t="str">
        <f aca="false">IF($A160="","",IF(INDEX(Tasks!$F:$F,$A160)="","",INDEX(Tasks!$F:$F,$A160)))</f>
        <v/>
      </c>
      <c r="G160" s="18" t="str">
        <f aca="false">IF($A160="","",IF(INDEX(Tasks!$H:$H,$A160)="","",INDEX(Tasks!$H:$H,$A160)))</f>
        <v/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</row>
    <row r="161" customFormat="false" ht="15" hidden="false" customHeight="false" outlineLevel="0" collapsed="false">
      <c r="A161" s="16" t="str">
        <f aca="false">IFERROR(MATCH($C$2&amp;"|"&amp;(ROW()-4),Tasks!$L$4:$L$403,0)+3,"")</f>
        <v/>
      </c>
      <c r="B161" s="17" t="str">
        <f aca="false">IF($A161="","",IF(INDEX(Tasks!$A:$A,$A161)="","",INDEX(Tasks!$A:$A,$A161)))</f>
        <v/>
      </c>
      <c r="C161" s="17" t="str">
        <f aca="false">IF($A161="","",IF(ISERROR(FIND(".",INDEX(Tasks!$A:$A,$A161))),"","   ")&amp;INDEX(Tasks!$C:$C,$A161))</f>
        <v/>
      </c>
      <c r="D161" s="17" t="str">
        <f aca="false">IF($A161="","",IF(INDEX(Tasks!$D:$D,$A161)="","",INDEX(Tasks!$D:$D,$A161)))</f>
        <v/>
      </c>
      <c r="E161" s="17" t="str">
        <f aca="false">IF($A161="","",IF(INDEX(Tasks!$E:$E,$A161)="","",INDEX(Tasks!$E:$E,$A161)))</f>
        <v/>
      </c>
      <c r="F161" s="18" t="str">
        <f aca="false">IF($A161="","",IF(INDEX(Tasks!$F:$F,$A161)="","",INDEX(Tasks!$F:$F,$A161)))</f>
        <v/>
      </c>
      <c r="G161" s="18" t="str">
        <f aca="false">IF($A161="","",IF(INDEX(Tasks!$H:$H,$A161)="","",INDEX(Tasks!$H:$H,$A161)))</f>
        <v/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</row>
    <row r="162" customFormat="false" ht="15" hidden="false" customHeight="false" outlineLevel="0" collapsed="false">
      <c r="A162" s="16" t="str">
        <f aca="false">IFERROR(MATCH($C$2&amp;"|"&amp;(ROW()-4),Tasks!$L$4:$L$403,0)+3,"")</f>
        <v/>
      </c>
      <c r="B162" s="17" t="str">
        <f aca="false">IF($A162="","",IF(INDEX(Tasks!$A:$A,$A162)="","",INDEX(Tasks!$A:$A,$A162)))</f>
        <v/>
      </c>
      <c r="C162" s="17" t="str">
        <f aca="false">IF($A162="","",IF(ISERROR(FIND(".",INDEX(Tasks!$A:$A,$A162))),"","   ")&amp;INDEX(Tasks!$C:$C,$A162))</f>
        <v/>
      </c>
      <c r="D162" s="17" t="str">
        <f aca="false">IF($A162="","",IF(INDEX(Tasks!$D:$D,$A162)="","",INDEX(Tasks!$D:$D,$A162)))</f>
        <v/>
      </c>
      <c r="E162" s="17" t="str">
        <f aca="false">IF($A162="","",IF(INDEX(Tasks!$E:$E,$A162)="","",INDEX(Tasks!$E:$E,$A162)))</f>
        <v/>
      </c>
      <c r="F162" s="18" t="str">
        <f aca="false">IF($A162="","",IF(INDEX(Tasks!$F:$F,$A162)="","",INDEX(Tasks!$F:$F,$A162)))</f>
        <v/>
      </c>
      <c r="G162" s="18" t="str">
        <f aca="false">IF($A162="","",IF(INDEX(Tasks!$H:$H,$A162)="","",INDEX(Tasks!$H:$H,$A162)))</f>
        <v/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</row>
    <row r="163" customFormat="false" ht="15" hidden="false" customHeight="false" outlineLevel="0" collapsed="false">
      <c r="A163" s="16" t="str">
        <f aca="false">IFERROR(MATCH($C$2&amp;"|"&amp;(ROW()-4),Tasks!$L$4:$L$403,0)+3,"")</f>
        <v/>
      </c>
      <c r="B163" s="17" t="str">
        <f aca="false">IF($A163="","",IF(INDEX(Tasks!$A:$A,$A163)="","",INDEX(Tasks!$A:$A,$A163)))</f>
        <v/>
      </c>
      <c r="C163" s="17" t="str">
        <f aca="false">IF($A163="","",IF(ISERROR(FIND(".",INDEX(Tasks!$A:$A,$A163))),"","   ")&amp;INDEX(Tasks!$C:$C,$A163))</f>
        <v/>
      </c>
      <c r="D163" s="17" t="str">
        <f aca="false">IF($A163="","",IF(INDEX(Tasks!$D:$D,$A163)="","",INDEX(Tasks!$D:$D,$A163)))</f>
        <v/>
      </c>
      <c r="E163" s="17" t="str">
        <f aca="false">IF($A163="","",IF(INDEX(Tasks!$E:$E,$A163)="","",INDEX(Tasks!$E:$E,$A163)))</f>
        <v/>
      </c>
      <c r="F163" s="18" t="str">
        <f aca="false">IF($A163="","",IF(INDEX(Tasks!$F:$F,$A163)="","",INDEX(Tasks!$F:$F,$A163)))</f>
        <v/>
      </c>
      <c r="G163" s="18" t="str">
        <f aca="false">IF($A163="","",IF(INDEX(Tasks!$H:$H,$A163)="","",INDEX(Tasks!$H:$H,$A163)))</f>
        <v/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</row>
    <row r="164" customFormat="false" ht="15" hidden="false" customHeight="false" outlineLevel="0" collapsed="false">
      <c r="A164" s="16" t="str">
        <f aca="false">IFERROR(MATCH($C$2&amp;"|"&amp;(ROW()-4),Tasks!$L$4:$L$403,0)+3,"")</f>
        <v/>
      </c>
      <c r="B164" s="17" t="str">
        <f aca="false">IF($A164="","",IF(INDEX(Tasks!$A:$A,$A164)="","",INDEX(Tasks!$A:$A,$A164)))</f>
        <v/>
      </c>
      <c r="C164" s="17" t="str">
        <f aca="false">IF($A164="","",IF(ISERROR(FIND(".",INDEX(Tasks!$A:$A,$A164))),"","   ")&amp;INDEX(Tasks!$C:$C,$A164))</f>
        <v/>
      </c>
      <c r="D164" s="17" t="str">
        <f aca="false">IF($A164="","",IF(INDEX(Tasks!$D:$D,$A164)="","",INDEX(Tasks!$D:$D,$A164)))</f>
        <v/>
      </c>
      <c r="E164" s="17" t="str">
        <f aca="false">IF($A164="","",IF(INDEX(Tasks!$E:$E,$A164)="","",INDEX(Tasks!$E:$E,$A164)))</f>
        <v/>
      </c>
      <c r="F164" s="18" t="str">
        <f aca="false">IF($A164="","",IF(INDEX(Tasks!$F:$F,$A164)="","",INDEX(Tasks!$F:$F,$A164)))</f>
        <v/>
      </c>
      <c r="G164" s="18" t="str">
        <f aca="false">IF($A164="","",IF(INDEX(Tasks!$H:$H,$A164)="","",INDEX(Tasks!$H:$H,$A164)))</f>
        <v/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</row>
    <row r="165" customFormat="false" ht="15" hidden="false" customHeight="false" outlineLevel="0" collapsed="false">
      <c r="A165" s="16" t="str">
        <f aca="false">IFERROR(MATCH($C$2&amp;"|"&amp;(ROW()-4),Tasks!$L$4:$L$403,0)+3,"")</f>
        <v/>
      </c>
      <c r="B165" s="17" t="str">
        <f aca="false">IF($A165="","",IF(INDEX(Tasks!$A:$A,$A165)="","",INDEX(Tasks!$A:$A,$A165)))</f>
        <v/>
      </c>
      <c r="C165" s="17" t="str">
        <f aca="false">IF($A165="","",IF(ISERROR(FIND(".",INDEX(Tasks!$A:$A,$A165))),"","   ")&amp;INDEX(Tasks!$C:$C,$A165))</f>
        <v/>
      </c>
      <c r="D165" s="17" t="str">
        <f aca="false">IF($A165="","",IF(INDEX(Tasks!$D:$D,$A165)="","",INDEX(Tasks!$D:$D,$A165)))</f>
        <v/>
      </c>
      <c r="E165" s="17" t="str">
        <f aca="false">IF($A165="","",IF(INDEX(Tasks!$E:$E,$A165)="","",INDEX(Tasks!$E:$E,$A165)))</f>
        <v/>
      </c>
      <c r="F165" s="18" t="str">
        <f aca="false">IF($A165="","",IF(INDEX(Tasks!$F:$F,$A165)="","",INDEX(Tasks!$F:$F,$A165)))</f>
        <v/>
      </c>
      <c r="G165" s="18" t="str">
        <f aca="false">IF($A165="","",IF(INDEX(Tasks!$H:$H,$A165)="","",INDEX(Tasks!$H:$H,$A165)))</f>
        <v/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</row>
    <row r="166" customFormat="false" ht="15" hidden="false" customHeight="false" outlineLevel="0" collapsed="false">
      <c r="A166" s="16" t="str">
        <f aca="false">IFERROR(MATCH($C$2&amp;"|"&amp;(ROW()-4),Tasks!$L$4:$L$403,0)+3,"")</f>
        <v/>
      </c>
      <c r="B166" s="17" t="str">
        <f aca="false">IF($A166="","",IF(INDEX(Tasks!$A:$A,$A166)="","",INDEX(Tasks!$A:$A,$A166)))</f>
        <v/>
      </c>
      <c r="C166" s="17" t="str">
        <f aca="false">IF($A166="","",IF(ISERROR(FIND(".",INDEX(Tasks!$A:$A,$A166))),"","   ")&amp;INDEX(Tasks!$C:$C,$A166))</f>
        <v/>
      </c>
      <c r="D166" s="17" t="str">
        <f aca="false">IF($A166="","",IF(INDEX(Tasks!$D:$D,$A166)="","",INDEX(Tasks!$D:$D,$A166)))</f>
        <v/>
      </c>
      <c r="E166" s="17" t="str">
        <f aca="false">IF($A166="","",IF(INDEX(Tasks!$E:$E,$A166)="","",INDEX(Tasks!$E:$E,$A166)))</f>
        <v/>
      </c>
      <c r="F166" s="18" t="str">
        <f aca="false">IF($A166="","",IF(INDEX(Tasks!$F:$F,$A166)="","",INDEX(Tasks!$F:$F,$A166)))</f>
        <v/>
      </c>
      <c r="G166" s="18" t="str">
        <f aca="false">IF($A166="","",IF(INDEX(Tasks!$H:$H,$A166)="","",INDEX(Tasks!$H:$H,$A166)))</f>
        <v/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</row>
    <row r="167" customFormat="false" ht="15" hidden="false" customHeight="false" outlineLevel="0" collapsed="false">
      <c r="A167" s="16" t="str">
        <f aca="false">IFERROR(MATCH($C$2&amp;"|"&amp;(ROW()-4),Tasks!$L$4:$L$403,0)+3,"")</f>
        <v/>
      </c>
      <c r="B167" s="17" t="str">
        <f aca="false">IF($A167="","",IF(INDEX(Tasks!$A:$A,$A167)="","",INDEX(Tasks!$A:$A,$A167)))</f>
        <v/>
      </c>
      <c r="C167" s="17" t="str">
        <f aca="false">IF($A167="","",IF(ISERROR(FIND(".",INDEX(Tasks!$A:$A,$A167))),"","   ")&amp;INDEX(Tasks!$C:$C,$A167))</f>
        <v/>
      </c>
      <c r="D167" s="17" t="str">
        <f aca="false">IF($A167="","",IF(INDEX(Tasks!$D:$D,$A167)="","",INDEX(Tasks!$D:$D,$A167)))</f>
        <v/>
      </c>
      <c r="E167" s="17" t="str">
        <f aca="false">IF($A167="","",IF(INDEX(Tasks!$E:$E,$A167)="","",INDEX(Tasks!$E:$E,$A167)))</f>
        <v/>
      </c>
      <c r="F167" s="18" t="str">
        <f aca="false">IF($A167="","",IF(INDEX(Tasks!$F:$F,$A167)="","",INDEX(Tasks!$F:$F,$A167)))</f>
        <v/>
      </c>
      <c r="G167" s="18" t="str">
        <f aca="false">IF($A167="","",IF(INDEX(Tasks!$H:$H,$A167)="","",INDEX(Tasks!$H:$H,$A167)))</f>
        <v/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</row>
    <row r="168" customFormat="false" ht="15" hidden="false" customHeight="false" outlineLevel="0" collapsed="false">
      <c r="A168" s="16" t="str">
        <f aca="false">IFERROR(MATCH($C$2&amp;"|"&amp;(ROW()-4),Tasks!$L$4:$L$403,0)+3,"")</f>
        <v/>
      </c>
      <c r="B168" s="17" t="str">
        <f aca="false">IF($A168="","",IF(INDEX(Tasks!$A:$A,$A168)="","",INDEX(Tasks!$A:$A,$A168)))</f>
        <v/>
      </c>
      <c r="C168" s="17" t="str">
        <f aca="false">IF($A168="","",IF(ISERROR(FIND(".",INDEX(Tasks!$A:$A,$A168))),"","   ")&amp;INDEX(Tasks!$C:$C,$A168))</f>
        <v/>
      </c>
      <c r="D168" s="17" t="str">
        <f aca="false">IF($A168="","",IF(INDEX(Tasks!$D:$D,$A168)="","",INDEX(Tasks!$D:$D,$A168)))</f>
        <v/>
      </c>
      <c r="E168" s="17" t="str">
        <f aca="false">IF($A168="","",IF(INDEX(Tasks!$E:$E,$A168)="","",INDEX(Tasks!$E:$E,$A168)))</f>
        <v/>
      </c>
      <c r="F168" s="18" t="str">
        <f aca="false">IF($A168="","",IF(INDEX(Tasks!$F:$F,$A168)="","",INDEX(Tasks!$F:$F,$A168)))</f>
        <v/>
      </c>
      <c r="G168" s="18" t="str">
        <f aca="false">IF($A168="","",IF(INDEX(Tasks!$H:$H,$A168)="","",INDEX(Tasks!$H:$H,$A168)))</f>
        <v/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</row>
    <row r="169" customFormat="false" ht="15" hidden="false" customHeight="false" outlineLevel="0" collapsed="false">
      <c r="A169" s="16" t="str">
        <f aca="false">IFERROR(MATCH($C$2&amp;"|"&amp;(ROW()-4),Tasks!$L$4:$L$403,0)+3,"")</f>
        <v/>
      </c>
      <c r="B169" s="17" t="str">
        <f aca="false">IF($A169="","",IF(INDEX(Tasks!$A:$A,$A169)="","",INDEX(Tasks!$A:$A,$A169)))</f>
        <v/>
      </c>
      <c r="C169" s="17" t="str">
        <f aca="false">IF($A169="","",IF(ISERROR(FIND(".",INDEX(Tasks!$A:$A,$A169))),"","   ")&amp;INDEX(Tasks!$C:$C,$A169))</f>
        <v/>
      </c>
      <c r="D169" s="17" t="str">
        <f aca="false">IF($A169="","",IF(INDEX(Tasks!$D:$D,$A169)="","",INDEX(Tasks!$D:$D,$A169)))</f>
        <v/>
      </c>
      <c r="E169" s="17" t="str">
        <f aca="false">IF($A169="","",IF(INDEX(Tasks!$E:$E,$A169)="","",INDEX(Tasks!$E:$E,$A169)))</f>
        <v/>
      </c>
      <c r="F169" s="18" t="str">
        <f aca="false">IF($A169="","",IF(INDEX(Tasks!$F:$F,$A169)="","",INDEX(Tasks!$F:$F,$A169)))</f>
        <v/>
      </c>
      <c r="G169" s="18" t="str">
        <f aca="false">IF($A169="","",IF(INDEX(Tasks!$H:$H,$A169)="","",INDEX(Tasks!$H:$H,$A169)))</f>
        <v/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</row>
    <row r="170" customFormat="false" ht="15" hidden="false" customHeight="false" outlineLevel="0" collapsed="false">
      <c r="A170" s="16" t="str">
        <f aca="false">IFERROR(MATCH($C$2&amp;"|"&amp;(ROW()-4),Tasks!$L$4:$L$403,0)+3,"")</f>
        <v/>
      </c>
      <c r="B170" s="17" t="str">
        <f aca="false">IF($A170="","",IF(INDEX(Tasks!$A:$A,$A170)="","",INDEX(Tasks!$A:$A,$A170)))</f>
        <v/>
      </c>
      <c r="C170" s="17" t="str">
        <f aca="false">IF($A170="","",IF(ISERROR(FIND(".",INDEX(Tasks!$A:$A,$A170))),"","   ")&amp;INDEX(Tasks!$C:$C,$A170))</f>
        <v/>
      </c>
      <c r="D170" s="17" t="str">
        <f aca="false">IF($A170="","",IF(INDEX(Tasks!$D:$D,$A170)="","",INDEX(Tasks!$D:$D,$A170)))</f>
        <v/>
      </c>
      <c r="E170" s="17" t="str">
        <f aca="false">IF($A170="","",IF(INDEX(Tasks!$E:$E,$A170)="","",INDEX(Tasks!$E:$E,$A170)))</f>
        <v/>
      </c>
      <c r="F170" s="18" t="str">
        <f aca="false">IF($A170="","",IF(INDEX(Tasks!$F:$F,$A170)="","",INDEX(Tasks!$F:$F,$A170)))</f>
        <v/>
      </c>
      <c r="G170" s="18" t="str">
        <f aca="false">IF($A170="","",IF(INDEX(Tasks!$H:$H,$A170)="","",INDEX(Tasks!$H:$H,$A170)))</f>
        <v/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</row>
    <row r="171" customFormat="false" ht="15" hidden="false" customHeight="false" outlineLevel="0" collapsed="false">
      <c r="A171" s="16" t="str">
        <f aca="false">IFERROR(MATCH($C$2&amp;"|"&amp;(ROW()-4),Tasks!$L$4:$L$403,0)+3,"")</f>
        <v/>
      </c>
      <c r="B171" s="17" t="str">
        <f aca="false">IF($A171="","",IF(INDEX(Tasks!$A:$A,$A171)="","",INDEX(Tasks!$A:$A,$A171)))</f>
        <v/>
      </c>
      <c r="C171" s="17" t="str">
        <f aca="false">IF($A171="","",IF(ISERROR(FIND(".",INDEX(Tasks!$A:$A,$A171))),"","   ")&amp;INDEX(Tasks!$C:$C,$A171))</f>
        <v/>
      </c>
      <c r="D171" s="17" t="str">
        <f aca="false">IF($A171="","",IF(INDEX(Tasks!$D:$D,$A171)="","",INDEX(Tasks!$D:$D,$A171)))</f>
        <v/>
      </c>
      <c r="E171" s="17" t="str">
        <f aca="false">IF($A171="","",IF(INDEX(Tasks!$E:$E,$A171)="","",INDEX(Tasks!$E:$E,$A171)))</f>
        <v/>
      </c>
      <c r="F171" s="18" t="str">
        <f aca="false">IF($A171="","",IF(INDEX(Tasks!$F:$F,$A171)="","",INDEX(Tasks!$F:$F,$A171)))</f>
        <v/>
      </c>
      <c r="G171" s="18" t="str">
        <f aca="false">IF($A171="","",IF(INDEX(Tasks!$H:$H,$A171)="","",INDEX(Tasks!$H:$H,$A171)))</f>
        <v/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</row>
    <row r="172" customFormat="false" ht="15" hidden="false" customHeight="false" outlineLevel="0" collapsed="false">
      <c r="A172" s="16" t="str">
        <f aca="false">IFERROR(MATCH($C$2&amp;"|"&amp;(ROW()-4),Tasks!$L$4:$L$403,0)+3,"")</f>
        <v/>
      </c>
      <c r="B172" s="17" t="str">
        <f aca="false">IF($A172="","",IF(INDEX(Tasks!$A:$A,$A172)="","",INDEX(Tasks!$A:$A,$A172)))</f>
        <v/>
      </c>
      <c r="C172" s="17" t="str">
        <f aca="false">IF($A172="","",IF(ISERROR(FIND(".",INDEX(Tasks!$A:$A,$A172))),"","   ")&amp;INDEX(Tasks!$C:$C,$A172))</f>
        <v/>
      </c>
      <c r="D172" s="17" t="str">
        <f aca="false">IF($A172="","",IF(INDEX(Tasks!$D:$D,$A172)="","",INDEX(Tasks!$D:$D,$A172)))</f>
        <v/>
      </c>
      <c r="E172" s="17" t="str">
        <f aca="false">IF($A172="","",IF(INDEX(Tasks!$E:$E,$A172)="","",INDEX(Tasks!$E:$E,$A172)))</f>
        <v/>
      </c>
      <c r="F172" s="18" t="str">
        <f aca="false">IF($A172="","",IF(INDEX(Tasks!$F:$F,$A172)="","",INDEX(Tasks!$F:$F,$A172)))</f>
        <v/>
      </c>
      <c r="G172" s="18" t="str">
        <f aca="false">IF($A172="","",IF(INDEX(Tasks!$H:$H,$A172)="","",INDEX(Tasks!$H:$H,$A172)))</f>
        <v/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</row>
    <row r="173" customFormat="false" ht="15" hidden="false" customHeight="false" outlineLevel="0" collapsed="false">
      <c r="A173" s="16" t="str">
        <f aca="false">IFERROR(MATCH($C$2&amp;"|"&amp;(ROW()-4),Tasks!$L$4:$L$403,0)+3,"")</f>
        <v/>
      </c>
      <c r="B173" s="17" t="str">
        <f aca="false">IF($A173="","",IF(INDEX(Tasks!$A:$A,$A173)="","",INDEX(Tasks!$A:$A,$A173)))</f>
        <v/>
      </c>
      <c r="C173" s="17" t="str">
        <f aca="false">IF($A173="","",IF(ISERROR(FIND(".",INDEX(Tasks!$A:$A,$A173))),"","   ")&amp;INDEX(Tasks!$C:$C,$A173))</f>
        <v/>
      </c>
      <c r="D173" s="17" t="str">
        <f aca="false">IF($A173="","",IF(INDEX(Tasks!$D:$D,$A173)="","",INDEX(Tasks!$D:$D,$A173)))</f>
        <v/>
      </c>
      <c r="E173" s="17" t="str">
        <f aca="false">IF($A173="","",IF(INDEX(Tasks!$E:$E,$A173)="","",INDEX(Tasks!$E:$E,$A173)))</f>
        <v/>
      </c>
      <c r="F173" s="18" t="str">
        <f aca="false">IF($A173="","",IF(INDEX(Tasks!$F:$F,$A173)="","",INDEX(Tasks!$F:$F,$A173)))</f>
        <v/>
      </c>
      <c r="G173" s="18" t="str">
        <f aca="false">IF($A173="","",IF(INDEX(Tasks!$H:$H,$A173)="","",INDEX(Tasks!$H:$H,$A173)))</f>
        <v/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</row>
    <row r="174" customFormat="false" ht="15" hidden="false" customHeight="false" outlineLevel="0" collapsed="false">
      <c r="A174" s="16" t="str">
        <f aca="false">IFERROR(MATCH($C$2&amp;"|"&amp;(ROW()-4),Tasks!$L$4:$L$403,0)+3,"")</f>
        <v/>
      </c>
      <c r="B174" s="17" t="str">
        <f aca="false">IF($A174="","",IF(INDEX(Tasks!$A:$A,$A174)="","",INDEX(Tasks!$A:$A,$A174)))</f>
        <v/>
      </c>
      <c r="C174" s="17" t="str">
        <f aca="false">IF($A174="","",IF(ISERROR(FIND(".",INDEX(Tasks!$A:$A,$A174))),"","   ")&amp;INDEX(Tasks!$C:$C,$A174))</f>
        <v/>
      </c>
      <c r="D174" s="17" t="str">
        <f aca="false">IF($A174="","",IF(INDEX(Tasks!$D:$D,$A174)="","",INDEX(Tasks!$D:$D,$A174)))</f>
        <v/>
      </c>
      <c r="E174" s="17" t="str">
        <f aca="false">IF($A174="","",IF(INDEX(Tasks!$E:$E,$A174)="","",INDEX(Tasks!$E:$E,$A174)))</f>
        <v/>
      </c>
      <c r="F174" s="18" t="str">
        <f aca="false">IF($A174="","",IF(INDEX(Tasks!$F:$F,$A174)="","",INDEX(Tasks!$F:$F,$A174)))</f>
        <v/>
      </c>
      <c r="G174" s="18" t="str">
        <f aca="false">IF($A174="","",IF(INDEX(Tasks!$H:$H,$A174)="","",INDEX(Tasks!$H:$H,$A174)))</f>
        <v/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</row>
    <row r="175" customFormat="false" ht="15" hidden="false" customHeight="false" outlineLevel="0" collapsed="false">
      <c r="A175" s="16" t="str">
        <f aca="false">IFERROR(MATCH($C$2&amp;"|"&amp;(ROW()-4),Tasks!$L$4:$L$403,0)+3,"")</f>
        <v/>
      </c>
      <c r="B175" s="17" t="str">
        <f aca="false">IF($A175="","",IF(INDEX(Tasks!$A:$A,$A175)="","",INDEX(Tasks!$A:$A,$A175)))</f>
        <v/>
      </c>
      <c r="C175" s="17" t="str">
        <f aca="false">IF($A175="","",IF(ISERROR(FIND(".",INDEX(Tasks!$A:$A,$A175))),"","   ")&amp;INDEX(Tasks!$C:$C,$A175))</f>
        <v/>
      </c>
      <c r="D175" s="17" t="str">
        <f aca="false">IF($A175="","",IF(INDEX(Tasks!$D:$D,$A175)="","",INDEX(Tasks!$D:$D,$A175)))</f>
        <v/>
      </c>
      <c r="E175" s="17" t="str">
        <f aca="false">IF($A175="","",IF(INDEX(Tasks!$E:$E,$A175)="","",INDEX(Tasks!$E:$E,$A175)))</f>
        <v/>
      </c>
      <c r="F175" s="18" t="str">
        <f aca="false">IF($A175="","",IF(INDEX(Tasks!$F:$F,$A175)="","",INDEX(Tasks!$F:$F,$A175)))</f>
        <v/>
      </c>
      <c r="G175" s="18" t="str">
        <f aca="false">IF($A175="","",IF(INDEX(Tasks!$H:$H,$A175)="","",INDEX(Tasks!$H:$H,$A175)))</f>
        <v/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</row>
    <row r="176" customFormat="false" ht="15" hidden="false" customHeight="false" outlineLevel="0" collapsed="false">
      <c r="A176" s="16" t="str">
        <f aca="false">IFERROR(MATCH($C$2&amp;"|"&amp;(ROW()-4),Tasks!$L$4:$L$403,0)+3,"")</f>
        <v/>
      </c>
      <c r="B176" s="17" t="str">
        <f aca="false">IF($A176="","",IF(INDEX(Tasks!$A:$A,$A176)="","",INDEX(Tasks!$A:$A,$A176)))</f>
        <v/>
      </c>
      <c r="C176" s="17" t="str">
        <f aca="false">IF($A176="","",IF(ISERROR(FIND(".",INDEX(Tasks!$A:$A,$A176))),"","   ")&amp;INDEX(Tasks!$C:$C,$A176))</f>
        <v/>
      </c>
      <c r="D176" s="17" t="str">
        <f aca="false">IF($A176="","",IF(INDEX(Tasks!$D:$D,$A176)="","",INDEX(Tasks!$D:$D,$A176)))</f>
        <v/>
      </c>
      <c r="E176" s="17" t="str">
        <f aca="false">IF($A176="","",IF(INDEX(Tasks!$E:$E,$A176)="","",INDEX(Tasks!$E:$E,$A176)))</f>
        <v/>
      </c>
      <c r="F176" s="18" t="str">
        <f aca="false">IF($A176="","",IF(INDEX(Tasks!$F:$F,$A176)="","",INDEX(Tasks!$F:$F,$A176)))</f>
        <v/>
      </c>
      <c r="G176" s="18" t="str">
        <f aca="false">IF($A176="","",IF(INDEX(Tasks!$H:$H,$A176)="","",INDEX(Tasks!$H:$H,$A176)))</f>
        <v/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</row>
    <row r="177" customFormat="false" ht="15" hidden="false" customHeight="false" outlineLevel="0" collapsed="false">
      <c r="A177" s="16" t="str">
        <f aca="false">IFERROR(MATCH($C$2&amp;"|"&amp;(ROW()-4),Tasks!$L$4:$L$403,0)+3,"")</f>
        <v/>
      </c>
      <c r="B177" s="17" t="str">
        <f aca="false">IF($A177="","",IF(INDEX(Tasks!$A:$A,$A177)="","",INDEX(Tasks!$A:$A,$A177)))</f>
        <v/>
      </c>
      <c r="C177" s="17" t="str">
        <f aca="false">IF($A177="","",IF(ISERROR(FIND(".",INDEX(Tasks!$A:$A,$A177))),"","   ")&amp;INDEX(Tasks!$C:$C,$A177))</f>
        <v/>
      </c>
      <c r="D177" s="17" t="str">
        <f aca="false">IF($A177="","",IF(INDEX(Tasks!$D:$D,$A177)="","",INDEX(Tasks!$D:$D,$A177)))</f>
        <v/>
      </c>
      <c r="E177" s="17" t="str">
        <f aca="false">IF($A177="","",IF(INDEX(Tasks!$E:$E,$A177)="","",INDEX(Tasks!$E:$E,$A177)))</f>
        <v/>
      </c>
      <c r="F177" s="18" t="str">
        <f aca="false">IF($A177="","",IF(INDEX(Tasks!$F:$F,$A177)="","",INDEX(Tasks!$F:$F,$A177)))</f>
        <v/>
      </c>
      <c r="G177" s="18" t="str">
        <f aca="false">IF($A177="","",IF(INDEX(Tasks!$H:$H,$A177)="","",INDEX(Tasks!$H:$H,$A177)))</f>
        <v/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</row>
    <row r="178" customFormat="false" ht="15" hidden="false" customHeight="false" outlineLevel="0" collapsed="false">
      <c r="A178" s="16" t="str">
        <f aca="false">IFERROR(MATCH($C$2&amp;"|"&amp;(ROW()-4),Tasks!$L$4:$L$403,0)+3,"")</f>
        <v/>
      </c>
      <c r="B178" s="17" t="str">
        <f aca="false">IF($A178="","",IF(INDEX(Tasks!$A:$A,$A178)="","",INDEX(Tasks!$A:$A,$A178)))</f>
        <v/>
      </c>
      <c r="C178" s="17" t="str">
        <f aca="false">IF($A178="","",IF(ISERROR(FIND(".",INDEX(Tasks!$A:$A,$A178))),"","   ")&amp;INDEX(Tasks!$C:$C,$A178))</f>
        <v/>
      </c>
      <c r="D178" s="17" t="str">
        <f aca="false">IF($A178="","",IF(INDEX(Tasks!$D:$D,$A178)="","",INDEX(Tasks!$D:$D,$A178)))</f>
        <v/>
      </c>
      <c r="E178" s="17" t="str">
        <f aca="false">IF($A178="","",IF(INDEX(Tasks!$E:$E,$A178)="","",INDEX(Tasks!$E:$E,$A178)))</f>
        <v/>
      </c>
      <c r="F178" s="18" t="str">
        <f aca="false">IF($A178="","",IF(INDEX(Tasks!$F:$F,$A178)="","",INDEX(Tasks!$F:$F,$A178)))</f>
        <v/>
      </c>
      <c r="G178" s="18" t="str">
        <f aca="false">IF($A178="","",IF(INDEX(Tasks!$H:$H,$A178)="","",INDEX(Tasks!$H:$H,$A178)))</f>
        <v/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</row>
    <row r="179" customFormat="false" ht="15" hidden="false" customHeight="false" outlineLevel="0" collapsed="false">
      <c r="A179" s="16" t="str">
        <f aca="false">IFERROR(MATCH($C$2&amp;"|"&amp;(ROW()-4),Tasks!$L$4:$L$403,0)+3,"")</f>
        <v/>
      </c>
      <c r="B179" s="17" t="str">
        <f aca="false">IF($A179="","",IF(INDEX(Tasks!$A:$A,$A179)="","",INDEX(Tasks!$A:$A,$A179)))</f>
        <v/>
      </c>
      <c r="C179" s="17" t="str">
        <f aca="false">IF($A179="","",IF(ISERROR(FIND(".",INDEX(Tasks!$A:$A,$A179))),"","   ")&amp;INDEX(Tasks!$C:$C,$A179))</f>
        <v/>
      </c>
      <c r="D179" s="17" t="str">
        <f aca="false">IF($A179="","",IF(INDEX(Tasks!$D:$D,$A179)="","",INDEX(Tasks!$D:$D,$A179)))</f>
        <v/>
      </c>
      <c r="E179" s="17" t="str">
        <f aca="false">IF($A179="","",IF(INDEX(Tasks!$E:$E,$A179)="","",INDEX(Tasks!$E:$E,$A179)))</f>
        <v/>
      </c>
      <c r="F179" s="18" t="str">
        <f aca="false">IF($A179="","",IF(INDEX(Tasks!$F:$F,$A179)="","",INDEX(Tasks!$F:$F,$A179)))</f>
        <v/>
      </c>
      <c r="G179" s="18" t="str">
        <f aca="false">IF($A179="","",IF(INDEX(Tasks!$H:$H,$A179)="","",INDEX(Tasks!$H:$H,$A179)))</f>
        <v/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</row>
    <row r="180" customFormat="false" ht="15" hidden="false" customHeight="false" outlineLevel="0" collapsed="false">
      <c r="A180" s="16" t="str">
        <f aca="false">IFERROR(MATCH($C$2&amp;"|"&amp;(ROW()-4),Tasks!$L$4:$L$403,0)+3,"")</f>
        <v/>
      </c>
      <c r="B180" s="17" t="str">
        <f aca="false">IF($A180="","",IF(INDEX(Tasks!$A:$A,$A180)="","",INDEX(Tasks!$A:$A,$A180)))</f>
        <v/>
      </c>
      <c r="C180" s="17" t="str">
        <f aca="false">IF($A180="","",IF(ISERROR(FIND(".",INDEX(Tasks!$A:$A,$A180))),"","   ")&amp;INDEX(Tasks!$C:$C,$A180))</f>
        <v/>
      </c>
      <c r="D180" s="17" t="str">
        <f aca="false">IF($A180="","",IF(INDEX(Tasks!$D:$D,$A180)="","",INDEX(Tasks!$D:$D,$A180)))</f>
        <v/>
      </c>
      <c r="E180" s="17" t="str">
        <f aca="false">IF($A180="","",IF(INDEX(Tasks!$E:$E,$A180)="","",INDEX(Tasks!$E:$E,$A180)))</f>
        <v/>
      </c>
      <c r="F180" s="18" t="str">
        <f aca="false">IF($A180="","",IF(INDEX(Tasks!$F:$F,$A180)="","",INDEX(Tasks!$F:$F,$A180)))</f>
        <v/>
      </c>
      <c r="G180" s="18" t="str">
        <f aca="false">IF($A180="","",IF(INDEX(Tasks!$H:$H,$A180)="","",INDEX(Tasks!$H:$H,$A180)))</f>
        <v/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</row>
    <row r="181" customFormat="false" ht="15" hidden="false" customHeight="false" outlineLevel="0" collapsed="false">
      <c r="A181" s="16" t="str">
        <f aca="false">IFERROR(MATCH($C$2&amp;"|"&amp;(ROW()-4),Tasks!$L$4:$L$403,0)+3,"")</f>
        <v/>
      </c>
      <c r="B181" s="17" t="str">
        <f aca="false">IF($A181="","",IF(INDEX(Tasks!$A:$A,$A181)="","",INDEX(Tasks!$A:$A,$A181)))</f>
        <v/>
      </c>
      <c r="C181" s="17" t="str">
        <f aca="false">IF($A181="","",IF(ISERROR(FIND(".",INDEX(Tasks!$A:$A,$A181))),"","   ")&amp;INDEX(Tasks!$C:$C,$A181))</f>
        <v/>
      </c>
      <c r="D181" s="17" t="str">
        <f aca="false">IF($A181="","",IF(INDEX(Tasks!$D:$D,$A181)="","",INDEX(Tasks!$D:$D,$A181)))</f>
        <v/>
      </c>
      <c r="E181" s="17" t="str">
        <f aca="false">IF($A181="","",IF(INDEX(Tasks!$E:$E,$A181)="","",INDEX(Tasks!$E:$E,$A181)))</f>
        <v/>
      </c>
      <c r="F181" s="18" t="str">
        <f aca="false">IF($A181="","",IF(INDEX(Tasks!$F:$F,$A181)="","",INDEX(Tasks!$F:$F,$A181)))</f>
        <v/>
      </c>
      <c r="G181" s="18" t="str">
        <f aca="false">IF($A181="","",IF(INDEX(Tasks!$H:$H,$A181)="","",INDEX(Tasks!$H:$H,$A181)))</f>
        <v/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</row>
    <row r="182" customFormat="false" ht="15" hidden="false" customHeight="false" outlineLevel="0" collapsed="false">
      <c r="A182" s="16" t="str">
        <f aca="false">IFERROR(MATCH($C$2&amp;"|"&amp;(ROW()-4),Tasks!$L$4:$L$403,0)+3,"")</f>
        <v/>
      </c>
      <c r="B182" s="17" t="str">
        <f aca="false">IF($A182="","",IF(INDEX(Tasks!$A:$A,$A182)="","",INDEX(Tasks!$A:$A,$A182)))</f>
        <v/>
      </c>
      <c r="C182" s="17" t="str">
        <f aca="false">IF($A182="","",IF(ISERROR(FIND(".",INDEX(Tasks!$A:$A,$A182))),"","   ")&amp;INDEX(Tasks!$C:$C,$A182))</f>
        <v/>
      </c>
      <c r="D182" s="17" t="str">
        <f aca="false">IF($A182="","",IF(INDEX(Tasks!$D:$D,$A182)="","",INDEX(Tasks!$D:$D,$A182)))</f>
        <v/>
      </c>
      <c r="E182" s="17" t="str">
        <f aca="false">IF($A182="","",IF(INDEX(Tasks!$E:$E,$A182)="","",INDEX(Tasks!$E:$E,$A182)))</f>
        <v/>
      </c>
      <c r="F182" s="18" t="str">
        <f aca="false">IF($A182="","",IF(INDEX(Tasks!$F:$F,$A182)="","",INDEX(Tasks!$F:$F,$A182)))</f>
        <v/>
      </c>
      <c r="G182" s="18" t="str">
        <f aca="false">IF($A182="","",IF(INDEX(Tasks!$H:$H,$A182)="","",INDEX(Tasks!$H:$H,$A182)))</f>
        <v/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</row>
    <row r="183" customFormat="false" ht="15" hidden="false" customHeight="false" outlineLevel="0" collapsed="false">
      <c r="A183" s="16" t="str">
        <f aca="false">IFERROR(MATCH($C$2&amp;"|"&amp;(ROW()-4),Tasks!$L$4:$L$403,0)+3,"")</f>
        <v/>
      </c>
      <c r="B183" s="17" t="str">
        <f aca="false">IF($A183="","",IF(INDEX(Tasks!$A:$A,$A183)="","",INDEX(Tasks!$A:$A,$A183)))</f>
        <v/>
      </c>
      <c r="C183" s="17" t="str">
        <f aca="false">IF($A183="","",IF(ISERROR(FIND(".",INDEX(Tasks!$A:$A,$A183))),"","   ")&amp;INDEX(Tasks!$C:$C,$A183))</f>
        <v/>
      </c>
      <c r="D183" s="17" t="str">
        <f aca="false">IF($A183="","",IF(INDEX(Tasks!$D:$D,$A183)="","",INDEX(Tasks!$D:$D,$A183)))</f>
        <v/>
      </c>
      <c r="E183" s="17" t="str">
        <f aca="false">IF($A183="","",IF(INDEX(Tasks!$E:$E,$A183)="","",INDEX(Tasks!$E:$E,$A183)))</f>
        <v/>
      </c>
      <c r="F183" s="18" t="str">
        <f aca="false">IF($A183="","",IF(INDEX(Tasks!$F:$F,$A183)="","",INDEX(Tasks!$F:$F,$A183)))</f>
        <v/>
      </c>
      <c r="G183" s="18" t="str">
        <f aca="false">IF($A183="","",IF(INDEX(Tasks!$H:$H,$A183)="","",INDEX(Tasks!$H:$H,$A183)))</f>
        <v/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</row>
    <row r="184" customFormat="false" ht="15" hidden="false" customHeight="false" outlineLevel="0" collapsed="false">
      <c r="A184" s="16" t="str">
        <f aca="false">IFERROR(MATCH($C$2&amp;"|"&amp;(ROW()-4),Tasks!$L$4:$L$403,0)+3,"")</f>
        <v/>
      </c>
      <c r="B184" s="17" t="str">
        <f aca="false">IF($A184="","",IF(INDEX(Tasks!$A:$A,$A184)="","",INDEX(Tasks!$A:$A,$A184)))</f>
        <v/>
      </c>
      <c r="C184" s="17" t="str">
        <f aca="false">IF($A184="","",IF(ISERROR(FIND(".",INDEX(Tasks!$A:$A,$A184))),"","   ")&amp;INDEX(Tasks!$C:$C,$A184))</f>
        <v/>
      </c>
      <c r="D184" s="17" t="str">
        <f aca="false">IF($A184="","",IF(INDEX(Tasks!$D:$D,$A184)="","",INDEX(Tasks!$D:$D,$A184)))</f>
        <v/>
      </c>
      <c r="E184" s="17" t="str">
        <f aca="false">IF($A184="","",IF(INDEX(Tasks!$E:$E,$A184)="","",INDEX(Tasks!$E:$E,$A184)))</f>
        <v/>
      </c>
      <c r="F184" s="18" t="str">
        <f aca="false">IF($A184="","",IF(INDEX(Tasks!$F:$F,$A184)="","",INDEX(Tasks!$F:$F,$A184)))</f>
        <v/>
      </c>
      <c r="G184" s="18" t="str">
        <f aca="false">IF($A184="","",IF(INDEX(Tasks!$H:$H,$A184)="","",INDEX(Tasks!$H:$H,$A184)))</f>
        <v/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 customFormat="false" ht="15" hidden="false" customHeight="false" outlineLevel="0" collapsed="false">
      <c r="A185" s="16" t="str">
        <f aca="false">IFERROR(MATCH($C$2&amp;"|"&amp;(ROW()-4),Tasks!$L$4:$L$403,0)+3,"")</f>
        <v/>
      </c>
      <c r="B185" s="17" t="str">
        <f aca="false">IF($A185="","",IF(INDEX(Tasks!$A:$A,$A185)="","",INDEX(Tasks!$A:$A,$A185)))</f>
        <v/>
      </c>
      <c r="C185" s="17" t="str">
        <f aca="false">IF($A185="","",IF(ISERROR(FIND(".",INDEX(Tasks!$A:$A,$A185))),"","   ")&amp;INDEX(Tasks!$C:$C,$A185))</f>
        <v/>
      </c>
      <c r="D185" s="17" t="str">
        <f aca="false">IF($A185="","",IF(INDEX(Tasks!$D:$D,$A185)="","",INDEX(Tasks!$D:$D,$A185)))</f>
        <v/>
      </c>
      <c r="E185" s="17" t="str">
        <f aca="false">IF($A185="","",IF(INDEX(Tasks!$E:$E,$A185)="","",INDEX(Tasks!$E:$E,$A185)))</f>
        <v/>
      </c>
      <c r="F185" s="18" t="str">
        <f aca="false">IF($A185="","",IF(INDEX(Tasks!$F:$F,$A185)="","",INDEX(Tasks!$F:$F,$A185)))</f>
        <v/>
      </c>
      <c r="G185" s="18" t="str">
        <f aca="false">IF($A185="","",IF(INDEX(Tasks!$H:$H,$A185)="","",INDEX(Tasks!$H:$H,$A185)))</f>
        <v/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</row>
    <row r="186" customFormat="false" ht="15" hidden="false" customHeight="false" outlineLevel="0" collapsed="false">
      <c r="A186" s="16" t="str">
        <f aca="false">IFERROR(MATCH($C$2&amp;"|"&amp;(ROW()-4),Tasks!$L$4:$L$403,0)+3,"")</f>
        <v/>
      </c>
      <c r="B186" s="17" t="str">
        <f aca="false">IF($A186="","",IF(INDEX(Tasks!$A:$A,$A186)="","",INDEX(Tasks!$A:$A,$A186)))</f>
        <v/>
      </c>
      <c r="C186" s="17" t="str">
        <f aca="false">IF($A186="","",IF(ISERROR(FIND(".",INDEX(Tasks!$A:$A,$A186))),"","   ")&amp;INDEX(Tasks!$C:$C,$A186))</f>
        <v/>
      </c>
      <c r="D186" s="17" t="str">
        <f aca="false">IF($A186="","",IF(INDEX(Tasks!$D:$D,$A186)="","",INDEX(Tasks!$D:$D,$A186)))</f>
        <v/>
      </c>
      <c r="E186" s="17" t="str">
        <f aca="false">IF($A186="","",IF(INDEX(Tasks!$E:$E,$A186)="","",INDEX(Tasks!$E:$E,$A186)))</f>
        <v/>
      </c>
      <c r="F186" s="18" t="str">
        <f aca="false">IF($A186="","",IF(INDEX(Tasks!$F:$F,$A186)="","",INDEX(Tasks!$F:$F,$A186)))</f>
        <v/>
      </c>
      <c r="G186" s="18" t="str">
        <f aca="false">IF($A186="","",IF(INDEX(Tasks!$H:$H,$A186)="","",INDEX(Tasks!$H:$H,$A186)))</f>
        <v/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</row>
    <row r="187" customFormat="false" ht="15" hidden="false" customHeight="false" outlineLevel="0" collapsed="false">
      <c r="A187" s="16" t="str">
        <f aca="false">IFERROR(MATCH($C$2&amp;"|"&amp;(ROW()-4),Tasks!$L$4:$L$403,0)+3,"")</f>
        <v/>
      </c>
      <c r="B187" s="17" t="str">
        <f aca="false">IF($A187="","",IF(INDEX(Tasks!$A:$A,$A187)="","",INDEX(Tasks!$A:$A,$A187)))</f>
        <v/>
      </c>
      <c r="C187" s="17" t="str">
        <f aca="false">IF($A187="","",IF(ISERROR(FIND(".",INDEX(Tasks!$A:$A,$A187))),"","   ")&amp;INDEX(Tasks!$C:$C,$A187))</f>
        <v/>
      </c>
      <c r="D187" s="17" t="str">
        <f aca="false">IF($A187="","",IF(INDEX(Tasks!$D:$D,$A187)="","",INDEX(Tasks!$D:$D,$A187)))</f>
        <v/>
      </c>
      <c r="E187" s="17" t="str">
        <f aca="false">IF($A187="","",IF(INDEX(Tasks!$E:$E,$A187)="","",INDEX(Tasks!$E:$E,$A187)))</f>
        <v/>
      </c>
      <c r="F187" s="18" t="str">
        <f aca="false">IF($A187="","",IF(INDEX(Tasks!$F:$F,$A187)="","",INDEX(Tasks!$F:$F,$A187)))</f>
        <v/>
      </c>
      <c r="G187" s="18" t="str">
        <f aca="false">IF($A187="","",IF(INDEX(Tasks!$H:$H,$A187)="","",INDEX(Tasks!$H:$H,$A187)))</f>
        <v/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</row>
    <row r="188" customFormat="false" ht="15" hidden="false" customHeight="false" outlineLevel="0" collapsed="false">
      <c r="A188" s="16" t="str">
        <f aca="false">IFERROR(MATCH($C$2&amp;"|"&amp;(ROW()-4),Tasks!$L$4:$L$403,0)+3,"")</f>
        <v/>
      </c>
      <c r="B188" s="17" t="str">
        <f aca="false">IF($A188="","",IF(INDEX(Tasks!$A:$A,$A188)="","",INDEX(Tasks!$A:$A,$A188)))</f>
        <v/>
      </c>
      <c r="C188" s="17" t="str">
        <f aca="false">IF($A188="","",IF(ISERROR(FIND(".",INDEX(Tasks!$A:$A,$A188))),"","   ")&amp;INDEX(Tasks!$C:$C,$A188))</f>
        <v/>
      </c>
      <c r="D188" s="17" t="str">
        <f aca="false">IF($A188="","",IF(INDEX(Tasks!$D:$D,$A188)="","",INDEX(Tasks!$D:$D,$A188)))</f>
        <v/>
      </c>
      <c r="E188" s="17" t="str">
        <f aca="false">IF($A188="","",IF(INDEX(Tasks!$E:$E,$A188)="","",INDEX(Tasks!$E:$E,$A188)))</f>
        <v/>
      </c>
      <c r="F188" s="18" t="str">
        <f aca="false">IF($A188="","",IF(INDEX(Tasks!$F:$F,$A188)="","",INDEX(Tasks!$F:$F,$A188)))</f>
        <v/>
      </c>
      <c r="G188" s="18" t="str">
        <f aca="false">IF($A188="","",IF(INDEX(Tasks!$H:$H,$A188)="","",INDEX(Tasks!$H:$H,$A188)))</f>
        <v/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</row>
    <row r="189" customFormat="false" ht="15" hidden="false" customHeight="false" outlineLevel="0" collapsed="false">
      <c r="A189" s="16" t="str">
        <f aca="false">IFERROR(MATCH($C$2&amp;"|"&amp;(ROW()-4),Tasks!$L$4:$L$403,0)+3,"")</f>
        <v/>
      </c>
      <c r="B189" s="17" t="str">
        <f aca="false">IF($A189="","",IF(INDEX(Tasks!$A:$A,$A189)="","",INDEX(Tasks!$A:$A,$A189)))</f>
        <v/>
      </c>
      <c r="C189" s="17" t="str">
        <f aca="false">IF($A189="","",IF(ISERROR(FIND(".",INDEX(Tasks!$A:$A,$A189))),"","   ")&amp;INDEX(Tasks!$C:$C,$A189))</f>
        <v/>
      </c>
      <c r="D189" s="17" t="str">
        <f aca="false">IF($A189="","",IF(INDEX(Tasks!$D:$D,$A189)="","",INDEX(Tasks!$D:$D,$A189)))</f>
        <v/>
      </c>
      <c r="E189" s="17" t="str">
        <f aca="false">IF($A189="","",IF(INDEX(Tasks!$E:$E,$A189)="","",INDEX(Tasks!$E:$E,$A189)))</f>
        <v/>
      </c>
      <c r="F189" s="18" t="str">
        <f aca="false">IF($A189="","",IF(INDEX(Tasks!$F:$F,$A189)="","",INDEX(Tasks!$F:$F,$A189)))</f>
        <v/>
      </c>
      <c r="G189" s="18" t="str">
        <f aca="false">IF($A189="","",IF(INDEX(Tasks!$H:$H,$A189)="","",INDEX(Tasks!$H:$H,$A189)))</f>
        <v/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</row>
    <row r="190" customFormat="false" ht="15" hidden="false" customHeight="false" outlineLevel="0" collapsed="false">
      <c r="A190" s="16" t="str">
        <f aca="false">IFERROR(MATCH($C$2&amp;"|"&amp;(ROW()-4),Tasks!$L$4:$L$403,0)+3,"")</f>
        <v/>
      </c>
      <c r="B190" s="17" t="str">
        <f aca="false">IF($A190="","",IF(INDEX(Tasks!$A:$A,$A190)="","",INDEX(Tasks!$A:$A,$A190)))</f>
        <v/>
      </c>
      <c r="C190" s="17" t="str">
        <f aca="false">IF($A190="","",IF(ISERROR(FIND(".",INDEX(Tasks!$A:$A,$A190))),"","   ")&amp;INDEX(Tasks!$C:$C,$A190))</f>
        <v/>
      </c>
      <c r="D190" s="17" t="str">
        <f aca="false">IF($A190="","",IF(INDEX(Tasks!$D:$D,$A190)="","",INDEX(Tasks!$D:$D,$A190)))</f>
        <v/>
      </c>
      <c r="E190" s="17" t="str">
        <f aca="false">IF($A190="","",IF(INDEX(Tasks!$E:$E,$A190)="","",INDEX(Tasks!$E:$E,$A190)))</f>
        <v/>
      </c>
      <c r="F190" s="18" t="str">
        <f aca="false">IF($A190="","",IF(INDEX(Tasks!$F:$F,$A190)="","",INDEX(Tasks!$F:$F,$A190)))</f>
        <v/>
      </c>
      <c r="G190" s="18" t="str">
        <f aca="false">IF($A190="","",IF(INDEX(Tasks!$H:$H,$A190)="","",INDEX(Tasks!$H:$H,$A190)))</f>
        <v/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 customFormat="false" ht="15" hidden="false" customHeight="false" outlineLevel="0" collapsed="false">
      <c r="A191" s="16" t="str">
        <f aca="false">IFERROR(MATCH($C$2&amp;"|"&amp;(ROW()-4),Tasks!$L$4:$L$403,0)+3,"")</f>
        <v/>
      </c>
      <c r="B191" s="17" t="str">
        <f aca="false">IF($A191="","",IF(INDEX(Tasks!$A:$A,$A191)="","",INDEX(Tasks!$A:$A,$A191)))</f>
        <v/>
      </c>
      <c r="C191" s="17" t="str">
        <f aca="false">IF($A191="","",IF(ISERROR(FIND(".",INDEX(Tasks!$A:$A,$A191))),"","   ")&amp;INDEX(Tasks!$C:$C,$A191))</f>
        <v/>
      </c>
      <c r="D191" s="17" t="str">
        <f aca="false">IF($A191="","",IF(INDEX(Tasks!$D:$D,$A191)="","",INDEX(Tasks!$D:$D,$A191)))</f>
        <v/>
      </c>
      <c r="E191" s="17" t="str">
        <f aca="false">IF($A191="","",IF(INDEX(Tasks!$E:$E,$A191)="","",INDEX(Tasks!$E:$E,$A191)))</f>
        <v/>
      </c>
      <c r="F191" s="18" t="str">
        <f aca="false">IF($A191="","",IF(INDEX(Tasks!$F:$F,$A191)="","",INDEX(Tasks!$F:$F,$A191)))</f>
        <v/>
      </c>
      <c r="G191" s="18" t="str">
        <f aca="false">IF($A191="","",IF(INDEX(Tasks!$H:$H,$A191)="","",INDEX(Tasks!$H:$H,$A191)))</f>
        <v/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</row>
    <row r="192" customFormat="false" ht="15" hidden="false" customHeight="false" outlineLevel="0" collapsed="false">
      <c r="A192" s="16" t="str">
        <f aca="false">IFERROR(MATCH($C$2&amp;"|"&amp;(ROW()-4),Tasks!$L$4:$L$403,0)+3,"")</f>
        <v/>
      </c>
      <c r="B192" s="17" t="str">
        <f aca="false">IF($A192="","",IF(INDEX(Tasks!$A:$A,$A192)="","",INDEX(Tasks!$A:$A,$A192)))</f>
        <v/>
      </c>
      <c r="C192" s="17" t="str">
        <f aca="false">IF($A192="","",IF(ISERROR(FIND(".",INDEX(Tasks!$A:$A,$A192))),"","   ")&amp;INDEX(Tasks!$C:$C,$A192))</f>
        <v/>
      </c>
      <c r="D192" s="17" t="str">
        <f aca="false">IF($A192="","",IF(INDEX(Tasks!$D:$D,$A192)="","",INDEX(Tasks!$D:$D,$A192)))</f>
        <v/>
      </c>
      <c r="E192" s="17" t="str">
        <f aca="false">IF($A192="","",IF(INDEX(Tasks!$E:$E,$A192)="","",INDEX(Tasks!$E:$E,$A192)))</f>
        <v/>
      </c>
      <c r="F192" s="18" t="str">
        <f aca="false">IF($A192="","",IF(INDEX(Tasks!$F:$F,$A192)="","",INDEX(Tasks!$F:$F,$A192)))</f>
        <v/>
      </c>
      <c r="G192" s="18" t="str">
        <f aca="false">IF($A192="","",IF(INDEX(Tasks!$H:$H,$A192)="","",INDEX(Tasks!$H:$H,$A192)))</f>
        <v/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</row>
    <row r="193" customFormat="false" ht="15" hidden="false" customHeight="false" outlineLevel="0" collapsed="false">
      <c r="A193" s="16" t="str">
        <f aca="false">IFERROR(MATCH($C$2&amp;"|"&amp;(ROW()-4),Tasks!$L$4:$L$403,0)+3,"")</f>
        <v/>
      </c>
      <c r="B193" s="17" t="str">
        <f aca="false">IF($A193="","",IF(INDEX(Tasks!$A:$A,$A193)="","",INDEX(Tasks!$A:$A,$A193)))</f>
        <v/>
      </c>
      <c r="C193" s="17" t="str">
        <f aca="false">IF($A193="","",IF(ISERROR(FIND(".",INDEX(Tasks!$A:$A,$A193))),"","   ")&amp;INDEX(Tasks!$C:$C,$A193))</f>
        <v/>
      </c>
      <c r="D193" s="17" t="str">
        <f aca="false">IF($A193="","",IF(INDEX(Tasks!$D:$D,$A193)="","",INDEX(Tasks!$D:$D,$A193)))</f>
        <v/>
      </c>
      <c r="E193" s="17" t="str">
        <f aca="false">IF($A193="","",IF(INDEX(Tasks!$E:$E,$A193)="","",INDEX(Tasks!$E:$E,$A193)))</f>
        <v/>
      </c>
      <c r="F193" s="18" t="str">
        <f aca="false">IF($A193="","",IF(INDEX(Tasks!$F:$F,$A193)="","",INDEX(Tasks!$F:$F,$A193)))</f>
        <v/>
      </c>
      <c r="G193" s="18" t="str">
        <f aca="false">IF($A193="","",IF(INDEX(Tasks!$H:$H,$A193)="","",INDEX(Tasks!$H:$H,$A193)))</f>
        <v/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</row>
    <row r="194" customFormat="false" ht="15" hidden="false" customHeight="false" outlineLevel="0" collapsed="false">
      <c r="A194" s="16" t="str">
        <f aca="false">IFERROR(MATCH($C$2&amp;"|"&amp;(ROW()-4),Tasks!$L$4:$L$403,0)+3,"")</f>
        <v/>
      </c>
      <c r="B194" s="17" t="str">
        <f aca="false">IF($A194="","",IF(INDEX(Tasks!$A:$A,$A194)="","",INDEX(Tasks!$A:$A,$A194)))</f>
        <v/>
      </c>
      <c r="C194" s="17" t="str">
        <f aca="false">IF($A194="","",IF(ISERROR(FIND(".",INDEX(Tasks!$A:$A,$A194))),"","   ")&amp;INDEX(Tasks!$C:$C,$A194))</f>
        <v/>
      </c>
      <c r="D194" s="17" t="str">
        <f aca="false">IF($A194="","",IF(INDEX(Tasks!$D:$D,$A194)="","",INDEX(Tasks!$D:$D,$A194)))</f>
        <v/>
      </c>
      <c r="E194" s="17" t="str">
        <f aca="false">IF($A194="","",IF(INDEX(Tasks!$E:$E,$A194)="","",INDEX(Tasks!$E:$E,$A194)))</f>
        <v/>
      </c>
      <c r="F194" s="18" t="str">
        <f aca="false">IF($A194="","",IF(INDEX(Tasks!$F:$F,$A194)="","",INDEX(Tasks!$F:$F,$A194)))</f>
        <v/>
      </c>
      <c r="G194" s="18" t="str">
        <f aca="false">IF($A194="","",IF(INDEX(Tasks!$H:$H,$A194)="","",INDEX(Tasks!$H:$H,$A194)))</f>
        <v/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</row>
    <row r="195" customFormat="false" ht="15" hidden="false" customHeight="false" outlineLevel="0" collapsed="false">
      <c r="A195" s="16" t="str">
        <f aca="false">IFERROR(MATCH($C$2&amp;"|"&amp;(ROW()-4),Tasks!$L$4:$L$403,0)+3,"")</f>
        <v/>
      </c>
      <c r="B195" s="17" t="str">
        <f aca="false">IF($A195="","",IF(INDEX(Tasks!$A:$A,$A195)="","",INDEX(Tasks!$A:$A,$A195)))</f>
        <v/>
      </c>
      <c r="C195" s="17" t="str">
        <f aca="false">IF($A195="","",IF(ISERROR(FIND(".",INDEX(Tasks!$A:$A,$A195))),"","   ")&amp;INDEX(Tasks!$C:$C,$A195))</f>
        <v/>
      </c>
      <c r="D195" s="17" t="str">
        <f aca="false">IF($A195="","",IF(INDEX(Tasks!$D:$D,$A195)="","",INDEX(Tasks!$D:$D,$A195)))</f>
        <v/>
      </c>
      <c r="E195" s="17" t="str">
        <f aca="false">IF($A195="","",IF(INDEX(Tasks!$E:$E,$A195)="","",INDEX(Tasks!$E:$E,$A195)))</f>
        <v/>
      </c>
      <c r="F195" s="18" t="str">
        <f aca="false">IF($A195="","",IF(INDEX(Tasks!$F:$F,$A195)="","",INDEX(Tasks!$F:$F,$A195)))</f>
        <v/>
      </c>
      <c r="G195" s="18" t="str">
        <f aca="false">IF($A195="","",IF(INDEX(Tasks!$H:$H,$A195)="","",INDEX(Tasks!$H:$H,$A195)))</f>
        <v/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</row>
    <row r="196" customFormat="false" ht="15" hidden="false" customHeight="false" outlineLevel="0" collapsed="false">
      <c r="A196" s="16" t="str">
        <f aca="false">IFERROR(MATCH($C$2&amp;"|"&amp;(ROW()-4),Tasks!$L$4:$L$403,0)+3,"")</f>
        <v/>
      </c>
      <c r="B196" s="17" t="str">
        <f aca="false">IF($A196="","",IF(INDEX(Tasks!$A:$A,$A196)="","",INDEX(Tasks!$A:$A,$A196)))</f>
        <v/>
      </c>
      <c r="C196" s="17" t="str">
        <f aca="false">IF($A196="","",IF(ISERROR(FIND(".",INDEX(Tasks!$A:$A,$A196))),"","   ")&amp;INDEX(Tasks!$C:$C,$A196))</f>
        <v/>
      </c>
      <c r="D196" s="17" t="str">
        <f aca="false">IF($A196="","",IF(INDEX(Tasks!$D:$D,$A196)="","",INDEX(Tasks!$D:$D,$A196)))</f>
        <v/>
      </c>
      <c r="E196" s="17" t="str">
        <f aca="false">IF($A196="","",IF(INDEX(Tasks!$E:$E,$A196)="","",INDEX(Tasks!$E:$E,$A196)))</f>
        <v/>
      </c>
      <c r="F196" s="18" t="str">
        <f aca="false">IF($A196="","",IF(INDEX(Tasks!$F:$F,$A196)="","",INDEX(Tasks!$F:$F,$A196)))</f>
        <v/>
      </c>
      <c r="G196" s="18" t="str">
        <f aca="false">IF($A196="","",IF(INDEX(Tasks!$H:$H,$A196)="","",INDEX(Tasks!$H:$H,$A196)))</f>
        <v/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</row>
    <row r="197" customFormat="false" ht="15" hidden="false" customHeight="false" outlineLevel="0" collapsed="false">
      <c r="A197" s="16" t="str">
        <f aca="false">IFERROR(MATCH($C$2&amp;"|"&amp;(ROW()-4),Tasks!$L$4:$L$403,0)+3,"")</f>
        <v/>
      </c>
      <c r="B197" s="17" t="str">
        <f aca="false">IF($A197="","",IF(INDEX(Tasks!$A:$A,$A197)="","",INDEX(Tasks!$A:$A,$A197)))</f>
        <v/>
      </c>
      <c r="C197" s="17" t="str">
        <f aca="false">IF($A197="","",IF(ISERROR(FIND(".",INDEX(Tasks!$A:$A,$A197))),"","   ")&amp;INDEX(Tasks!$C:$C,$A197))</f>
        <v/>
      </c>
      <c r="D197" s="17" t="str">
        <f aca="false">IF($A197="","",IF(INDEX(Tasks!$D:$D,$A197)="","",INDEX(Tasks!$D:$D,$A197)))</f>
        <v/>
      </c>
      <c r="E197" s="17" t="str">
        <f aca="false">IF($A197="","",IF(INDEX(Tasks!$E:$E,$A197)="","",INDEX(Tasks!$E:$E,$A197)))</f>
        <v/>
      </c>
      <c r="F197" s="18" t="str">
        <f aca="false">IF($A197="","",IF(INDEX(Tasks!$F:$F,$A197)="","",INDEX(Tasks!$F:$F,$A197)))</f>
        <v/>
      </c>
      <c r="G197" s="18" t="str">
        <f aca="false">IF($A197="","",IF(INDEX(Tasks!$H:$H,$A197)="","",INDEX(Tasks!$H:$H,$A197)))</f>
        <v/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</row>
    <row r="198" customFormat="false" ht="15" hidden="false" customHeight="false" outlineLevel="0" collapsed="false">
      <c r="A198" s="16" t="str">
        <f aca="false">IFERROR(MATCH($C$2&amp;"|"&amp;(ROW()-4),Tasks!$L$4:$L$403,0)+3,"")</f>
        <v/>
      </c>
      <c r="B198" s="17" t="str">
        <f aca="false">IF($A198="","",IF(INDEX(Tasks!$A:$A,$A198)="","",INDEX(Tasks!$A:$A,$A198)))</f>
        <v/>
      </c>
      <c r="C198" s="17" t="str">
        <f aca="false">IF($A198="","",IF(ISERROR(FIND(".",INDEX(Tasks!$A:$A,$A198))),"","   ")&amp;INDEX(Tasks!$C:$C,$A198))</f>
        <v/>
      </c>
      <c r="D198" s="17" t="str">
        <f aca="false">IF($A198="","",IF(INDEX(Tasks!$D:$D,$A198)="","",INDEX(Tasks!$D:$D,$A198)))</f>
        <v/>
      </c>
      <c r="E198" s="17" t="str">
        <f aca="false">IF($A198="","",IF(INDEX(Tasks!$E:$E,$A198)="","",INDEX(Tasks!$E:$E,$A198)))</f>
        <v/>
      </c>
      <c r="F198" s="18" t="str">
        <f aca="false">IF($A198="","",IF(INDEX(Tasks!$F:$F,$A198)="","",INDEX(Tasks!$F:$F,$A198)))</f>
        <v/>
      </c>
      <c r="G198" s="18" t="str">
        <f aca="false">IF($A198="","",IF(INDEX(Tasks!$H:$H,$A198)="","",INDEX(Tasks!$H:$H,$A198)))</f>
        <v/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</row>
    <row r="199" customFormat="false" ht="15" hidden="false" customHeight="false" outlineLevel="0" collapsed="false">
      <c r="A199" s="16" t="str">
        <f aca="false">IFERROR(MATCH($C$2&amp;"|"&amp;(ROW()-4),Tasks!$L$4:$L$403,0)+3,"")</f>
        <v/>
      </c>
      <c r="B199" s="17" t="str">
        <f aca="false">IF($A199="","",IF(INDEX(Tasks!$A:$A,$A199)="","",INDEX(Tasks!$A:$A,$A199)))</f>
        <v/>
      </c>
      <c r="C199" s="17" t="str">
        <f aca="false">IF($A199="","",IF(ISERROR(FIND(".",INDEX(Tasks!$A:$A,$A199))),"","   ")&amp;INDEX(Tasks!$C:$C,$A199))</f>
        <v/>
      </c>
      <c r="D199" s="17" t="str">
        <f aca="false">IF($A199="","",IF(INDEX(Tasks!$D:$D,$A199)="","",INDEX(Tasks!$D:$D,$A199)))</f>
        <v/>
      </c>
      <c r="E199" s="17" t="str">
        <f aca="false">IF($A199="","",IF(INDEX(Tasks!$E:$E,$A199)="","",INDEX(Tasks!$E:$E,$A199)))</f>
        <v/>
      </c>
      <c r="F199" s="18" t="str">
        <f aca="false">IF($A199="","",IF(INDEX(Tasks!$F:$F,$A199)="","",INDEX(Tasks!$F:$F,$A199)))</f>
        <v/>
      </c>
      <c r="G199" s="18" t="str">
        <f aca="false">IF($A199="","",IF(INDEX(Tasks!$H:$H,$A199)="","",INDEX(Tasks!$H:$H,$A199)))</f>
        <v/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</row>
    <row r="200" customFormat="false" ht="15" hidden="false" customHeight="false" outlineLevel="0" collapsed="false">
      <c r="A200" s="16" t="str">
        <f aca="false">IFERROR(MATCH($C$2&amp;"|"&amp;(ROW()-4),Tasks!$L$4:$L$403,0)+3,"")</f>
        <v/>
      </c>
      <c r="B200" s="17" t="str">
        <f aca="false">IF($A200="","",IF(INDEX(Tasks!$A:$A,$A200)="","",INDEX(Tasks!$A:$A,$A200)))</f>
        <v/>
      </c>
      <c r="C200" s="17" t="str">
        <f aca="false">IF($A200="","",IF(ISERROR(FIND(".",INDEX(Tasks!$A:$A,$A200))),"","   ")&amp;INDEX(Tasks!$C:$C,$A200))</f>
        <v/>
      </c>
      <c r="D200" s="17" t="str">
        <f aca="false">IF($A200="","",IF(INDEX(Tasks!$D:$D,$A200)="","",INDEX(Tasks!$D:$D,$A200)))</f>
        <v/>
      </c>
      <c r="E200" s="17" t="str">
        <f aca="false">IF($A200="","",IF(INDEX(Tasks!$E:$E,$A200)="","",INDEX(Tasks!$E:$E,$A200)))</f>
        <v/>
      </c>
      <c r="F200" s="18" t="str">
        <f aca="false">IF($A200="","",IF(INDEX(Tasks!$F:$F,$A200)="","",INDEX(Tasks!$F:$F,$A200)))</f>
        <v/>
      </c>
      <c r="G200" s="18" t="str">
        <f aca="false">IF($A200="","",IF(INDEX(Tasks!$H:$H,$A200)="","",INDEX(Tasks!$H:$H,$A200)))</f>
        <v/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</row>
    <row r="201" customFormat="false" ht="15" hidden="false" customHeight="false" outlineLevel="0" collapsed="false">
      <c r="A201" s="16" t="str">
        <f aca="false">IFERROR(MATCH($C$2&amp;"|"&amp;(ROW()-4),Tasks!$L$4:$L$403,0)+3,"")</f>
        <v/>
      </c>
      <c r="B201" s="17" t="str">
        <f aca="false">IF($A201="","",IF(INDEX(Tasks!$A:$A,$A201)="","",INDEX(Tasks!$A:$A,$A201)))</f>
        <v/>
      </c>
      <c r="C201" s="17" t="str">
        <f aca="false">IF($A201="","",IF(ISERROR(FIND(".",INDEX(Tasks!$A:$A,$A201))),"","   ")&amp;INDEX(Tasks!$C:$C,$A201))</f>
        <v/>
      </c>
      <c r="D201" s="17" t="str">
        <f aca="false">IF($A201="","",IF(INDEX(Tasks!$D:$D,$A201)="","",INDEX(Tasks!$D:$D,$A201)))</f>
        <v/>
      </c>
      <c r="E201" s="17" t="str">
        <f aca="false">IF($A201="","",IF(INDEX(Tasks!$E:$E,$A201)="","",INDEX(Tasks!$E:$E,$A201)))</f>
        <v/>
      </c>
      <c r="F201" s="18" t="str">
        <f aca="false">IF($A201="","",IF(INDEX(Tasks!$F:$F,$A201)="","",INDEX(Tasks!$F:$F,$A201)))</f>
        <v/>
      </c>
      <c r="G201" s="18" t="str">
        <f aca="false">IF($A201="","",IF(INDEX(Tasks!$H:$H,$A201)="","",INDEX(Tasks!$H:$H,$A201)))</f>
        <v/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</row>
    <row r="202" customFormat="false" ht="15" hidden="false" customHeight="false" outlineLevel="0" collapsed="false">
      <c r="A202" s="16" t="str">
        <f aca="false">IFERROR(MATCH($C$2&amp;"|"&amp;(ROW()-4),Tasks!$L$4:$L$403,0)+3,"")</f>
        <v/>
      </c>
      <c r="B202" s="17" t="str">
        <f aca="false">IF($A202="","",IF(INDEX(Tasks!$A:$A,$A202)="","",INDEX(Tasks!$A:$A,$A202)))</f>
        <v/>
      </c>
      <c r="C202" s="17" t="str">
        <f aca="false">IF($A202="","",IF(ISERROR(FIND(".",INDEX(Tasks!$A:$A,$A202))),"","   ")&amp;INDEX(Tasks!$C:$C,$A202))</f>
        <v/>
      </c>
      <c r="D202" s="17" t="str">
        <f aca="false">IF($A202="","",IF(INDEX(Tasks!$D:$D,$A202)="","",INDEX(Tasks!$D:$D,$A202)))</f>
        <v/>
      </c>
      <c r="E202" s="17" t="str">
        <f aca="false">IF($A202="","",IF(INDEX(Tasks!$E:$E,$A202)="","",INDEX(Tasks!$E:$E,$A202)))</f>
        <v/>
      </c>
      <c r="F202" s="18" t="str">
        <f aca="false">IF($A202="","",IF(INDEX(Tasks!$F:$F,$A202)="","",INDEX(Tasks!$F:$F,$A202)))</f>
        <v/>
      </c>
      <c r="G202" s="18" t="str">
        <f aca="false">IF($A202="","",IF(INDEX(Tasks!$H:$H,$A202)="","",INDEX(Tasks!$H:$H,$A202)))</f>
        <v/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</row>
    <row r="203" customFormat="false" ht="15" hidden="false" customHeight="false" outlineLevel="0" collapsed="false">
      <c r="A203" s="16" t="str">
        <f aca="false">IFERROR(MATCH($C$2&amp;"|"&amp;(ROW()-4),Tasks!$L$4:$L$403,0)+3,"")</f>
        <v/>
      </c>
      <c r="B203" s="17" t="str">
        <f aca="false">IF($A203="","",IF(INDEX(Tasks!$A:$A,$A203)="","",INDEX(Tasks!$A:$A,$A203)))</f>
        <v/>
      </c>
      <c r="C203" s="17" t="str">
        <f aca="false">IF($A203="","",IF(ISERROR(FIND(".",INDEX(Tasks!$A:$A,$A203))),"","   ")&amp;INDEX(Tasks!$C:$C,$A203))</f>
        <v/>
      </c>
      <c r="D203" s="17" t="str">
        <f aca="false">IF($A203="","",IF(INDEX(Tasks!$D:$D,$A203)="","",INDEX(Tasks!$D:$D,$A203)))</f>
        <v/>
      </c>
      <c r="E203" s="17" t="str">
        <f aca="false">IF($A203="","",IF(INDEX(Tasks!$E:$E,$A203)="","",INDEX(Tasks!$E:$E,$A203)))</f>
        <v/>
      </c>
      <c r="F203" s="18" t="str">
        <f aca="false">IF($A203="","",IF(INDEX(Tasks!$F:$F,$A203)="","",INDEX(Tasks!$F:$F,$A203)))</f>
        <v/>
      </c>
      <c r="G203" s="18" t="str">
        <f aca="false">IF($A203="","",IF(INDEX(Tasks!$H:$H,$A203)="","",INDEX(Tasks!$H:$H,$A203)))</f>
        <v/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</row>
    <row r="204" customFormat="false" ht="15" hidden="false" customHeight="false" outlineLevel="0" collapsed="false">
      <c r="A204" s="16" t="str">
        <f aca="false">IFERROR(MATCH($C$2&amp;"|"&amp;(ROW()-4),Tasks!$L$4:$L$403,0)+3,"")</f>
        <v/>
      </c>
      <c r="B204" s="17" t="str">
        <f aca="false">IF($A204="","",IF(INDEX(Tasks!$A:$A,$A204)="","",INDEX(Tasks!$A:$A,$A204)))</f>
        <v/>
      </c>
      <c r="C204" s="17" t="str">
        <f aca="false">IF($A204="","",IF(ISERROR(FIND(".",INDEX(Tasks!$A:$A,$A204))),"","   ")&amp;INDEX(Tasks!$C:$C,$A204))</f>
        <v/>
      </c>
      <c r="D204" s="17" t="str">
        <f aca="false">IF($A204="","",IF(INDEX(Tasks!$D:$D,$A204)="","",INDEX(Tasks!$D:$D,$A204)))</f>
        <v/>
      </c>
      <c r="E204" s="17" t="str">
        <f aca="false">IF($A204="","",IF(INDEX(Tasks!$E:$E,$A204)="","",INDEX(Tasks!$E:$E,$A204)))</f>
        <v/>
      </c>
      <c r="F204" s="18" t="str">
        <f aca="false">IF($A204="","",IF(INDEX(Tasks!$F:$F,$A204)="","",INDEX(Tasks!$F:$F,$A204)))</f>
        <v/>
      </c>
      <c r="G204" s="18" t="str">
        <f aca="false">IF($A204="","",IF(INDEX(Tasks!$H:$H,$A204)="","",INDEX(Tasks!$H:$H,$A204)))</f>
        <v/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</row>
    <row r="205" customFormat="false" ht="15" hidden="false" customHeight="false" outlineLevel="0" collapsed="false">
      <c r="A205" s="16" t="str">
        <f aca="false">IFERROR(MATCH($C$2&amp;"|"&amp;(ROW()-4),Tasks!$L$4:$L$403,0)+3,"")</f>
        <v/>
      </c>
      <c r="B205" s="17" t="str">
        <f aca="false">IF($A205="","",IF(INDEX(Tasks!$A:$A,$A205)="","",INDEX(Tasks!$A:$A,$A205)))</f>
        <v/>
      </c>
      <c r="C205" s="17" t="str">
        <f aca="false">IF($A205="","",IF(ISERROR(FIND(".",INDEX(Tasks!$A:$A,$A205))),"","   ")&amp;INDEX(Tasks!$C:$C,$A205))</f>
        <v/>
      </c>
      <c r="D205" s="17" t="str">
        <f aca="false">IF($A205="","",IF(INDEX(Tasks!$D:$D,$A205)="","",INDEX(Tasks!$D:$D,$A205)))</f>
        <v/>
      </c>
      <c r="E205" s="17" t="str">
        <f aca="false">IF($A205="","",IF(INDEX(Tasks!$E:$E,$A205)="","",INDEX(Tasks!$E:$E,$A205)))</f>
        <v/>
      </c>
      <c r="F205" s="18" t="str">
        <f aca="false">IF($A205="","",IF(INDEX(Tasks!$F:$F,$A205)="","",INDEX(Tasks!$F:$F,$A205)))</f>
        <v/>
      </c>
      <c r="G205" s="18" t="str">
        <f aca="false">IF($A205="","",IF(INDEX(Tasks!$H:$H,$A205)="","",INDEX(Tasks!$H:$H,$A205)))</f>
        <v/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</row>
    <row r="206" customFormat="false" ht="15" hidden="false" customHeight="false" outlineLevel="0" collapsed="false">
      <c r="A206" s="16" t="str">
        <f aca="false">IFERROR(MATCH($C$2&amp;"|"&amp;(ROW()-4),Tasks!$L$4:$L$403,0)+3,"")</f>
        <v/>
      </c>
      <c r="B206" s="17" t="str">
        <f aca="false">IF($A206="","",IF(INDEX(Tasks!$A:$A,$A206)="","",INDEX(Tasks!$A:$A,$A206)))</f>
        <v/>
      </c>
      <c r="C206" s="17" t="str">
        <f aca="false">IF($A206="","",IF(ISERROR(FIND(".",INDEX(Tasks!$A:$A,$A206))),"","   ")&amp;INDEX(Tasks!$C:$C,$A206))</f>
        <v/>
      </c>
      <c r="D206" s="17" t="str">
        <f aca="false">IF($A206="","",IF(INDEX(Tasks!$D:$D,$A206)="","",INDEX(Tasks!$D:$D,$A206)))</f>
        <v/>
      </c>
      <c r="E206" s="17" t="str">
        <f aca="false">IF($A206="","",IF(INDEX(Tasks!$E:$E,$A206)="","",INDEX(Tasks!$E:$E,$A206)))</f>
        <v/>
      </c>
      <c r="F206" s="18" t="str">
        <f aca="false">IF($A206="","",IF(INDEX(Tasks!$F:$F,$A206)="","",INDEX(Tasks!$F:$F,$A206)))</f>
        <v/>
      </c>
      <c r="G206" s="18" t="str">
        <f aca="false">IF($A206="","",IF(INDEX(Tasks!$H:$H,$A206)="","",INDEX(Tasks!$H:$H,$A206)))</f>
        <v/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</row>
    <row r="207" customFormat="false" ht="15" hidden="false" customHeight="false" outlineLevel="0" collapsed="false">
      <c r="A207" s="16" t="str">
        <f aca="false">IFERROR(MATCH($C$2&amp;"|"&amp;(ROW()-4),Tasks!$L$4:$L$403,0)+3,"")</f>
        <v/>
      </c>
      <c r="B207" s="17" t="str">
        <f aca="false">IF($A207="","",IF(INDEX(Tasks!$A:$A,$A207)="","",INDEX(Tasks!$A:$A,$A207)))</f>
        <v/>
      </c>
      <c r="C207" s="17" t="str">
        <f aca="false">IF($A207="","",IF(ISERROR(FIND(".",INDEX(Tasks!$A:$A,$A207))),"","   ")&amp;INDEX(Tasks!$C:$C,$A207))</f>
        <v/>
      </c>
      <c r="D207" s="17" t="str">
        <f aca="false">IF($A207="","",IF(INDEX(Tasks!$D:$D,$A207)="","",INDEX(Tasks!$D:$D,$A207)))</f>
        <v/>
      </c>
      <c r="E207" s="17" t="str">
        <f aca="false">IF($A207="","",IF(INDEX(Tasks!$E:$E,$A207)="","",INDEX(Tasks!$E:$E,$A207)))</f>
        <v/>
      </c>
      <c r="F207" s="18" t="str">
        <f aca="false">IF($A207="","",IF(INDEX(Tasks!$F:$F,$A207)="","",INDEX(Tasks!$F:$F,$A207)))</f>
        <v/>
      </c>
      <c r="G207" s="18" t="str">
        <f aca="false">IF($A207="","",IF(INDEX(Tasks!$H:$H,$A207)="","",INDEX(Tasks!$H:$H,$A207)))</f>
        <v/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</row>
    <row r="208" customFormat="false" ht="15" hidden="false" customHeight="false" outlineLevel="0" collapsed="false">
      <c r="A208" s="16" t="str">
        <f aca="false">IFERROR(MATCH($C$2&amp;"|"&amp;(ROW()-4),Tasks!$L$4:$L$403,0)+3,"")</f>
        <v/>
      </c>
      <c r="B208" s="17" t="str">
        <f aca="false">IF($A208="","",IF(INDEX(Tasks!$A:$A,$A208)="","",INDEX(Tasks!$A:$A,$A208)))</f>
        <v/>
      </c>
      <c r="C208" s="17" t="str">
        <f aca="false">IF($A208="","",IF(ISERROR(FIND(".",INDEX(Tasks!$A:$A,$A208))),"","   ")&amp;INDEX(Tasks!$C:$C,$A208))</f>
        <v/>
      </c>
      <c r="D208" s="17" t="str">
        <f aca="false">IF($A208="","",IF(INDEX(Tasks!$D:$D,$A208)="","",INDEX(Tasks!$D:$D,$A208)))</f>
        <v/>
      </c>
      <c r="E208" s="17" t="str">
        <f aca="false">IF($A208="","",IF(INDEX(Tasks!$E:$E,$A208)="","",INDEX(Tasks!$E:$E,$A208)))</f>
        <v/>
      </c>
      <c r="F208" s="18" t="str">
        <f aca="false">IF($A208="","",IF(INDEX(Tasks!$F:$F,$A208)="","",INDEX(Tasks!$F:$F,$A208)))</f>
        <v/>
      </c>
      <c r="G208" s="18" t="str">
        <f aca="false">IF($A208="","",IF(INDEX(Tasks!$H:$H,$A208)="","",INDEX(Tasks!$H:$H,$A208)))</f>
        <v/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</row>
    <row r="209" customFormat="false" ht="15" hidden="false" customHeight="false" outlineLevel="0" collapsed="false">
      <c r="A209" s="16" t="str">
        <f aca="false">IFERROR(MATCH($C$2&amp;"|"&amp;(ROW()-4),Tasks!$L$4:$L$403,0)+3,"")</f>
        <v/>
      </c>
      <c r="B209" s="17" t="str">
        <f aca="false">IF($A209="","",IF(INDEX(Tasks!$A:$A,$A209)="","",INDEX(Tasks!$A:$A,$A209)))</f>
        <v/>
      </c>
      <c r="C209" s="17" t="str">
        <f aca="false">IF($A209="","",IF(ISERROR(FIND(".",INDEX(Tasks!$A:$A,$A209))),"","   ")&amp;INDEX(Tasks!$C:$C,$A209))</f>
        <v/>
      </c>
      <c r="D209" s="17" t="str">
        <f aca="false">IF($A209="","",IF(INDEX(Tasks!$D:$D,$A209)="","",INDEX(Tasks!$D:$D,$A209)))</f>
        <v/>
      </c>
      <c r="E209" s="17" t="str">
        <f aca="false">IF($A209="","",IF(INDEX(Tasks!$E:$E,$A209)="","",INDEX(Tasks!$E:$E,$A209)))</f>
        <v/>
      </c>
      <c r="F209" s="18" t="str">
        <f aca="false">IF($A209="","",IF(INDEX(Tasks!$F:$F,$A209)="","",INDEX(Tasks!$F:$F,$A209)))</f>
        <v/>
      </c>
      <c r="G209" s="18" t="str">
        <f aca="false">IF($A209="","",IF(INDEX(Tasks!$H:$H,$A209)="","",INDEX(Tasks!$H:$H,$A209)))</f>
        <v/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</row>
    <row r="210" customFormat="false" ht="15" hidden="false" customHeight="false" outlineLevel="0" collapsed="false">
      <c r="A210" s="16" t="str">
        <f aca="false">IFERROR(MATCH($C$2&amp;"|"&amp;(ROW()-4),Tasks!$L$4:$L$403,0)+3,"")</f>
        <v/>
      </c>
      <c r="B210" s="17" t="str">
        <f aca="false">IF($A210="","",IF(INDEX(Tasks!$A:$A,$A210)="","",INDEX(Tasks!$A:$A,$A210)))</f>
        <v/>
      </c>
      <c r="C210" s="17" t="str">
        <f aca="false">IF($A210="","",IF(ISERROR(FIND(".",INDEX(Tasks!$A:$A,$A210))),"","   ")&amp;INDEX(Tasks!$C:$C,$A210))</f>
        <v/>
      </c>
      <c r="D210" s="17" t="str">
        <f aca="false">IF($A210="","",IF(INDEX(Tasks!$D:$D,$A210)="","",INDEX(Tasks!$D:$D,$A210)))</f>
        <v/>
      </c>
      <c r="E210" s="17" t="str">
        <f aca="false">IF($A210="","",IF(INDEX(Tasks!$E:$E,$A210)="","",INDEX(Tasks!$E:$E,$A210)))</f>
        <v/>
      </c>
      <c r="F210" s="18" t="str">
        <f aca="false">IF($A210="","",IF(INDEX(Tasks!$F:$F,$A210)="","",INDEX(Tasks!$F:$F,$A210)))</f>
        <v/>
      </c>
      <c r="G210" s="18" t="str">
        <f aca="false">IF($A210="","",IF(INDEX(Tasks!$H:$H,$A210)="","",INDEX(Tasks!$H:$H,$A210)))</f>
        <v/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</row>
    <row r="211" customFormat="false" ht="15" hidden="false" customHeight="false" outlineLevel="0" collapsed="false">
      <c r="A211" s="16" t="str">
        <f aca="false">IFERROR(MATCH($C$2&amp;"|"&amp;(ROW()-4),Tasks!$L$4:$L$403,0)+3,"")</f>
        <v/>
      </c>
      <c r="B211" s="17" t="str">
        <f aca="false">IF($A211="","",IF(INDEX(Tasks!$A:$A,$A211)="","",INDEX(Tasks!$A:$A,$A211)))</f>
        <v/>
      </c>
      <c r="C211" s="17" t="str">
        <f aca="false">IF($A211="","",IF(ISERROR(FIND(".",INDEX(Tasks!$A:$A,$A211))),"","   ")&amp;INDEX(Tasks!$C:$C,$A211))</f>
        <v/>
      </c>
      <c r="D211" s="17" t="str">
        <f aca="false">IF($A211="","",IF(INDEX(Tasks!$D:$D,$A211)="","",INDEX(Tasks!$D:$D,$A211)))</f>
        <v/>
      </c>
      <c r="E211" s="17" t="str">
        <f aca="false">IF($A211="","",IF(INDEX(Tasks!$E:$E,$A211)="","",INDEX(Tasks!$E:$E,$A211)))</f>
        <v/>
      </c>
      <c r="F211" s="18" t="str">
        <f aca="false">IF($A211="","",IF(INDEX(Tasks!$F:$F,$A211)="","",INDEX(Tasks!$F:$F,$A211)))</f>
        <v/>
      </c>
      <c r="G211" s="18" t="str">
        <f aca="false">IF($A211="","",IF(INDEX(Tasks!$H:$H,$A211)="","",INDEX(Tasks!$H:$H,$A211)))</f>
        <v/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</row>
    <row r="212" customFormat="false" ht="15" hidden="false" customHeight="false" outlineLevel="0" collapsed="false">
      <c r="A212" s="16" t="str">
        <f aca="false">IFERROR(MATCH($C$2&amp;"|"&amp;(ROW()-4),Tasks!$L$4:$L$403,0)+3,"")</f>
        <v/>
      </c>
      <c r="B212" s="17" t="str">
        <f aca="false">IF($A212="","",IF(INDEX(Tasks!$A:$A,$A212)="","",INDEX(Tasks!$A:$A,$A212)))</f>
        <v/>
      </c>
      <c r="C212" s="17" t="str">
        <f aca="false">IF($A212="","",IF(ISERROR(FIND(".",INDEX(Tasks!$A:$A,$A212))),"","   ")&amp;INDEX(Tasks!$C:$C,$A212))</f>
        <v/>
      </c>
      <c r="D212" s="17" t="str">
        <f aca="false">IF($A212="","",IF(INDEX(Tasks!$D:$D,$A212)="","",INDEX(Tasks!$D:$D,$A212)))</f>
        <v/>
      </c>
      <c r="E212" s="17" t="str">
        <f aca="false">IF($A212="","",IF(INDEX(Tasks!$E:$E,$A212)="","",INDEX(Tasks!$E:$E,$A212)))</f>
        <v/>
      </c>
      <c r="F212" s="18" t="str">
        <f aca="false">IF($A212="","",IF(INDEX(Tasks!$F:$F,$A212)="","",INDEX(Tasks!$F:$F,$A212)))</f>
        <v/>
      </c>
      <c r="G212" s="18" t="str">
        <f aca="false">IF($A212="","",IF(INDEX(Tasks!$H:$H,$A212)="","",INDEX(Tasks!$H:$H,$A212)))</f>
        <v/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</row>
    <row r="213" customFormat="false" ht="15" hidden="false" customHeight="false" outlineLevel="0" collapsed="false">
      <c r="A213" s="16" t="str">
        <f aca="false">IFERROR(MATCH($C$2&amp;"|"&amp;(ROW()-4),Tasks!$L$4:$L$403,0)+3,"")</f>
        <v/>
      </c>
      <c r="B213" s="17" t="str">
        <f aca="false">IF($A213="","",IF(INDEX(Tasks!$A:$A,$A213)="","",INDEX(Tasks!$A:$A,$A213)))</f>
        <v/>
      </c>
      <c r="C213" s="17" t="str">
        <f aca="false">IF($A213="","",IF(ISERROR(FIND(".",INDEX(Tasks!$A:$A,$A213))),"","   ")&amp;INDEX(Tasks!$C:$C,$A213))</f>
        <v/>
      </c>
      <c r="D213" s="17" t="str">
        <f aca="false">IF($A213="","",IF(INDEX(Tasks!$D:$D,$A213)="","",INDEX(Tasks!$D:$D,$A213)))</f>
        <v/>
      </c>
      <c r="E213" s="17" t="str">
        <f aca="false">IF($A213="","",IF(INDEX(Tasks!$E:$E,$A213)="","",INDEX(Tasks!$E:$E,$A213)))</f>
        <v/>
      </c>
      <c r="F213" s="18" t="str">
        <f aca="false">IF($A213="","",IF(INDEX(Tasks!$F:$F,$A213)="","",INDEX(Tasks!$F:$F,$A213)))</f>
        <v/>
      </c>
      <c r="G213" s="18" t="str">
        <f aca="false">IF($A213="","",IF(INDEX(Tasks!$H:$H,$A213)="","",INDEX(Tasks!$H:$H,$A213)))</f>
        <v/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</row>
    <row r="214" customFormat="false" ht="15" hidden="false" customHeight="false" outlineLevel="0" collapsed="false">
      <c r="A214" s="16" t="str">
        <f aca="false">IFERROR(MATCH($C$2&amp;"|"&amp;(ROW()-4),Tasks!$L$4:$L$403,0)+3,"")</f>
        <v/>
      </c>
      <c r="B214" s="17" t="str">
        <f aca="false">IF($A214="","",IF(INDEX(Tasks!$A:$A,$A214)="","",INDEX(Tasks!$A:$A,$A214)))</f>
        <v/>
      </c>
      <c r="C214" s="17" t="str">
        <f aca="false">IF($A214="","",IF(ISERROR(FIND(".",INDEX(Tasks!$A:$A,$A214))),"","   ")&amp;INDEX(Tasks!$C:$C,$A214))</f>
        <v/>
      </c>
      <c r="D214" s="17" t="str">
        <f aca="false">IF($A214="","",IF(INDEX(Tasks!$D:$D,$A214)="","",INDEX(Tasks!$D:$D,$A214)))</f>
        <v/>
      </c>
      <c r="E214" s="17" t="str">
        <f aca="false">IF($A214="","",IF(INDEX(Tasks!$E:$E,$A214)="","",INDEX(Tasks!$E:$E,$A214)))</f>
        <v/>
      </c>
      <c r="F214" s="18" t="str">
        <f aca="false">IF($A214="","",IF(INDEX(Tasks!$F:$F,$A214)="","",INDEX(Tasks!$F:$F,$A214)))</f>
        <v/>
      </c>
      <c r="G214" s="18" t="str">
        <f aca="false">IF($A214="","",IF(INDEX(Tasks!$H:$H,$A214)="","",INDEX(Tasks!$H:$H,$A214)))</f>
        <v/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</row>
    <row r="215" customFormat="false" ht="15" hidden="false" customHeight="false" outlineLevel="0" collapsed="false">
      <c r="A215" s="16" t="str">
        <f aca="false">IFERROR(MATCH($C$2&amp;"|"&amp;(ROW()-4),Tasks!$L$4:$L$403,0)+3,"")</f>
        <v/>
      </c>
      <c r="B215" s="17" t="str">
        <f aca="false">IF($A215="","",IF(INDEX(Tasks!$A:$A,$A215)="","",INDEX(Tasks!$A:$A,$A215)))</f>
        <v/>
      </c>
      <c r="C215" s="17" t="str">
        <f aca="false">IF($A215="","",IF(ISERROR(FIND(".",INDEX(Tasks!$A:$A,$A215))),"","   ")&amp;INDEX(Tasks!$C:$C,$A215))</f>
        <v/>
      </c>
      <c r="D215" s="17" t="str">
        <f aca="false">IF($A215="","",IF(INDEX(Tasks!$D:$D,$A215)="","",INDEX(Tasks!$D:$D,$A215)))</f>
        <v/>
      </c>
      <c r="E215" s="17" t="str">
        <f aca="false">IF($A215="","",IF(INDEX(Tasks!$E:$E,$A215)="","",INDEX(Tasks!$E:$E,$A215)))</f>
        <v/>
      </c>
      <c r="F215" s="18" t="str">
        <f aca="false">IF($A215="","",IF(INDEX(Tasks!$F:$F,$A215)="","",INDEX(Tasks!$F:$F,$A215)))</f>
        <v/>
      </c>
      <c r="G215" s="18" t="str">
        <f aca="false">IF($A215="","",IF(INDEX(Tasks!$H:$H,$A215)="","",INDEX(Tasks!$H:$H,$A215)))</f>
        <v/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</row>
    <row r="216" customFormat="false" ht="15" hidden="false" customHeight="false" outlineLevel="0" collapsed="false">
      <c r="A216" s="16" t="str">
        <f aca="false">IFERROR(MATCH($C$2&amp;"|"&amp;(ROW()-4),Tasks!$L$4:$L$403,0)+3,"")</f>
        <v/>
      </c>
      <c r="B216" s="17" t="str">
        <f aca="false">IF($A216="","",IF(INDEX(Tasks!$A:$A,$A216)="","",INDEX(Tasks!$A:$A,$A216)))</f>
        <v/>
      </c>
      <c r="C216" s="17" t="str">
        <f aca="false">IF($A216="","",IF(ISERROR(FIND(".",INDEX(Tasks!$A:$A,$A216))),"","   ")&amp;INDEX(Tasks!$C:$C,$A216))</f>
        <v/>
      </c>
      <c r="D216" s="17" t="str">
        <f aca="false">IF($A216="","",IF(INDEX(Tasks!$D:$D,$A216)="","",INDEX(Tasks!$D:$D,$A216)))</f>
        <v/>
      </c>
      <c r="E216" s="17" t="str">
        <f aca="false">IF($A216="","",IF(INDEX(Tasks!$E:$E,$A216)="","",INDEX(Tasks!$E:$E,$A216)))</f>
        <v/>
      </c>
      <c r="F216" s="18" t="str">
        <f aca="false">IF($A216="","",IF(INDEX(Tasks!$F:$F,$A216)="","",INDEX(Tasks!$F:$F,$A216)))</f>
        <v/>
      </c>
      <c r="G216" s="18" t="str">
        <f aca="false">IF($A216="","",IF(INDEX(Tasks!$H:$H,$A216)="","",INDEX(Tasks!$H:$H,$A216)))</f>
        <v/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</row>
    <row r="217" customFormat="false" ht="15" hidden="false" customHeight="false" outlineLevel="0" collapsed="false">
      <c r="A217" s="16" t="str">
        <f aca="false">IFERROR(MATCH($C$2&amp;"|"&amp;(ROW()-4),Tasks!$L$4:$L$403,0)+3,"")</f>
        <v/>
      </c>
      <c r="B217" s="17" t="str">
        <f aca="false">IF($A217="","",IF(INDEX(Tasks!$A:$A,$A217)="","",INDEX(Tasks!$A:$A,$A217)))</f>
        <v/>
      </c>
      <c r="C217" s="17" t="str">
        <f aca="false">IF($A217="","",IF(ISERROR(FIND(".",INDEX(Tasks!$A:$A,$A217))),"","   ")&amp;INDEX(Tasks!$C:$C,$A217))</f>
        <v/>
      </c>
      <c r="D217" s="17" t="str">
        <f aca="false">IF($A217="","",IF(INDEX(Tasks!$D:$D,$A217)="","",INDEX(Tasks!$D:$D,$A217)))</f>
        <v/>
      </c>
      <c r="E217" s="17" t="str">
        <f aca="false">IF($A217="","",IF(INDEX(Tasks!$E:$E,$A217)="","",INDEX(Tasks!$E:$E,$A217)))</f>
        <v/>
      </c>
      <c r="F217" s="18" t="str">
        <f aca="false">IF($A217="","",IF(INDEX(Tasks!$F:$F,$A217)="","",INDEX(Tasks!$F:$F,$A217)))</f>
        <v/>
      </c>
      <c r="G217" s="18" t="str">
        <f aca="false">IF($A217="","",IF(INDEX(Tasks!$H:$H,$A217)="","",INDEX(Tasks!$H:$H,$A217)))</f>
        <v/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</row>
    <row r="218" customFormat="false" ht="15" hidden="false" customHeight="false" outlineLevel="0" collapsed="false">
      <c r="A218" s="16" t="str">
        <f aca="false">IFERROR(MATCH($C$2&amp;"|"&amp;(ROW()-4),Tasks!$L$4:$L$403,0)+3,"")</f>
        <v/>
      </c>
      <c r="B218" s="17" t="str">
        <f aca="false">IF($A218="","",IF(INDEX(Tasks!$A:$A,$A218)="","",INDEX(Tasks!$A:$A,$A218)))</f>
        <v/>
      </c>
      <c r="C218" s="17" t="str">
        <f aca="false">IF($A218="","",IF(ISERROR(FIND(".",INDEX(Tasks!$A:$A,$A218))),"","   ")&amp;INDEX(Tasks!$C:$C,$A218))</f>
        <v/>
      </c>
      <c r="D218" s="17" t="str">
        <f aca="false">IF($A218="","",IF(INDEX(Tasks!$D:$D,$A218)="","",INDEX(Tasks!$D:$D,$A218)))</f>
        <v/>
      </c>
      <c r="E218" s="17" t="str">
        <f aca="false">IF($A218="","",IF(INDEX(Tasks!$E:$E,$A218)="","",INDEX(Tasks!$E:$E,$A218)))</f>
        <v/>
      </c>
      <c r="F218" s="18" t="str">
        <f aca="false">IF($A218="","",IF(INDEX(Tasks!$F:$F,$A218)="","",INDEX(Tasks!$F:$F,$A218)))</f>
        <v/>
      </c>
      <c r="G218" s="18" t="str">
        <f aca="false">IF($A218="","",IF(INDEX(Tasks!$H:$H,$A218)="","",INDEX(Tasks!$H:$H,$A218)))</f>
        <v/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</row>
    <row r="219" customFormat="false" ht="15" hidden="false" customHeight="false" outlineLevel="0" collapsed="false">
      <c r="A219" s="16" t="str">
        <f aca="false">IFERROR(MATCH($C$2&amp;"|"&amp;(ROW()-4),Tasks!$L$4:$L$403,0)+3,"")</f>
        <v/>
      </c>
      <c r="B219" s="17" t="str">
        <f aca="false">IF($A219="","",IF(INDEX(Tasks!$A:$A,$A219)="","",INDEX(Tasks!$A:$A,$A219)))</f>
        <v/>
      </c>
      <c r="C219" s="17" t="str">
        <f aca="false">IF($A219="","",IF(ISERROR(FIND(".",INDEX(Tasks!$A:$A,$A219))),"","   ")&amp;INDEX(Tasks!$C:$C,$A219))</f>
        <v/>
      </c>
      <c r="D219" s="17" t="str">
        <f aca="false">IF($A219="","",IF(INDEX(Tasks!$D:$D,$A219)="","",INDEX(Tasks!$D:$D,$A219)))</f>
        <v/>
      </c>
      <c r="E219" s="17" t="str">
        <f aca="false">IF($A219="","",IF(INDEX(Tasks!$E:$E,$A219)="","",INDEX(Tasks!$E:$E,$A219)))</f>
        <v/>
      </c>
      <c r="F219" s="18" t="str">
        <f aca="false">IF($A219="","",IF(INDEX(Tasks!$F:$F,$A219)="","",INDEX(Tasks!$F:$F,$A219)))</f>
        <v/>
      </c>
      <c r="G219" s="18" t="str">
        <f aca="false">IF($A219="","",IF(INDEX(Tasks!$H:$H,$A219)="","",INDEX(Tasks!$H:$H,$A219)))</f>
        <v/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</row>
    <row r="220" customFormat="false" ht="15" hidden="false" customHeight="false" outlineLevel="0" collapsed="false">
      <c r="A220" s="16" t="str">
        <f aca="false">IFERROR(MATCH($C$2&amp;"|"&amp;(ROW()-4),Tasks!$L$4:$L$403,0)+3,"")</f>
        <v/>
      </c>
      <c r="B220" s="17" t="str">
        <f aca="false">IF($A220="","",IF(INDEX(Tasks!$A:$A,$A220)="","",INDEX(Tasks!$A:$A,$A220)))</f>
        <v/>
      </c>
      <c r="C220" s="17" t="str">
        <f aca="false">IF($A220="","",IF(ISERROR(FIND(".",INDEX(Tasks!$A:$A,$A220))),"","   ")&amp;INDEX(Tasks!$C:$C,$A220))</f>
        <v/>
      </c>
      <c r="D220" s="17" t="str">
        <f aca="false">IF($A220="","",IF(INDEX(Tasks!$D:$D,$A220)="","",INDEX(Tasks!$D:$D,$A220)))</f>
        <v/>
      </c>
      <c r="E220" s="17" t="str">
        <f aca="false">IF($A220="","",IF(INDEX(Tasks!$E:$E,$A220)="","",INDEX(Tasks!$E:$E,$A220)))</f>
        <v/>
      </c>
      <c r="F220" s="18" t="str">
        <f aca="false">IF($A220="","",IF(INDEX(Tasks!$F:$F,$A220)="","",INDEX(Tasks!$F:$F,$A220)))</f>
        <v/>
      </c>
      <c r="G220" s="18" t="str">
        <f aca="false">IF($A220="","",IF(INDEX(Tasks!$H:$H,$A220)="","",INDEX(Tasks!$H:$H,$A220)))</f>
        <v/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</row>
    <row r="221" customFormat="false" ht="15" hidden="false" customHeight="false" outlineLevel="0" collapsed="false">
      <c r="A221" s="16" t="str">
        <f aca="false">IFERROR(MATCH($C$2&amp;"|"&amp;(ROW()-4),Tasks!$L$4:$L$403,0)+3,"")</f>
        <v/>
      </c>
      <c r="B221" s="17" t="str">
        <f aca="false">IF($A221="","",IF(INDEX(Tasks!$A:$A,$A221)="","",INDEX(Tasks!$A:$A,$A221)))</f>
        <v/>
      </c>
      <c r="C221" s="17" t="str">
        <f aca="false">IF($A221="","",IF(ISERROR(FIND(".",INDEX(Tasks!$A:$A,$A221))),"","   ")&amp;INDEX(Tasks!$C:$C,$A221))</f>
        <v/>
      </c>
      <c r="D221" s="17" t="str">
        <f aca="false">IF($A221="","",IF(INDEX(Tasks!$D:$D,$A221)="","",INDEX(Tasks!$D:$D,$A221)))</f>
        <v/>
      </c>
      <c r="E221" s="17" t="str">
        <f aca="false">IF($A221="","",IF(INDEX(Tasks!$E:$E,$A221)="","",INDEX(Tasks!$E:$E,$A221)))</f>
        <v/>
      </c>
      <c r="F221" s="18" t="str">
        <f aca="false">IF($A221="","",IF(INDEX(Tasks!$F:$F,$A221)="","",INDEX(Tasks!$F:$F,$A221)))</f>
        <v/>
      </c>
      <c r="G221" s="18" t="str">
        <f aca="false">IF($A221="","",IF(INDEX(Tasks!$H:$H,$A221)="","",INDEX(Tasks!$H:$H,$A221)))</f>
        <v/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</row>
    <row r="222" customFormat="false" ht="15" hidden="false" customHeight="false" outlineLevel="0" collapsed="false">
      <c r="A222" s="16" t="str">
        <f aca="false">IFERROR(MATCH($C$2&amp;"|"&amp;(ROW()-4),Tasks!$L$4:$L$403,0)+3,"")</f>
        <v/>
      </c>
      <c r="B222" s="17" t="str">
        <f aca="false">IF($A222="","",IF(INDEX(Tasks!$A:$A,$A222)="","",INDEX(Tasks!$A:$A,$A222)))</f>
        <v/>
      </c>
      <c r="C222" s="17" t="str">
        <f aca="false">IF($A222="","",IF(ISERROR(FIND(".",INDEX(Tasks!$A:$A,$A222))),"","   ")&amp;INDEX(Tasks!$C:$C,$A222))</f>
        <v/>
      </c>
      <c r="D222" s="17" t="str">
        <f aca="false">IF($A222="","",IF(INDEX(Tasks!$D:$D,$A222)="","",INDEX(Tasks!$D:$D,$A222)))</f>
        <v/>
      </c>
      <c r="E222" s="17" t="str">
        <f aca="false">IF($A222="","",IF(INDEX(Tasks!$E:$E,$A222)="","",INDEX(Tasks!$E:$E,$A222)))</f>
        <v/>
      </c>
      <c r="F222" s="18" t="str">
        <f aca="false">IF($A222="","",IF(INDEX(Tasks!$F:$F,$A222)="","",INDEX(Tasks!$F:$F,$A222)))</f>
        <v/>
      </c>
      <c r="G222" s="18" t="str">
        <f aca="false">IF($A222="","",IF(INDEX(Tasks!$H:$H,$A222)="","",INDEX(Tasks!$H:$H,$A222)))</f>
        <v/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</row>
    <row r="223" customFormat="false" ht="15" hidden="false" customHeight="false" outlineLevel="0" collapsed="false">
      <c r="A223" s="16" t="str">
        <f aca="false">IFERROR(MATCH($C$2&amp;"|"&amp;(ROW()-4),Tasks!$L$4:$L$403,0)+3,"")</f>
        <v/>
      </c>
      <c r="B223" s="17" t="str">
        <f aca="false">IF($A223="","",IF(INDEX(Tasks!$A:$A,$A223)="","",INDEX(Tasks!$A:$A,$A223)))</f>
        <v/>
      </c>
      <c r="C223" s="17" t="str">
        <f aca="false">IF($A223="","",IF(ISERROR(FIND(".",INDEX(Tasks!$A:$A,$A223))),"","   ")&amp;INDEX(Tasks!$C:$C,$A223))</f>
        <v/>
      </c>
      <c r="D223" s="17" t="str">
        <f aca="false">IF($A223="","",IF(INDEX(Tasks!$D:$D,$A223)="","",INDEX(Tasks!$D:$D,$A223)))</f>
        <v/>
      </c>
      <c r="E223" s="17" t="str">
        <f aca="false">IF($A223="","",IF(INDEX(Tasks!$E:$E,$A223)="","",INDEX(Tasks!$E:$E,$A223)))</f>
        <v/>
      </c>
      <c r="F223" s="18" t="str">
        <f aca="false">IF($A223="","",IF(INDEX(Tasks!$F:$F,$A223)="","",INDEX(Tasks!$F:$F,$A223)))</f>
        <v/>
      </c>
      <c r="G223" s="18" t="str">
        <f aca="false">IF($A223="","",IF(INDEX(Tasks!$H:$H,$A223)="","",INDEX(Tasks!$H:$H,$A223)))</f>
        <v/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</row>
    <row r="224" customFormat="false" ht="15" hidden="false" customHeight="false" outlineLevel="0" collapsed="false">
      <c r="A224" s="16" t="str">
        <f aca="false">IFERROR(MATCH($C$2&amp;"|"&amp;(ROW()-4),Tasks!$L$4:$L$403,0)+3,"")</f>
        <v/>
      </c>
      <c r="B224" s="17" t="str">
        <f aca="false">IF($A224="","",IF(INDEX(Tasks!$A:$A,$A224)="","",INDEX(Tasks!$A:$A,$A224)))</f>
        <v/>
      </c>
      <c r="C224" s="17" t="str">
        <f aca="false">IF($A224="","",IF(ISERROR(FIND(".",INDEX(Tasks!$A:$A,$A224))),"","   ")&amp;INDEX(Tasks!$C:$C,$A224))</f>
        <v/>
      </c>
      <c r="D224" s="17" t="str">
        <f aca="false">IF($A224="","",IF(INDEX(Tasks!$D:$D,$A224)="","",INDEX(Tasks!$D:$D,$A224)))</f>
        <v/>
      </c>
      <c r="E224" s="17" t="str">
        <f aca="false">IF($A224="","",IF(INDEX(Tasks!$E:$E,$A224)="","",INDEX(Tasks!$E:$E,$A224)))</f>
        <v/>
      </c>
      <c r="F224" s="18" t="str">
        <f aca="false">IF($A224="","",IF(INDEX(Tasks!$F:$F,$A224)="","",INDEX(Tasks!$F:$F,$A224)))</f>
        <v/>
      </c>
      <c r="G224" s="18" t="str">
        <f aca="false">IF($A224="","",IF(INDEX(Tasks!$H:$H,$A224)="","",INDEX(Tasks!$H:$H,$A224)))</f>
        <v/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</row>
    <row r="225" customFormat="false" ht="15" hidden="false" customHeight="false" outlineLevel="0" collapsed="false">
      <c r="A225" s="16" t="str">
        <f aca="false">IFERROR(MATCH($C$2&amp;"|"&amp;(ROW()-4),Tasks!$L$4:$L$403,0)+3,"")</f>
        <v/>
      </c>
      <c r="B225" s="17" t="str">
        <f aca="false">IF($A225="","",IF(INDEX(Tasks!$A:$A,$A225)="","",INDEX(Tasks!$A:$A,$A225)))</f>
        <v/>
      </c>
      <c r="C225" s="17" t="str">
        <f aca="false">IF($A225="","",IF(ISERROR(FIND(".",INDEX(Tasks!$A:$A,$A225))),"","   ")&amp;INDEX(Tasks!$C:$C,$A225))</f>
        <v/>
      </c>
      <c r="D225" s="17" t="str">
        <f aca="false">IF($A225="","",IF(INDEX(Tasks!$D:$D,$A225)="","",INDEX(Tasks!$D:$D,$A225)))</f>
        <v/>
      </c>
      <c r="E225" s="17" t="str">
        <f aca="false">IF($A225="","",IF(INDEX(Tasks!$E:$E,$A225)="","",INDEX(Tasks!$E:$E,$A225)))</f>
        <v/>
      </c>
      <c r="F225" s="18" t="str">
        <f aca="false">IF($A225="","",IF(INDEX(Tasks!$F:$F,$A225)="","",INDEX(Tasks!$F:$F,$A225)))</f>
        <v/>
      </c>
      <c r="G225" s="18" t="str">
        <f aca="false">IF($A225="","",IF(INDEX(Tasks!$H:$H,$A225)="","",INDEX(Tasks!$H:$H,$A225)))</f>
        <v/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</row>
    <row r="226" customFormat="false" ht="15" hidden="false" customHeight="false" outlineLevel="0" collapsed="false">
      <c r="A226" s="16" t="str">
        <f aca="false">IFERROR(MATCH($C$2&amp;"|"&amp;(ROW()-4),Tasks!$L$4:$L$403,0)+3,"")</f>
        <v/>
      </c>
      <c r="B226" s="17" t="str">
        <f aca="false">IF($A226="","",IF(INDEX(Tasks!$A:$A,$A226)="","",INDEX(Tasks!$A:$A,$A226)))</f>
        <v/>
      </c>
      <c r="C226" s="17" t="str">
        <f aca="false">IF($A226="","",IF(ISERROR(FIND(".",INDEX(Tasks!$A:$A,$A226))),"","   ")&amp;INDEX(Tasks!$C:$C,$A226))</f>
        <v/>
      </c>
      <c r="D226" s="17" t="str">
        <f aca="false">IF($A226="","",IF(INDEX(Tasks!$D:$D,$A226)="","",INDEX(Tasks!$D:$D,$A226)))</f>
        <v/>
      </c>
      <c r="E226" s="17" t="str">
        <f aca="false">IF($A226="","",IF(INDEX(Tasks!$E:$E,$A226)="","",INDEX(Tasks!$E:$E,$A226)))</f>
        <v/>
      </c>
      <c r="F226" s="18" t="str">
        <f aca="false">IF($A226="","",IF(INDEX(Tasks!$F:$F,$A226)="","",INDEX(Tasks!$F:$F,$A226)))</f>
        <v/>
      </c>
      <c r="G226" s="18" t="str">
        <f aca="false">IF($A226="","",IF(INDEX(Tasks!$H:$H,$A226)="","",INDEX(Tasks!$H:$H,$A226)))</f>
        <v/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</row>
    <row r="227" customFormat="false" ht="15" hidden="false" customHeight="false" outlineLevel="0" collapsed="false">
      <c r="A227" s="16" t="str">
        <f aca="false">IFERROR(MATCH($C$2&amp;"|"&amp;(ROW()-4),Tasks!$L$4:$L$403,0)+3,"")</f>
        <v/>
      </c>
      <c r="B227" s="17" t="str">
        <f aca="false">IF($A227="","",IF(INDEX(Tasks!$A:$A,$A227)="","",INDEX(Tasks!$A:$A,$A227)))</f>
        <v/>
      </c>
      <c r="C227" s="17" t="str">
        <f aca="false">IF($A227="","",IF(ISERROR(FIND(".",INDEX(Tasks!$A:$A,$A227))),"","   ")&amp;INDEX(Tasks!$C:$C,$A227))</f>
        <v/>
      </c>
      <c r="D227" s="17" t="str">
        <f aca="false">IF($A227="","",IF(INDEX(Tasks!$D:$D,$A227)="","",INDEX(Tasks!$D:$D,$A227)))</f>
        <v/>
      </c>
      <c r="E227" s="17" t="str">
        <f aca="false">IF($A227="","",IF(INDEX(Tasks!$E:$E,$A227)="","",INDEX(Tasks!$E:$E,$A227)))</f>
        <v/>
      </c>
      <c r="F227" s="18" t="str">
        <f aca="false">IF($A227="","",IF(INDEX(Tasks!$F:$F,$A227)="","",INDEX(Tasks!$F:$F,$A227)))</f>
        <v/>
      </c>
      <c r="G227" s="18" t="str">
        <f aca="false">IF($A227="","",IF(INDEX(Tasks!$H:$H,$A227)="","",INDEX(Tasks!$H:$H,$A227)))</f>
        <v/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</row>
    <row r="228" customFormat="false" ht="15" hidden="false" customHeight="false" outlineLevel="0" collapsed="false">
      <c r="A228" s="16" t="str">
        <f aca="false">IFERROR(MATCH($C$2&amp;"|"&amp;(ROW()-4),Tasks!$L$4:$L$403,0)+3,"")</f>
        <v/>
      </c>
      <c r="B228" s="17" t="str">
        <f aca="false">IF($A228="","",IF(INDEX(Tasks!$A:$A,$A228)="","",INDEX(Tasks!$A:$A,$A228)))</f>
        <v/>
      </c>
      <c r="C228" s="17" t="str">
        <f aca="false">IF($A228="","",IF(ISERROR(FIND(".",INDEX(Tasks!$A:$A,$A228))),"","   ")&amp;INDEX(Tasks!$C:$C,$A228))</f>
        <v/>
      </c>
      <c r="D228" s="17" t="str">
        <f aca="false">IF($A228="","",IF(INDEX(Tasks!$D:$D,$A228)="","",INDEX(Tasks!$D:$D,$A228)))</f>
        <v/>
      </c>
      <c r="E228" s="17" t="str">
        <f aca="false">IF($A228="","",IF(INDEX(Tasks!$E:$E,$A228)="","",INDEX(Tasks!$E:$E,$A228)))</f>
        <v/>
      </c>
      <c r="F228" s="18" t="str">
        <f aca="false">IF($A228="","",IF(INDEX(Tasks!$F:$F,$A228)="","",INDEX(Tasks!$F:$F,$A228)))</f>
        <v/>
      </c>
      <c r="G228" s="18" t="str">
        <f aca="false">IF($A228="","",IF(INDEX(Tasks!$H:$H,$A228)="","",INDEX(Tasks!$H:$H,$A228)))</f>
        <v/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</row>
    <row r="229" customFormat="false" ht="15" hidden="false" customHeight="false" outlineLevel="0" collapsed="false">
      <c r="A229" s="16" t="str">
        <f aca="false">IFERROR(MATCH($C$2&amp;"|"&amp;(ROW()-4),Tasks!$L$4:$L$403,0)+3,"")</f>
        <v/>
      </c>
      <c r="B229" s="17" t="str">
        <f aca="false">IF($A229="","",IF(INDEX(Tasks!$A:$A,$A229)="","",INDEX(Tasks!$A:$A,$A229)))</f>
        <v/>
      </c>
      <c r="C229" s="17" t="str">
        <f aca="false">IF($A229="","",IF(ISERROR(FIND(".",INDEX(Tasks!$A:$A,$A229))),"","   ")&amp;INDEX(Tasks!$C:$C,$A229))</f>
        <v/>
      </c>
      <c r="D229" s="17" t="str">
        <f aca="false">IF($A229="","",IF(INDEX(Tasks!$D:$D,$A229)="","",INDEX(Tasks!$D:$D,$A229)))</f>
        <v/>
      </c>
      <c r="E229" s="17" t="str">
        <f aca="false">IF($A229="","",IF(INDEX(Tasks!$E:$E,$A229)="","",INDEX(Tasks!$E:$E,$A229)))</f>
        <v/>
      </c>
      <c r="F229" s="18" t="str">
        <f aca="false">IF($A229="","",IF(INDEX(Tasks!$F:$F,$A229)="","",INDEX(Tasks!$F:$F,$A229)))</f>
        <v/>
      </c>
      <c r="G229" s="18" t="str">
        <f aca="false">IF($A229="","",IF(INDEX(Tasks!$H:$H,$A229)="","",INDEX(Tasks!$H:$H,$A229)))</f>
        <v/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</row>
    <row r="230" customFormat="false" ht="15" hidden="false" customHeight="false" outlineLevel="0" collapsed="false">
      <c r="A230" s="16" t="str">
        <f aca="false">IFERROR(MATCH($C$2&amp;"|"&amp;(ROW()-4),Tasks!$L$4:$L$403,0)+3,"")</f>
        <v/>
      </c>
      <c r="B230" s="17" t="str">
        <f aca="false">IF($A230="","",IF(INDEX(Tasks!$A:$A,$A230)="","",INDEX(Tasks!$A:$A,$A230)))</f>
        <v/>
      </c>
      <c r="C230" s="17" t="str">
        <f aca="false">IF($A230="","",IF(ISERROR(FIND(".",INDEX(Tasks!$A:$A,$A230))),"","   ")&amp;INDEX(Tasks!$C:$C,$A230))</f>
        <v/>
      </c>
      <c r="D230" s="17" t="str">
        <f aca="false">IF($A230="","",IF(INDEX(Tasks!$D:$D,$A230)="","",INDEX(Tasks!$D:$D,$A230)))</f>
        <v/>
      </c>
      <c r="E230" s="17" t="str">
        <f aca="false">IF($A230="","",IF(INDEX(Tasks!$E:$E,$A230)="","",INDEX(Tasks!$E:$E,$A230)))</f>
        <v/>
      </c>
      <c r="F230" s="18" t="str">
        <f aca="false">IF($A230="","",IF(INDEX(Tasks!$F:$F,$A230)="","",INDEX(Tasks!$F:$F,$A230)))</f>
        <v/>
      </c>
      <c r="G230" s="18" t="str">
        <f aca="false">IF($A230="","",IF(INDEX(Tasks!$H:$H,$A230)="","",INDEX(Tasks!$H:$H,$A230)))</f>
        <v/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</row>
    <row r="231" customFormat="false" ht="15" hidden="false" customHeight="false" outlineLevel="0" collapsed="false">
      <c r="A231" s="16" t="str">
        <f aca="false">IFERROR(MATCH($C$2&amp;"|"&amp;(ROW()-4),Tasks!$L$4:$L$403,0)+3,"")</f>
        <v/>
      </c>
      <c r="B231" s="17" t="str">
        <f aca="false">IF($A231="","",IF(INDEX(Tasks!$A:$A,$A231)="","",INDEX(Tasks!$A:$A,$A231)))</f>
        <v/>
      </c>
      <c r="C231" s="17" t="str">
        <f aca="false">IF($A231="","",IF(ISERROR(FIND(".",INDEX(Tasks!$A:$A,$A231))),"","   ")&amp;INDEX(Tasks!$C:$C,$A231))</f>
        <v/>
      </c>
      <c r="D231" s="17" t="str">
        <f aca="false">IF($A231="","",IF(INDEX(Tasks!$D:$D,$A231)="","",INDEX(Tasks!$D:$D,$A231)))</f>
        <v/>
      </c>
      <c r="E231" s="17" t="str">
        <f aca="false">IF($A231="","",IF(INDEX(Tasks!$E:$E,$A231)="","",INDEX(Tasks!$E:$E,$A231)))</f>
        <v/>
      </c>
      <c r="F231" s="18" t="str">
        <f aca="false">IF($A231="","",IF(INDEX(Tasks!$F:$F,$A231)="","",INDEX(Tasks!$F:$F,$A231)))</f>
        <v/>
      </c>
      <c r="G231" s="18" t="str">
        <f aca="false">IF($A231="","",IF(INDEX(Tasks!$H:$H,$A231)="","",INDEX(Tasks!$H:$H,$A231)))</f>
        <v/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</row>
    <row r="232" customFormat="false" ht="15" hidden="false" customHeight="false" outlineLevel="0" collapsed="false">
      <c r="A232" s="16" t="str">
        <f aca="false">IFERROR(MATCH($C$2&amp;"|"&amp;(ROW()-4),Tasks!$L$4:$L$403,0)+3,"")</f>
        <v/>
      </c>
      <c r="B232" s="17" t="str">
        <f aca="false">IF($A232="","",IF(INDEX(Tasks!$A:$A,$A232)="","",INDEX(Tasks!$A:$A,$A232)))</f>
        <v/>
      </c>
      <c r="C232" s="17" t="str">
        <f aca="false">IF($A232="","",IF(ISERROR(FIND(".",INDEX(Tasks!$A:$A,$A232))),"","   ")&amp;INDEX(Tasks!$C:$C,$A232))</f>
        <v/>
      </c>
      <c r="D232" s="17" t="str">
        <f aca="false">IF($A232="","",IF(INDEX(Tasks!$D:$D,$A232)="","",INDEX(Tasks!$D:$D,$A232)))</f>
        <v/>
      </c>
      <c r="E232" s="17" t="str">
        <f aca="false">IF($A232="","",IF(INDEX(Tasks!$E:$E,$A232)="","",INDEX(Tasks!$E:$E,$A232)))</f>
        <v/>
      </c>
      <c r="F232" s="18" t="str">
        <f aca="false">IF($A232="","",IF(INDEX(Tasks!$F:$F,$A232)="","",INDEX(Tasks!$F:$F,$A232)))</f>
        <v/>
      </c>
      <c r="G232" s="18" t="str">
        <f aca="false">IF($A232="","",IF(INDEX(Tasks!$H:$H,$A232)="","",INDEX(Tasks!$H:$H,$A232)))</f>
        <v/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</row>
    <row r="233" customFormat="false" ht="15" hidden="false" customHeight="false" outlineLevel="0" collapsed="false">
      <c r="A233" s="16" t="str">
        <f aca="false">IFERROR(MATCH($C$2&amp;"|"&amp;(ROW()-4),Tasks!$L$4:$L$403,0)+3,"")</f>
        <v/>
      </c>
      <c r="B233" s="17" t="str">
        <f aca="false">IF($A233="","",IF(INDEX(Tasks!$A:$A,$A233)="","",INDEX(Tasks!$A:$A,$A233)))</f>
        <v/>
      </c>
      <c r="C233" s="17" t="str">
        <f aca="false">IF($A233="","",IF(ISERROR(FIND(".",INDEX(Tasks!$A:$A,$A233))),"","   ")&amp;INDEX(Tasks!$C:$C,$A233))</f>
        <v/>
      </c>
      <c r="D233" s="17" t="str">
        <f aca="false">IF($A233="","",IF(INDEX(Tasks!$D:$D,$A233)="","",INDEX(Tasks!$D:$D,$A233)))</f>
        <v/>
      </c>
      <c r="E233" s="17" t="str">
        <f aca="false">IF($A233="","",IF(INDEX(Tasks!$E:$E,$A233)="","",INDEX(Tasks!$E:$E,$A233)))</f>
        <v/>
      </c>
      <c r="F233" s="18" t="str">
        <f aca="false">IF($A233="","",IF(INDEX(Tasks!$F:$F,$A233)="","",INDEX(Tasks!$F:$F,$A233)))</f>
        <v/>
      </c>
      <c r="G233" s="18" t="str">
        <f aca="false">IF($A233="","",IF(INDEX(Tasks!$H:$H,$A233)="","",INDEX(Tasks!$H:$H,$A233)))</f>
        <v/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</row>
    <row r="234" customFormat="false" ht="15" hidden="false" customHeight="false" outlineLevel="0" collapsed="false">
      <c r="A234" s="16" t="str">
        <f aca="false">IFERROR(MATCH($C$2&amp;"|"&amp;(ROW()-4),Tasks!$L$4:$L$403,0)+3,"")</f>
        <v/>
      </c>
      <c r="B234" s="17" t="str">
        <f aca="false">IF($A234="","",IF(INDEX(Tasks!$A:$A,$A234)="","",INDEX(Tasks!$A:$A,$A234)))</f>
        <v/>
      </c>
      <c r="C234" s="17" t="str">
        <f aca="false">IF($A234="","",IF(ISERROR(FIND(".",INDEX(Tasks!$A:$A,$A234))),"","   ")&amp;INDEX(Tasks!$C:$C,$A234))</f>
        <v/>
      </c>
      <c r="D234" s="17" t="str">
        <f aca="false">IF($A234="","",IF(INDEX(Tasks!$D:$D,$A234)="","",INDEX(Tasks!$D:$D,$A234)))</f>
        <v/>
      </c>
      <c r="E234" s="17" t="str">
        <f aca="false">IF($A234="","",IF(INDEX(Tasks!$E:$E,$A234)="","",INDEX(Tasks!$E:$E,$A234)))</f>
        <v/>
      </c>
      <c r="F234" s="18" t="str">
        <f aca="false">IF($A234="","",IF(INDEX(Tasks!$F:$F,$A234)="","",INDEX(Tasks!$F:$F,$A234)))</f>
        <v/>
      </c>
      <c r="G234" s="18" t="str">
        <f aca="false">IF($A234="","",IF(INDEX(Tasks!$H:$H,$A234)="","",INDEX(Tasks!$H:$H,$A234)))</f>
        <v/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</row>
    <row r="235" customFormat="false" ht="15" hidden="false" customHeight="false" outlineLevel="0" collapsed="false">
      <c r="A235" s="16" t="str">
        <f aca="false">IFERROR(MATCH($C$2&amp;"|"&amp;(ROW()-4),Tasks!$L$4:$L$403,0)+3,"")</f>
        <v/>
      </c>
      <c r="B235" s="17" t="str">
        <f aca="false">IF($A235="","",IF(INDEX(Tasks!$A:$A,$A235)="","",INDEX(Tasks!$A:$A,$A235)))</f>
        <v/>
      </c>
      <c r="C235" s="17" t="str">
        <f aca="false">IF($A235="","",IF(ISERROR(FIND(".",INDEX(Tasks!$A:$A,$A235))),"","   ")&amp;INDEX(Tasks!$C:$C,$A235))</f>
        <v/>
      </c>
      <c r="D235" s="17" t="str">
        <f aca="false">IF($A235="","",IF(INDEX(Tasks!$D:$D,$A235)="","",INDEX(Tasks!$D:$D,$A235)))</f>
        <v/>
      </c>
      <c r="E235" s="17" t="str">
        <f aca="false">IF($A235="","",IF(INDEX(Tasks!$E:$E,$A235)="","",INDEX(Tasks!$E:$E,$A235)))</f>
        <v/>
      </c>
      <c r="F235" s="18" t="str">
        <f aca="false">IF($A235="","",IF(INDEX(Tasks!$F:$F,$A235)="","",INDEX(Tasks!$F:$F,$A235)))</f>
        <v/>
      </c>
      <c r="G235" s="18" t="str">
        <f aca="false">IF($A235="","",IF(INDEX(Tasks!$H:$H,$A235)="","",INDEX(Tasks!$H:$H,$A235)))</f>
        <v/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</row>
    <row r="236" customFormat="false" ht="15" hidden="false" customHeight="false" outlineLevel="0" collapsed="false">
      <c r="A236" s="16" t="str">
        <f aca="false">IFERROR(MATCH($C$2&amp;"|"&amp;(ROW()-4),Tasks!$L$4:$L$403,0)+3,"")</f>
        <v/>
      </c>
      <c r="B236" s="17" t="str">
        <f aca="false">IF($A236="","",IF(INDEX(Tasks!$A:$A,$A236)="","",INDEX(Tasks!$A:$A,$A236)))</f>
        <v/>
      </c>
      <c r="C236" s="17" t="str">
        <f aca="false">IF($A236="","",IF(ISERROR(FIND(".",INDEX(Tasks!$A:$A,$A236))),"","   ")&amp;INDEX(Tasks!$C:$C,$A236))</f>
        <v/>
      </c>
      <c r="D236" s="17" t="str">
        <f aca="false">IF($A236="","",IF(INDEX(Tasks!$D:$D,$A236)="","",INDEX(Tasks!$D:$D,$A236)))</f>
        <v/>
      </c>
      <c r="E236" s="17" t="str">
        <f aca="false">IF($A236="","",IF(INDEX(Tasks!$E:$E,$A236)="","",INDEX(Tasks!$E:$E,$A236)))</f>
        <v/>
      </c>
      <c r="F236" s="18" t="str">
        <f aca="false">IF($A236="","",IF(INDEX(Tasks!$F:$F,$A236)="","",INDEX(Tasks!$F:$F,$A236)))</f>
        <v/>
      </c>
      <c r="G236" s="18" t="str">
        <f aca="false">IF($A236="","",IF(INDEX(Tasks!$H:$H,$A236)="","",INDEX(Tasks!$H:$H,$A236)))</f>
        <v/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</row>
    <row r="237" customFormat="false" ht="15" hidden="false" customHeight="false" outlineLevel="0" collapsed="false">
      <c r="A237" s="16" t="str">
        <f aca="false">IFERROR(MATCH($C$2&amp;"|"&amp;(ROW()-4),Tasks!$L$4:$L$403,0)+3,"")</f>
        <v/>
      </c>
      <c r="B237" s="17" t="str">
        <f aca="false">IF($A237="","",IF(INDEX(Tasks!$A:$A,$A237)="","",INDEX(Tasks!$A:$A,$A237)))</f>
        <v/>
      </c>
      <c r="C237" s="17" t="str">
        <f aca="false">IF($A237="","",IF(ISERROR(FIND(".",INDEX(Tasks!$A:$A,$A237))),"","   ")&amp;INDEX(Tasks!$C:$C,$A237))</f>
        <v/>
      </c>
      <c r="D237" s="17" t="str">
        <f aca="false">IF($A237="","",IF(INDEX(Tasks!$D:$D,$A237)="","",INDEX(Tasks!$D:$D,$A237)))</f>
        <v/>
      </c>
      <c r="E237" s="17" t="str">
        <f aca="false">IF($A237="","",IF(INDEX(Tasks!$E:$E,$A237)="","",INDEX(Tasks!$E:$E,$A237)))</f>
        <v/>
      </c>
      <c r="F237" s="18" t="str">
        <f aca="false">IF($A237="","",IF(INDEX(Tasks!$F:$F,$A237)="","",INDEX(Tasks!$F:$F,$A237)))</f>
        <v/>
      </c>
      <c r="G237" s="18" t="str">
        <f aca="false">IF($A237="","",IF(INDEX(Tasks!$H:$H,$A237)="","",INDEX(Tasks!$H:$H,$A237)))</f>
        <v/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</row>
    <row r="238" customFormat="false" ht="15" hidden="false" customHeight="false" outlineLevel="0" collapsed="false">
      <c r="A238" s="16" t="str">
        <f aca="false">IFERROR(MATCH($C$2&amp;"|"&amp;(ROW()-4),Tasks!$L$4:$L$403,0)+3,"")</f>
        <v/>
      </c>
      <c r="B238" s="17" t="str">
        <f aca="false">IF($A238="","",IF(INDEX(Tasks!$A:$A,$A238)="","",INDEX(Tasks!$A:$A,$A238)))</f>
        <v/>
      </c>
      <c r="C238" s="17" t="str">
        <f aca="false">IF($A238="","",IF(ISERROR(FIND(".",INDEX(Tasks!$A:$A,$A238))),"","   ")&amp;INDEX(Tasks!$C:$C,$A238))</f>
        <v/>
      </c>
      <c r="D238" s="17" t="str">
        <f aca="false">IF($A238="","",IF(INDEX(Tasks!$D:$D,$A238)="","",INDEX(Tasks!$D:$D,$A238)))</f>
        <v/>
      </c>
      <c r="E238" s="17" t="str">
        <f aca="false">IF($A238="","",IF(INDEX(Tasks!$E:$E,$A238)="","",INDEX(Tasks!$E:$E,$A238)))</f>
        <v/>
      </c>
      <c r="F238" s="18" t="str">
        <f aca="false">IF($A238="","",IF(INDEX(Tasks!$F:$F,$A238)="","",INDEX(Tasks!$F:$F,$A238)))</f>
        <v/>
      </c>
      <c r="G238" s="18" t="str">
        <f aca="false">IF($A238="","",IF(INDEX(Tasks!$H:$H,$A238)="","",INDEX(Tasks!$H:$H,$A238)))</f>
        <v/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</row>
    <row r="239" customFormat="false" ht="15" hidden="false" customHeight="false" outlineLevel="0" collapsed="false">
      <c r="A239" s="16" t="str">
        <f aca="false">IFERROR(MATCH($C$2&amp;"|"&amp;(ROW()-4),Tasks!$L$4:$L$403,0)+3,"")</f>
        <v/>
      </c>
      <c r="B239" s="17" t="str">
        <f aca="false">IF($A239="","",IF(INDEX(Tasks!$A:$A,$A239)="","",INDEX(Tasks!$A:$A,$A239)))</f>
        <v/>
      </c>
      <c r="C239" s="17" t="str">
        <f aca="false">IF($A239="","",IF(ISERROR(FIND(".",INDEX(Tasks!$A:$A,$A239))),"","   ")&amp;INDEX(Tasks!$C:$C,$A239))</f>
        <v/>
      </c>
      <c r="D239" s="17" t="str">
        <f aca="false">IF($A239="","",IF(INDEX(Tasks!$D:$D,$A239)="","",INDEX(Tasks!$D:$D,$A239)))</f>
        <v/>
      </c>
      <c r="E239" s="17" t="str">
        <f aca="false">IF($A239="","",IF(INDEX(Tasks!$E:$E,$A239)="","",INDEX(Tasks!$E:$E,$A239)))</f>
        <v/>
      </c>
      <c r="F239" s="18" t="str">
        <f aca="false">IF($A239="","",IF(INDEX(Tasks!$F:$F,$A239)="","",INDEX(Tasks!$F:$F,$A239)))</f>
        <v/>
      </c>
      <c r="G239" s="18" t="str">
        <f aca="false">IF($A239="","",IF(INDEX(Tasks!$H:$H,$A239)="","",INDEX(Tasks!$H:$H,$A239)))</f>
        <v/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</row>
    <row r="240" customFormat="false" ht="15" hidden="false" customHeight="false" outlineLevel="0" collapsed="false">
      <c r="A240" s="16" t="str">
        <f aca="false">IFERROR(MATCH($C$2&amp;"|"&amp;(ROW()-4),Tasks!$L$4:$L$403,0)+3,"")</f>
        <v/>
      </c>
      <c r="B240" s="17" t="str">
        <f aca="false">IF($A240="","",IF(INDEX(Tasks!$A:$A,$A240)="","",INDEX(Tasks!$A:$A,$A240)))</f>
        <v/>
      </c>
      <c r="C240" s="17" t="str">
        <f aca="false">IF($A240="","",IF(ISERROR(FIND(".",INDEX(Tasks!$A:$A,$A240))),"","   ")&amp;INDEX(Tasks!$C:$C,$A240))</f>
        <v/>
      </c>
      <c r="D240" s="17" t="str">
        <f aca="false">IF($A240="","",IF(INDEX(Tasks!$D:$D,$A240)="","",INDEX(Tasks!$D:$D,$A240)))</f>
        <v/>
      </c>
      <c r="E240" s="17" t="str">
        <f aca="false">IF($A240="","",IF(INDEX(Tasks!$E:$E,$A240)="","",INDEX(Tasks!$E:$E,$A240)))</f>
        <v/>
      </c>
      <c r="F240" s="18" t="str">
        <f aca="false">IF($A240="","",IF(INDEX(Tasks!$F:$F,$A240)="","",INDEX(Tasks!$F:$F,$A240)))</f>
        <v/>
      </c>
      <c r="G240" s="18" t="str">
        <f aca="false">IF($A240="","",IF(INDEX(Tasks!$H:$H,$A240)="","",INDEX(Tasks!$H:$H,$A240)))</f>
        <v/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</row>
    <row r="241" customFormat="false" ht="15" hidden="false" customHeight="false" outlineLevel="0" collapsed="false">
      <c r="A241" s="16" t="str">
        <f aca="false">IFERROR(MATCH($C$2&amp;"|"&amp;(ROW()-4),Tasks!$L$4:$L$403,0)+3,"")</f>
        <v/>
      </c>
      <c r="B241" s="17" t="str">
        <f aca="false">IF($A241="","",IF(INDEX(Tasks!$A:$A,$A241)="","",INDEX(Tasks!$A:$A,$A241)))</f>
        <v/>
      </c>
      <c r="C241" s="17" t="str">
        <f aca="false">IF($A241="","",IF(ISERROR(FIND(".",INDEX(Tasks!$A:$A,$A241))),"","   ")&amp;INDEX(Tasks!$C:$C,$A241))</f>
        <v/>
      </c>
      <c r="D241" s="17" t="str">
        <f aca="false">IF($A241="","",IF(INDEX(Tasks!$D:$D,$A241)="","",INDEX(Tasks!$D:$D,$A241)))</f>
        <v/>
      </c>
      <c r="E241" s="17" t="str">
        <f aca="false">IF($A241="","",IF(INDEX(Tasks!$E:$E,$A241)="","",INDEX(Tasks!$E:$E,$A241)))</f>
        <v/>
      </c>
      <c r="F241" s="18" t="str">
        <f aca="false">IF($A241="","",IF(INDEX(Tasks!$F:$F,$A241)="","",INDEX(Tasks!$F:$F,$A241)))</f>
        <v/>
      </c>
      <c r="G241" s="18" t="str">
        <f aca="false">IF($A241="","",IF(INDEX(Tasks!$H:$H,$A241)="","",INDEX(Tasks!$H:$H,$A241)))</f>
        <v/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</row>
    <row r="242" customFormat="false" ht="15" hidden="false" customHeight="false" outlineLevel="0" collapsed="false">
      <c r="A242" s="16" t="str">
        <f aca="false">IFERROR(MATCH($C$2&amp;"|"&amp;(ROW()-4),Tasks!$L$4:$L$403,0)+3,"")</f>
        <v/>
      </c>
      <c r="B242" s="17" t="str">
        <f aca="false">IF($A242="","",IF(INDEX(Tasks!$A:$A,$A242)="","",INDEX(Tasks!$A:$A,$A242)))</f>
        <v/>
      </c>
      <c r="C242" s="17" t="str">
        <f aca="false">IF($A242="","",IF(ISERROR(FIND(".",INDEX(Tasks!$A:$A,$A242))),"","   ")&amp;INDEX(Tasks!$C:$C,$A242))</f>
        <v/>
      </c>
      <c r="D242" s="17" t="str">
        <f aca="false">IF($A242="","",IF(INDEX(Tasks!$D:$D,$A242)="","",INDEX(Tasks!$D:$D,$A242)))</f>
        <v/>
      </c>
      <c r="E242" s="17" t="str">
        <f aca="false">IF($A242="","",IF(INDEX(Tasks!$E:$E,$A242)="","",INDEX(Tasks!$E:$E,$A242)))</f>
        <v/>
      </c>
      <c r="F242" s="18" t="str">
        <f aca="false">IF($A242="","",IF(INDEX(Tasks!$F:$F,$A242)="","",INDEX(Tasks!$F:$F,$A242)))</f>
        <v/>
      </c>
      <c r="G242" s="18" t="str">
        <f aca="false">IF($A242="","",IF(INDEX(Tasks!$H:$H,$A242)="","",INDEX(Tasks!$H:$H,$A242)))</f>
        <v/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</row>
    <row r="243" customFormat="false" ht="15" hidden="false" customHeight="false" outlineLevel="0" collapsed="false">
      <c r="A243" s="16" t="str">
        <f aca="false">IFERROR(MATCH($C$2&amp;"|"&amp;(ROW()-4),Tasks!$L$4:$L$403,0)+3,"")</f>
        <v/>
      </c>
      <c r="B243" s="17" t="str">
        <f aca="false">IF($A243="","",IF(INDEX(Tasks!$A:$A,$A243)="","",INDEX(Tasks!$A:$A,$A243)))</f>
        <v/>
      </c>
      <c r="C243" s="17" t="str">
        <f aca="false">IF($A243="","",IF(ISERROR(FIND(".",INDEX(Tasks!$A:$A,$A243))),"","   ")&amp;INDEX(Tasks!$C:$C,$A243))</f>
        <v/>
      </c>
      <c r="D243" s="17" t="str">
        <f aca="false">IF($A243="","",IF(INDEX(Tasks!$D:$D,$A243)="","",INDEX(Tasks!$D:$D,$A243)))</f>
        <v/>
      </c>
      <c r="E243" s="17" t="str">
        <f aca="false">IF($A243="","",IF(INDEX(Tasks!$E:$E,$A243)="","",INDEX(Tasks!$E:$E,$A243)))</f>
        <v/>
      </c>
      <c r="F243" s="18" t="str">
        <f aca="false">IF($A243="","",IF(INDEX(Tasks!$F:$F,$A243)="","",INDEX(Tasks!$F:$F,$A243)))</f>
        <v/>
      </c>
      <c r="G243" s="18" t="str">
        <f aca="false">IF($A243="","",IF(INDEX(Tasks!$H:$H,$A243)="","",INDEX(Tasks!$H:$H,$A243)))</f>
        <v/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 customFormat="false" ht="15" hidden="false" customHeight="false" outlineLevel="0" collapsed="false">
      <c r="A244" s="16" t="str">
        <f aca="false">IFERROR(MATCH($C$2&amp;"|"&amp;(ROW()-4),Tasks!$L$4:$L$403,0)+3,"")</f>
        <v/>
      </c>
      <c r="B244" s="17" t="str">
        <f aca="false">IF($A244="","",IF(INDEX(Tasks!$A:$A,$A244)="","",INDEX(Tasks!$A:$A,$A244)))</f>
        <v/>
      </c>
      <c r="C244" s="17" t="str">
        <f aca="false">IF($A244="","",IF(ISERROR(FIND(".",INDEX(Tasks!$A:$A,$A244))),"","   ")&amp;INDEX(Tasks!$C:$C,$A244))</f>
        <v/>
      </c>
      <c r="D244" s="17" t="str">
        <f aca="false">IF($A244="","",IF(INDEX(Tasks!$D:$D,$A244)="","",INDEX(Tasks!$D:$D,$A244)))</f>
        <v/>
      </c>
      <c r="E244" s="17" t="str">
        <f aca="false">IF($A244="","",IF(INDEX(Tasks!$E:$E,$A244)="","",INDEX(Tasks!$E:$E,$A244)))</f>
        <v/>
      </c>
      <c r="F244" s="18" t="str">
        <f aca="false">IF($A244="","",IF(INDEX(Tasks!$F:$F,$A244)="","",INDEX(Tasks!$F:$F,$A244)))</f>
        <v/>
      </c>
      <c r="G244" s="18" t="str">
        <f aca="false">IF($A244="","",IF(INDEX(Tasks!$H:$H,$A244)="","",INDEX(Tasks!$H:$H,$A244)))</f>
        <v/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</row>
    <row r="245" customFormat="false" ht="15" hidden="false" customHeight="false" outlineLevel="0" collapsed="false">
      <c r="A245" s="16" t="str">
        <f aca="false">IFERROR(MATCH($C$2&amp;"|"&amp;(ROW()-4),Tasks!$L$4:$L$403,0)+3,"")</f>
        <v/>
      </c>
      <c r="B245" s="17" t="str">
        <f aca="false">IF($A245="","",IF(INDEX(Tasks!$A:$A,$A245)="","",INDEX(Tasks!$A:$A,$A245)))</f>
        <v/>
      </c>
      <c r="C245" s="17" t="str">
        <f aca="false">IF($A245="","",IF(ISERROR(FIND(".",INDEX(Tasks!$A:$A,$A245))),"","   ")&amp;INDEX(Tasks!$C:$C,$A245))</f>
        <v/>
      </c>
      <c r="D245" s="17" t="str">
        <f aca="false">IF($A245="","",IF(INDEX(Tasks!$D:$D,$A245)="","",INDEX(Tasks!$D:$D,$A245)))</f>
        <v/>
      </c>
      <c r="E245" s="17" t="str">
        <f aca="false">IF($A245="","",IF(INDEX(Tasks!$E:$E,$A245)="","",INDEX(Tasks!$E:$E,$A245)))</f>
        <v/>
      </c>
      <c r="F245" s="18" t="str">
        <f aca="false">IF($A245="","",IF(INDEX(Tasks!$F:$F,$A245)="","",INDEX(Tasks!$F:$F,$A245)))</f>
        <v/>
      </c>
      <c r="G245" s="18" t="str">
        <f aca="false">IF($A245="","",IF(INDEX(Tasks!$H:$H,$A245)="","",INDEX(Tasks!$H:$H,$A245)))</f>
        <v/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</row>
    <row r="246" customFormat="false" ht="15" hidden="false" customHeight="false" outlineLevel="0" collapsed="false">
      <c r="A246" s="16" t="str">
        <f aca="false">IFERROR(MATCH($C$2&amp;"|"&amp;(ROW()-4),Tasks!$L$4:$L$403,0)+3,"")</f>
        <v/>
      </c>
      <c r="B246" s="17" t="str">
        <f aca="false">IF($A246="","",IF(INDEX(Tasks!$A:$A,$A246)="","",INDEX(Tasks!$A:$A,$A246)))</f>
        <v/>
      </c>
      <c r="C246" s="17" t="str">
        <f aca="false">IF($A246="","",IF(ISERROR(FIND(".",INDEX(Tasks!$A:$A,$A246))),"","   ")&amp;INDEX(Tasks!$C:$C,$A246))</f>
        <v/>
      </c>
      <c r="D246" s="17" t="str">
        <f aca="false">IF($A246="","",IF(INDEX(Tasks!$D:$D,$A246)="","",INDEX(Tasks!$D:$D,$A246)))</f>
        <v/>
      </c>
      <c r="E246" s="17" t="str">
        <f aca="false">IF($A246="","",IF(INDEX(Tasks!$E:$E,$A246)="","",INDEX(Tasks!$E:$E,$A246)))</f>
        <v/>
      </c>
      <c r="F246" s="18" t="str">
        <f aca="false">IF($A246="","",IF(INDEX(Tasks!$F:$F,$A246)="","",INDEX(Tasks!$F:$F,$A246)))</f>
        <v/>
      </c>
      <c r="G246" s="18" t="str">
        <f aca="false">IF($A246="","",IF(INDEX(Tasks!$H:$H,$A246)="","",INDEX(Tasks!$H:$H,$A246)))</f>
        <v/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</row>
    <row r="247" customFormat="false" ht="15" hidden="false" customHeight="false" outlineLevel="0" collapsed="false">
      <c r="A247" s="16" t="str">
        <f aca="false">IFERROR(MATCH($C$2&amp;"|"&amp;(ROW()-4),Tasks!$L$4:$L$403,0)+3,"")</f>
        <v/>
      </c>
      <c r="B247" s="17" t="str">
        <f aca="false">IF($A247="","",IF(INDEX(Tasks!$A:$A,$A247)="","",INDEX(Tasks!$A:$A,$A247)))</f>
        <v/>
      </c>
      <c r="C247" s="17" t="str">
        <f aca="false">IF($A247="","",IF(ISERROR(FIND(".",INDEX(Tasks!$A:$A,$A247))),"","   ")&amp;INDEX(Tasks!$C:$C,$A247))</f>
        <v/>
      </c>
      <c r="D247" s="17" t="str">
        <f aca="false">IF($A247="","",IF(INDEX(Tasks!$D:$D,$A247)="","",INDEX(Tasks!$D:$D,$A247)))</f>
        <v/>
      </c>
      <c r="E247" s="17" t="str">
        <f aca="false">IF($A247="","",IF(INDEX(Tasks!$E:$E,$A247)="","",INDEX(Tasks!$E:$E,$A247)))</f>
        <v/>
      </c>
      <c r="F247" s="18" t="str">
        <f aca="false">IF($A247="","",IF(INDEX(Tasks!$F:$F,$A247)="","",INDEX(Tasks!$F:$F,$A247)))</f>
        <v/>
      </c>
      <c r="G247" s="18" t="str">
        <f aca="false">IF($A247="","",IF(INDEX(Tasks!$H:$H,$A247)="","",INDEX(Tasks!$H:$H,$A247)))</f>
        <v/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</row>
    <row r="248" customFormat="false" ht="15" hidden="false" customHeight="false" outlineLevel="0" collapsed="false">
      <c r="A248" s="16" t="str">
        <f aca="false">IFERROR(MATCH($C$2&amp;"|"&amp;(ROW()-4),Tasks!$L$4:$L$403,0)+3,"")</f>
        <v/>
      </c>
      <c r="B248" s="17" t="str">
        <f aca="false">IF($A248="","",IF(INDEX(Tasks!$A:$A,$A248)="","",INDEX(Tasks!$A:$A,$A248)))</f>
        <v/>
      </c>
      <c r="C248" s="17" t="str">
        <f aca="false">IF($A248="","",IF(ISERROR(FIND(".",INDEX(Tasks!$A:$A,$A248))),"","   ")&amp;INDEX(Tasks!$C:$C,$A248))</f>
        <v/>
      </c>
      <c r="D248" s="17" t="str">
        <f aca="false">IF($A248="","",IF(INDEX(Tasks!$D:$D,$A248)="","",INDEX(Tasks!$D:$D,$A248)))</f>
        <v/>
      </c>
      <c r="E248" s="17" t="str">
        <f aca="false">IF($A248="","",IF(INDEX(Tasks!$E:$E,$A248)="","",INDEX(Tasks!$E:$E,$A248)))</f>
        <v/>
      </c>
      <c r="F248" s="18" t="str">
        <f aca="false">IF($A248="","",IF(INDEX(Tasks!$F:$F,$A248)="","",INDEX(Tasks!$F:$F,$A248)))</f>
        <v/>
      </c>
      <c r="G248" s="18" t="str">
        <f aca="false">IF($A248="","",IF(INDEX(Tasks!$H:$H,$A248)="","",INDEX(Tasks!$H:$H,$A248)))</f>
        <v/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</row>
    <row r="249" customFormat="false" ht="15" hidden="false" customHeight="false" outlineLevel="0" collapsed="false">
      <c r="A249" s="16" t="str">
        <f aca="false">IFERROR(MATCH($C$2&amp;"|"&amp;(ROW()-4),Tasks!$L$4:$L$403,0)+3,"")</f>
        <v/>
      </c>
      <c r="B249" s="17" t="str">
        <f aca="false">IF($A249="","",IF(INDEX(Tasks!$A:$A,$A249)="","",INDEX(Tasks!$A:$A,$A249)))</f>
        <v/>
      </c>
      <c r="C249" s="17" t="str">
        <f aca="false">IF($A249="","",IF(ISERROR(FIND(".",INDEX(Tasks!$A:$A,$A249))),"","   ")&amp;INDEX(Tasks!$C:$C,$A249))</f>
        <v/>
      </c>
      <c r="D249" s="17" t="str">
        <f aca="false">IF($A249="","",IF(INDEX(Tasks!$D:$D,$A249)="","",INDEX(Tasks!$D:$D,$A249)))</f>
        <v/>
      </c>
      <c r="E249" s="17" t="str">
        <f aca="false">IF($A249="","",IF(INDEX(Tasks!$E:$E,$A249)="","",INDEX(Tasks!$E:$E,$A249)))</f>
        <v/>
      </c>
      <c r="F249" s="18" t="str">
        <f aca="false">IF($A249="","",IF(INDEX(Tasks!$F:$F,$A249)="","",INDEX(Tasks!$F:$F,$A249)))</f>
        <v/>
      </c>
      <c r="G249" s="18" t="str">
        <f aca="false">IF($A249="","",IF(INDEX(Tasks!$H:$H,$A249)="","",INDEX(Tasks!$H:$H,$A249)))</f>
        <v/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</row>
    <row r="250" customFormat="false" ht="15" hidden="false" customHeight="false" outlineLevel="0" collapsed="false">
      <c r="A250" s="16" t="str">
        <f aca="false">IFERROR(MATCH($C$2&amp;"|"&amp;(ROW()-4),Tasks!$L$4:$L$403,0)+3,"")</f>
        <v/>
      </c>
      <c r="B250" s="17" t="str">
        <f aca="false">IF($A250="","",IF(INDEX(Tasks!$A:$A,$A250)="","",INDEX(Tasks!$A:$A,$A250)))</f>
        <v/>
      </c>
      <c r="C250" s="17" t="str">
        <f aca="false">IF($A250="","",IF(ISERROR(FIND(".",INDEX(Tasks!$A:$A,$A250))),"","   ")&amp;INDEX(Tasks!$C:$C,$A250))</f>
        <v/>
      </c>
      <c r="D250" s="17" t="str">
        <f aca="false">IF($A250="","",IF(INDEX(Tasks!$D:$D,$A250)="","",INDEX(Tasks!$D:$D,$A250)))</f>
        <v/>
      </c>
      <c r="E250" s="17" t="str">
        <f aca="false">IF($A250="","",IF(INDEX(Tasks!$E:$E,$A250)="","",INDEX(Tasks!$E:$E,$A250)))</f>
        <v/>
      </c>
      <c r="F250" s="18" t="str">
        <f aca="false">IF($A250="","",IF(INDEX(Tasks!$F:$F,$A250)="","",INDEX(Tasks!$F:$F,$A250)))</f>
        <v/>
      </c>
      <c r="G250" s="18" t="str">
        <f aca="false">IF($A250="","",IF(INDEX(Tasks!$H:$H,$A250)="","",INDEX(Tasks!$H:$H,$A250)))</f>
        <v/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</row>
    <row r="251" customFormat="false" ht="15" hidden="false" customHeight="false" outlineLevel="0" collapsed="false">
      <c r="A251" s="16" t="str">
        <f aca="false">IFERROR(MATCH($C$2&amp;"|"&amp;(ROW()-4),Tasks!$L$4:$L$403,0)+3,"")</f>
        <v/>
      </c>
      <c r="B251" s="17" t="str">
        <f aca="false">IF($A251="","",IF(INDEX(Tasks!$A:$A,$A251)="","",INDEX(Tasks!$A:$A,$A251)))</f>
        <v/>
      </c>
      <c r="C251" s="17" t="str">
        <f aca="false">IF($A251="","",IF(ISERROR(FIND(".",INDEX(Tasks!$A:$A,$A251))),"","   ")&amp;INDEX(Tasks!$C:$C,$A251))</f>
        <v/>
      </c>
      <c r="D251" s="17" t="str">
        <f aca="false">IF($A251="","",IF(INDEX(Tasks!$D:$D,$A251)="","",INDEX(Tasks!$D:$D,$A251)))</f>
        <v/>
      </c>
      <c r="E251" s="17" t="str">
        <f aca="false">IF($A251="","",IF(INDEX(Tasks!$E:$E,$A251)="","",INDEX(Tasks!$E:$E,$A251)))</f>
        <v/>
      </c>
      <c r="F251" s="18" t="str">
        <f aca="false">IF($A251="","",IF(INDEX(Tasks!$F:$F,$A251)="","",INDEX(Tasks!$F:$F,$A251)))</f>
        <v/>
      </c>
      <c r="G251" s="18" t="str">
        <f aca="false">IF($A251="","",IF(INDEX(Tasks!$H:$H,$A251)="","",INDEX(Tasks!$H:$H,$A251)))</f>
        <v/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</row>
    <row r="252" customFormat="false" ht="15" hidden="false" customHeight="false" outlineLevel="0" collapsed="false">
      <c r="A252" s="16" t="str">
        <f aca="false">IFERROR(MATCH($C$2&amp;"|"&amp;(ROW()-4),Tasks!$L$4:$L$403,0)+3,"")</f>
        <v/>
      </c>
      <c r="B252" s="17" t="str">
        <f aca="false">IF($A252="","",IF(INDEX(Tasks!$A:$A,$A252)="","",INDEX(Tasks!$A:$A,$A252)))</f>
        <v/>
      </c>
      <c r="C252" s="17" t="str">
        <f aca="false">IF($A252="","",IF(ISERROR(FIND(".",INDEX(Tasks!$A:$A,$A252))),"","   ")&amp;INDEX(Tasks!$C:$C,$A252))</f>
        <v/>
      </c>
      <c r="D252" s="17" t="str">
        <f aca="false">IF($A252="","",IF(INDEX(Tasks!$D:$D,$A252)="","",INDEX(Tasks!$D:$D,$A252)))</f>
        <v/>
      </c>
      <c r="E252" s="17" t="str">
        <f aca="false">IF($A252="","",IF(INDEX(Tasks!$E:$E,$A252)="","",INDEX(Tasks!$E:$E,$A252)))</f>
        <v/>
      </c>
      <c r="F252" s="18" t="str">
        <f aca="false">IF($A252="","",IF(INDEX(Tasks!$F:$F,$A252)="","",INDEX(Tasks!$F:$F,$A252)))</f>
        <v/>
      </c>
      <c r="G252" s="18" t="str">
        <f aca="false">IF($A252="","",IF(INDEX(Tasks!$H:$H,$A252)="","",INDEX(Tasks!$H:$H,$A252)))</f>
        <v/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</row>
    <row r="253" customFormat="false" ht="15" hidden="false" customHeight="false" outlineLevel="0" collapsed="false">
      <c r="A253" s="16" t="str">
        <f aca="false">IFERROR(MATCH($C$2&amp;"|"&amp;(ROW()-4),Tasks!$L$4:$L$403,0)+3,"")</f>
        <v/>
      </c>
      <c r="B253" s="17" t="str">
        <f aca="false">IF($A253="","",IF(INDEX(Tasks!$A:$A,$A253)="","",INDEX(Tasks!$A:$A,$A253)))</f>
        <v/>
      </c>
      <c r="C253" s="17" t="str">
        <f aca="false">IF($A253="","",IF(ISERROR(FIND(".",INDEX(Tasks!$A:$A,$A253))),"","   ")&amp;INDEX(Tasks!$C:$C,$A253))</f>
        <v/>
      </c>
      <c r="D253" s="17" t="str">
        <f aca="false">IF($A253="","",IF(INDEX(Tasks!$D:$D,$A253)="","",INDEX(Tasks!$D:$D,$A253)))</f>
        <v/>
      </c>
      <c r="E253" s="17" t="str">
        <f aca="false">IF($A253="","",IF(INDEX(Tasks!$E:$E,$A253)="","",INDEX(Tasks!$E:$E,$A253)))</f>
        <v/>
      </c>
      <c r="F253" s="18" t="str">
        <f aca="false">IF($A253="","",IF(INDEX(Tasks!$F:$F,$A253)="","",INDEX(Tasks!$F:$F,$A253)))</f>
        <v/>
      </c>
      <c r="G253" s="18" t="str">
        <f aca="false">IF($A253="","",IF(INDEX(Tasks!$H:$H,$A253)="","",INDEX(Tasks!$H:$H,$A253)))</f>
        <v/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</row>
    <row r="254" customFormat="false" ht="15" hidden="false" customHeight="false" outlineLevel="0" collapsed="false">
      <c r="A254" s="16" t="str">
        <f aca="false">IFERROR(MATCH($C$2&amp;"|"&amp;(ROW()-4),Tasks!$L$4:$L$403,0)+3,"")</f>
        <v/>
      </c>
      <c r="B254" s="17" t="str">
        <f aca="false">IF($A254="","",IF(INDEX(Tasks!$A:$A,$A254)="","",INDEX(Tasks!$A:$A,$A254)))</f>
        <v/>
      </c>
      <c r="C254" s="17" t="str">
        <f aca="false">IF($A254="","",IF(ISERROR(FIND(".",INDEX(Tasks!$A:$A,$A254))),"","   ")&amp;INDEX(Tasks!$C:$C,$A254))</f>
        <v/>
      </c>
      <c r="D254" s="17" t="str">
        <f aca="false">IF($A254="","",IF(INDEX(Tasks!$D:$D,$A254)="","",INDEX(Tasks!$D:$D,$A254)))</f>
        <v/>
      </c>
      <c r="E254" s="17" t="str">
        <f aca="false">IF($A254="","",IF(INDEX(Tasks!$E:$E,$A254)="","",INDEX(Tasks!$E:$E,$A254)))</f>
        <v/>
      </c>
      <c r="F254" s="18" t="str">
        <f aca="false">IF($A254="","",IF(INDEX(Tasks!$F:$F,$A254)="","",INDEX(Tasks!$F:$F,$A254)))</f>
        <v/>
      </c>
      <c r="G254" s="18" t="str">
        <f aca="false">IF($A254="","",IF(INDEX(Tasks!$H:$H,$A254)="","",INDEX(Tasks!$H:$H,$A254)))</f>
        <v/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</row>
    <row r="255" customFormat="false" ht="15" hidden="false" customHeight="false" outlineLevel="0" collapsed="false">
      <c r="A255" s="16" t="str">
        <f aca="false">IFERROR(MATCH($C$2&amp;"|"&amp;(ROW()-4),Tasks!$L$4:$L$403,0)+3,"")</f>
        <v/>
      </c>
      <c r="B255" s="17" t="str">
        <f aca="false">IF($A255="","",IF(INDEX(Tasks!$A:$A,$A255)="","",INDEX(Tasks!$A:$A,$A255)))</f>
        <v/>
      </c>
      <c r="C255" s="17" t="str">
        <f aca="false">IF($A255="","",IF(ISERROR(FIND(".",INDEX(Tasks!$A:$A,$A255))),"","   ")&amp;INDEX(Tasks!$C:$C,$A255))</f>
        <v/>
      </c>
      <c r="D255" s="17" t="str">
        <f aca="false">IF($A255="","",IF(INDEX(Tasks!$D:$D,$A255)="","",INDEX(Tasks!$D:$D,$A255)))</f>
        <v/>
      </c>
      <c r="E255" s="17" t="str">
        <f aca="false">IF($A255="","",IF(INDEX(Tasks!$E:$E,$A255)="","",INDEX(Tasks!$E:$E,$A255)))</f>
        <v/>
      </c>
      <c r="F255" s="18" t="str">
        <f aca="false">IF($A255="","",IF(INDEX(Tasks!$F:$F,$A255)="","",INDEX(Tasks!$F:$F,$A255)))</f>
        <v/>
      </c>
      <c r="G255" s="18" t="str">
        <f aca="false">IF($A255="","",IF(INDEX(Tasks!$H:$H,$A255)="","",INDEX(Tasks!$H:$H,$A255)))</f>
        <v/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</row>
    <row r="256" customFormat="false" ht="15" hidden="false" customHeight="false" outlineLevel="0" collapsed="false">
      <c r="A256" s="16" t="str">
        <f aca="false">IFERROR(MATCH($C$2&amp;"|"&amp;(ROW()-4),Tasks!$L$4:$L$403,0)+3,"")</f>
        <v/>
      </c>
      <c r="B256" s="17" t="str">
        <f aca="false">IF($A256="","",IF(INDEX(Tasks!$A:$A,$A256)="","",INDEX(Tasks!$A:$A,$A256)))</f>
        <v/>
      </c>
      <c r="C256" s="17" t="str">
        <f aca="false">IF($A256="","",IF(ISERROR(FIND(".",INDEX(Tasks!$A:$A,$A256))),"","   ")&amp;INDEX(Tasks!$C:$C,$A256))</f>
        <v/>
      </c>
      <c r="D256" s="17" t="str">
        <f aca="false">IF($A256="","",IF(INDEX(Tasks!$D:$D,$A256)="","",INDEX(Tasks!$D:$D,$A256)))</f>
        <v/>
      </c>
      <c r="E256" s="17" t="str">
        <f aca="false">IF($A256="","",IF(INDEX(Tasks!$E:$E,$A256)="","",INDEX(Tasks!$E:$E,$A256)))</f>
        <v/>
      </c>
      <c r="F256" s="18" t="str">
        <f aca="false">IF($A256="","",IF(INDEX(Tasks!$F:$F,$A256)="","",INDEX(Tasks!$F:$F,$A256)))</f>
        <v/>
      </c>
      <c r="G256" s="18" t="str">
        <f aca="false">IF($A256="","",IF(INDEX(Tasks!$H:$H,$A256)="","",INDEX(Tasks!$H:$H,$A256)))</f>
        <v/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</row>
    <row r="257" customFormat="false" ht="15" hidden="false" customHeight="false" outlineLevel="0" collapsed="false">
      <c r="A257" s="16" t="str">
        <f aca="false">IFERROR(MATCH($C$2&amp;"|"&amp;(ROW()-4),Tasks!$L$4:$L$403,0)+3,"")</f>
        <v/>
      </c>
      <c r="B257" s="17" t="str">
        <f aca="false">IF($A257="","",IF(INDEX(Tasks!$A:$A,$A257)="","",INDEX(Tasks!$A:$A,$A257)))</f>
        <v/>
      </c>
      <c r="C257" s="17" t="str">
        <f aca="false">IF($A257="","",IF(ISERROR(FIND(".",INDEX(Tasks!$A:$A,$A257))),"","   ")&amp;INDEX(Tasks!$C:$C,$A257))</f>
        <v/>
      </c>
      <c r="D257" s="17" t="str">
        <f aca="false">IF($A257="","",IF(INDEX(Tasks!$D:$D,$A257)="","",INDEX(Tasks!$D:$D,$A257)))</f>
        <v/>
      </c>
      <c r="E257" s="17" t="str">
        <f aca="false">IF($A257="","",IF(INDEX(Tasks!$E:$E,$A257)="","",INDEX(Tasks!$E:$E,$A257)))</f>
        <v/>
      </c>
      <c r="F257" s="18" t="str">
        <f aca="false">IF($A257="","",IF(INDEX(Tasks!$F:$F,$A257)="","",INDEX(Tasks!$F:$F,$A257)))</f>
        <v/>
      </c>
      <c r="G257" s="18" t="str">
        <f aca="false">IF($A257="","",IF(INDEX(Tasks!$H:$H,$A257)="","",INDEX(Tasks!$H:$H,$A257)))</f>
        <v/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</row>
    <row r="258" customFormat="false" ht="15" hidden="false" customHeight="false" outlineLevel="0" collapsed="false">
      <c r="A258" s="16" t="str">
        <f aca="false">IFERROR(MATCH($C$2&amp;"|"&amp;(ROW()-4),Tasks!$L$4:$L$403,0)+3,"")</f>
        <v/>
      </c>
      <c r="B258" s="17" t="str">
        <f aca="false">IF($A258="","",IF(INDEX(Tasks!$A:$A,$A258)="","",INDEX(Tasks!$A:$A,$A258)))</f>
        <v/>
      </c>
      <c r="C258" s="17" t="str">
        <f aca="false">IF($A258="","",IF(ISERROR(FIND(".",INDEX(Tasks!$A:$A,$A258))),"","   ")&amp;INDEX(Tasks!$C:$C,$A258))</f>
        <v/>
      </c>
      <c r="D258" s="17" t="str">
        <f aca="false">IF($A258="","",IF(INDEX(Tasks!$D:$D,$A258)="","",INDEX(Tasks!$D:$D,$A258)))</f>
        <v/>
      </c>
      <c r="E258" s="17" t="str">
        <f aca="false">IF($A258="","",IF(INDEX(Tasks!$E:$E,$A258)="","",INDEX(Tasks!$E:$E,$A258)))</f>
        <v/>
      </c>
      <c r="F258" s="18" t="str">
        <f aca="false">IF($A258="","",IF(INDEX(Tasks!$F:$F,$A258)="","",INDEX(Tasks!$F:$F,$A258)))</f>
        <v/>
      </c>
      <c r="G258" s="18" t="str">
        <f aca="false">IF($A258="","",IF(INDEX(Tasks!$H:$H,$A258)="","",INDEX(Tasks!$H:$H,$A258)))</f>
        <v/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</row>
    <row r="259" customFormat="false" ht="15" hidden="false" customHeight="false" outlineLevel="0" collapsed="false">
      <c r="A259" s="16" t="str">
        <f aca="false">IFERROR(MATCH($C$2&amp;"|"&amp;(ROW()-4),Tasks!$L$4:$L$403,0)+3,"")</f>
        <v/>
      </c>
      <c r="B259" s="17" t="str">
        <f aca="false">IF($A259="","",IF(INDEX(Tasks!$A:$A,$A259)="","",INDEX(Tasks!$A:$A,$A259)))</f>
        <v/>
      </c>
      <c r="C259" s="17" t="str">
        <f aca="false">IF($A259="","",IF(ISERROR(FIND(".",INDEX(Tasks!$A:$A,$A259))),"","   ")&amp;INDEX(Tasks!$C:$C,$A259))</f>
        <v/>
      </c>
      <c r="D259" s="17" t="str">
        <f aca="false">IF($A259="","",IF(INDEX(Tasks!$D:$D,$A259)="","",INDEX(Tasks!$D:$D,$A259)))</f>
        <v/>
      </c>
      <c r="E259" s="17" t="str">
        <f aca="false">IF($A259="","",IF(INDEX(Tasks!$E:$E,$A259)="","",INDEX(Tasks!$E:$E,$A259)))</f>
        <v/>
      </c>
      <c r="F259" s="18" t="str">
        <f aca="false">IF($A259="","",IF(INDEX(Tasks!$F:$F,$A259)="","",INDEX(Tasks!$F:$F,$A259)))</f>
        <v/>
      </c>
      <c r="G259" s="18" t="str">
        <f aca="false">IF($A259="","",IF(INDEX(Tasks!$H:$H,$A259)="","",INDEX(Tasks!$H:$H,$A259)))</f>
        <v/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</row>
    <row r="260" customFormat="false" ht="15" hidden="false" customHeight="false" outlineLevel="0" collapsed="false">
      <c r="A260" s="16" t="str">
        <f aca="false">IFERROR(MATCH($C$2&amp;"|"&amp;(ROW()-4),Tasks!$L$4:$L$403,0)+3,"")</f>
        <v/>
      </c>
      <c r="B260" s="17" t="str">
        <f aca="false">IF($A260="","",IF(INDEX(Tasks!$A:$A,$A260)="","",INDEX(Tasks!$A:$A,$A260)))</f>
        <v/>
      </c>
      <c r="C260" s="17" t="str">
        <f aca="false">IF($A260="","",IF(ISERROR(FIND(".",INDEX(Tasks!$A:$A,$A260))),"","   ")&amp;INDEX(Tasks!$C:$C,$A260))</f>
        <v/>
      </c>
      <c r="D260" s="17" t="str">
        <f aca="false">IF($A260="","",IF(INDEX(Tasks!$D:$D,$A260)="","",INDEX(Tasks!$D:$D,$A260)))</f>
        <v/>
      </c>
      <c r="E260" s="17" t="str">
        <f aca="false">IF($A260="","",IF(INDEX(Tasks!$E:$E,$A260)="","",INDEX(Tasks!$E:$E,$A260)))</f>
        <v/>
      </c>
      <c r="F260" s="18" t="str">
        <f aca="false">IF($A260="","",IF(INDEX(Tasks!$F:$F,$A260)="","",INDEX(Tasks!$F:$F,$A260)))</f>
        <v/>
      </c>
      <c r="G260" s="18" t="str">
        <f aca="false">IF($A260="","",IF(INDEX(Tasks!$H:$H,$A260)="","",INDEX(Tasks!$H:$H,$A260)))</f>
        <v/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</row>
    <row r="261" customFormat="false" ht="15" hidden="false" customHeight="false" outlineLevel="0" collapsed="false">
      <c r="A261" s="16" t="str">
        <f aca="false">IFERROR(MATCH($C$2&amp;"|"&amp;(ROW()-4),Tasks!$L$4:$L$403,0)+3,"")</f>
        <v/>
      </c>
      <c r="B261" s="17" t="str">
        <f aca="false">IF($A261="","",IF(INDEX(Tasks!$A:$A,$A261)="","",INDEX(Tasks!$A:$A,$A261)))</f>
        <v/>
      </c>
      <c r="C261" s="17" t="str">
        <f aca="false">IF($A261="","",IF(ISERROR(FIND(".",INDEX(Tasks!$A:$A,$A261))),"","   ")&amp;INDEX(Tasks!$C:$C,$A261))</f>
        <v/>
      </c>
      <c r="D261" s="17" t="str">
        <f aca="false">IF($A261="","",IF(INDEX(Tasks!$D:$D,$A261)="","",INDEX(Tasks!$D:$D,$A261)))</f>
        <v/>
      </c>
      <c r="E261" s="17" t="str">
        <f aca="false">IF($A261="","",IF(INDEX(Tasks!$E:$E,$A261)="","",INDEX(Tasks!$E:$E,$A261)))</f>
        <v/>
      </c>
      <c r="F261" s="18" t="str">
        <f aca="false">IF($A261="","",IF(INDEX(Tasks!$F:$F,$A261)="","",INDEX(Tasks!$F:$F,$A261)))</f>
        <v/>
      </c>
      <c r="G261" s="18" t="str">
        <f aca="false">IF($A261="","",IF(INDEX(Tasks!$H:$H,$A261)="","",INDEX(Tasks!$H:$H,$A261)))</f>
        <v/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</row>
    <row r="262" customFormat="false" ht="15" hidden="false" customHeight="false" outlineLevel="0" collapsed="false">
      <c r="A262" s="16" t="str">
        <f aca="false">IFERROR(MATCH($C$2&amp;"|"&amp;(ROW()-4),Tasks!$L$4:$L$403,0)+3,"")</f>
        <v/>
      </c>
      <c r="B262" s="17" t="str">
        <f aca="false">IF($A262="","",IF(INDEX(Tasks!$A:$A,$A262)="","",INDEX(Tasks!$A:$A,$A262)))</f>
        <v/>
      </c>
      <c r="C262" s="17" t="str">
        <f aca="false">IF($A262="","",IF(ISERROR(FIND(".",INDEX(Tasks!$A:$A,$A262))),"","   ")&amp;INDEX(Tasks!$C:$C,$A262))</f>
        <v/>
      </c>
      <c r="D262" s="17" t="str">
        <f aca="false">IF($A262="","",IF(INDEX(Tasks!$D:$D,$A262)="","",INDEX(Tasks!$D:$D,$A262)))</f>
        <v/>
      </c>
      <c r="E262" s="17" t="str">
        <f aca="false">IF($A262="","",IF(INDEX(Tasks!$E:$E,$A262)="","",INDEX(Tasks!$E:$E,$A262)))</f>
        <v/>
      </c>
      <c r="F262" s="18" t="str">
        <f aca="false">IF($A262="","",IF(INDEX(Tasks!$F:$F,$A262)="","",INDEX(Tasks!$F:$F,$A262)))</f>
        <v/>
      </c>
      <c r="G262" s="18" t="str">
        <f aca="false">IF($A262="","",IF(INDEX(Tasks!$H:$H,$A262)="","",INDEX(Tasks!$H:$H,$A262)))</f>
        <v/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</row>
    <row r="263" customFormat="false" ht="15" hidden="false" customHeight="false" outlineLevel="0" collapsed="false">
      <c r="A263" s="16" t="str">
        <f aca="false">IFERROR(MATCH($C$2&amp;"|"&amp;(ROW()-4),Tasks!$L$4:$L$403,0)+3,"")</f>
        <v/>
      </c>
      <c r="B263" s="17" t="str">
        <f aca="false">IF($A263="","",IF(INDEX(Tasks!$A:$A,$A263)="","",INDEX(Tasks!$A:$A,$A263)))</f>
        <v/>
      </c>
      <c r="C263" s="17" t="str">
        <f aca="false">IF($A263="","",IF(ISERROR(FIND(".",INDEX(Tasks!$A:$A,$A263))),"","   ")&amp;INDEX(Tasks!$C:$C,$A263))</f>
        <v/>
      </c>
      <c r="D263" s="17" t="str">
        <f aca="false">IF($A263="","",IF(INDEX(Tasks!$D:$D,$A263)="","",INDEX(Tasks!$D:$D,$A263)))</f>
        <v/>
      </c>
      <c r="E263" s="17" t="str">
        <f aca="false">IF($A263="","",IF(INDEX(Tasks!$E:$E,$A263)="","",INDEX(Tasks!$E:$E,$A263)))</f>
        <v/>
      </c>
      <c r="F263" s="18" t="str">
        <f aca="false">IF($A263="","",IF(INDEX(Tasks!$F:$F,$A263)="","",INDEX(Tasks!$F:$F,$A263)))</f>
        <v/>
      </c>
      <c r="G263" s="18" t="str">
        <f aca="false">IF($A263="","",IF(INDEX(Tasks!$H:$H,$A263)="","",INDEX(Tasks!$H:$H,$A263)))</f>
        <v/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</row>
    <row r="264" customFormat="false" ht="15" hidden="false" customHeight="false" outlineLevel="0" collapsed="false">
      <c r="A264" s="16" t="str">
        <f aca="false">IFERROR(MATCH($C$2&amp;"|"&amp;(ROW()-4),Tasks!$L$4:$L$403,0)+3,"")</f>
        <v/>
      </c>
      <c r="B264" s="17" t="str">
        <f aca="false">IF($A264="","",IF(INDEX(Tasks!$A:$A,$A264)="","",INDEX(Tasks!$A:$A,$A264)))</f>
        <v/>
      </c>
      <c r="C264" s="17" t="str">
        <f aca="false">IF($A264="","",IF(ISERROR(FIND(".",INDEX(Tasks!$A:$A,$A264))),"","   ")&amp;INDEX(Tasks!$C:$C,$A264))</f>
        <v/>
      </c>
      <c r="D264" s="17" t="str">
        <f aca="false">IF($A264="","",IF(INDEX(Tasks!$D:$D,$A264)="","",INDEX(Tasks!$D:$D,$A264)))</f>
        <v/>
      </c>
      <c r="E264" s="17" t="str">
        <f aca="false">IF($A264="","",IF(INDEX(Tasks!$E:$E,$A264)="","",INDEX(Tasks!$E:$E,$A264)))</f>
        <v/>
      </c>
      <c r="F264" s="18" t="str">
        <f aca="false">IF($A264="","",IF(INDEX(Tasks!$F:$F,$A264)="","",INDEX(Tasks!$F:$F,$A264)))</f>
        <v/>
      </c>
      <c r="G264" s="18" t="str">
        <f aca="false">IF($A264="","",IF(INDEX(Tasks!$H:$H,$A264)="","",INDEX(Tasks!$H:$H,$A264)))</f>
        <v/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</row>
    <row r="265" customFormat="false" ht="15" hidden="false" customHeight="false" outlineLevel="0" collapsed="false">
      <c r="A265" s="16" t="str">
        <f aca="false">IFERROR(MATCH($C$2&amp;"|"&amp;(ROW()-4),Tasks!$L$4:$L$403,0)+3,"")</f>
        <v/>
      </c>
      <c r="B265" s="17" t="str">
        <f aca="false">IF($A265="","",IF(INDEX(Tasks!$A:$A,$A265)="","",INDEX(Tasks!$A:$A,$A265)))</f>
        <v/>
      </c>
      <c r="C265" s="17" t="str">
        <f aca="false">IF($A265="","",IF(ISERROR(FIND(".",INDEX(Tasks!$A:$A,$A265))),"","   ")&amp;INDEX(Tasks!$C:$C,$A265))</f>
        <v/>
      </c>
      <c r="D265" s="17" t="str">
        <f aca="false">IF($A265="","",IF(INDEX(Tasks!$D:$D,$A265)="","",INDEX(Tasks!$D:$D,$A265)))</f>
        <v/>
      </c>
      <c r="E265" s="17" t="str">
        <f aca="false">IF($A265="","",IF(INDEX(Tasks!$E:$E,$A265)="","",INDEX(Tasks!$E:$E,$A265)))</f>
        <v/>
      </c>
      <c r="F265" s="18" t="str">
        <f aca="false">IF($A265="","",IF(INDEX(Tasks!$F:$F,$A265)="","",INDEX(Tasks!$F:$F,$A265)))</f>
        <v/>
      </c>
      <c r="G265" s="18" t="str">
        <f aca="false">IF($A265="","",IF(INDEX(Tasks!$H:$H,$A265)="","",INDEX(Tasks!$H:$H,$A265)))</f>
        <v/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</row>
    <row r="266" customFormat="false" ht="15" hidden="false" customHeight="false" outlineLevel="0" collapsed="false">
      <c r="A266" s="16" t="str">
        <f aca="false">IFERROR(MATCH($C$2&amp;"|"&amp;(ROW()-4),Tasks!$L$4:$L$403,0)+3,"")</f>
        <v/>
      </c>
      <c r="B266" s="17" t="str">
        <f aca="false">IF($A266="","",IF(INDEX(Tasks!$A:$A,$A266)="","",INDEX(Tasks!$A:$A,$A266)))</f>
        <v/>
      </c>
      <c r="C266" s="17" t="str">
        <f aca="false">IF($A266="","",IF(ISERROR(FIND(".",INDEX(Tasks!$A:$A,$A266))),"","   ")&amp;INDEX(Tasks!$C:$C,$A266))</f>
        <v/>
      </c>
      <c r="D266" s="17" t="str">
        <f aca="false">IF($A266="","",IF(INDEX(Tasks!$D:$D,$A266)="","",INDEX(Tasks!$D:$D,$A266)))</f>
        <v/>
      </c>
      <c r="E266" s="17" t="str">
        <f aca="false">IF($A266="","",IF(INDEX(Tasks!$E:$E,$A266)="","",INDEX(Tasks!$E:$E,$A266)))</f>
        <v/>
      </c>
      <c r="F266" s="18" t="str">
        <f aca="false">IF($A266="","",IF(INDEX(Tasks!$F:$F,$A266)="","",INDEX(Tasks!$F:$F,$A266)))</f>
        <v/>
      </c>
      <c r="G266" s="18" t="str">
        <f aca="false">IF($A266="","",IF(INDEX(Tasks!$H:$H,$A266)="","",INDEX(Tasks!$H:$H,$A266)))</f>
        <v/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</row>
    <row r="267" customFormat="false" ht="15" hidden="false" customHeight="false" outlineLevel="0" collapsed="false">
      <c r="A267" s="16" t="str">
        <f aca="false">IFERROR(MATCH($C$2&amp;"|"&amp;(ROW()-4),Tasks!$L$4:$L$403,0)+3,"")</f>
        <v/>
      </c>
      <c r="B267" s="17" t="str">
        <f aca="false">IF($A267="","",IF(INDEX(Tasks!$A:$A,$A267)="","",INDEX(Tasks!$A:$A,$A267)))</f>
        <v/>
      </c>
      <c r="C267" s="17" t="str">
        <f aca="false">IF($A267="","",IF(ISERROR(FIND(".",INDEX(Tasks!$A:$A,$A267))),"","   ")&amp;INDEX(Tasks!$C:$C,$A267))</f>
        <v/>
      </c>
      <c r="D267" s="17" t="str">
        <f aca="false">IF($A267="","",IF(INDEX(Tasks!$D:$D,$A267)="","",INDEX(Tasks!$D:$D,$A267)))</f>
        <v/>
      </c>
      <c r="E267" s="17" t="str">
        <f aca="false">IF($A267="","",IF(INDEX(Tasks!$E:$E,$A267)="","",INDEX(Tasks!$E:$E,$A267)))</f>
        <v/>
      </c>
      <c r="F267" s="18" t="str">
        <f aca="false">IF($A267="","",IF(INDEX(Tasks!$F:$F,$A267)="","",INDEX(Tasks!$F:$F,$A267)))</f>
        <v/>
      </c>
      <c r="G267" s="18" t="str">
        <f aca="false">IF($A267="","",IF(INDEX(Tasks!$H:$H,$A267)="","",INDEX(Tasks!$H:$H,$A267)))</f>
        <v/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</row>
    <row r="268" customFormat="false" ht="15" hidden="false" customHeight="false" outlineLevel="0" collapsed="false">
      <c r="A268" s="16" t="str">
        <f aca="false">IFERROR(MATCH($C$2&amp;"|"&amp;(ROW()-4),Tasks!$L$4:$L$403,0)+3,"")</f>
        <v/>
      </c>
      <c r="B268" s="17" t="str">
        <f aca="false">IF($A268="","",IF(INDEX(Tasks!$A:$A,$A268)="","",INDEX(Tasks!$A:$A,$A268)))</f>
        <v/>
      </c>
      <c r="C268" s="17" t="str">
        <f aca="false">IF($A268="","",IF(ISERROR(FIND(".",INDEX(Tasks!$A:$A,$A268))),"","   ")&amp;INDEX(Tasks!$C:$C,$A268))</f>
        <v/>
      </c>
      <c r="D268" s="17" t="str">
        <f aca="false">IF($A268="","",IF(INDEX(Tasks!$D:$D,$A268)="","",INDEX(Tasks!$D:$D,$A268)))</f>
        <v/>
      </c>
      <c r="E268" s="17" t="str">
        <f aca="false">IF($A268="","",IF(INDEX(Tasks!$E:$E,$A268)="","",INDEX(Tasks!$E:$E,$A268)))</f>
        <v/>
      </c>
      <c r="F268" s="18" t="str">
        <f aca="false">IF($A268="","",IF(INDEX(Tasks!$F:$F,$A268)="","",INDEX(Tasks!$F:$F,$A268)))</f>
        <v/>
      </c>
      <c r="G268" s="18" t="str">
        <f aca="false">IF($A268="","",IF(INDEX(Tasks!$H:$H,$A268)="","",INDEX(Tasks!$H:$H,$A268)))</f>
        <v/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</row>
    <row r="269" customFormat="false" ht="15" hidden="false" customHeight="false" outlineLevel="0" collapsed="false">
      <c r="A269" s="16" t="str">
        <f aca="false">IFERROR(MATCH($C$2&amp;"|"&amp;(ROW()-4),Tasks!$L$4:$L$403,0)+3,"")</f>
        <v/>
      </c>
      <c r="B269" s="17" t="str">
        <f aca="false">IF($A269="","",IF(INDEX(Tasks!$A:$A,$A269)="","",INDEX(Tasks!$A:$A,$A269)))</f>
        <v/>
      </c>
      <c r="C269" s="17" t="str">
        <f aca="false">IF($A269="","",IF(ISERROR(FIND(".",INDEX(Tasks!$A:$A,$A269))),"","   ")&amp;INDEX(Tasks!$C:$C,$A269))</f>
        <v/>
      </c>
      <c r="D269" s="17" t="str">
        <f aca="false">IF($A269="","",IF(INDEX(Tasks!$D:$D,$A269)="","",INDEX(Tasks!$D:$D,$A269)))</f>
        <v/>
      </c>
      <c r="E269" s="17" t="str">
        <f aca="false">IF($A269="","",IF(INDEX(Tasks!$E:$E,$A269)="","",INDEX(Tasks!$E:$E,$A269)))</f>
        <v/>
      </c>
      <c r="F269" s="18" t="str">
        <f aca="false">IF($A269="","",IF(INDEX(Tasks!$F:$F,$A269)="","",INDEX(Tasks!$F:$F,$A269)))</f>
        <v/>
      </c>
      <c r="G269" s="18" t="str">
        <f aca="false">IF($A269="","",IF(INDEX(Tasks!$H:$H,$A269)="","",INDEX(Tasks!$H:$H,$A269)))</f>
        <v/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</row>
    <row r="270" customFormat="false" ht="15" hidden="false" customHeight="false" outlineLevel="0" collapsed="false">
      <c r="A270" s="16" t="str">
        <f aca="false">IFERROR(MATCH($C$2&amp;"|"&amp;(ROW()-4),Tasks!$L$4:$L$403,0)+3,"")</f>
        <v/>
      </c>
      <c r="B270" s="17" t="str">
        <f aca="false">IF($A270="","",IF(INDEX(Tasks!$A:$A,$A270)="","",INDEX(Tasks!$A:$A,$A270)))</f>
        <v/>
      </c>
      <c r="C270" s="17" t="str">
        <f aca="false">IF($A270="","",IF(ISERROR(FIND(".",INDEX(Tasks!$A:$A,$A270))),"","   ")&amp;INDEX(Tasks!$C:$C,$A270))</f>
        <v/>
      </c>
      <c r="D270" s="17" t="str">
        <f aca="false">IF($A270="","",IF(INDEX(Tasks!$D:$D,$A270)="","",INDEX(Tasks!$D:$D,$A270)))</f>
        <v/>
      </c>
      <c r="E270" s="17" t="str">
        <f aca="false">IF($A270="","",IF(INDEX(Tasks!$E:$E,$A270)="","",INDEX(Tasks!$E:$E,$A270)))</f>
        <v/>
      </c>
      <c r="F270" s="18" t="str">
        <f aca="false">IF($A270="","",IF(INDEX(Tasks!$F:$F,$A270)="","",INDEX(Tasks!$F:$F,$A270)))</f>
        <v/>
      </c>
      <c r="G270" s="18" t="str">
        <f aca="false">IF($A270="","",IF(INDEX(Tasks!$H:$H,$A270)="","",INDEX(Tasks!$H:$H,$A270)))</f>
        <v/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</row>
    <row r="271" customFormat="false" ht="15" hidden="false" customHeight="false" outlineLevel="0" collapsed="false">
      <c r="A271" s="16" t="str">
        <f aca="false">IFERROR(MATCH($C$2&amp;"|"&amp;(ROW()-4),Tasks!$L$4:$L$403,0)+3,"")</f>
        <v/>
      </c>
      <c r="B271" s="17" t="str">
        <f aca="false">IF($A271="","",IF(INDEX(Tasks!$A:$A,$A271)="","",INDEX(Tasks!$A:$A,$A271)))</f>
        <v/>
      </c>
      <c r="C271" s="17" t="str">
        <f aca="false">IF($A271="","",IF(ISERROR(FIND(".",INDEX(Tasks!$A:$A,$A271))),"","   ")&amp;INDEX(Tasks!$C:$C,$A271))</f>
        <v/>
      </c>
      <c r="D271" s="17" t="str">
        <f aca="false">IF($A271="","",IF(INDEX(Tasks!$D:$D,$A271)="","",INDEX(Tasks!$D:$D,$A271)))</f>
        <v/>
      </c>
      <c r="E271" s="17" t="str">
        <f aca="false">IF($A271="","",IF(INDEX(Tasks!$E:$E,$A271)="","",INDEX(Tasks!$E:$E,$A271)))</f>
        <v/>
      </c>
      <c r="F271" s="18" t="str">
        <f aca="false">IF($A271="","",IF(INDEX(Tasks!$F:$F,$A271)="","",INDEX(Tasks!$F:$F,$A271)))</f>
        <v/>
      </c>
      <c r="G271" s="18" t="str">
        <f aca="false">IF($A271="","",IF(INDEX(Tasks!$H:$H,$A271)="","",INDEX(Tasks!$H:$H,$A271)))</f>
        <v/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 customFormat="false" ht="15" hidden="false" customHeight="false" outlineLevel="0" collapsed="false">
      <c r="A272" s="16" t="str">
        <f aca="false">IFERROR(MATCH($C$2&amp;"|"&amp;(ROW()-4),Tasks!$L$4:$L$403,0)+3,"")</f>
        <v/>
      </c>
      <c r="B272" s="17" t="str">
        <f aca="false">IF($A272="","",IF(INDEX(Tasks!$A:$A,$A272)="","",INDEX(Tasks!$A:$A,$A272)))</f>
        <v/>
      </c>
      <c r="C272" s="17" t="str">
        <f aca="false">IF($A272="","",IF(ISERROR(FIND(".",INDEX(Tasks!$A:$A,$A272))),"","   ")&amp;INDEX(Tasks!$C:$C,$A272))</f>
        <v/>
      </c>
      <c r="D272" s="17" t="str">
        <f aca="false">IF($A272="","",IF(INDEX(Tasks!$D:$D,$A272)="","",INDEX(Tasks!$D:$D,$A272)))</f>
        <v/>
      </c>
      <c r="E272" s="17" t="str">
        <f aca="false">IF($A272="","",IF(INDEX(Tasks!$E:$E,$A272)="","",INDEX(Tasks!$E:$E,$A272)))</f>
        <v/>
      </c>
      <c r="F272" s="18" t="str">
        <f aca="false">IF($A272="","",IF(INDEX(Tasks!$F:$F,$A272)="","",INDEX(Tasks!$F:$F,$A272)))</f>
        <v/>
      </c>
      <c r="G272" s="18" t="str">
        <f aca="false">IF($A272="","",IF(INDEX(Tasks!$H:$H,$A272)="","",INDEX(Tasks!$H:$H,$A272)))</f>
        <v/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 customFormat="false" ht="15" hidden="false" customHeight="false" outlineLevel="0" collapsed="false">
      <c r="A273" s="16" t="str">
        <f aca="false">IFERROR(MATCH($C$2&amp;"|"&amp;(ROW()-4),Tasks!$L$4:$L$403,0)+3,"")</f>
        <v/>
      </c>
      <c r="B273" s="17" t="str">
        <f aca="false">IF($A273="","",IF(INDEX(Tasks!$A:$A,$A273)="","",INDEX(Tasks!$A:$A,$A273)))</f>
        <v/>
      </c>
      <c r="C273" s="17" t="str">
        <f aca="false">IF($A273="","",IF(ISERROR(FIND(".",INDEX(Tasks!$A:$A,$A273))),"","   ")&amp;INDEX(Tasks!$C:$C,$A273))</f>
        <v/>
      </c>
      <c r="D273" s="17" t="str">
        <f aca="false">IF($A273="","",IF(INDEX(Tasks!$D:$D,$A273)="","",INDEX(Tasks!$D:$D,$A273)))</f>
        <v/>
      </c>
      <c r="E273" s="17" t="str">
        <f aca="false">IF($A273="","",IF(INDEX(Tasks!$E:$E,$A273)="","",INDEX(Tasks!$E:$E,$A273)))</f>
        <v/>
      </c>
      <c r="F273" s="18" t="str">
        <f aca="false">IF($A273="","",IF(INDEX(Tasks!$F:$F,$A273)="","",INDEX(Tasks!$F:$F,$A273)))</f>
        <v/>
      </c>
      <c r="G273" s="18" t="str">
        <f aca="false">IF($A273="","",IF(INDEX(Tasks!$H:$H,$A273)="","",INDEX(Tasks!$H:$H,$A273)))</f>
        <v/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 customFormat="false" ht="15" hidden="false" customHeight="false" outlineLevel="0" collapsed="false">
      <c r="A274" s="16" t="str">
        <f aca="false">IFERROR(MATCH($C$2&amp;"|"&amp;(ROW()-4),Tasks!$L$4:$L$403,0)+3,"")</f>
        <v/>
      </c>
      <c r="B274" s="17" t="str">
        <f aca="false">IF($A274="","",IF(INDEX(Tasks!$A:$A,$A274)="","",INDEX(Tasks!$A:$A,$A274)))</f>
        <v/>
      </c>
      <c r="C274" s="17" t="str">
        <f aca="false">IF($A274="","",IF(ISERROR(FIND(".",INDEX(Tasks!$A:$A,$A274))),"","   ")&amp;INDEX(Tasks!$C:$C,$A274))</f>
        <v/>
      </c>
      <c r="D274" s="17" t="str">
        <f aca="false">IF($A274="","",IF(INDEX(Tasks!$D:$D,$A274)="","",INDEX(Tasks!$D:$D,$A274)))</f>
        <v/>
      </c>
      <c r="E274" s="17" t="str">
        <f aca="false">IF($A274="","",IF(INDEX(Tasks!$E:$E,$A274)="","",INDEX(Tasks!$E:$E,$A274)))</f>
        <v/>
      </c>
      <c r="F274" s="18" t="str">
        <f aca="false">IF($A274="","",IF(INDEX(Tasks!$F:$F,$A274)="","",INDEX(Tasks!$F:$F,$A274)))</f>
        <v/>
      </c>
      <c r="G274" s="18" t="str">
        <f aca="false">IF($A274="","",IF(INDEX(Tasks!$H:$H,$A274)="","",INDEX(Tasks!$H:$H,$A274)))</f>
        <v/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 customFormat="false" ht="15" hidden="false" customHeight="false" outlineLevel="0" collapsed="false">
      <c r="A275" s="16" t="str">
        <f aca="false">IFERROR(MATCH($C$2&amp;"|"&amp;(ROW()-4),Tasks!$L$4:$L$403,0)+3,"")</f>
        <v/>
      </c>
      <c r="B275" s="17" t="str">
        <f aca="false">IF($A275="","",IF(INDEX(Tasks!$A:$A,$A275)="","",INDEX(Tasks!$A:$A,$A275)))</f>
        <v/>
      </c>
      <c r="C275" s="17" t="str">
        <f aca="false">IF($A275="","",IF(ISERROR(FIND(".",INDEX(Tasks!$A:$A,$A275))),"","   ")&amp;INDEX(Tasks!$C:$C,$A275))</f>
        <v/>
      </c>
      <c r="D275" s="17" t="str">
        <f aca="false">IF($A275="","",IF(INDEX(Tasks!$D:$D,$A275)="","",INDEX(Tasks!$D:$D,$A275)))</f>
        <v/>
      </c>
      <c r="E275" s="17" t="str">
        <f aca="false">IF($A275="","",IF(INDEX(Tasks!$E:$E,$A275)="","",INDEX(Tasks!$E:$E,$A275)))</f>
        <v/>
      </c>
      <c r="F275" s="18" t="str">
        <f aca="false">IF($A275="","",IF(INDEX(Tasks!$F:$F,$A275)="","",INDEX(Tasks!$F:$F,$A275)))</f>
        <v/>
      </c>
      <c r="G275" s="18" t="str">
        <f aca="false">IF($A275="","",IF(INDEX(Tasks!$H:$H,$A275)="","",INDEX(Tasks!$H:$H,$A275)))</f>
        <v/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 customFormat="false" ht="15" hidden="false" customHeight="false" outlineLevel="0" collapsed="false">
      <c r="A276" s="16" t="str">
        <f aca="false">IFERROR(MATCH($C$2&amp;"|"&amp;(ROW()-4),Tasks!$L$4:$L$403,0)+3,"")</f>
        <v/>
      </c>
      <c r="B276" s="17" t="str">
        <f aca="false">IF($A276="","",IF(INDEX(Tasks!$A:$A,$A276)="","",INDEX(Tasks!$A:$A,$A276)))</f>
        <v/>
      </c>
      <c r="C276" s="17" t="str">
        <f aca="false">IF($A276="","",IF(ISERROR(FIND(".",INDEX(Tasks!$A:$A,$A276))),"","   ")&amp;INDEX(Tasks!$C:$C,$A276))</f>
        <v/>
      </c>
      <c r="D276" s="17" t="str">
        <f aca="false">IF($A276="","",IF(INDEX(Tasks!$D:$D,$A276)="","",INDEX(Tasks!$D:$D,$A276)))</f>
        <v/>
      </c>
      <c r="E276" s="17" t="str">
        <f aca="false">IF($A276="","",IF(INDEX(Tasks!$E:$E,$A276)="","",INDEX(Tasks!$E:$E,$A276)))</f>
        <v/>
      </c>
      <c r="F276" s="18" t="str">
        <f aca="false">IF($A276="","",IF(INDEX(Tasks!$F:$F,$A276)="","",INDEX(Tasks!$F:$F,$A276)))</f>
        <v/>
      </c>
      <c r="G276" s="18" t="str">
        <f aca="false">IF($A276="","",IF(INDEX(Tasks!$H:$H,$A276)="","",INDEX(Tasks!$H:$H,$A276)))</f>
        <v/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 customFormat="false" ht="15" hidden="false" customHeight="false" outlineLevel="0" collapsed="false">
      <c r="A277" s="16" t="str">
        <f aca="false">IFERROR(MATCH($C$2&amp;"|"&amp;(ROW()-4),Tasks!$L$4:$L$403,0)+3,"")</f>
        <v/>
      </c>
      <c r="B277" s="17" t="str">
        <f aca="false">IF($A277="","",IF(INDEX(Tasks!$A:$A,$A277)="","",INDEX(Tasks!$A:$A,$A277)))</f>
        <v/>
      </c>
      <c r="C277" s="17" t="str">
        <f aca="false">IF($A277="","",IF(ISERROR(FIND(".",INDEX(Tasks!$A:$A,$A277))),"","   ")&amp;INDEX(Tasks!$C:$C,$A277))</f>
        <v/>
      </c>
      <c r="D277" s="17" t="str">
        <f aca="false">IF($A277="","",IF(INDEX(Tasks!$D:$D,$A277)="","",INDEX(Tasks!$D:$D,$A277)))</f>
        <v/>
      </c>
      <c r="E277" s="17" t="str">
        <f aca="false">IF($A277="","",IF(INDEX(Tasks!$E:$E,$A277)="","",INDEX(Tasks!$E:$E,$A277)))</f>
        <v/>
      </c>
      <c r="F277" s="18" t="str">
        <f aca="false">IF($A277="","",IF(INDEX(Tasks!$F:$F,$A277)="","",INDEX(Tasks!$F:$F,$A277)))</f>
        <v/>
      </c>
      <c r="G277" s="18" t="str">
        <f aca="false">IF($A277="","",IF(INDEX(Tasks!$H:$H,$A277)="","",INDEX(Tasks!$H:$H,$A277)))</f>
        <v/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 customFormat="false" ht="15" hidden="false" customHeight="false" outlineLevel="0" collapsed="false">
      <c r="A278" s="16" t="str">
        <f aca="false">IFERROR(MATCH($C$2&amp;"|"&amp;(ROW()-4),Tasks!$L$4:$L$403,0)+3,"")</f>
        <v/>
      </c>
      <c r="B278" s="17" t="str">
        <f aca="false">IF($A278="","",IF(INDEX(Tasks!$A:$A,$A278)="","",INDEX(Tasks!$A:$A,$A278)))</f>
        <v/>
      </c>
      <c r="C278" s="17" t="str">
        <f aca="false">IF($A278="","",IF(ISERROR(FIND(".",INDEX(Tasks!$A:$A,$A278))),"","   ")&amp;INDEX(Tasks!$C:$C,$A278))</f>
        <v/>
      </c>
      <c r="D278" s="17" t="str">
        <f aca="false">IF($A278="","",IF(INDEX(Tasks!$D:$D,$A278)="","",INDEX(Tasks!$D:$D,$A278)))</f>
        <v/>
      </c>
      <c r="E278" s="17" t="str">
        <f aca="false">IF($A278="","",IF(INDEX(Tasks!$E:$E,$A278)="","",INDEX(Tasks!$E:$E,$A278)))</f>
        <v/>
      </c>
      <c r="F278" s="18" t="str">
        <f aca="false">IF($A278="","",IF(INDEX(Tasks!$F:$F,$A278)="","",INDEX(Tasks!$F:$F,$A278)))</f>
        <v/>
      </c>
      <c r="G278" s="18" t="str">
        <f aca="false">IF($A278="","",IF(INDEX(Tasks!$H:$H,$A278)="","",INDEX(Tasks!$H:$H,$A278)))</f>
        <v/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 customFormat="false" ht="15" hidden="false" customHeight="false" outlineLevel="0" collapsed="false">
      <c r="A279" s="16" t="str">
        <f aca="false">IFERROR(MATCH($C$2&amp;"|"&amp;(ROW()-4),Tasks!$L$4:$L$403,0)+3,"")</f>
        <v/>
      </c>
      <c r="B279" s="17" t="str">
        <f aca="false">IF($A279="","",IF(INDEX(Tasks!$A:$A,$A279)="","",INDEX(Tasks!$A:$A,$A279)))</f>
        <v/>
      </c>
      <c r="C279" s="17" t="str">
        <f aca="false">IF($A279="","",IF(ISERROR(FIND(".",INDEX(Tasks!$A:$A,$A279))),"","   ")&amp;INDEX(Tasks!$C:$C,$A279))</f>
        <v/>
      </c>
      <c r="D279" s="17" t="str">
        <f aca="false">IF($A279="","",IF(INDEX(Tasks!$D:$D,$A279)="","",INDEX(Tasks!$D:$D,$A279)))</f>
        <v/>
      </c>
      <c r="E279" s="17" t="str">
        <f aca="false">IF($A279="","",IF(INDEX(Tasks!$E:$E,$A279)="","",INDEX(Tasks!$E:$E,$A279)))</f>
        <v/>
      </c>
      <c r="F279" s="18" t="str">
        <f aca="false">IF($A279="","",IF(INDEX(Tasks!$F:$F,$A279)="","",INDEX(Tasks!$F:$F,$A279)))</f>
        <v/>
      </c>
      <c r="G279" s="18" t="str">
        <f aca="false">IF($A279="","",IF(INDEX(Tasks!$H:$H,$A279)="","",INDEX(Tasks!$H:$H,$A279)))</f>
        <v/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 customFormat="false" ht="15" hidden="false" customHeight="false" outlineLevel="0" collapsed="false">
      <c r="A280" s="16" t="str">
        <f aca="false">IFERROR(MATCH($C$2&amp;"|"&amp;(ROW()-4),Tasks!$L$4:$L$403,0)+3,"")</f>
        <v/>
      </c>
      <c r="B280" s="17" t="str">
        <f aca="false">IF($A280="","",IF(INDEX(Tasks!$A:$A,$A280)="","",INDEX(Tasks!$A:$A,$A280)))</f>
        <v/>
      </c>
      <c r="C280" s="17" t="str">
        <f aca="false">IF($A280="","",IF(ISERROR(FIND(".",INDEX(Tasks!$A:$A,$A280))),"","   ")&amp;INDEX(Tasks!$C:$C,$A280))</f>
        <v/>
      </c>
      <c r="D280" s="17" t="str">
        <f aca="false">IF($A280="","",IF(INDEX(Tasks!$D:$D,$A280)="","",INDEX(Tasks!$D:$D,$A280)))</f>
        <v/>
      </c>
      <c r="E280" s="17" t="str">
        <f aca="false">IF($A280="","",IF(INDEX(Tasks!$E:$E,$A280)="","",INDEX(Tasks!$E:$E,$A280)))</f>
        <v/>
      </c>
      <c r="F280" s="18" t="str">
        <f aca="false">IF($A280="","",IF(INDEX(Tasks!$F:$F,$A280)="","",INDEX(Tasks!$F:$F,$A280)))</f>
        <v/>
      </c>
      <c r="G280" s="18" t="str">
        <f aca="false">IF($A280="","",IF(INDEX(Tasks!$H:$H,$A280)="","",INDEX(Tasks!$H:$H,$A280)))</f>
        <v/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 customFormat="false" ht="15" hidden="false" customHeight="false" outlineLevel="0" collapsed="false">
      <c r="A281" s="16" t="str">
        <f aca="false">IFERROR(MATCH($C$2&amp;"|"&amp;(ROW()-4),Tasks!$L$4:$L$403,0)+3,"")</f>
        <v/>
      </c>
      <c r="B281" s="17" t="str">
        <f aca="false">IF($A281="","",IF(INDEX(Tasks!$A:$A,$A281)="","",INDEX(Tasks!$A:$A,$A281)))</f>
        <v/>
      </c>
      <c r="C281" s="17" t="str">
        <f aca="false">IF($A281="","",IF(ISERROR(FIND(".",INDEX(Tasks!$A:$A,$A281))),"","   ")&amp;INDEX(Tasks!$C:$C,$A281))</f>
        <v/>
      </c>
      <c r="D281" s="17" t="str">
        <f aca="false">IF($A281="","",IF(INDEX(Tasks!$D:$D,$A281)="","",INDEX(Tasks!$D:$D,$A281)))</f>
        <v/>
      </c>
      <c r="E281" s="17" t="str">
        <f aca="false">IF($A281="","",IF(INDEX(Tasks!$E:$E,$A281)="","",INDEX(Tasks!$E:$E,$A281)))</f>
        <v/>
      </c>
      <c r="F281" s="18" t="str">
        <f aca="false">IF($A281="","",IF(INDEX(Tasks!$F:$F,$A281)="","",INDEX(Tasks!$F:$F,$A281)))</f>
        <v/>
      </c>
      <c r="G281" s="18" t="str">
        <f aca="false">IF($A281="","",IF(INDEX(Tasks!$H:$H,$A281)="","",INDEX(Tasks!$H:$H,$A281)))</f>
        <v/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 customFormat="false" ht="15" hidden="false" customHeight="false" outlineLevel="0" collapsed="false">
      <c r="A282" s="16" t="str">
        <f aca="false">IFERROR(MATCH($C$2&amp;"|"&amp;(ROW()-4),Tasks!$L$4:$L$403,0)+3,"")</f>
        <v/>
      </c>
      <c r="B282" s="17" t="str">
        <f aca="false">IF($A282="","",IF(INDEX(Tasks!$A:$A,$A282)="","",INDEX(Tasks!$A:$A,$A282)))</f>
        <v/>
      </c>
      <c r="C282" s="17" t="str">
        <f aca="false">IF($A282="","",IF(ISERROR(FIND(".",INDEX(Tasks!$A:$A,$A282))),"","   ")&amp;INDEX(Tasks!$C:$C,$A282))</f>
        <v/>
      </c>
      <c r="D282" s="17" t="str">
        <f aca="false">IF($A282="","",IF(INDEX(Tasks!$D:$D,$A282)="","",INDEX(Tasks!$D:$D,$A282)))</f>
        <v/>
      </c>
      <c r="E282" s="17" t="str">
        <f aca="false">IF($A282="","",IF(INDEX(Tasks!$E:$E,$A282)="","",INDEX(Tasks!$E:$E,$A282)))</f>
        <v/>
      </c>
      <c r="F282" s="18" t="str">
        <f aca="false">IF($A282="","",IF(INDEX(Tasks!$F:$F,$A282)="","",INDEX(Tasks!$F:$F,$A282)))</f>
        <v/>
      </c>
      <c r="G282" s="18" t="str">
        <f aca="false">IF($A282="","",IF(INDEX(Tasks!$H:$H,$A282)="","",INDEX(Tasks!$H:$H,$A282)))</f>
        <v/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</row>
    <row r="283" customFormat="false" ht="15" hidden="false" customHeight="false" outlineLevel="0" collapsed="false">
      <c r="A283" s="16" t="str">
        <f aca="false">IFERROR(MATCH($C$2&amp;"|"&amp;(ROW()-4),Tasks!$L$4:$L$403,0)+3,"")</f>
        <v/>
      </c>
      <c r="B283" s="17" t="str">
        <f aca="false">IF($A283="","",IF(INDEX(Tasks!$A:$A,$A283)="","",INDEX(Tasks!$A:$A,$A283)))</f>
        <v/>
      </c>
      <c r="C283" s="17" t="str">
        <f aca="false">IF($A283="","",IF(ISERROR(FIND(".",INDEX(Tasks!$A:$A,$A283))),"","   ")&amp;INDEX(Tasks!$C:$C,$A283))</f>
        <v/>
      </c>
      <c r="D283" s="17" t="str">
        <f aca="false">IF($A283="","",IF(INDEX(Tasks!$D:$D,$A283)="","",INDEX(Tasks!$D:$D,$A283)))</f>
        <v/>
      </c>
      <c r="E283" s="17" t="str">
        <f aca="false">IF($A283="","",IF(INDEX(Tasks!$E:$E,$A283)="","",INDEX(Tasks!$E:$E,$A283)))</f>
        <v/>
      </c>
      <c r="F283" s="18" t="str">
        <f aca="false">IF($A283="","",IF(INDEX(Tasks!$F:$F,$A283)="","",INDEX(Tasks!$F:$F,$A283)))</f>
        <v/>
      </c>
      <c r="G283" s="18" t="str">
        <f aca="false">IF($A283="","",IF(INDEX(Tasks!$H:$H,$A283)="","",INDEX(Tasks!$H:$H,$A283)))</f>
        <v/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</row>
    <row r="284" customFormat="false" ht="15" hidden="false" customHeight="false" outlineLevel="0" collapsed="false">
      <c r="A284" s="16" t="str">
        <f aca="false">IFERROR(MATCH($C$2&amp;"|"&amp;(ROW()-4),Tasks!$L$4:$L$403,0)+3,"")</f>
        <v/>
      </c>
      <c r="B284" s="17" t="str">
        <f aca="false">IF($A284="","",IF(INDEX(Tasks!$A:$A,$A284)="","",INDEX(Tasks!$A:$A,$A284)))</f>
        <v/>
      </c>
      <c r="C284" s="17" t="str">
        <f aca="false">IF($A284="","",IF(ISERROR(FIND(".",INDEX(Tasks!$A:$A,$A284))),"","   ")&amp;INDEX(Tasks!$C:$C,$A284))</f>
        <v/>
      </c>
      <c r="D284" s="17" t="str">
        <f aca="false">IF($A284="","",IF(INDEX(Tasks!$D:$D,$A284)="","",INDEX(Tasks!$D:$D,$A284)))</f>
        <v/>
      </c>
      <c r="E284" s="17" t="str">
        <f aca="false">IF($A284="","",IF(INDEX(Tasks!$E:$E,$A284)="","",INDEX(Tasks!$E:$E,$A284)))</f>
        <v/>
      </c>
      <c r="F284" s="18" t="str">
        <f aca="false">IF($A284="","",IF(INDEX(Tasks!$F:$F,$A284)="","",INDEX(Tasks!$F:$F,$A284)))</f>
        <v/>
      </c>
      <c r="G284" s="18" t="str">
        <f aca="false">IF($A284="","",IF(INDEX(Tasks!$H:$H,$A284)="","",INDEX(Tasks!$H:$H,$A284)))</f>
        <v/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</row>
    <row r="285" customFormat="false" ht="15" hidden="false" customHeight="false" outlineLevel="0" collapsed="false">
      <c r="A285" s="16" t="str">
        <f aca="false">IFERROR(MATCH($C$2&amp;"|"&amp;(ROW()-4),Tasks!$L$4:$L$403,0)+3,"")</f>
        <v/>
      </c>
      <c r="B285" s="17" t="str">
        <f aca="false">IF($A285="","",IF(INDEX(Tasks!$A:$A,$A285)="","",INDEX(Tasks!$A:$A,$A285)))</f>
        <v/>
      </c>
      <c r="C285" s="17" t="str">
        <f aca="false">IF($A285="","",IF(ISERROR(FIND(".",INDEX(Tasks!$A:$A,$A285))),"","   ")&amp;INDEX(Tasks!$C:$C,$A285))</f>
        <v/>
      </c>
      <c r="D285" s="17" t="str">
        <f aca="false">IF($A285="","",IF(INDEX(Tasks!$D:$D,$A285)="","",INDEX(Tasks!$D:$D,$A285)))</f>
        <v/>
      </c>
      <c r="E285" s="17" t="str">
        <f aca="false">IF($A285="","",IF(INDEX(Tasks!$E:$E,$A285)="","",INDEX(Tasks!$E:$E,$A285)))</f>
        <v/>
      </c>
      <c r="F285" s="18" t="str">
        <f aca="false">IF($A285="","",IF(INDEX(Tasks!$F:$F,$A285)="","",INDEX(Tasks!$F:$F,$A285)))</f>
        <v/>
      </c>
      <c r="G285" s="18" t="str">
        <f aca="false">IF($A285="","",IF(INDEX(Tasks!$H:$H,$A285)="","",INDEX(Tasks!$H:$H,$A285)))</f>
        <v/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</row>
    <row r="286" customFormat="false" ht="15" hidden="false" customHeight="false" outlineLevel="0" collapsed="false">
      <c r="A286" s="16" t="str">
        <f aca="false">IFERROR(MATCH($C$2&amp;"|"&amp;(ROW()-4),Tasks!$L$4:$L$403,0)+3,"")</f>
        <v/>
      </c>
      <c r="B286" s="17" t="str">
        <f aca="false">IF($A286="","",IF(INDEX(Tasks!$A:$A,$A286)="","",INDEX(Tasks!$A:$A,$A286)))</f>
        <v/>
      </c>
      <c r="C286" s="17" t="str">
        <f aca="false">IF($A286="","",IF(ISERROR(FIND(".",INDEX(Tasks!$A:$A,$A286))),"","   ")&amp;INDEX(Tasks!$C:$C,$A286))</f>
        <v/>
      </c>
      <c r="D286" s="17" t="str">
        <f aca="false">IF($A286="","",IF(INDEX(Tasks!$D:$D,$A286)="","",INDEX(Tasks!$D:$D,$A286)))</f>
        <v/>
      </c>
      <c r="E286" s="17" t="str">
        <f aca="false">IF($A286="","",IF(INDEX(Tasks!$E:$E,$A286)="","",INDEX(Tasks!$E:$E,$A286)))</f>
        <v/>
      </c>
      <c r="F286" s="18" t="str">
        <f aca="false">IF($A286="","",IF(INDEX(Tasks!$F:$F,$A286)="","",INDEX(Tasks!$F:$F,$A286)))</f>
        <v/>
      </c>
      <c r="G286" s="18" t="str">
        <f aca="false">IF($A286="","",IF(INDEX(Tasks!$H:$H,$A286)="","",INDEX(Tasks!$H:$H,$A286)))</f>
        <v/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</row>
    <row r="287" customFormat="false" ht="15" hidden="false" customHeight="false" outlineLevel="0" collapsed="false">
      <c r="A287" s="16" t="str">
        <f aca="false">IFERROR(MATCH($C$2&amp;"|"&amp;(ROW()-4),Tasks!$L$4:$L$403,0)+3,"")</f>
        <v/>
      </c>
      <c r="B287" s="17" t="str">
        <f aca="false">IF($A287="","",IF(INDEX(Tasks!$A:$A,$A287)="","",INDEX(Tasks!$A:$A,$A287)))</f>
        <v/>
      </c>
      <c r="C287" s="17" t="str">
        <f aca="false">IF($A287="","",IF(ISERROR(FIND(".",INDEX(Tasks!$A:$A,$A287))),"","   ")&amp;INDEX(Tasks!$C:$C,$A287))</f>
        <v/>
      </c>
      <c r="D287" s="17" t="str">
        <f aca="false">IF($A287="","",IF(INDEX(Tasks!$D:$D,$A287)="","",INDEX(Tasks!$D:$D,$A287)))</f>
        <v/>
      </c>
      <c r="E287" s="17" t="str">
        <f aca="false">IF($A287="","",IF(INDEX(Tasks!$E:$E,$A287)="","",INDEX(Tasks!$E:$E,$A287)))</f>
        <v/>
      </c>
      <c r="F287" s="18" t="str">
        <f aca="false">IF($A287="","",IF(INDEX(Tasks!$F:$F,$A287)="","",INDEX(Tasks!$F:$F,$A287)))</f>
        <v/>
      </c>
      <c r="G287" s="18" t="str">
        <f aca="false">IF($A287="","",IF(INDEX(Tasks!$H:$H,$A287)="","",INDEX(Tasks!$H:$H,$A287)))</f>
        <v/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</row>
    <row r="288" customFormat="false" ht="15" hidden="false" customHeight="false" outlineLevel="0" collapsed="false">
      <c r="A288" s="16" t="str">
        <f aca="false">IFERROR(MATCH($C$2&amp;"|"&amp;(ROW()-4),Tasks!$L$4:$L$403,0)+3,"")</f>
        <v/>
      </c>
      <c r="B288" s="17" t="str">
        <f aca="false">IF($A288="","",IF(INDEX(Tasks!$A:$A,$A288)="","",INDEX(Tasks!$A:$A,$A288)))</f>
        <v/>
      </c>
      <c r="C288" s="17" t="str">
        <f aca="false">IF($A288="","",IF(ISERROR(FIND(".",INDEX(Tasks!$A:$A,$A288))),"","   ")&amp;INDEX(Tasks!$C:$C,$A288))</f>
        <v/>
      </c>
      <c r="D288" s="17" t="str">
        <f aca="false">IF($A288="","",IF(INDEX(Tasks!$D:$D,$A288)="","",INDEX(Tasks!$D:$D,$A288)))</f>
        <v/>
      </c>
      <c r="E288" s="17" t="str">
        <f aca="false">IF($A288="","",IF(INDEX(Tasks!$E:$E,$A288)="","",INDEX(Tasks!$E:$E,$A288)))</f>
        <v/>
      </c>
      <c r="F288" s="18" t="str">
        <f aca="false">IF($A288="","",IF(INDEX(Tasks!$F:$F,$A288)="","",INDEX(Tasks!$F:$F,$A288)))</f>
        <v/>
      </c>
      <c r="G288" s="18" t="str">
        <f aca="false">IF($A288="","",IF(INDEX(Tasks!$H:$H,$A288)="","",INDEX(Tasks!$H:$H,$A288)))</f>
        <v/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</row>
    <row r="289" customFormat="false" ht="15" hidden="false" customHeight="false" outlineLevel="0" collapsed="false">
      <c r="A289" s="16" t="str">
        <f aca="false">IFERROR(MATCH($C$2&amp;"|"&amp;(ROW()-4),Tasks!$L$4:$L$403,0)+3,"")</f>
        <v/>
      </c>
      <c r="B289" s="17" t="str">
        <f aca="false">IF($A289="","",IF(INDEX(Tasks!$A:$A,$A289)="","",INDEX(Tasks!$A:$A,$A289)))</f>
        <v/>
      </c>
      <c r="C289" s="17" t="str">
        <f aca="false">IF($A289="","",IF(ISERROR(FIND(".",INDEX(Tasks!$A:$A,$A289))),"","   ")&amp;INDEX(Tasks!$C:$C,$A289))</f>
        <v/>
      </c>
      <c r="D289" s="17" t="str">
        <f aca="false">IF($A289="","",IF(INDEX(Tasks!$D:$D,$A289)="","",INDEX(Tasks!$D:$D,$A289)))</f>
        <v/>
      </c>
      <c r="E289" s="17" t="str">
        <f aca="false">IF($A289="","",IF(INDEX(Tasks!$E:$E,$A289)="","",INDEX(Tasks!$E:$E,$A289)))</f>
        <v/>
      </c>
      <c r="F289" s="18" t="str">
        <f aca="false">IF($A289="","",IF(INDEX(Tasks!$F:$F,$A289)="","",INDEX(Tasks!$F:$F,$A289)))</f>
        <v/>
      </c>
      <c r="G289" s="18" t="str">
        <f aca="false">IF($A289="","",IF(INDEX(Tasks!$H:$H,$A289)="","",INDEX(Tasks!$H:$H,$A289)))</f>
        <v/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</row>
    <row r="290" customFormat="false" ht="15" hidden="false" customHeight="false" outlineLevel="0" collapsed="false">
      <c r="A290" s="16" t="str">
        <f aca="false">IFERROR(MATCH($C$2&amp;"|"&amp;(ROW()-4),Tasks!$L$4:$L$403,0)+3,"")</f>
        <v/>
      </c>
      <c r="B290" s="17" t="str">
        <f aca="false">IF($A290="","",IF(INDEX(Tasks!$A:$A,$A290)="","",INDEX(Tasks!$A:$A,$A290)))</f>
        <v/>
      </c>
      <c r="C290" s="17" t="str">
        <f aca="false">IF($A290="","",IF(ISERROR(FIND(".",INDEX(Tasks!$A:$A,$A290))),"","   ")&amp;INDEX(Tasks!$C:$C,$A290))</f>
        <v/>
      </c>
      <c r="D290" s="17" t="str">
        <f aca="false">IF($A290="","",IF(INDEX(Tasks!$D:$D,$A290)="","",INDEX(Tasks!$D:$D,$A290)))</f>
        <v/>
      </c>
      <c r="E290" s="17" t="str">
        <f aca="false">IF($A290="","",IF(INDEX(Tasks!$E:$E,$A290)="","",INDEX(Tasks!$E:$E,$A290)))</f>
        <v/>
      </c>
      <c r="F290" s="18" t="str">
        <f aca="false">IF($A290="","",IF(INDEX(Tasks!$F:$F,$A290)="","",INDEX(Tasks!$F:$F,$A290)))</f>
        <v/>
      </c>
      <c r="G290" s="18" t="str">
        <f aca="false">IF($A290="","",IF(INDEX(Tasks!$H:$H,$A290)="","",INDEX(Tasks!$H:$H,$A290)))</f>
        <v/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 customFormat="false" ht="15" hidden="false" customHeight="false" outlineLevel="0" collapsed="false">
      <c r="A291" s="16" t="str">
        <f aca="false">IFERROR(MATCH($C$2&amp;"|"&amp;(ROW()-4),Tasks!$L$4:$L$403,0)+3,"")</f>
        <v/>
      </c>
      <c r="B291" s="17" t="str">
        <f aca="false">IF($A291="","",IF(INDEX(Tasks!$A:$A,$A291)="","",INDEX(Tasks!$A:$A,$A291)))</f>
        <v/>
      </c>
      <c r="C291" s="17" t="str">
        <f aca="false">IF($A291="","",IF(ISERROR(FIND(".",INDEX(Tasks!$A:$A,$A291))),"","   ")&amp;INDEX(Tasks!$C:$C,$A291))</f>
        <v/>
      </c>
      <c r="D291" s="17" t="str">
        <f aca="false">IF($A291="","",IF(INDEX(Tasks!$D:$D,$A291)="","",INDEX(Tasks!$D:$D,$A291)))</f>
        <v/>
      </c>
      <c r="E291" s="17" t="str">
        <f aca="false">IF($A291="","",IF(INDEX(Tasks!$E:$E,$A291)="","",INDEX(Tasks!$E:$E,$A291)))</f>
        <v/>
      </c>
      <c r="F291" s="18" t="str">
        <f aca="false">IF($A291="","",IF(INDEX(Tasks!$F:$F,$A291)="","",INDEX(Tasks!$F:$F,$A291)))</f>
        <v/>
      </c>
      <c r="G291" s="18" t="str">
        <f aca="false">IF($A291="","",IF(INDEX(Tasks!$H:$H,$A291)="","",INDEX(Tasks!$H:$H,$A291)))</f>
        <v/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</row>
    <row r="292" customFormat="false" ht="15" hidden="false" customHeight="false" outlineLevel="0" collapsed="false">
      <c r="A292" s="16" t="str">
        <f aca="false">IFERROR(MATCH($C$2&amp;"|"&amp;(ROW()-4),Tasks!$L$4:$L$403,0)+3,"")</f>
        <v/>
      </c>
      <c r="B292" s="17" t="str">
        <f aca="false">IF($A292="","",IF(INDEX(Tasks!$A:$A,$A292)="","",INDEX(Tasks!$A:$A,$A292)))</f>
        <v/>
      </c>
      <c r="C292" s="17" t="str">
        <f aca="false">IF($A292="","",IF(ISERROR(FIND(".",INDEX(Tasks!$A:$A,$A292))),"","   ")&amp;INDEX(Tasks!$C:$C,$A292))</f>
        <v/>
      </c>
      <c r="D292" s="17" t="str">
        <f aca="false">IF($A292="","",IF(INDEX(Tasks!$D:$D,$A292)="","",INDEX(Tasks!$D:$D,$A292)))</f>
        <v/>
      </c>
      <c r="E292" s="17" t="str">
        <f aca="false">IF($A292="","",IF(INDEX(Tasks!$E:$E,$A292)="","",INDEX(Tasks!$E:$E,$A292)))</f>
        <v/>
      </c>
      <c r="F292" s="18" t="str">
        <f aca="false">IF($A292="","",IF(INDEX(Tasks!$F:$F,$A292)="","",INDEX(Tasks!$F:$F,$A292)))</f>
        <v/>
      </c>
      <c r="G292" s="18" t="str">
        <f aca="false">IF($A292="","",IF(INDEX(Tasks!$H:$H,$A292)="","",INDEX(Tasks!$H:$H,$A292)))</f>
        <v/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</row>
    <row r="293" customFormat="false" ht="15" hidden="false" customHeight="false" outlineLevel="0" collapsed="false">
      <c r="A293" s="16" t="str">
        <f aca="false">IFERROR(MATCH($C$2&amp;"|"&amp;(ROW()-4),Tasks!$L$4:$L$403,0)+3,"")</f>
        <v/>
      </c>
      <c r="B293" s="17" t="str">
        <f aca="false">IF($A293="","",IF(INDEX(Tasks!$A:$A,$A293)="","",INDEX(Tasks!$A:$A,$A293)))</f>
        <v/>
      </c>
      <c r="C293" s="17" t="str">
        <f aca="false">IF($A293="","",IF(ISERROR(FIND(".",INDEX(Tasks!$A:$A,$A293))),"","   ")&amp;INDEX(Tasks!$C:$C,$A293))</f>
        <v/>
      </c>
      <c r="D293" s="17" t="str">
        <f aca="false">IF($A293="","",IF(INDEX(Tasks!$D:$D,$A293)="","",INDEX(Tasks!$D:$D,$A293)))</f>
        <v/>
      </c>
      <c r="E293" s="17" t="str">
        <f aca="false">IF($A293="","",IF(INDEX(Tasks!$E:$E,$A293)="","",INDEX(Tasks!$E:$E,$A293)))</f>
        <v/>
      </c>
      <c r="F293" s="18" t="str">
        <f aca="false">IF($A293="","",IF(INDEX(Tasks!$F:$F,$A293)="","",INDEX(Tasks!$F:$F,$A293)))</f>
        <v/>
      </c>
      <c r="G293" s="18" t="str">
        <f aca="false">IF($A293="","",IF(INDEX(Tasks!$H:$H,$A293)="","",INDEX(Tasks!$H:$H,$A293)))</f>
        <v/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</row>
    <row r="294" customFormat="false" ht="15" hidden="false" customHeight="false" outlineLevel="0" collapsed="false">
      <c r="A294" s="16" t="str">
        <f aca="false">IFERROR(MATCH($C$2&amp;"|"&amp;(ROW()-4),Tasks!$L$4:$L$403,0)+3,"")</f>
        <v/>
      </c>
      <c r="B294" s="17" t="str">
        <f aca="false">IF($A294="","",IF(INDEX(Tasks!$A:$A,$A294)="","",INDEX(Tasks!$A:$A,$A294)))</f>
        <v/>
      </c>
      <c r="C294" s="17" t="str">
        <f aca="false">IF($A294="","",IF(ISERROR(FIND(".",INDEX(Tasks!$A:$A,$A294))),"","   ")&amp;INDEX(Tasks!$C:$C,$A294))</f>
        <v/>
      </c>
      <c r="D294" s="17" t="str">
        <f aca="false">IF($A294="","",IF(INDEX(Tasks!$D:$D,$A294)="","",INDEX(Tasks!$D:$D,$A294)))</f>
        <v/>
      </c>
      <c r="E294" s="17" t="str">
        <f aca="false">IF($A294="","",IF(INDEX(Tasks!$E:$E,$A294)="","",INDEX(Tasks!$E:$E,$A294)))</f>
        <v/>
      </c>
      <c r="F294" s="18" t="str">
        <f aca="false">IF($A294="","",IF(INDEX(Tasks!$F:$F,$A294)="","",INDEX(Tasks!$F:$F,$A294)))</f>
        <v/>
      </c>
      <c r="G294" s="18" t="str">
        <f aca="false">IF($A294="","",IF(INDEX(Tasks!$H:$H,$A294)="","",INDEX(Tasks!$H:$H,$A294)))</f>
        <v/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</row>
    <row r="295" customFormat="false" ht="15" hidden="false" customHeight="false" outlineLevel="0" collapsed="false">
      <c r="A295" s="16" t="str">
        <f aca="false">IFERROR(MATCH($C$2&amp;"|"&amp;(ROW()-4),Tasks!$L$4:$L$403,0)+3,"")</f>
        <v/>
      </c>
      <c r="B295" s="17" t="str">
        <f aca="false">IF($A295="","",IF(INDEX(Tasks!$A:$A,$A295)="","",INDEX(Tasks!$A:$A,$A295)))</f>
        <v/>
      </c>
      <c r="C295" s="17" t="str">
        <f aca="false">IF($A295="","",IF(ISERROR(FIND(".",INDEX(Tasks!$A:$A,$A295))),"","   ")&amp;INDEX(Tasks!$C:$C,$A295))</f>
        <v/>
      </c>
      <c r="D295" s="17" t="str">
        <f aca="false">IF($A295="","",IF(INDEX(Tasks!$D:$D,$A295)="","",INDEX(Tasks!$D:$D,$A295)))</f>
        <v/>
      </c>
      <c r="E295" s="17" t="str">
        <f aca="false">IF($A295="","",IF(INDEX(Tasks!$E:$E,$A295)="","",INDEX(Tasks!$E:$E,$A295)))</f>
        <v/>
      </c>
      <c r="F295" s="18" t="str">
        <f aca="false">IF($A295="","",IF(INDEX(Tasks!$F:$F,$A295)="","",INDEX(Tasks!$F:$F,$A295)))</f>
        <v/>
      </c>
      <c r="G295" s="18" t="str">
        <f aca="false">IF($A295="","",IF(INDEX(Tasks!$H:$H,$A295)="","",INDEX(Tasks!$H:$H,$A295)))</f>
        <v/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</row>
    <row r="296" customFormat="false" ht="15" hidden="false" customHeight="false" outlineLevel="0" collapsed="false">
      <c r="A296" s="16" t="str">
        <f aca="false">IFERROR(MATCH($C$2&amp;"|"&amp;(ROW()-4),Tasks!$L$4:$L$403,0)+3,"")</f>
        <v/>
      </c>
      <c r="B296" s="17" t="str">
        <f aca="false">IF($A296="","",IF(INDEX(Tasks!$A:$A,$A296)="","",INDEX(Tasks!$A:$A,$A296)))</f>
        <v/>
      </c>
      <c r="C296" s="17" t="str">
        <f aca="false">IF($A296="","",IF(ISERROR(FIND(".",INDEX(Tasks!$A:$A,$A296))),"","   ")&amp;INDEX(Tasks!$C:$C,$A296))</f>
        <v/>
      </c>
      <c r="D296" s="17" t="str">
        <f aca="false">IF($A296="","",IF(INDEX(Tasks!$D:$D,$A296)="","",INDEX(Tasks!$D:$D,$A296)))</f>
        <v/>
      </c>
      <c r="E296" s="17" t="str">
        <f aca="false">IF($A296="","",IF(INDEX(Tasks!$E:$E,$A296)="","",INDEX(Tasks!$E:$E,$A296)))</f>
        <v/>
      </c>
      <c r="F296" s="18" t="str">
        <f aca="false">IF($A296="","",IF(INDEX(Tasks!$F:$F,$A296)="","",INDEX(Tasks!$F:$F,$A296)))</f>
        <v/>
      </c>
      <c r="G296" s="18" t="str">
        <f aca="false">IF($A296="","",IF(INDEX(Tasks!$H:$H,$A296)="","",INDEX(Tasks!$H:$H,$A296)))</f>
        <v/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</row>
    <row r="297" customFormat="false" ht="15" hidden="false" customHeight="false" outlineLevel="0" collapsed="false">
      <c r="A297" s="16" t="str">
        <f aca="false">IFERROR(MATCH($C$2&amp;"|"&amp;(ROW()-4),Tasks!$L$4:$L$403,0)+3,"")</f>
        <v/>
      </c>
      <c r="B297" s="17" t="str">
        <f aca="false">IF($A297="","",IF(INDEX(Tasks!$A:$A,$A297)="","",INDEX(Tasks!$A:$A,$A297)))</f>
        <v/>
      </c>
      <c r="C297" s="17" t="str">
        <f aca="false">IF($A297="","",IF(ISERROR(FIND(".",INDEX(Tasks!$A:$A,$A297))),"","   ")&amp;INDEX(Tasks!$C:$C,$A297))</f>
        <v/>
      </c>
      <c r="D297" s="17" t="str">
        <f aca="false">IF($A297="","",IF(INDEX(Tasks!$D:$D,$A297)="","",INDEX(Tasks!$D:$D,$A297)))</f>
        <v/>
      </c>
      <c r="E297" s="17" t="str">
        <f aca="false">IF($A297="","",IF(INDEX(Tasks!$E:$E,$A297)="","",INDEX(Tasks!$E:$E,$A297)))</f>
        <v/>
      </c>
      <c r="F297" s="18" t="str">
        <f aca="false">IF($A297="","",IF(INDEX(Tasks!$F:$F,$A297)="","",INDEX(Tasks!$F:$F,$A297)))</f>
        <v/>
      </c>
      <c r="G297" s="18" t="str">
        <f aca="false">IF($A297="","",IF(INDEX(Tasks!$H:$H,$A297)="","",INDEX(Tasks!$H:$H,$A297)))</f>
        <v/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</row>
    <row r="298" customFormat="false" ht="15" hidden="false" customHeight="false" outlineLevel="0" collapsed="false">
      <c r="A298" s="16" t="str">
        <f aca="false">IFERROR(MATCH($C$2&amp;"|"&amp;(ROW()-4),Tasks!$L$4:$L$403,0)+3,"")</f>
        <v/>
      </c>
      <c r="B298" s="17" t="str">
        <f aca="false">IF($A298="","",IF(INDEX(Tasks!$A:$A,$A298)="","",INDEX(Tasks!$A:$A,$A298)))</f>
        <v/>
      </c>
      <c r="C298" s="17" t="str">
        <f aca="false">IF($A298="","",IF(ISERROR(FIND(".",INDEX(Tasks!$A:$A,$A298))),"","   ")&amp;INDEX(Tasks!$C:$C,$A298))</f>
        <v/>
      </c>
      <c r="D298" s="17" t="str">
        <f aca="false">IF($A298="","",IF(INDEX(Tasks!$D:$D,$A298)="","",INDEX(Tasks!$D:$D,$A298)))</f>
        <v/>
      </c>
      <c r="E298" s="17" t="str">
        <f aca="false">IF($A298="","",IF(INDEX(Tasks!$E:$E,$A298)="","",INDEX(Tasks!$E:$E,$A298)))</f>
        <v/>
      </c>
      <c r="F298" s="18" t="str">
        <f aca="false">IF($A298="","",IF(INDEX(Tasks!$F:$F,$A298)="","",INDEX(Tasks!$F:$F,$A298)))</f>
        <v/>
      </c>
      <c r="G298" s="18" t="str">
        <f aca="false">IF($A298="","",IF(INDEX(Tasks!$H:$H,$A298)="","",INDEX(Tasks!$H:$H,$A298)))</f>
        <v/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</row>
    <row r="299" customFormat="false" ht="15" hidden="false" customHeight="false" outlineLevel="0" collapsed="false">
      <c r="A299" s="16" t="str">
        <f aca="false">IFERROR(MATCH($C$2&amp;"|"&amp;(ROW()-4),Tasks!$L$4:$L$403,0)+3,"")</f>
        <v/>
      </c>
      <c r="B299" s="17" t="str">
        <f aca="false">IF($A299="","",IF(INDEX(Tasks!$A:$A,$A299)="","",INDEX(Tasks!$A:$A,$A299)))</f>
        <v/>
      </c>
      <c r="C299" s="17" t="str">
        <f aca="false">IF($A299="","",IF(ISERROR(FIND(".",INDEX(Tasks!$A:$A,$A299))),"","   ")&amp;INDEX(Tasks!$C:$C,$A299))</f>
        <v/>
      </c>
      <c r="D299" s="17" t="str">
        <f aca="false">IF($A299="","",IF(INDEX(Tasks!$D:$D,$A299)="","",INDEX(Tasks!$D:$D,$A299)))</f>
        <v/>
      </c>
      <c r="E299" s="17" t="str">
        <f aca="false">IF($A299="","",IF(INDEX(Tasks!$E:$E,$A299)="","",INDEX(Tasks!$E:$E,$A299)))</f>
        <v/>
      </c>
      <c r="F299" s="18" t="str">
        <f aca="false">IF($A299="","",IF(INDEX(Tasks!$F:$F,$A299)="","",INDEX(Tasks!$F:$F,$A299)))</f>
        <v/>
      </c>
      <c r="G299" s="18" t="str">
        <f aca="false">IF($A299="","",IF(INDEX(Tasks!$H:$H,$A299)="","",INDEX(Tasks!$H:$H,$A299)))</f>
        <v/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</row>
    <row r="300" customFormat="false" ht="15" hidden="false" customHeight="false" outlineLevel="0" collapsed="false">
      <c r="A300" s="16" t="str">
        <f aca="false">IFERROR(MATCH($C$2&amp;"|"&amp;(ROW()-4),Tasks!$L$4:$L$403,0)+3,"")</f>
        <v/>
      </c>
      <c r="B300" s="17" t="str">
        <f aca="false">IF($A300="","",IF(INDEX(Tasks!$A:$A,$A300)="","",INDEX(Tasks!$A:$A,$A300)))</f>
        <v/>
      </c>
      <c r="C300" s="17" t="str">
        <f aca="false">IF($A300="","",IF(ISERROR(FIND(".",INDEX(Tasks!$A:$A,$A300))),"","   ")&amp;INDEX(Tasks!$C:$C,$A300))</f>
        <v/>
      </c>
      <c r="D300" s="17" t="str">
        <f aca="false">IF($A300="","",IF(INDEX(Tasks!$D:$D,$A300)="","",INDEX(Tasks!$D:$D,$A300)))</f>
        <v/>
      </c>
      <c r="E300" s="17" t="str">
        <f aca="false">IF($A300="","",IF(INDEX(Tasks!$E:$E,$A300)="","",INDEX(Tasks!$E:$E,$A300)))</f>
        <v/>
      </c>
      <c r="F300" s="18" t="str">
        <f aca="false">IF($A300="","",IF(INDEX(Tasks!$F:$F,$A300)="","",INDEX(Tasks!$F:$F,$A300)))</f>
        <v/>
      </c>
      <c r="G300" s="18" t="str">
        <f aca="false">IF($A300="","",IF(INDEX(Tasks!$H:$H,$A300)="","",INDEX(Tasks!$H:$H,$A300)))</f>
        <v/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</row>
    <row r="301" customFormat="false" ht="15" hidden="false" customHeight="false" outlineLevel="0" collapsed="false">
      <c r="A301" s="16" t="str">
        <f aca="false">IFERROR(MATCH($C$2&amp;"|"&amp;(ROW()-4),Tasks!$L$4:$L$403,0)+3,"")</f>
        <v/>
      </c>
      <c r="B301" s="17" t="str">
        <f aca="false">IF($A301="","",IF(INDEX(Tasks!$A:$A,$A301)="","",INDEX(Tasks!$A:$A,$A301)))</f>
        <v/>
      </c>
      <c r="C301" s="17" t="str">
        <f aca="false">IF($A301="","",IF(ISERROR(FIND(".",INDEX(Tasks!$A:$A,$A301))),"","   ")&amp;INDEX(Tasks!$C:$C,$A301))</f>
        <v/>
      </c>
      <c r="D301" s="17" t="str">
        <f aca="false">IF($A301="","",IF(INDEX(Tasks!$D:$D,$A301)="","",INDEX(Tasks!$D:$D,$A301)))</f>
        <v/>
      </c>
      <c r="E301" s="17" t="str">
        <f aca="false">IF($A301="","",IF(INDEX(Tasks!$E:$E,$A301)="","",INDEX(Tasks!$E:$E,$A301)))</f>
        <v/>
      </c>
      <c r="F301" s="18" t="str">
        <f aca="false">IF($A301="","",IF(INDEX(Tasks!$F:$F,$A301)="","",INDEX(Tasks!$F:$F,$A301)))</f>
        <v/>
      </c>
      <c r="G301" s="18" t="str">
        <f aca="false">IF($A301="","",IF(INDEX(Tasks!$H:$H,$A301)="","",INDEX(Tasks!$H:$H,$A301)))</f>
        <v/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</row>
    <row r="302" customFormat="false" ht="15" hidden="false" customHeight="false" outlineLevel="0" collapsed="false">
      <c r="A302" s="16" t="str">
        <f aca="false">IFERROR(MATCH($C$2&amp;"|"&amp;(ROW()-4),Tasks!$L$4:$L$403,0)+3,"")</f>
        <v/>
      </c>
      <c r="B302" s="17" t="str">
        <f aca="false">IF($A302="","",IF(INDEX(Tasks!$A:$A,$A302)="","",INDEX(Tasks!$A:$A,$A302)))</f>
        <v/>
      </c>
      <c r="C302" s="17" t="str">
        <f aca="false">IF($A302="","",IF(ISERROR(FIND(".",INDEX(Tasks!$A:$A,$A302))),"","   ")&amp;INDEX(Tasks!$C:$C,$A302))</f>
        <v/>
      </c>
      <c r="D302" s="17" t="str">
        <f aca="false">IF($A302="","",IF(INDEX(Tasks!$D:$D,$A302)="","",INDEX(Tasks!$D:$D,$A302)))</f>
        <v/>
      </c>
      <c r="E302" s="17" t="str">
        <f aca="false">IF($A302="","",IF(INDEX(Tasks!$E:$E,$A302)="","",INDEX(Tasks!$E:$E,$A302)))</f>
        <v/>
      </c>
      <c r="F302" s="18" t="str">
        <f aca="false">IF($A302="","",IF(INDEX(Tasks!$F:$F,$A302)="","",INDEX(Tasks!$F:$F,$A302)))</f>
        <v/>
      </c>
      <c r="G302" s="18" t="str">
        <f aca="false">IF($A302="","",IF(INDEX(Tasks!$H:$H,$A302)="","",INDEX(Tasks!$H:$H,$A302)))</f>
        <v/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</row>
    <row r="303" customFormat="false" ht="15" hidden="false" customHeight="false" outlineLevel="0" collapsed="false">
      <c r="A303" s="16" t="str">
        <f aca="false">IFERROR(MATCH($C$2&amp;"|"&amp;(ROW()-4),Tasks!$L$4:$L$403,0)+3,"")</f>
        <v/>
      </c>
      <c r="B303" s="17" t="str">
        <f aca="false">IF($A303="","",IF(INDEX(Tasks!$A:$A,$A303)="","",INDEX(Tasks!$A:$A,$A303)))</f>
        <v/>
      </c>
      <c r="C303" s="17" t="str">
        <f aca="false">IF($A303="","",IF(ISERROR(FIND(".",INDEX(Tasks!$A:$A,$A303))),"","   ")&amp;INDEX(Tasks!$C:$C,$A303))</f>
        <v/>
      </c>
      <c r="D303" s="17" t="str">
        <f aca="false">IF($A303="","",IF(INDEX(Tasks!$D:$D,$A303)="","",INDEX(Tasks!$D:$D,$A303)))</f>
        <v/>
      </c>
      <c r="E303" s="17" t="str">
        <f aca="false">IF($A303="","",IF(INDEX(Tasks!$E:$E,$A303)="","",INDEX(Tasks!$E:$E,$A303)))</f>
        <v/>
      </c>
      <c r="F303" s="18" t="str">
        <f aca="false">IF($A303="","",IF(INDEX(Tasks!$F:$F,$A303)="","",INDEX(Tasks!$F:$F,$A303)))</f>
        <v/>
      </c>
      <c r="G303" s="18" t="str">
        <f aca="false">IF($A303="","",IF(INDEX(Tasks!$H:$H,$A303)="","",INDEX(Tasks!$H:$H,$A303)))</f>
        <v/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</row>
    <row r="304" customFormat="false" ht="15" hidden="false" customHeight="false" outlineLevel="0" collapsed="false">
      <c r="A304" s="16" t="str">
        <f aca="false">IFERROR(MATCH($C$2&amp;"|"&amp;(ROW()-4),Tasks!$L$4:$L$403,0)+3,"")</f>
        <v/>
      </c>
      <c r="B304" s="17" t="str">
        <f aca="false">IF($A304="","",IF(INDEX(Tasks!$A:$A,$A304)="","",INDEX(Tasks!$A:$A,$A304)))</f>
        <v/>
      </c>
      <c r="C304" s="17" t="str">
        <f aca="false">IF($A304="","",IF(ISERROR(FIND(".",INDEX(Tasks!$A:$A,$A304))),"","   ")&amp;INDEX(Tasks!$C:$C,$A304))</f>
        <v/>
      </c>
      <c r="D304" s="17" t="str">
        <f aca="false">IF($A304="","",IF(INDEX(Tasks!$D:$D,$A304)="","",INDEX(Tasks!$D:$D,$A304)))</f>
        <v/>
      </c>
      <c r="E304" s="17" t="str">
        <f aca="false">IF($A304="","",IF(INDEX(Tasks!$E:$E,$A304)="","",INDEX(Tasks!$E:$E,$A304)))</f>
        <v/>
      </c>
      <c r="F304" s="18" t="str">
        <f aca="false">IF($A304="","",IF(INDEX(Tasks!$F:$F,$A304)="","",INDEX(Tasks!$F:$F,$A304)))</f>
        <v/>
      </c>
      <c r="G304" s="18" t="str">
        <f aca="false">IF($A304="","",IF(INDEX(Tasks!$H:$H,$A304)="","",INDEX(Tasks!$H:$H,$A304)))</f>
        <v/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</row>
    <row r="305" customFormat="false" ht="15" hidden="false" customHeight="false" outlineLevel="0" collapsed="false">
      <c r="A305" s="16" t="str">
        <f aca="false">IFERROR(MATCH($C$2&amp;"|"&amp;(ROW()-4),Tasks!$L$4:$L$403,0)+3,"")</f>
        <v/>
      </c>
      <c r="B305" s="17" t="str">
        <f aca="false">IF($A305="","",IF(INDEX(Tasks!$A:$A,$A305)="","",INDEX(Tasks!$A:$A,$A305)))</f>
        <v/>
      </c>
      <c r="C305" s="17" t="str">
        <f aca="false">IF($A305="","",IF(ISERROR(FIND(".",INDEX(Tasks!$A:$A,$A305))),"","   ")&amp;INDEX(Tasks!$C:$C,$A305))</f>
        <v/>
      </c>
      <c r="D305" s="17" t="str">
        <f aca="false">IF($A305="","",IF(INDEX(Tasks!$D:$D,$A305)="","",INDEX(Tasks!$D:$D,$A305)))</f>
        <v/>
      </c>
      <c r="E305" s="17" t="str">
        <f aca="false">IF($A305="","",IF(INDEX(Tasks!$E:$E,$A305)="","",INDEX(Tasks!$E:$E,$A305)))</f>
        <v/>
      </c>
      <c r="F305" s="18" t="str">
        <f aca="false">IF($A305="","",IF(INDEX(Tasks!$F:$F,$A305)="","",INDEX(Tasks!$F:$F,$A305)))</f>
        <v/>
      </c>
      <c r="G305" s="18" t="str">
        <f aca="false">IF($A305="","",IF(INDEX(Tasks!$H:$H,$A305)="","",INDEX(Tasks!$H:$H,$A305)))</f>
        <v/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</row>
    <row r="306" customFormat="false" ht="15" hidden="false" customHeight="false" outlineLevel="0" collapsed="false">
      <c r="A306" s="16" t="str">
        <f aca="false">IFERROR(MATCH($C$2&amp;"|"&amp;(ROW()-4),Tasks!$L$4:$L$403,0)+3,"")</f>
        <v/>
      </c>
      <c r="B306" s="17" t="str">
        <f aca="false">IF($A306="","",IF(INDEX(Tasks!$A:$A,$A306)="","",INDEX(Tasks!$A:$A,$A306)))</f>
        <v/>
      </c>
      <c r="C306" s="17" t="str">
        <f aca="false">IF($A306="","",IF(ISERROR(FIND(".",INDEX(Tasks!$A:$A,$A306))),"","   ")&amp;INDEX(Tasks!$C:$C,$A306))</f>
        <v/>
      </c>
      <c r="D306" s="17" t="str">
        <f aca="false">IF($A306="","",IF(INDEX(Tasks!$D:$D,$A306)="","",INDEX(Tasks!$D:$D,$A306)))</f>
        <v/>
      </c>
      <c r="E306" s="17" t="str">
        <f aca="false">IF($A306="","",IF(INDEX(Tasks!$E:$E,$A306)="","",INDEX(Tasks!$E:$E,$A306)))</f>
        <v/>
      </c>
      <c r="F306" s="18" t="str">
        <f aca="false">IF($A306="","",IF(INDEX(Tasks!$F:$F,$A306)="","",INDEX(Tasks!$F:$F,$A306)))</f>
        <v/>
      </c>
      <c r="G306" s="18" t="str">
        <f aca="false">IF($A306="","",IF(INDEX(Tasks!$H:$H,$A306)="","",INDEX(Tasks!$H:$H,$A306)))</f>
        <v/>
      </c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</row>
    <row r="307" customFormat="false" ht="15" hidden="false" customHeight="false" outlineLevel="0" collapsed="false">
      <c r="A307" s="16" t="str">
        <f aca="false">IFERROR(MATCH($C$2&amp;"|"&amp;(ROW()-4),Tasks!$L$4:$L$403,0)+3,"")</f>
        <v/>
      </c>
      <c r="B307" s="17" t="str">
        <f aca="false">IF($A307="","",IF(INDEX(Tasks!$A:$A,$A307)="","",INDEX(Tasks!$A:$A,$A307)))</f>
        <v/>
      </c>
      <c r="C307" s="17" t="str">
        <f aca="false">IF($A307="","",IF(ISERROR(FIND(".",INDEX(Tasks!$A:$A,$A307))),"","   ")&amp;INDEX(Tasks!$C:$C,$A307))</f>
        <v/>
      </c>
      <c r="D307" s="17" t="str">
        <f aca="false">IF($A307="","",IF(INDEX(Tasks!$D:$D,$A307)="","",INDEX(Tasks!$D:$D,$A307)))</f>
        <v/>
      </c>
      <c r="E307" s="17" t="str">
        <f aca="false">IF($A307="","",IF(INDEX(Tasks!$E:$E,$A307)="","",INDEX(Tasks!$E:$E,$A307)))</f>
        <v/>
      </c>
      <c r="F307" s="18" t="str">
        <f aca="false">IF($A307="","",IF(INDEX(Tasks!$F:$F,$A307)="","",INDEX(Tasks!$F:$F,$A307)))</f>
        <v/>
      </c>
      <c r="G307" s="18" t="str">
        <f aca="false">IF($A307="","",IF(INDEX(Tasks!$H:$H,$A307)="","",INDEX(Tasks!$H:$H,$A307)))</f>
        <v/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</row>
    <row r="308" customFormat="false" ht="15" hidden="false" customHeight="false" outlineLevel="0" collapsed="false">
      <c r="A308" s="16" t="str">
        <f aca="false">IFERROR(MATCH($C$2&amp;"|"&amp;(ROW()-4),Tasks!$L$4:$L$403,0)+3,"")</f>
        <v/>
      </c>
      <c r="B308" s="17" t="str">
        <f aca="false">IF($A308="","",IF(INDEX(Tasks!$A:$A,$A308)="","",INDEX(Tasks!$A:$A,$A308)))</f>
        <v/>
      </c>
      <c r="C308" s="17" t="str">
        <f aca="false">IF($A308="","",IF(ISERROR(FIND(".",INDEX(Tasks!$A:$A,$A308))),"","   ")&amp;INDEX(Tasks!$C:$C,$A308))</f>
        <v/>
      </c>
      <c r="D308" s="17" t="str">
        <f aca="false">IF($A308="","",IF(INDEX(Tasks!$D:$D,$A308)="","",INDEX(Tasks!$D:$D,$A308)))</f>
        <v/>
      </c>
      <c r="E308" s="17" t="str">
        <f aca="false">IF($A308="","",IF(INDEX(Tasks!$E:$E,$A308)="","",INDEX(Tasks!$E:$E,$A308)))</f>
        <v/>
      </c>
      <c r="F308" s="18" t="str">
        <f aca="false">IF($A308="","",IF(INDEX(Tasks!$F:$F,$A308)="","",INDEX(Tasks!$F:$F,$A308)))</f>
        <v/>
      </c>
      <c r="G308" s="18" t="str">
        <f aca="false">IF($A308="","",IF(INDEX(Tasks!$H:$H,$A308)="","",INDEX(Tasks!$H:$H,$A308)))</f>
        <v/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</row>
    <row r="309" customFormat="false" ht="15" hidden="false" customHeight="false" outlineLevel="0" collapsed="false">
      <c r="A309" s="16" t="str">
        <f aca="false">IFERROR(MATCH($C$2&amp;"|"&amp;(ROW()-4),Tasks!$L$4:$L$403,0)+3,"")</f>
        <v/>
      </c>
      <c r="B309" s="17" t="str">
        <f aca="false">IF($A309="","",IF(INDEX(Tasks!$A:$A,$A309)="","",INDEX(Tasks!$A:$A,$A309)))</f>
        <v/>
      </c>
      <c r="C309" s="17" t="str">
        <f aca="false">IF($A309="","",IF(ISERROR(FIND(".",INDEX(Tasks!$A:$A,$A309))),"","   ")&amp;INDEX(Tasks!$C:$C,$A309))</f>
        <v/>
      </c>
      <c r="D309" s="17" t="str">
        <f aca="false">IF($A309="","",IF(INDEX(Tasks!$D:$D,$A309)="","",INDEX(Tasks!$D:$D,$A309)))</f>
        <v/>
      </c>
      <c r="E309" s="17" t="str">
        <f aca="false">IF($A309="","",IF(INDEX(Tasks!$E:$E,$A309)="","",INDEX(Tasks!$E:$E,$A309)))</f>
        <v/>
      </c>
      <c r="F309" s="18" t="str">
        <f aca="false">IF($A309="","",IF(INDEX(Tasks!$F:$F,$A309)="","",INDEX(Tasks!$F:$F,$A309)))</f>
        <v/>
      </c>
      <c r="G309" s="18" t="str">
        <f aca="false">IF($A309="","",IF(INDEX(Tasks!$H:$H,$A309)="","",INDEX(Tasks!$H:$H,$A309)))</f>
        <v/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</row>
    <row r="310" customFormat="false" ht="15" hidden="false" customHeight="false" outlineLevel="0" collapsed="false">
      <c r="A310" s="16" t="str">
        <f aca="false">IFERROR(MATCH($C$2&amp;"|"&amp;(ROW()-4),Tasks!$L$4:$L$403,0)+3,"")</f>
        <v/>
      </c>
      <c r="B310" s="17" t="str">
        <f aca="false">IF($A310="","",IF(INDEX(Tasks!$A:$A,$A310)="","",INDEX(Tasks!$A:$A,$A310)))</f>
        <v/>
      </c>
      <c r="C310" s="17" t="str">
        <f aca="false">IF($A310="","",IF(ISERROR(FIND(".",INDEX(Tasks!$A:$A,$A310))),"","   ")&amp;INDEX(Tasks!$C:$C,$A310))</f>
        <v/>
      </c>
      <c r="D310" s="17" t="str">
        <f aca="false">IF($A310="","",IF(INDEX(Tasks!$D:$D,$A310)="","",INDEX(Tasks!$D:$D,$A310)))</f>
        <v/>
      </c>
      <c r="E310" s="17" t="str">
        <f aca="false">IF($A310="","",IF(INDEX(Tasks!$E:$E,$A310)="","",INDEX(Tasks!$E:$E,$A310)))</f>
        <v/>
      </c>
      <c r="F310" s="18" t="str">
        <f aca="false">IF($A310="","",IF(INDEX(Tasks!$F:$F,$A310)="","",INDEX(Tasks!$F:$F,$A310)))</f>
        <v/>
      </c>
      <c r="G310" s="18" t="str">
        <f aca="false">IF($A310="","",IF(INDEX(Tasks!$H:$H,$A310)="","",INDEX(Tasks!$H:$H,$A310)))</f>
        <v/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</row>
    <row r="311" customFormat="false" ht="15" hidden="false" customHeight="false" outlineLevel="0" collapsed="false">
      <c r="A311" s="16" t="str">
        <f aca="false">IFERROR(MATCH($C$2&amp;"|"&amp;(ROW()-4),Tasks!$L$4:$L$403,0)+3,"")</f>
        <v/>
      </c>
      <c r="B311" s="17" t="str">
        <f aca="false">IF($A311="","",IF(INDEX(Tasks!$A:$A,$A311)="","",INDEX(Tasks!$A:$A,$A311)))</f>
        <v/>
      </c>
      <c r="C311" s="17" t="str">
        <f aca="false">IF($A311="","",IF(ISERROR(FIND(".",INDEX(Tasks!$A:$A,$A311))),"","   ")&amp;INDEX(Tasks!$C:$C,$A311))</f>
        <v/>
      </c>
      <c r="D311" s="17" t="str">
        <f aca="false">IF($A311="","",IF(INDEX(Tasks!$D:$D,$A311)="","",INDEX(Tasks!$D:$D,$A311)))</f>
        <v/>
      </c>
      <c r="E311" s="17" t="str">
        <f aca="false">IF($A311="","",IF(INDEX(Tasks!$E:$E,$A311)="","",INDEX(Tasks!$E:$E,$A311)))</f>
        <v/>
      </c>
      <c r="F311" s="18" t="str">
        <f aca="false">IF($A311="","",IF(INDEX(Tasks!$F:$F,$A311)="","",INDEX(Tasks!$F:$F,$A311)))</f>
        <v/>
      </c>
      <c r="G311" s="18" t="str">
        <f aca="false">IF($A311="","",IF(INDEX(Tasks!$H:$H,$A311)="","",INDEX(Tasks!$H:$H,$A311)))</f>
        <v/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</row>
    <row r="312" customFormat="false" ht="15" hidden="false" customHeight="false" outlineLevel="0" collapsed="false">
      <c r="A312" s="16" t="str">
        <f aca="false">IFERROR(MATCH($C$2&amp;"|"&amp;(ROW()-4),Tasks!$L$4:$L$403,0)+3,"")</f>
        <v/>
      </c>
      <c r="B312" s="17" t="str">
        <f aca="false">IF($A312="","",IF(INDEX(Tasks!$A:$A,$A312)="","",INDEX(Tasks!$A:$A,$A312)))</f>
        <v/>
      </c>
      <c r="C312" s="17" t="str">
        <f aca="false">IF($A312="","",IF(ISERROR(FIND(".",INDEX(Tasks!$A:$A,$A312))),"","   ")&amp;INDEX(Tasks!$C:$C,$A312))</f>
        <v/>
      </c>
      <c r="D312" s="17" t="str">
        <f aca="false">IF($A312="","",IF(INDEX(Tasks!$D:$D,$A312)="","",INDEX(Tasks!$D:$D,$A312)))</f>
        <v/>
      </c>
      <c r="E312" s="17" t="str">
        <f aca="false">IF($A312="","",IF(INDEX(Tasks!$E:$E,$A312)="","",INDEX(Tasks!$E:$E,$A312)))</f>
        <v/>
      </c>
      <c r="F312" s="18" t="str">
        <f aca="false">IF($A312="","",IF(INDEX(Tasks!$F:$F,$A312)="","",INDEX(Tasks!$F:$F,$A312)))</f>
        <v/>
      </c>
      <c r="G312" s="18" t="str">
        <f aca="false">IF($A312="","",IF(INDEX(Tasks!$H:$H,$A312)="","",INDEX(Tasks!$H:$H,$A312)))</f>
        <v/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</row>
    <row r="313" customFormat="false" ht="15" hidden="false" customHeight="false" outlineLevel="0" collapsed="false">
      <c r="A313" s="16" t="str">
        <f aca="false">IFERROR(MATCH($C$2&amp;"|"&amp;(ROW()-4),Tasks!$L$4:$L$403,0)+3,"")</f>
        <v/>
      </c>
      <c r="B313" s="17" t="str">
        <f aca="false">IF($A313="","",IF(INDEX(Tasks!$A:$A,$A313)="","",INDEX(Tasks!$A:$A,$A313)))</f>
        <v/>
      </c>
      <c r="C313" s="17" t="str">
        <f aca="false">IF($A313="","",IF(ISERROR(FIND(".",INDEX(Tasks!$A:$A,$A313))),"","   ")&amp;INDEX(Tasks!$C:$C,$A313))</f>
        <v/>
      </c>
      <c r="D313" s="17" t="str">
        <f aca="false">IF($A313="","",IF(INDEX(Tasks!$D:$D,$A313)="","",INDEX(Tasks!$D:$D,$A313)))</f>
        <v/>
      </c>
      <c r="E313" s="17" t="str">
        <f aca="false">IF($A313="","",IF(INDEX(Tasks!$E:$E,$A313)="","",INDEX(Tasks!$E:$E,$A313)))</f>
        <v/>
      </c>
      <c r="F313" s="18" t="str">
        <f aca="false">IF($A313="","",IF(INDEX(Tasks!$F:$F,$A313)="","",INDEX(Tasks!$F:$F,$A313)))</f>
        <v/>
      </c>
      <c r="G313" s="18" t="str">
        <f aca="false">IF($A313="","",IF(INDEX(Tasks!$H:$H,$A313)="","",INDEX(Tasks!$H:$H,$A313)))</f>
        <v/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</row>
    <row r="314" customFormat="false" ht="15" hidden="false" customHeight="false" outlineLevel="0" collapsed="false">
      <c r="A314" s="16" t="str">
        <f aca="false">IFERROR(MATCH($C$2&amp;"|"&amp;(ROW()-4),Tasks!$L$4:$L$403,0)+3,"")</f>
        <v/>
      </c>
      <c r="B314" s="17" t="str">
        <f aca="false">IF($A314="","",IF(INDEX(Tasks!$A:$A,$A314)="","",INDEX(Tasks!$A:$A,$A314)))</f>
        <v/>
      </c>
      <c r="C314" s="17" t="str">
        <f aca="false">IF($A314="","",IF(ISERROR(FIND(".",INDEX(Tasks!$A:$A,$A314))),"","   ")&amp;INDEX(Tasks!$C:$C,$A314))</f>
        <v/>
      </c>
      <c r="D314" s="17" t="str">
        <f aca="false">IF($A314="","",IF(INDEX(Tasks!$D:$D,$A314)="","",INDEX(Tasks!$D:$D,$A314)))</f>
        <v/>
      </c>
      <c r="E314" s="17" t="str">
        <f aca="false">IF($A314="","",IF(INDEX(Tasks!$E:$E,$A314)="","",INDEX(Tasks!$E:$E,$A314)))</f>
        <v/>
      </c>
      <c r="F314" s="18" t="str">
        <f aca="false">IF($A314="","",IF(INDEX(Tasks!$F:$F,$A314)="","",INDEX(Tasks!$F:$F,$A314)))</f>
        <v/>
      </c>
      <c r="G314" s="18" t="str">
        <f aca="false">IF($A314="","",IF(INDEX(Tasks!$H:$H,$A314)="","",INDEX(Tasks!$H:$H,$A314)))</f>
        <v/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</row>
    <row r="315" customFormat="false" ht="15" hidden="false" customHeight="false" outlineLevel="0" collapsed="false">
      <c r="A315" s="16" t="str">
        <f aca="false">IFERROR(MATCH($C$2&amp;"|"&amp;(ROW()-4),Tasks!$L$4:$L$403,0)+3,"")</f>
        <v/>
      </c>
      <c r="B315" s="17" t="str">
        <f aca="false">IF($A315="","",IF(INDEX(Tasks!$A:$A,$A315)="","",INDEX(Tasks!$A:$A,$A315)))</f>
        <v/>
      </c>
      <c r="C315" s="17" t="str">
        <f aca="false">IF($A315="","",IF(ISERROR(FIND(".",INDEX(Tasks!$A:$A,$A315))),"","   ")&amp;INDEX(Tasks!$C:$C,$A315))</f>
        <v/>
      </c>
      <c r="D315" s="17" t="str">
        <f aca="false">IF($A315="","",IF(INDEX(Tasks!$D:$D,$A315)="","",INDEX(Tasks!$D:$D,$A315)))</f>
        <v/>
      </c>
      <c r="E315" s="17" t="str">
        <f aca="false">IF($A315="","",IF(INDEX(Tasks!$E:$E,$A315)="","",INDEX(Tasks!$E:$E,$A315)))</f>
        <v/>
      </c>
      <c r="F315" s="18" t="str">
        <f aca="false">IF($A315="","",IF(INDEX(Tasks!$F:$F,$A315)="","",INDEX(Tasks!$F:$F,$A315)))</f>
        <v/>
      </c>
      <c r="G315" s="18" t="str">
        <f aca="false">IF($A315="","",IF(INDEX(Tasks!$H:$H,$A315)="","",INDEX(Tasks!$H:$H,$A315)))</f>
        <v/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</row>
    <row r="316" customFormat="false" ht="15" hidden="false" customHeight="false" outlineLevel="0" collapsed="false">
      <c r="A316" s="16" t="str">
        <f aca="false">IFERROR(MATCH($C$2&amp;"|"&amp;(ROW()-4),Tasks!$L$4:$L$403,0)+3,"")</f>
        <v/>
      </c>
      <c r="B316" s="17" t="str">
        <f aca="false">IF($A316="","",IF(INDEX(Tasks!$A:$A,$A316)="","",INDEX(Tasks!$A:$A,$A316)))</f>
        <v/>
      </c>
      <c r="C316" s="17" t="str">
        <f aca="false">IF($A316="","",IF(ISERROR(FIND(".",INDEX(Tasks!$A:$A,$A316))),"","   ")&amp;INDEX(Tasks!$C:$C,$A316))</f>
        <v/>
      </c>
      <c r="D316" s="17" t="str">
        <f aca="false">IF($A316="","",IF(INDEX(Tasks!$D:$D,$A316)="","",INDEX(Tasks!$D:$D,$A316)))</f>
        <v/>
      </c>
      <c r="E316" s="17" t="str">
        <f aca="false">IF($A316="","",IF(INDEX(Tasks!$E:$E,$A316)="","",INDEX(Tasks!$E:$E,$A316)))</f>
        <v/>
      </c>
      <c r="F316" s="18" t="str">
        <f aca="false">IF($A316="","",IF(INDEX(Tasks!$F:$F,$A316)="","",INDEX(Tasks!$F:$F,$A316)))</f>
        <v/>
      </c>
      <c r="G316" s="18" t="str">
        <f aca="false">IF($A316="","",IF(INDEX(Tasks!$H:$H,$A316)="","",INDEX(Tasks!$H:$H,$A316)))</f>
        <v/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</row>
    <row r="317" customFormat="false" ht="15" hidden="false" customHeight="false" outlineLevel="0" collapsed="false">
      <c r="A317" s="16" t="str">
        <f aca="false">IFERROR(MATCH($C$2&amp;"|"&amp;(ROW()-4),Tasks!$L$4:$L$403,0)+3,"")</f>
        <v/>
      </c>
      <c r="B317" s="17" t="str">
        <f aca="false">IF($A317="","",IF(INDEX(Tasks!$A:$A,$A317)="","",INDEX(Tasks!$A:$A,$A317)))</f>
        <v/>
      </c>
      <c r="C317" s="17" t="str">
        <f aca="false">IF($A317="","",IF(ISERROR(FIND(".",INDEX(Tasks!$A:$A,$A317))),"","   ")&amp;INDEX(Tasks!$C:$C,$A317))</f>
        <v/>
      </c>
      <c r="D317" s="17" t="str">
        <f aca="false">IF($A317="","",IF(INDEX(Tasks!$D:$D,$A317)="","",INDEX(Tasks!$D:$D,$A317)))</f>
        <v/>
      </c>
      <c r="E317" s="17" t="str">
        <f aca="false">IF($A317="","",IF(INDEX(Tasks!$E:$E,$A317)="","",INDEX(Tasks!$E:$E,$A317)))</f>
        <v/>
      </c>
      <c r="F317" s="18" t="str">
        <f aca="false">IF($A317="","",IF(INDEX(Tasks!$F:$F,$A317)="","",INDEX(Tasks!$F:$F,$A317)))</f>
        <v/>
      </c>
      <c r="G317" s="18" t="str">
        <f aca="false">IF($A317="","",IF(INDEX(Tasks!$H:$H,$A317)="","",INDEX(Tasks!$H:$H,$A317)))</f>
        <v/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</row>
    <row r="318" customFormat="false" ht="15" hidden="false" customHeight="false" outlineLevel="0" collapsed="false">
      <c r="A318" s="16" t="str">
        <f aca="false">IFERROR(MATCH($C$2&amp;"|"&amp;(ROW()-4),Tasks!$L$4:$L$403,0)+3,"")</f>
        <v/>
      </c>
      <c r="B318" s="17" t="str">
        <f aca="false">IF($A318="","",IF(INDEX(Tasks!$A:$A,$A318)="","",INDEX(Tasks!$A:$A,$A318)))</f>
        <v/>
      </c>
      <c r="C318" s="17" t="str">
        <f aca="false">IF($A318="","",IF(ISERROR(FIND(".",INDEX(Tasks!$A:$A,$A318))),"","   ")&amp;INDEX(Tasks!$C:$C,$A318))</f>
        <v/>
      </c>
      <c r="D318" s="17" t="str">
        <f aca="false">IF($A318="","",IF(INDEX(Tasks!$D:$D,$A318)="","",INDEX(Tasks!$D:$D,$A318)))</f>
        <v/>
      </c>
      <c r="E318" s="17" t="str">
        <f aca="false">IF($A318="","",IF(INDEX(Tasks!$E:$E,$A318)="","",INDEX(Tasks!$E:$E,$A318)))</f>
        <v/>
      </c>
      <c r="F318" s="18" t="str">
        <f aca="false">IF($A318="","",IF(INDEX(Tasks!$F:$F,$A318)="","",INDEX(Tasks!$F:$F,$A318)))</f>
        <v/>
      </c>
      <c r="G318" s="18" t="str">
        <f aca="false">IF($A318="","",IF(INDEX(Tasks!$H:$H,$A318)="","",INDEX(Tasks!$H:$H,$A318)))</f>
        <v/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</row>
    <row r="319" customFormat="false" ht="15" hidden="false" customHeight="false" outlineLevel="0" collapsed="false">
      <c r="A319" s="16" t="str">
        <f aca="false">IFERROR(MATCH($C$2&amp;"|"&amp;(ROW()-4),Tasks!$L$4:$L$403,0)+3,"")</f>
        <v/>
      </c>
      <c r="B319" s="17" t="str">
        <f aca="false">IF($A319="","",IF(INDEX(Tasks!$A:$A,$A319)="","",INDEX(Tasks!$A:$A,$A319)))</f>
        <v/>
      </c>
      <c r="C319" s="17" t="str">
        <f aca="false">IF($A319="","",IF(ISERROR(FIND(".",INDEX(Tasks!$A:$A,$A319))),"","   ")&amp;INDEX(Tasks!$C:$C,$A319))</f>
        <v/>
      </c>
      <c r="D319" s="17" t="str">
        <f aca="false">IF($A319="","",IF(INDEX(Tasks!$D:$D,$A319)="","",INDEX(Tasks!$D:$D,$A319)))</f>
        <v/>
      </c>
      <c r="E319" s="17" t="str">
        <f aca="false">IF($A319="","",IF(INDEX(Tasks!$E:$E,$A319)="","",INDEX(Tasks!$E:$E,$A319)))</f>
        <v/>
      </c>
      <c r="F319" s="18" t="str">
        <f aca="false">IF($A319="","",IF(INDEX(Tasks!$F:$F,$A319)="","",INDEX(Tasks!$F:$F,$A319)))</f>
        <v/>
      </c>
      <c r="G319" s="18" t="str">
        <f aca="false">IF($A319="","",IF(INDEX(Tasks!$H:$H,$A319)="","",INDEX(Tasks!$H:$H,$A319)))</f>
        <v/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 customFormat="false" ht="15" hidden="false" customHeight="false" outlineLevel="0" collapsed="false">
      <c r="A320" s="16" t="str">
        <f aca="false">IFERROR(MATCH($C$2&amp;"|"&amp;(ROW()-4),Tasks!$L$4:$L$403,0)+3,"")</f>
        <v/>
      </c>
      <c r="B320" s="17" t="str">
        <f aca="false">IF($A320="","",IF(INDEX(Tasks!$A:$A,$A320)="","",INDEX(Tasks!$A:$A,$A320)))</f>
        <v/>
      </c>
      <c r="C320" s="17" t="str">
        <f aca="false">IF($A320="","",IF(ISERROR(FIND(".",INDEX(Tasks!$A:$A,$A320))),"","   ")&amp;INDEX(Tasks!$C:$C,$A320))</f>
        <v/>
      </c>
      <c r="D320" s="17" t="str">
        <f aca="false">IF($A320="","",IF(INDEX(Tasks!$D:$D,$A320)="","",INDEX(Tasks!$D:$D,$A320)))</f>
        <v/>
      </c>
      <c r="E320" s="17" t="str">
        <f aca="false">IF($A320="","",IF(INDEX(Tasks!$E:$E,$A320)="","",INDEX(Tasks!$E:$E,$A320)))</f>
        <v/>
      </c>
      <c r="F320" s="18" t="str">
        <f aca="false">IF($A320="","",IF(INDEX(Tasks!$F:$F,$A320)="","",INDEX(Tasks!$F:$F,$A320)))</f>
        <v/>
      </c>
      <c r="G320" s="18" t="str">
        <f aca="false">IF($A320="","",IF(INDEX(Tasks!$H:$H,$A320)="","",INDEX(Tasks!$H:$H,$A320)))</f>
        <v/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</row>
    <row r="321" customFormat="false" ht="15" hidden="false" customHeight="false" outlineLevel="0" collapsed="false">
      <c r="A321" s="16" t="str">
        <f aca="false">IFERROR(MATCH($C$2&amp;"|"&amp;(ROW()-4),Tasks!$L$4:$L$403,0)+3,"")</f>
        <v/>
      </c>
      <c r="B321" s="17" t="str">
        <f aca="false">IF($A321="","",IF(INDEX(Tasks!$A:$A,$A321)="","",INDEX(Tasks!$A:$A,$A321)))</f>
        <v/>
      </c>
      <c r="C321" s="17" t="str">
        <f aca="false">IF($A321="","",IF(ISERROR(FIND(".",INDEX(Tasks!$A:$A,$A321))),"","   ")&amp;INDEX(Tasks!$C:$C,$A321))</f>
        <v/>
      </c>
      <c r="D321" s="17" t="str">
        <f aca="false">IF($A321="","",IF(INDEX(Tasks!$D:$D,$A321)="","",INDEX(Tasks!$D:$D,$A321)))</f>
        <v/>
      </c>
      <c r="E321" s="17" t="str">
        <f aca="false">IF($A321="","",IF(INDEX(Tasks!$E:$E,$A321)="","",INDEX(Tasks!$E:$E,$A321)))</f>
        <v/>
      </c>
      <c r="F321" s="18" t="str">
        <f aca="false">IF($A321="","",IF(INDEX(Tasks!$F:$F,$A321)="","",INDEX(Tasks!$F:$F,$A321)))</f>
        <v/>
      </c>
      <c r="G321" s="18" t="str">
        <f aca="false">IF($A321="","",IF(INDEX(Tasks!$H:$H,$A321)="","",INDEX(Tasks!$H:$H,$A321)))</f>
        <v/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</row>
    <row r="322" customFormat="false" ht="15" hidden="false" customHeight="false" outlineLevel="0" collapsed="false">
      <c r="A322" s="16" t="str">
        <f aca="false">IFERROR(MATCH($C$2&amp;"|"&amp;(ROW()-4),Tasks!$L$4:$L$403,0)+3,"")</f>
        <v/>
      </c>
      <c r="B322" s="17" t="str">
        <f aca="false">IF($A322="","",IF(INDEX(Tasks!$A:$A,$A322)="","",INDEX(Tasks!$A:$A,$A322)))</f>
        <v/>
      </c>
      <c r="C322" s="17" t="str">
        <f aca="false">IF($A322="","",IF(ISERROR(FIND(".",INDEX(Tasks!$A:$A,$A322))),"","   ")&amp;INDEX(Tasks!$C:$C,$A322))</f>
        <v/>
      </c>
      <c r="D322" s="17" t="str">
        <f aca="false">IF($A322="","",IF(INDEX(Tasks!$D:$D,$A322)="","",INDEX(Tasks!$D:$D,$A322)))</f>
        <v/>
      </c>
      <c r="E322" s="17" t="str">
        <f aca="false">IF($A322="","",IF(INDEX(Tasks!$E:$E,$A322)="","",INDEX(Tasks!$E:$E,$A322)))</f>
        <v/>
      </c>
      <c r="F322" s="18" t="str">
        <f aca="false">IF($A322="","",IF(INDEX(Tasks!$F:$F,$A322)="","",INDEX(Tasks!$F:$F,$A322)))</f>
        <v/>
      </c>
      <c r="G322" s="18" t="str">
        <f aca="false">IF($A322="","",IF(INDEX(Tasks!$H:$H,$A322)="","",INDEX(Tasks!$H:$H,$A322)))</f>
        <v/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</row>
    <row r="323" customFormat="false" ht="15" hidden="false" customHeight="false" outlineLevel="0" collapsed="false">
      <c r="A323" s="16" t="str">
        <f aca="false">IFERROR(MATCH($C$2&amp;"|"&amp;(ROW()-4),Tasks!$L$4:$L$403,0)+3,"")</f>
        <v/>
      </c>
      <c r="B323" s="17" t="str">
        <f aca="false">IF($A323="","",IF(INDEX(Tasks!$A:$A,$A323)="","",INDEX(Tasks!$A:$A,$A323)))</f>
        <v/>
      </c>
      <c r="C323" s="17" t="str">
        <f aca="false">IF($A323="","",IF(ISERROR(FIND(".",INDEX(Tasks!$A:$A,$A323))),"","   ")&amp;INDEX(Tasks!$C:$C,$A323))</f>
        <v/>
      </c>
      <c r="D323" s="17" t="str">
        <f aca="false">IF($A323="","",IF(INDEX(Tasks!$D:$D,$A323)="","",INDEX(Tasks!$D:$D,$A323)))</f>
        <v/>
      </c>
      <c r="E323" s="17" t="str">
        <f aca="false">IF($A323="","",IF(INDEX(Tasks!$E:$E,$A323)="","",INDEX(Tasks!$E:$E,$A323)))</f>
        <v/>
      </c>
      <c r="F323" s="18" t="str">
        <f aca="false">IF($A323="","",IF(INDEX(Tasks!$F:$F,$A323)="","",INDEX(Tasks!$F:$F,$A323)))</f>
        <v/>
      </c>
      <c r="G323" s="18" t="str">
        <f aca="false">IF($A323="","",IF(INDEX(Tasks!$H:$H,$A323)="","",INDEX(Tasks!$H:$H,$A323)))</f>
        <v/>
      </c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</row>
    <row r="324" customFormat="false" ht="15" hidden="false" customHeight="false" outlineLevel="0" collapsed="false">
      <c r="A324" s="16" t="str">
        <f aca="false">IFERROR(MATCH($C$2&amp;"|"&amp;(ROW()-4),Tasks!$L$4:$L$403,0)+3,"")</f>
        <v/>
      </c>
      <c r="B324" s="17" t="str">
        <f aca="false">IF($A324="","",IF(INDEX(Tasks!$A:$A,$A324)="","",INDEX(Tasks!$A:$A,$A324)))</f>
        <v/>
      </c>
      <c r="C324" s="17" t="str">
        <f aca="false">IF($A324="","",IF(ISERROR(FIND(".",INDEX(Tasks!$A:$A,$A324))),"","   ")&amp;INDEX(Tasks!$C:$C,$A324))</f>
        <v/>
      </c>
      <c r="D324" s="17" t="str">
        <f aca="false">IF($A324="","",IF(INDEX(Tasks!$D:$D,$A324)="","",INDEX(Tasks!$D:$D,$A324)))</f>
        <v/>
      </c>
      <c r="E324" s="17" t="str">
        <f aca="false">IF($A324="","",IF(INDEX(Tasks!$E:$E,$A324)="","",INDEX(Tasks!$E:$E,$A324)))</f>
        <v/>
      </c>
      <c r="F324" s="18" t="str">
        <f aca="false">IF($A324="","",IF(INDEX(Tasks!$F:$F,$A324)="","",INDEX(Tasks!$F:$F,$A324)))</f>
        <v/>
      </c>
      <c r="G324" s="18" t="str">
        <f aca="false">IF($A324="","",IF(INDEX(Tasks!$H:$H,$A324)="","",INDEX(Tasks!$H:$H,$A324)))</f>
        <v/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</row>
    <row r="325" customFormat="false" ht="15" hidden="false" customHeight="false" outlineLevel="0" collapsed="false">
      <c r="A325" s="16" t="str">
        <f aca="false">IFERROR(MATCH($C$2&amp;"|"&amp;(ROW()-4),Tasks!$L$4:$L$403,0)+3,"")</f>
        <v/>
      </c>
      <c r="B325" s="17" t="str">
        <f aca="false">IF($A325="","",IF(INDEX(Tasks!$A:$A,$A325)="","",INDEX(Tasks!$A:$A,$A325)))</f>
        <v/>
      </c>
      <c r="C325" s="17" t="str">
        <f aca="false">IF($A325="","",IF(ISERROR(FIND(".",INDEX(Tasks!$A:$A,$A325))),"","   ")&amp;INDEX(Tasks!$C:$C,$A325))</f>
        <v/>
      </c>
      <c r="D325" s="17" t="str">
        <f aca="false">IF($A325="","",IF(INDEX(Tasks!$D:$D,$A325)="","",INDEX(Tasks!$D:$D,$A325)))</f>
        <v/>
      </c>
      <c r="E325" s="17" t="str">
        <f aca="false">IF($A325="","",IF(INDEX(Tasks!$E:$E,$A325)="","",INDEX(Tasks!$E:$E,$A325)))</f>
        <v/>
      </c>
      <c r="F325" s="18" t="str">
        <f aca="false">IF($A325="","",IF(INDEX(Tasks!$F:$F,$A325)="","",INDEX(Tasks!$F:$F,$A325)))</f>
        <v/>
      </c>
      <c r="G325" s="18" t="str">
        <f aca="false">IF($A325="","",IF(INDEX(Tasks!$H:$H,$A325)="","",INDEX(Tasks!$H:$H,$A325)))</f>
        <v/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</row>
    <row r="326" customFormat="false" ht="15" hidden="false" customHeight="false" outlineLevel="0" collapsed="false">
      <c r="A326" s="16" t="str">
        <f aca="false">IFERROR(MATCH($C$2&amp;"|"&amp;(ROW()-4),Tasks!$L$4:$L$403,0)+3,"")</f>
        <v/>
      </c>
      <c r="B326" s="17" t="str">
        <f aca="false">IF($A326="","",IF(INDEX(Tasks!$A:$A,$A326)="","",INDEX(Tasks!$A:$A,$A326)))</f>
        <v/>
      </c>
      <c r="C326" s="17" t="str">
        <f aca="false">IF($A326="","",IF(ISERROR(FIND(".",INDEX(Tasks!$A:$A,$A326))),"","   ")&amp;INDEX(Tasks!$C:$C,$A326))</f>
        <v/>
      </c>
      <c r="D326" s="17" t="str">
        <f aca="false">IF($A326="","",IF(INDEX(Tasks!$D:$D,$A326)="","",INDEX(Tasks!$D:$D,$A326)))</f>
        <v/>
      </c>
      <c r="E326" s="17" t="str">
        <f aca="false">IF($A326="","",IF(INDEX(Tasks!$E:$E,$A326)="","",INDEX(Tasks!$E:$E,$A326)))</f>
        <v/>
      </c>
      <c r="F326" s="18" t="str">
        <f aca="false">IF($A326="","",IF(INDEX(Tasks!$F:$F,$A326)="","",INDEX(Tasks!$F:$F,$A326)))</f>
        <v/>
      </c>
      <c r="G326" s="18" t="str">
        <f aca="false">IF($A326="","",IF(INDEX(Tasks!$H:$H,$A326)="","",INDEX(Tasks!$H:$H,$A326)))</f>
        <v/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</row>
    <row r="327" customFormat="false" ht="15" hidden="false" customHeight="false" outlineLevel="0" collapsed="false">
      <c r="A327" s="16" t="str">
        <f aca="false">IFERROR(MATCH($C$2&amp;"|"&amp;(ROW()-4),Tasks!$L$4:$L$403,0)+3,"")</f>
        <v/>
      </c>
      <c r="B327" s="17" t="str">
        <f aca="false">IF($A327="","",IF(INDEX(Tasks!$A:$A,$A327)="","",INDEX(Tasks!$A:$A,$A327)))</f>
        <v/>
      </c>
      <c r="C327" s="17" t="str">
        <f aca="false">IF($A327="","",IF(ISERROR(FIND(".",INDEX(Tasks!$A:$A,$A327))),"","   ")&amp;INDEX(Tasks!$C:$C,$A327))</f>
        <v/>
      </c>
      <c r="D327" s="17" t="str">
        <f aca="false">IF($A327="","",IF(INDEX(Tasks!$D:$D,$A327)="","",INDEX(Tasks!$D:$D,$A327)))</f>
        <v/>
      </c>
      <c r="E327" s="17" t="str">
        <f aca="false">IF($A327="","",IF(INDEX(Tasks!$E:$E,$A327)="","",INDEX(Tasks!$E:$E,$A327)))</f>
        <v/>
      </c>
      <c r="F327" s="18" t="str">
        <f aca="false">IF($A327="","",IF(INDEX(Tasks!$F:$F,$A327)="","",INDEX(Tasks!$F:$F,$A327)))</f>
        <v/>
      </c>
      <c r="G327" s="18" t="str">
        <f aca="false">IF($A327="","",IF(INDEX(Tasks!$H:$H,$A327)="","",INDEX(Tasks!$H:$H,$A327)))</f>
        <v/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</row>
    <row r="328" customFormat="false" ht="15" hidden="false" customHeight="false" outlineLevel="0" collapsed="false">
      <c r="A328" s="16" t="str">
        <f aca="false">IFERROR(MATCH($C$2&amp;"|"&amp;(ROW()-4),Tasks!$L$4:$L$403,0)+3,"")</f>
        <v/>
      </c>
      <c r="B328" s="17" t="str">
        <f aca="false">IF($A328="","",IF(INDEX(Tasks!$A:$A,$A328)="","",INDEX(Tasks!$A:$A,$A328)))</f>
        <v/>
      </c>
      <c r="C328" s="17" t="str">
        <f aca="false">IF($A328="","",IF(ISERROR(FIND(".",INDEX(Tasks!$A:$A,$A328))),"","   ")&amp;INDEX(Tasks!$C:$C,$A328))</f>
        <v/>
      </c>
      <c r="D328" s="17" t="str">
        <f aca="false">IF($A328="","",IF(INDEX(Tasks!$D:$D,$A328)="","",INDEX(Tasks!$D:$D,$A328)))</f>
        <v/>
      </c>
      <c r="E328" s="17" t="str">
        <f aca="false">IF($A328="","",IF(INDEX(Tasks!$E:$E,$A328)="","",INDEX(Tasks!$E:$E,$A328)))</f>
        <v/>
      </c>
      <c r="F328" s="18" t="str">
        <f aca="false">IF($A328="","",IF(INDEX(Tasks!$F:$F,$A328)="","",INDEX(Tasks!$F:$F,$A328)))</f>
        <v/>
      </c>
      <c r="G328" s="18" t="str">
        <f aca="false">IF($A328="","",IF(INDEX(Tasks!$H:$H,$A328)="","",INDEX(Tasks!$H:$H,$A328)))</f>
        <v/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</row>
    <row r="329" customFormat="false" ht="15" hidden="false" customHeight="false" outlineLevel="0" collapsed="false">
      <c r="A329" s="16" t="str">
        <f aca="false">IFERROR(MATCH($C$2&amp;"|"&amp;(ROW()-4),Tasks!$L$4:$L$403,0)+3,"")</f>
        <v/>
      </c>
      <c r="B329" s="17" t="str">
        <f aca="false">IF($A329="","",IF(INDEX(Tasks!$A:$A,$A329)="","",INDEX(Tasks!$A:$A,$A329)))</f>
        <v/>
      </c>
      <c r="C329" s="17" t="str">
        <f aca="false">IF($A329="","",IF(ISERROR(FIND(".",INDEX(Tasks!$A:$A,$A329))),"","   ")&amp;INDEX(Tasks!$C:$C,$A329))</f>
        <v/>
      </c>
      <c r="D329" s="17" t="str">
        <f aca="false">IF($A329="","",IF(INDEX(Tasks!$D:$D,$A329)="","",INDEX(Tasks!$D:$D,$A329)))</f>
        <v/>
      </c>
      <c r="E329" s="17" t="str">
        <f aca="false">IF($A329="","",IF(INDEX(Tasks!$E:$E,$A329)="","",INDEX(Tasks!$E:$E,$A329)))</f>
        <v/>
      </c>
      <c r="F329" s="18" t="str">
        <f aca="false">IF($A329="","",IF(INDEX(Tasks!$F:$F,$A329)="","",INDEX(Tasks!$F:$F,$A329)))</f>
        <v/>
      </c>
      <c r="G329" s="18" t="str">
        <f aca="false">IF($A329="","",IF(INDEX(Tasks!$H:$H,$A329)="","",INDEX(Tasks!$H:$H,$A329)))</f>
        <v/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</row>
    <row r="330" customFormat="false" ht="15" hidden="false" customHeight="false" outlineLevel="0" collapsed="false">
      <c r="A330" s="16" t="str">
        <f aca="false">IFERROR(MATCH($C$2&amp;"|"&amp;(ROW()-4),Tasks!$L$4:$L$403,0)+3,"")</f>
        <v/>
      </c>
      <c r="B330" s="17" t="str">
        <f aca="false">IF($A330="","",IF(INDEX(Tasks!$A:$A,$A330)="","",INDEX(Tasks!$A:$A,$A330)))</f>
        <v/>
      </c>
      <c r="C330" s="17" t="str">
        <f aca="false">IF($A330="","",IF(ISERROR(FIND(".",INDEX(Tasks!$A:$A,$A330))),"","   ")&amp;INDEX(Tasks!$C:$C,$A330))</f>
        <v/>
      </c>
      <c r="D330" s="17" t="str">
        <f aca="false">IF($A330="","",IF(INDEX(Tasks!$D:$D,$A330)="","",INDEX(Tasks!$D:$D,$A330)))</f>
        <v/>
      </c>
      <c r="E330" s="17" t="str">
        <f aca="false">IF($A330="","",IF(INDEX(Tasks!$E:$E,$A330)="","",INDEX(Tasks!$E:$E,$A330)))</f>
        <v/>
      </c>
      <c r="F330" s="18" t="str">
        <f aca="false">IF($A330="","",IF(INDEX(Tasks!$F:$F,$A330)="","",INDEX(Tasks!$F:$F,$A330)))</f>
        <v/>
      </c>
      <c r="G330" s="18" t="str">
        <f aca="false">IF($A330="","",IF(INDEX(Tasks!$H:$H,$A330)="","",INDEX(Tasks!$H:$H,$A330)))</f>
        <v/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</row>
    <row r="331" customFormat="false" ht="15" hidden="false" customHeight="false" outlineLevel="0" collapsed="false">
      <c r="A331" s="16" t="str">
        <f aca="false">IFERROR(MATCH($C$2&amp;"|"&amp;(ROW()-4),Tasks!$L$4:$L$403,0)+3,"")</f>
        <v/>
      </c>
      <c r="B331" s="17" t="str">
        <f aca="false">IF($A331="","",IF(INDEX(Tasks!$A:$A,$A331)="","",INDEX(Tasks!$A:$A,$A331)))</f>
        <v/>
      </c>
      <c r="C331" s="17" t="str">
        <f aca="false">IF($A331="","",IF(ISERROR(FIND(".",INDEX(Tasks!$A:$A,$A331))),"","   ")&amp;INDEX(Tasks!$C:$C,$A331))</f>
        <v/>
      </c>
      <c r="D331" s="17" t="str">
        <f aca="false">IF($A331="","",IF(INDEX(Tasks!$D:$D,$A331)="","",INDEX(Tasks!$D:$D,$A331)))</f>
        <v/>
      </c>
      <c r="E331" s="17" t="str">
        <f aca="false">IF($A331="","",IF(INDEX(Tasks!$E:$E,$A331)="","",INDEX(Tasks!$E:$E,$A331)))</f>
        <v/>
      </c>
      <c r="F331" s="18" t="str">
        <f aca="false">IF($A331="","",IF(INDEX(Tasks!$F:$F,$A331)="","",INDEX(Tasks!$F:$F,$A331)))</f>
        <v/>
      </c>
      <c r="G331" s="18" t="str">
        <f aca="false">IF($A331="","",IF(INDEX(Tasks!$H:$H,$A331)="","",INDEX(Tasks!$H:$H,$A331)))</f>
        <v/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</row>
    <row r="332" customFormat="false" ht="15" hidden="false" customHeight="false" outlineLevel="0" collapsed="false">
      <c r="A332" s="16" t="str">
        <f aca="false">IFERROR(MATCH($C$2&amp;"|"&amp;(ROW()-4),Tasks!$L$4:$L$403,0)+3,"")</f>
        <v/>
      </c>
      <c r="B332" s="17" t="str">
        <f aca="false">IF($A332="","",IF(INDEX(Tasks!$A:$A,$A332)="","",INDEX(Tasks!$A:$A,$A332)))</f>
        <v/>
      </c>
      <c r="C332" s="17" t="str">
        <f aca="false">IF($A332="","",IF(ISERROR(FIND(".",INDEX(Tasks!$A:$A,$A332))),"","   ")&amp;INDEX(Tasks!$C:$C,$A332))</f>
        <v/>
      </c>
      <c r="D332" s="17" t="str">
        <f aca="false">IF($A332="","",IF(INDEX(Tasks!$D:$D,$A332)="","",INDEX(Tasks!$D:$D,$A332)))</f>
        <v/>
      </c>
      <c r="E332" s="17" t="str">
        <f aca="false">IF($A332="","",IF(INDEX(Tasks!$E:$E,$A332)="","",INDEX(Tasks!$E:$E,$A332)))</f>
        <v/>
      </c>
      <c r="F332" s="18" t="str">
        <f aca="false">IF($A332="","",IF(INDEX(Tasks!$F:$F,$A332)="","",INDEX(Tasks!$F:$F,$A332)))</f>
        <v/>
      </c>
      <c r="G332" s="18" t="str">
        <f aca="false">IF($A332="","",IF(INDEX(Tasks!$H:$H,$A332)="","",INDEX(Tasks!$H:$H,$A332)))</f>
        <v/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</row>
    <row r="333" customFormat="false" ht="15" hidden="false" customHeight="false" outlineLevel="0" collapsed="false">
      <c r="A333" s="16" t="str">
        <f aca="false">IFERROR(MATCH($C$2&amp;"|"&amp;(ROW()-4),Tasks!$L$4:$L$403,0)+3,"")</f>
        <v/>
      </c>
      <c r="B333" s="17" t="str">
        <f aca="false">IF($A333="","",IF(INDEX(Tasks!$A:$A,$A333)="","",INDEX(Tasks!$A:$A,$A333)))</f>
        <v/>
      </c>
      <c r="C333" s="17" t="str">
        <f aca="false">IF($A333="","",IF(ISERROR(FIND(".",INDEX(Tasks!$A:$A,$A333))),"","   ")&amp;INDEX(Tasks!$C:$C,$A333))</f>
        <v/>
      </c>
      <c r="D333" s="17" t="str">
        <f aca="false">IF($A333="","",IF(INDEX(Tasks!$D:$D,$A333)="","",INDEX(Tasks!$D:$D,$A333)))</f>
        <v/>
      </c>
      <c r="E333" s="17" t="str">
        <f aca="false">IF($A333="","",IF(INDEX(Tasks!$E:$E,$A333)="","",INDEX(Tasks!$E:$E,$A333)))</f>
        <v/>
      </c>
      <c r="F333" s="18" t="str">
        <f aca="false">IF($A333="","",IF(INDEX(Tasks!$F:$F,$A333)="","",INDEX(Tasks!$F:$F,$A333)))</f>
        <v/>
      </c>
      <c r="G333" s="18" t="str">
        <f aca="false">IF($A333="","",IF(INDEX(Tasks!$H:$H,$A333)="","",INDEX(Tasks!$H:$H,$A333)))</f>
        <v/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</row>
    <row r="334" customFormat="false" ht="15" hidden="false" customHeight="false" outlineLevel="0" collapsed="false">
      <c r="A334" s="16" t="str">
        <f aca="false">IFERROR(MATCH($C$2&amp;"|"&amp;(ROW()-4),Tasks!$L$4:$L$403,0)+3,"")</f>
        <v/>
      </c>
      <c r="B334" s="17" t="str">
        <f aca="false">IF($A334="","",IF(INDEX(Tasks!$A:$A,$A334)="","",INDEX(Tasks!$A:$A,$A334)))</f>
        <v/>
      </c>
      <c r="C334" s="17" t="str">
        <f aca="false">IF($A334="","",IF(ISERROR(FIND(".",INDEX(Tasks!$A:$A,$A334))),"","   ")&amp;INDEX(Tasks!$C:$C,$A334))</f>
        <v/>
      </c>
      <c r="D334" s="17" t="str">
        <f aca="false">IF($A334="","",IF(INDEX(Tasks!$D:$D,$A334)="","",INDEX(Tasks!$D:$D,$A334)))</f>
        <v/>
      </c>
      <c r="E334" s="17" t="str">
        <f aca="false">IF($A334="","",IF(INDEX(Tasks!$E:$E,$A334)="","",INDEX(Tasks!$E:$E,$A334)))</f>
        <v/>
      </c>
      <c r="F334" s="18" t="str">
        <f aca="false">IF($A334="","",IF(INDEX(Tasks!$F:$F,$A334)="","",INDEX(Tasks!$F:$F,$A334)))</f>
        <v/>
      </c>
      <c r="G334" s="18" t="str">
        <f aca="false">IF($A334="","",IF(INDEX(Tasks!$H:$H,$A334)="","",INDEX(Tasks!$H:$H,$A334)))</f>
        <v/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</row>
    <row r="335" customFormat="false" ht="15" hidden="false" customHeight="false" outlineLevel="0" collapsed="false">
      <c r="A335" s="16" t="str">
        <f aca="false">IFERROR(MATCH($C$2&amp;"|"&amp;(ROW()-4),Tasks!$L$4:$L$403,0)+3,"")</f>
        <v/>
      </c>
      <c r="B335" s="17" t="str">
        <f aca="false">IF($A335="","",IF(INDEX(Tasks!$A:$A,$A335)="","",INDEX(Tasks!$A:$A,$A335)))</f>
        <v/>
      </c>
      <c r="C335" s="17" t="str">
        <f aca="false">IF($A335="","",IF(ISERROR(FIND(".",INDEX(Tasks!$A:$A,$A335))),"","   ")&amp;INDEX(Tasks!$C:$C,$A335))</f>
        <v/>
      </c>
      <c r="D335" s="17" t="str">
        <f aca="false">IF($A335="","",IF(INDEX(Tasks!$D:$D,$A335)="","",INDEX(Tasks!$D:$D,$A335)))</f>
        <v/>
      </c>
      <c r="E335" s="17" t="str">
        <f aca="false">IF($A335="","",IF(INDEX(Tasks!$E:$E,$A335)="","",INDEX(Tasks!$E:$E,$A335)))</f>
        <v/>
      </c>
      <c r="F335" s="18" t="str">
        <f aca="false">IF($A335="","",IF(INDEX(Tasks!$F:$F,$A335)="","",INDEX(Tasks!$F:$F,$A335)))</f>
        <v/>
      </c>
      <c r="G335" s="18" t="str">
        <f aca="false">IF($A335="","",IF(INDEX(Tasks!$H:$H,$A335)="","",INDEX(Tasks!$H:$H,$A335)))</f>
        <v/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</row>
    <row r="336" customFormat="false" ht="15" hidden="false" customHeight="false" outlineLevel="0" collapsed="false">
      <c r="A336" s="16" t="str">
        <f aca="false">IFERROR(MATCH($C$2&amp;"|"&amp;(ROW()-4),Tasks!$L$4:$L$403,0)+3,"")</f>
        <v/>
      </c>
      <c r="B336" s="17" t="str">
        <f aca="false">IF($A336="","",IF(INDEX(Tasks!$A:$A,$A336)="","",INDEX(Tasks!$A:$A,$A336)))</f>
        <v/>
      </c>
      <c r="C336" s="17" t="str">
        <f aca="false">IF($A336="","",IF(ISERROR(FIND(".",INDEX(Tasks!$A:$A,$A336))),"","   ")&amp;INDEX(Tasks!$C:$C,$A336))</f>
        <v/>
      </c>
      <c r="D336" s="17" t="str">
        <f aca="false">IF($A336="","",IF(INDEX(Tasks!$D:$D,$A336)="","",INDEX(Tasks!$D:$D,$A336)))</f>
        <v/>
      </c>
      <c r="E336" s="17" t="str">
        <f aca="false">IF($A336="","",IF(INDEX(Tasks!$E:$E,$A336)="","",INDEX(Tasks!$E:$E,$A336)))</f>
        <v/>
      </c>
      <c r="F336" s="18" t="str">
        <f aca="false">IF($A336="","",IF(INDEX(Tasks!$F:$F,$A336)="","",INDEX(Tasks!$F:$F,$A336)))</f>
        <v/>
      </c>
      <c r="G336" s="18" t="str">
        <f aca="false">IF($A336="","",IF(INDEX(Tasks!$H:$H,$A336)="","",INDEX(Tasks!$H:$H,$A336)))</f>
        <v/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</row>
    <row r="337" customFormat="false" ht="15" hidden="false" customHeight="false" outlineLevel="0" collapsed="false">
      <c r="A337" s="16" t="str">
        <f aca="false">IFERROR(MATCH($C$2&amp;"|"&amp;(ROW()-4),Tasks!$L$4:$L$403,0)+3,"")</f>
        <v/>
      </c>
      <c r="B337" s="17" t="str">
        <f aca="false">IF($A337="","",IF(INDEX(Tasks!$A:$A,$A337)="","",INDEX(Tasks!$A:$A,$A337)))</f>
        <v/>
      </c>
      <c r="C337" s="17" t="str">
        <f aca="false">IF($A337="","",IF(ISERROR(FIND(".",INDEX(Tasks!$A:$A,$A337))),"","   ")&amp;INDEX(Tasks!$C:$C,$A337))</f>
        <v/>
      </c>
      <c r="D337" s="17" t="str">
        <f aca="false">IF($A337="","",IF(INDEX(Tasks!$D:$D,$A337)="","",INDEX(Tasks!$D:$D,$A337)))</f>
        <v/>
      </c>
      <c r="E337" s="17" t="str">
        <f aca="false">IF($A337="","",IF(INDEX(Tasks!$E:$E,$A337)="","",INDEX(Tasks!$E:$E,$A337)))</f>
        <v/>
      </c>
      <c r="F337" s="18" t="str">
        <f aca="false">IF($A337="","",IF(INDEX(Tasks!$F:$F,$A337)="","",INDEX(Tasks!$F:$F,$A337)))</f>
        <v/>
      </c>
      <c r="G337" s="18" t="str">
        <f aca="false">IF($A337="","",IF(INDEX(Tasks!$H:$H,$A337)="","",INDEX(Tasks!$H:$H,$A337)))</f>
        <v/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</row>
    <row r="338" customFormat="false" ht="15" hidden="false" customHeight="false" outlineLevel="0" collapsed="false">
      <c r="A338" s="16" t="str">
        <f aca="false">IFERROR(MATCH($C$2&amp;"|"&amp;(ROW()-4),Tasks!$L$4:$L$403,0)+3,"")</f>
        <v/>
      </c>
      <c r="B338" s="17" t="str">
        <f aca="false">IF($A338="","",IF(INDEX(Tasks!$A:$A,$A338)="","",INDEX(Tasks!$A:$A,$A338)))</f>
        <v/>
      </c>
      <c r="C338" s="17" t="str">
        <f aca="false">IF($A338="","",IF(ISERROR(FIND(".",INDEX(Tasks!$A:$A,$A338))),"","   ")&amp;INDEX(Tasks!$C:$C,$A338))</f>
        <v/>
      </c>
      <c r="D338" s="17" t="str">
        <f aca="false">IF($A338="","",IF(INDEX(Tasks!$D:$D,$A338)="","",INDEX(Tasks!$D:$D,$A338)))</f>
        <v/>
      </c>
      <c r="E338" s="17" t="str">
        <f aca="false">IF($A338="","",IF(INDEX(Tasks!$E:$E,$A338)="","",INDEX(Tasks!$E:$E,$A338)))</f>
        <v/>
      </c>
      <c r="F338" s="18" t="str">
        <f aca="false">IF($A338="","",IF(INDEX(Tasks!$F:$F,$A338)="","",INDEX(Tasks!$F:$F,$A338)))</f>
        <v/>
      </c>
      <c r="G338" s="18" t="str">
        <f aca="false">IF($A338="","",IF(INDEX(Tasks!$H:$H,$A338)="","",INDEX(Tasks!$H:$H,$A338)))</f>
        <v/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</row>
    <row r="339" customFormat="false" ht="15" hidden="false" customHeight="false" outlineLevel="0" collapsed="false">
      <c r="A339" s="16" t="str">
        <f aca="false">IFERROR(MATCH($C$2&amp;"|"&amp;(ROW()-4),Tasks!$L$4:$L$403,0)+3,"")</f>
        <v/>
      </c>
      <c r="B339" s="17" t="str">
        <f aca="false">IF($A339="","",IF(INDEX(Tasks!$A:$A,$A339)="","",INDEX(Tasks!$A:$A,$A339)))</f>
        <v/>
      </c>
      <c r="C339" s="17" t="str">
        <f aca="false">IF($A339="","",IF(ISERROR(FIND(".",INDEX(Tasks!$A:$A,$A339))),"","   ")&amp;INDEX(Tasks!$C:$C,$A339))</f>
        <v/>
      </c>
      <c r="D339" s="17" t="str">
        <f aca="false">IF($A339="","",IF(INDEX(Tasks!$D:$D,$A339)="","",INDEX(Tasks!$D:$D,$A339)))</f>
        <v/>
      </c>
      <c r="E339" s="17" t="str">
        <f aca="false">IF($A339="","",IF(INDEX(Tasks!$E:$E,$A339)="","",INDEX(Tasks!$E:$E,$A339)))</f>
        <v/>
      </c>
      <c r="F339" s="18" t="str">
        <f aca="false">IF($A339="","",IF(INDEX(Tasks!$F:$F,$A339)="","",INDEX(Tasks!$F:$F,$A339)))</f>
        <v/>
      </c>
      <c r="G339" s="18" t="str">
        <f aca="false">IF($A339="","",IF(INDEX(Tasks!$H:$H,$A339)="","",INDEX(Tasks!$H:$H,$A339)))</f>
        <v/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</row>
    <row r="340" customFormat="false" ht="15" hidden="false" customHeight="false" outlineLevel="0" collapsed="false">
      <c r="A340" s="16" t="str">
        <f aca="false">IFERROR(MATCH($C$2&amp;"|"&amp;(ROW()-4),Tasks!$L$4:$L$403,0)+3,"")</f>
        <v/>
      </c>
      <c r="B340" s="17" t="str">
        <f aca="false">IF($A340="","",IF(INDEX(Tasks!$A:$A,$A340)="","",INDEX(Tasks!$A:$A,$A340)))</f>
        <v/>
      </c>
      <c r="C340" s="17" t="str">
        <f aca="false">IF($A340="","",IF(ISERROR(FIND(".",INDEX(Tasks!$A:$A,$A340))),"","   ")&amp;INDEX(Tasks!$C:$C,$A340))</f>
        <v/>
      </c>
      <c r="D340" s="17" t="str">
        <f aca="false">IF($A340="","",IF(INDEX(Tasks!$D:$D,$A340)="","",INDEX(Tasks!$D:$D,$A340)))</f>
        <v/>
      </c>
      <c r="E340" s="17" t="str">
        <f aca="false">IF($A340="","",IF(INDEX(Tasks!$E:$E,$A340)="","",INDEX(Tasks!$E:$E,$A340)))</f>
        <v/>
      </c>
      <c r="F340" s="18" t="str">
        <f aca="false">IF($A340="","",IF(INDEX(Tasks!$F:$F,$A340)="","",INDEX(Tasks!$F:$F,$A340)))</f>
        <v/>
      </c>
      <c r="G340" s="18" t="str">
        <f aca="false">IF($A340="","",IF(INDEX(Tasks!$H:$H,$A340)="","",INDEX(Tasks!$H:$H,$A340)))</f>
        <v/>
      </c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</row>
    <row r="341" customFormat="false" ht="15" hidden="false" customHeight="false" outlineLevel="0" collapsed="false">
      <c r="A341" s="16" t="str">
        <f aca="false">IFERROR(MATCH($C$2&amp;"|"&amp;(ROW()-4),Tasks!$L$4:$L$403,0)+3,"")</f>
        <v/>
      </c>
      <c r="B341" s="17" t="str">
        <f aca="false">IF($A341="","",IF(INDEX(Tasks!$A:$A,$A341)="","",INDEX(Tasks!$A:$A,$A341)))</f>
        <v/>
      </c>
      <c r="C341" s="17" t="str">
        <f aca="false">IF($A341="","",IF(ISERROR(FIND(".",INDEX(Tasks!$A:$A,$A341))),"","   ")&amp;INDEX(Tasks!$C:$C,$A341))</f>
        <v/>
      </c>
      <c r="D341" s="17" t="str">
        <f aca="false">IF($A341="","",IF(INDEX(Tasks!$D:$D,$A341)="","",INDEX(Tasks!$D:$D,$A341)))</f>
        <v/>
      </c>
      <c r="E341" s="17" t="str">
        <f aca="false">IF($A341="","",IF(INDEX(Tasks!$E:$E,$A341)="","",INDEX(Tasks!$E:$E,$A341)))</f>
        <v/>
      </c>
      <c r="F341" s="18" t="str">
        <f aca="false">IF($A341="","",IF(INDEX(Tasks!$F:$F,$A341)="","",INDEX(Tasks!$F:$F,$A341)))</f>
        <v/>
      </c>
      <c r="G341" s="18" t="str">
        <f aca="false">IF($A341="","",IF(INDEX(Tasks!$H:$H,$A341)="","",INDEX(Tasks!$H:$H,$A341)))</f>
        <v/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</row>
    <row r="342" customFormat="false" ht="15" hidden="false" customHeight="false" outlineLevel="0" collapsed="false">
      <c r="A342" s="16" t="str">
        <f aca="false">IFERROR(MATCH($C$2&amp;"|"&amp;(ROW()-4),Tasks!$L$4:$L$403,0)+3,"")</f>
        <v/>
      </c>
      <c r="B342" s="17" t="str">
        <f aca="false">IF($A342="","",IF(INDEX(Tasks!$A:$A,$A342)="","",INDEX(Tasks!$A:$A,$A342)))</f>
        <v/>
      </c>
      <c r="C342" s="17" t="str">
        <f aca="false">IF($A342="","",IF(ISERROR(FIND(".",INDEX(Tasks!$A:$A,$A342))),"","   ")&amp;INDEX(Tasks!$C:$C,$A342))</f>
        <v/>
      </c>
      <c r="D342" s="17" t="str">
        <f aca="false">IF($A342="","",IF(INDEX(Tasks!$D:$D,$A342)="","",INDEX(Tasks!$D:$D,$A342)))</f>
        <v/>
      </c>
      <c r="E342" s="17" t="str">
        <f aca="false">IF($A342="","",IF(INDEX(Tasks!$E:$E,$A342)="","",INDEX(Tasks!$E:$E,$A342)))</f>
        <v/>
      </c>
      <c r="F342" s="18" t="str">
        <f aca="false">IF($A342="","",IF(INDEX(Tasks!$F:$F,$A342)="","",INDEX(Tasks!$F:$F,$A342)))</f>
        <v/>
      </c>
      <c r="G342" s="18" t="str">
        <f aca="false">IF($A342="","",IF(INDEX(Tasks!$H:$H,$A342)="","",INDEX(Tasks!$H:$H,$A342)))</f>
        <v/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</row>
    <row r="343" customFormat="false" ht="15" hidden="false" customHeight="false" outlineLevel="0" collapsed="false">
      <c r="A343" s="16" t="str">
        <f aca="false">IFERROR(MATCH($C$2&amp;"|"&amp;(ROW()-4),Tasks!$L$4:$L$403,0)+3,"")</f>
        <v/>
      </c>
      <c r="B343" s="17" t="str">
        <f aca="false">IF($A343="","",IF(INDEX(Tasks!$A:$A,$A343)="","",INDEX(Tasks!$A:$A,$A343)))</f>
        <v/>
      </c>
      <c r="C343" s="17" t="str">
        <f aca="false">IF($A343="","",IF(ISERROR(FIND(".",INDEX(Tasks!$A:$A,$A343))),"","   ")&amp;INDEX(Tasks!$C:$C,$A343))</f>
        <v/>
      </c>
      <c r="D343" s="17" t="str">
        <f aca="false">IF($A343="","",IF(INDEX(Tasks!$D:$D,$A343)="","",INDEX(Tasks!$D:$D,$A343)))</f>
        <v/>
      </c>
      <c r="E343" s="17" t="str">
        <f aca="false">IF($A343="","",IF(INDEX(Tasks!$E:$E,$A343)="","",INDEX(Tasks!$E:$E,$A343)))</f>
        <v/>
      </c>
      <c r="F343" s="18" t="str">
        <f aca="false">IF($A343="","",IF(INDEX(Tasks!$F:$F,$A343)="","",INDEX(Tasks!$F:$F,$A343)))</f>
        <v/>
      </c>
      <c r="G343" s="18" t="str">
        <f aca="false">IF($A343="","",IF(INDEX(Tasks!$H:$H,$A343)="","",INDEX(Tasks!$H:$H,$A343)))</f>
        <v/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</row>
    <row r="344" customFormat="false" ht="15" hidden="false" customHeight="false" outlineLevel="0" collapsed="false">
      <c r="A344" s="16" t="str">
        <f aca="false">IFERROR(MATCH($C$2&amp;"|"&amp;(ROW()-4),Tasks!$L$4:$L$403,0)+3,"")</f>
        <v/>
      </c>
      <c r="B344" s="17" t="str">
        <f aca="false">IF($A344="","",IF(INDEX(Tasks!$A:$A,$A344)="","",INDEX(Tasks!$A:$A,$A344)))</f>
        <v/>
      </c>
      <c r="C344" s="17" t="str">
        <f aca="false">IF($A344="","",IF(ISERROR(FIND(".",INDEX(Tasks!$A:$A,$A344))),"","   ")&amp;INDEX(Tasks!$C:$C,$A344))</f>
        <v/>
      </c>
      <c r="D344" s="17" t="str">
        <f aca="false">IF($A344="","",IF(INDEX(Tasks!$D:$D,$A344)="","",INDEX(Tasks!$D:$D,$A344)))</f>
        <v/>
      </c>
      <c r="E344" s="17" t="str">
        <f aca="false">IF($A344="","",IF(INDEX(Tasks!$E:$E,$A344)="","",INDEX(Tasks!$E:$E,$A344)))</f>
        <v/>
      </c>
      <c r="F344" s="18" t="str">
        <f aca="false">IF($A344="","",IF(INDEX(Tasks!$F:$F,$A344)="","",INDEX(Tasks!$F:$F,$A344)))</f>
        <v/>
      </c>
      <c r="G344" s="18" t="str">
        <f aca="false">IF($A344="","",IF(INDEX(Tasks!$H:$H,$A344)="","",INDEX(Tasks!$H:$H,$A344)))</f>
        <v/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</row>
    <row r="345" customFormat="false" ht="15" hidden="false" customHeight="false" outlineLevel="0" collapsed="false">
      <c r="A345" s="16" t="str">
        <f aca="false">IFERROR(MATCH($C$2&amp;"|"&amp;(ROW()-4),Tasks!$L$4:$L$403,0)+3,"")</f>
        <v/>
      </c>
      <c r="B345" s="17" t="str">
        <f aca="false">IF($A345="","",IF(INDEX(Tasks!$A:$A,$A345)="","",INDEX(Tasks!$A:$A,$A345)))</f>
        <v/>
      </c>
      <c r="C345" s="17" t="str">
        <f aca="false">IF($A345="","",IF(ISERROR(FIND(".",INDEX(Tasks!$A:$A,$A345))),"","   ")&amp;INDEX(Tasks!$C:$C,$A345))</f>
        <v/>
      </c>
      <c r="D345" s="17" t="str">
        <f aca="false">IF($A345="","",IF(INDEX(Tasks!$D:$D,$A345)="","",INDEX(Tasks!$D:$D,$A345)))</f>
        <v/>
      </c>
      <c r="E345" s="17" t="str">
        <f aca="false">IF($A345="","",IF(INDEX(Tasks!$E:$E,$A345)="","",INDEX(Tasks!$E:$E,$A345)))</f>
        <v/>
      </c>
      <c r="F345" s="18" t="str">
        <f aca="false">IF($A345="","",IF(INDEX(Tasks!$F:$F,$A345)="","",INDEX(Tasks!$F:$F,$A345)))</f>
        <v/>
      </c>
      <c r="G345" s="18" t="str">
        <f aca="false">IF($A345="","",IF(INDEX(Tasks!$H:$H,$A345)="","",INDEX(Tasks!$H:$H,$A345)))</f>
        <v/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</row>
    <row r="346" customFormat="false" ht="15" hidden="false" customHeight="false" outlineLevel="0" collapsed="false">
      <c r="A346" s="16" t="str">
        <f aca="false">IFERROR(MATCH($C$2&amp;"|"&amp;(ROW()-4),Tasks!$L$4:$L$403,0)+3,"")</f>
        <v/>
      </c>
      <c r="B346" s="17" t="str">
        <f aca="false">IF($A346="","",IF(INDEX(Tasks!$A:$A,$A346)="","",INDEX(Tasks!$A:$A,$A346)))</f>
        <v/>
      </c>
      <c r="C346" s="17" t="str">
        <f aca="false">IF($A346="","",IF(ISERROR(FIND(".",INDEX(Tasks!$A:$A,$A346))),"","   ")&amp;INDEX(Tasks!$C:$C,$A346))</f>
        <v/>
      </c>
      <c r="D346" s="17" t="str">
        <f aca="false">IF($A346="","",IF(INDEX(Tasks!$D:$D,$A346)="","",INDEX(Tasks!$D:$D,$A346)))</f>
        <v/>
      </c>
      <c r="E346" s="17" t="str">
        <f aca="false">IF($A346="","",IF(INDEX(Tasks!$E:$E,$A346)="","",INDEX(Tasks!$E:$E,$A346)))</f>
        <v/>
      </c>
      <c r="F346" s="18" t="str">
        <f aca="false">IF($A346="","",IF(INDEX(Tasks!$F:$F,$A346)="","",INDEX(Tasks!$F:$F,$A346)))</f>
        <v/>
      </c>
      <c r="G346" s="18" t="str">
        <f aca="false">IF($A346="","",IF(INDEX(Tasks!$H:$H,$A346)="","",INDEX(Tasks!$H:$H,$A346)))</f>
        <v/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</row>
    <row r="347" customFormat="false" ht="15" hidden="false" customHeight="false" outlineLevel="0" collapsed="false">
      <c r="A347" s="16" t="str">
        <f aca="false">IFERROR(MATCH($C$2&amp;"|"&amp;(ROW()-4),Tasks!$L$4:$L$403,0)+3,"")</f>
        <v/>
      </c>
      <c r="B347" s="17" t="str">
        <f aca="false">IF($A347="","",IF(INDEX(Tasks!$A:$A,$A347)="","",INDEX(Tasks!$A:$A,$A347)))</f>
        <v/>
      </c>
      <c r="C347" s="17" t="str">
        <f aca="false">IF($A347="","",IF(ISERROR(FIND(".",INDEX(Tasks!$A:$A,$A347))),"","   ")&amp;INDEX(Tasks!$C:$C,$A347))</f>
        <v/>
      </c>
      <c r="D347" s="17" t="str">
        <f aca="false">IF($A347="","",IF(INDEX(Tasks!$D:$D,$A347)="","",INDEX(Tasks!$D:$D,$A347)))</f>
        <v/>
      </c>
      <c r="E347" s="17" t="str">
        <f aca="false">IF($A347="","",IF(INDEX(Tasks!$E:$E,$A347)="","",INDEX(Tasks!$E:$E,$A347)))</f>
        <v/>
      </c>
      <c r="F347" s="18" t="str">
        <f aca="false">IF($A347="","",IF(INDEX(Tasks!$F:$F,$A347)="","",INDEX(Tasks!$F:$F,$A347)))</f>
        <v/>
      </c>
      <c r="G347" s="18" t="str">
        <f aca="false">IF($A347="","",IF(INDEX(Tasks!$H:$H,$A347)="","",INDEX(Tasks!$H:$H,$A347)))</f>
        <v/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</row>
    <row r="348" customFormat="false" ht="15" hidden="false" customHeight="false" outlineLevel="0" collapsed="false">
      <c r="A348" s="16" t="str">
        <f aca="false">IFERROR(MATCH($C$2&amp;"|"&amp;(ROW()-4),Tasks!$L$4:$L$403,0)+3,"")</f>
        <v/>
      </c>
      <c r="B348" s="17" t="str">
        <f aca="false">IF($A348="","",IF(INDEX(Tasks!$A:$A,$A348)="","",INDEX(Tasks!$A:$A,$A348)))</f>
        <v/>
      </c>
      <c r="C348" s="17" t="str">
        <f aca="false">IF($A348="","",IF(ISERROR(FIND(".",INDEX(Tasks!$A:$A,$A348))),"","   ")&amp;INDEX(Tasks!$C:$C,$A348))</f>
        <v/>
      </c>
      <c r="D348" s="17" t="str">
        <f aca="false">IF($A348="","",IF(INDEX(Tasks!$D:$D,$A348)="","",INDEX(Tasks!$D:$D,$A348)))</f>
        <v/>
      </c>
      <c r="E348" s="17" t="str">
        <f aca="false">IF($A348="","",IF(INDEX(Tasks!$E:$E,$A348)="","",INDEX(Tasks!$E:$E,$A348)))</f>
        <v/>
      </c>
      <c r="F348" s="18" t="str">
        <f aca="false">IF($A348="","",IF(INDEX(Tasks!$F:$F,$A348)="","",INDEX(Tasks!$F:$F,$A348)))</f>
        <v/>
      </c>
      <c r="G348" s="18" t="str">
        <f aca="false">IF($A348="","",IF(INDEX(Tasks!$H:$H,$A348)="","",INDEX(Tasks!$H:$H,$A348)))</f>
        <v/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</row>
    <row r="349" customFormat="false" ht="15" hidden="false" customHeight="false" outlineLevel="0" collapsed="false">
      <c r="A349" s="16" t="str">
        <f aca="false">IFERROR(MATCH($C$2&amp;"|"&amp;(ROW()-4),Tasks!$L$4:$L$403,0)+3,"")</f>
        <v/>
      </c>
      <c r="B349" s="17" t="str">
        <f aca="false">IF($A349="","",IF(INDEX(Tasks!$A:$A,$A349)="","",INDEX(Tasks!$A:$A,$A349)))</f>
        <v/>
      </c>
      <c r="C349" s="17" t="str">
        <f aca="false">IF($A349="","",IF(ISERROR(FIND(".",INDEX(Tasks!$A:$A,$A349))),"","   ")&amp;INDEX(Tasks!$C:$C,$A349))</f>
        <v/>
      </c>
      <c r="D349" s="17" t="str">
        <f aca="false">IF($A349="","",IF(INDEX(Tasks!$D:$D,$A349)="","",INDEX(Tasks!$D:$D,$A349)))</f>
        <v/>
      </c>
      <c r="E349" s="17" t="str">
        <f aca="false">IF($A349="","",IF(INDEX(Tasks!$E:$E,$A349)="","",INDEX(Tasks!$E:$E,$A349)))</f>
        <v/>
      </c>
      <c r="F349" s="18" t="str">
        <f aca="false">IF($A349="","",IF(INDEX(Tasks!$F:$F,$A349)="","",INDEX(Tasks!$F:$F,$A349)))</f>
        <v/>
      </c>
      <c r="G349" s="18" t="str">
        <f aca="false">IF($A349="","",IF(INDEX(Tasks!$H:$H,$A349)="","",INDEX(Tasks!$H:$H,$A349)))</f>
        <v/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</row>
    <row r="350" customFormat="false" ht="15" hidden="false" customHeight="false" outlineLevel="0" collapsed="false">
      <c r="A350" s="16" t="str">
        <f aca="false">IFERROR(MATCH($C$2&amp;"|"&amp;(ROW()-4),Tasks!$L$4:$L$403,0)+3,"")</f>
        <v/>
      </c>
      <c r="B350" s="17" t="str">
        <f aca="false">IF($A350="","",IF(INDEX(Tasks!$A:$A,$A350)="","",INDEX(Tasks!$A:$A,$A350)))</f>
        <v/>
      </c>
      <c r="C350" s="17" t="str">
        <f aca="false">IF($A350="","",IF(ISERROR(FIND(".",INDEX(Tasks!$A:$A,$A350))),"","   ")&amp;INDEX(Tasks!$C:$C,$A350))</f>
        <v/>
      </c>
      <c r="D350" s="17" t="str">
        <f aca="false">IF($A350="","",IF(INDEX(Tasks!$D:$D,$A350)="","",INDEX(Tasks!$D:$D,$A350)))</f>
        <v/>
      </c>
      <c r="E350" s="17" t="str">
        <f aca="false">IF($A350="","",IF(INDEX(Tasks!$E:$E,$A350)="","",INDEX(Tasks!$E:$E,$A350)))</f>
        <v/>
      </c>
      <c r="F350" s="18" t="str">
        <f aca="false">IF($A350="","",IF(INDEX(Tasks!$F:$F,$A350)="","",INDEX(Tasks!$F:$F,$A350)))</f>
        <v/>
      </c>
      <c r="G350" s="18" t="str">
        <f aca="false">IF($A350="","",IF(INDEX(Tasks!$H:$H,$A350)="","",INDEX(Tasks!$H:$H,$A350)))</f>
        <v/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</row>
    <row r="351" customFormat="false" ht="15" hidden="false" customHeight="false" outlineLevel="0" collapsed="false">
      <c r="A351" s="16" t="str">
        <f aca="false">IFERROR(MATCH($C$2&amp;"|"&amp;(ROW()-4),Tasks!$L$4:$L$403,0)+3,"")</f>
        <v/>
      </c>
      <c r="B351" s="17" t="str">
        <f aca="false">IF($A351="","",IF(INDEX(Tasks!$A:$A,$A351)="","",INDEX(Tasks!$A:$A,$A351)))</f>
        <v/>
      </c>
      <c r="C351" s="17" t="str">
        <f aca="false">IF($A351="","",IF(ISERROR(FIND(".",INDEX(Tasks!$A:$A,$A351))),"","   ")&amp;INDEX(Tasks!$C:$C,$A351))</f>
        <v/>
      </c>
      <c r="D351" s="17" t="str">
        <f aca="false">IF($A351="","",IF(INDEX(Tasks!$D:$D,$A351)="","",INDEX(Tasks!$D:$D,$A351)))</f>
        <v/>
      </c>
      <c r="E351" s="17" t="str">
        <f aca="false">IF($A351="","",IF(INDEX(Tasks!$E:$E,$A351)="","",INDEX(Tasks!$E:$E,$A351)))</f>
        <v/>
      </c>
      <c r="F351" s="18" t="str">
        <f aca="false">IF($A351="","",IF(INDEX(Tasks!$F:$F,$A351)="","",INDEX(Tasks!$F:$F,$A351)))</f>
        <v/>
      </c>
      <c r="G351" s="18" t="str">
        <f aca="false">IF($A351="","",IF(INDEX(Tasks!$H:$H,$A351)="","",INDEX(Tasks!$H:$H,$A351)))</f>
        <v/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</row>
    <row r="352" customFormat="false" ht="15" hidden="false" customHeight="false" outlineLevel="0" collapsed="false">
      <c r="A352" s="16" t="str">
        <f aca="false">IFERROR(MATCH($C$2&amp;"|"&amp;(ROW()-4),Tasks!$L$4:$L$403,0)+3,"")</f>
        <v/>
      </c>
      <c r="B352" s="17" t="str">
        <f aca="false">IF($A352="","",IF(INDEX(Tasks!$A:$A,$A352)="","",INDEX(Tasks!$A:$A,$A352)))</f>
        <v/>
      </c>
      <c r="C352" s="17" t="str">
        <f aca="false">IF($A352="","",IF(ISERROR(FIND(".",INDEX(Tasks!$A:$A,$A352))),"","   ")&amp;INDEX(Tasks!$C:$C,$A352))</f>
        <v/>
      </c>
      <c r="D352" s="17" t="str">
        <f aca="false">IF($A352="","",IF(INDEX(Tasks!$D:$D,$A352)="","",INDEX(Tasks!$D:$D,$A352)))</f>
        <v/>
      </c>
      <c r="E352" s="17" t="str">
        <f aca="false">IF($A352="","",IF(INDEX(Tasks!$E:$E,$A352)="","",INDEX(Tasks!$E:$E,$A352)))</f>
        <v/>
      </c>
      <c r="F352" s="18" t="str">
        <f aca="false">IF($A352="","",IF(INDEX(Tasks!$F:$F,$A352)="","",INDEX(Tasks!$F:$F,$A352)))</f>
        <v/>
      </c>
      <c r="G352" s="18" t="str">
        <f aca="false">IF($A352="","",IF(INDEX(Tasks!$H:$H,$A352)="","",INDEX(Tasks!$H:$H,$A352)))</f>
        <v/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</row>
    <row r="353" customFormat="false" ht="15" hidden="false" customHeight="false" outlineLevel="0" collapsed="false">
      <c r="A353" s="16" t="str">
        <f aca="false">IFERROR(MATCH($C$2&amp;"|"&amp;(ROW()-4),Tasks!$L$4:$L$403,0)+3,"")</f>
        <v/>
      </c>
      <c r="B353" s="17" t="str">
        <f aca="false">IF($A353="","",IF(INDEX(Tasks!$A:$A,$A353)="","",INDEX(Tasks!$A:$A,$A353)))</f>
        <v/>
      </c>
      <c r="C353" s="17" t="str">
        <f aca="false">IF($A353="","",IF(ISERROR(FIND(".",INDEX(Tasks!$A:$A,$A353))),"","   ")&amp;INDEX(Tasks!$C:$C,$A353))</f>
        <v/>
      </c>
      <c r="D353" s="17" t="str">
        <f aca="false">IF($A353="","",IF(INDEX(Tasks!$D:$D,$A353)="","",INDEX(Tasks!$D:$D,$A353)))</f>
        <v/>
      </c>
      <c r="E353" s="17" t="str">
        <f aca="false">IF($A353="","",IF(INDEX(Tasks!$E:$E,$A353)="","",INDEX(Tasks!$E:$E,$A353)))</f>
        <v/>
      </c>
      <c r="F353" s="18" t="str">
        <f aca="false">IF($A353="","",IF(INDEX(Tasks!$F:$F,$A353)="","",INDEX(Tasks!$F:$F,$A353)))</f>
        <v/>
      </c>
      <c r="G353" s="18" t="str">
        <f aca="false">IF($A353="","",IF(INDEX(Tasks!$H:$H,$A353)="","",INDEX(Tasks!$H:$H,$A353)))</f>
        <v/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</row>
    <row r="354" customFormat="false" ht="15" hidden="false" customHeight="false" outlineLevel="0" collapsed="false">
      <c r="A354" s="16" t="str">
        <f aca="false">IFERROR(MATCH($C$2&amp;"|"&amp;(ROW()-4),Tasks!$L$4:$L$403,0)+3,"")</f>
        <v/>
      </c>
      <c r="B354" s="17" t="str">
        <f aca="false">IF($A354="","",IF(INDEX(Tasks!$A:$A,$A354)="","",INDEX(Tasks!$A:$A,$A354)))</f>
        <v/>
      </c>
      <c r="C354" s="17" t="str">
        <f aca="false">IF($A354="","",IF(ISERROR(FIND(".",INDEX(Tasks!$A:$A,$A354))),"","   ")&amp;INDEX(Tasks!$C:$C,$A354))</f>
        <v/>
      </c>
      <c r="D354" s="17" t="str">
        <f aca="false">IF($A354="","",IF(INDEX(Tasks!$D:$D,$A354)="","",INDEX(Tasks!$D:$D,$A354)))</f>
        <v/>
      </c>
      <c r="E354" s="17" t="str">
        <f aca="false">IF($A354="","",IF(INDEX(Tasks!$E:$E,$A354)="","",INDEX(Tasks!$E:$E,$A354)))</f>
        <v/>
      </c>
      <c r="F354" s="18" t="str">
        <f aca="false">IF($A354="","",IF(INDEX(Tasks!$F:$F,$A354)="","",INDEX(Tasks!$F:$F,$A354)))</f>
        <v/>
      </c>
      <c r="G354" s="18" t="str">
        <f aca="false">IF($A354="","",IF(INDEX(Tasks!$H:$H,$A354)="","",INDEX(Tasks!$H:$H,$A354)))</f>
        <v/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</row>
    <row r="355" customFormat="false" ht="15" hidden="false" customHeight="false" outlineLevel="0" collapsed="false">
      <c r="A355" s="16" t="str">
        <f aca="false">IFERROR(MATCH($C$2&amp;"|"&amp;(ROW()-4),Tasks!$L$4:$L$403,0)+3,"")</f>
        <v/>
      </c>
      <c r="B355" s="17" t="str">
        <f aca="false">IF($A355="","",IF(INDEX(Tasks!$A:$A,$A355)="","",INDEX(Tasks!$A:$A,$A355)))</f>
        <v/>
      </c>
      <c r="C355" s="17" t="str">
        <f aca="false">IF($A355="","",IF(ISERROR(FIND(".",INDEX(Tasks!$A:$A,$A355))),"","   ")&amp;INDEX(Tasks!$C:$C,$A355))</f>
        <v/>
      </c>
      <c r="D355" s="17" t="str">
        <f aca="false">IF($A355="","",IF(INDEX(Tasks!$D:$D,$A355)="","",INDEX(Tasks!$D:$D,$A355)))</f>
        <v/>
      </c>
      <c r="E355" s="17" t="str">
        <f aca="false">IF($A355="","",IF(INDEX(Tasks!$E:$E,$A355)="","",INDEX(Tasks!$E:$E,$A355)))</f>
        <v/>
      </c>
      <c r="F355" s="18" t="str">
        <f aca="false">IF($A355="","",IF(INDEX(Tasks!$F:$F,$A355)="","",INDEX(Tasks!$F:$F,$A355)))</f>
        <v/>
      </c>
      <c r="G355" s="18" t="str">
        <f aca="false">IF($A355="","",IF(INDEX(Tasks!$H:$H,$A355)="","",INDEX(Tasks!$H:$H,$A355)))</f>
        <v/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</row>
    <row r="356" customFormat="false" ht="15" hidden="false" customHeight="false" outlineLevel="0" collapsed="false">
      <c r="A356" s="16" t="str">
        <f aca="false">IFERROR(MATCH($C$2&amp;"|"&amp;(ROW()-4),Tasks!$L$4:$L$403,0)+3,"")</f>
        <v/>
      </c>
      <c r="B356" s="17" t="str">
        <f aca="false">IF($A356="","",IF(INDEX(Tasks!$A:$A,$A356)="","",INDEX(Tasks!$A:$A,$A356)))</f>
        <v/>
      </c>
      <c r="C356" s="17" t="str">
        <f aca="false">IF($A356="","",IF(ISERROR(FIND(".",INDEX(Tasks!$A:$A,$A356))),"","   ")&amp;INDEX(Tasks!$C:$C,$A356))</f>
        <v/>
      </c>
      <c r="D356" s="17" t="str">
        <f aca="false">IF($A356="","",IF(INDEX(Tasks!$D:$D,$A356)="","",INDEX(Tasks!$D:$D,$A356)))</f>
        <v/>
      </c>
      <c r="E356" s="17" t="str">
        <f aca="false">IF($A356="","",IF(INDEX(Tasks!$E:$E,$A356)="","",INDEX(Tasks!$E:$E,$A356)))</f>
        <v/>
      </c>
      <c r="F356" s="18" t="str">
        <f aca="false">IF($A356="","",IF(INDEX(Tasks!$F:$F,$A356)="","",INDEX(Tasks!$F:$F,$A356)))</f>
        <v/>
      </c>
      <c r="G356" s="18" t="str">
        <f aca="false">IF($A356="","",IF(INDEX(Tasks!$H:$H,$A356)="","",INDEX(Tasks!$H:$H,$A356)))</f>
        <v/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</row>
    <row r="357" customFormat="false" ht="15" hidden="false" customHeight="false" outlineLevel="0" collapsed="false">
      <c r="A357" s="16" t="str">
        <f aca="false">IFERROR(MATCH($C$2&amp;"|"&amp;(ROW()-4),Tasks!$L$4:$L$403,0)+3,"")</f>
        <v/>
      </c>
      <c r="B357" s="17" t="str">
        <f aca="false">IF($A357="","",IF(INDEX(Tasks!$A:$A,$A357)="","",INDEX(Tasks!$A:$A,$A357)))</f>
        <v/>
      </c>
      <c r="C357" s="17" t="str">
        <f aca="false">IF($A357="","",IF(ISERROR(FIND(".",INDEX(Tasks!$A:$A,$A357))),"","   ")&amp;INDEX(Tasks!$C:$C,$A357))</f>
        <v/>
      </c>
      <c r="D357" s="17" t="str">
        <f aca="false">IF($A357="","",IF(INDEX(Tasks!$D:$D,$A357)="","",INDEX(Tasks!$D:$D,$A357)))</f>
        <v/>
      </c>
      <c r="E357" s="17" t="str">
        <f aca="false">IF($A357="","",IF(INDEX(Tasks!$E:$E,$A357)="","",INDEX(Tasks!$E:$E,$A357)))</f>
        <v/>
      </c>
      <c r="F357" s="18" t="str">
        <f aca="false">IF($A357="","",IF(INDEX(Tasks!$F:$F,$A357)="","",INDEX(Tasks!$F:$F,$A357)))</f>
        <v/>
      </c>
      <c r="G357" s="18" t="str">
        <f aca="false">IF($A357="","",IF(INDEX(Tasks!$H:$H,$A357)="","",INDEX(Tasks!$H:$H,$A357)))</f>
        <v/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</row>
    <row r="358" customFormat="false" ht="15" hidden="false" customHeight="false" outlineLevel="0" collapsed="false">
      <c r="A358" s="16" t="str">
        <f aca="false">IFERROR(MATCH($C$2&amp;"|"&amp;(ROW()-4),Tasks!$L$4:$L$403,0)+3,"")</f>
        <v/>
      </c>
      <c r="B358" s="17" t="str">
        <f aca="false">IF($A358="","",IF(INDEX(Tasks!$A:$A,$A358)="","",INDEX(Tasks!$A:$A,$A358)))</f>
        <v/>
      </c>
      <c r="C358" s="17" t="str">
        <f aca="false">IF($A358="","",IF(ISERROR(FIND(".",INDEX(Tasks!$A:$A,$A358))),"","   ")&amp;INDEX(Tasks!$C:$C,$A358))</f>
        <v/>
      </c>
      <c r="D358" s="17" t="str">
        <f aca="false">IF($A358="","",IF(INDEX(Tasks!$D:$D,$A358)="","",INDEX(Tasks!$D:$D,$A358)))</f>
        <v/>
      </c>
      <c r="E358" s="17" t="str">
        <f aca="false">IF($A358="","",IF(INDEX(Tasks!$E:$E,$A358)="","",INDEX(Tasks!$E:$E,$A358)))</f>
        <v/>
      </c>
      <c r="F358" s="18" t="str">
        <f aca="false">IF($A358="","",IF(INDEX(Tasks!$F:$F,$A358)="","",INDEX(Tasks!$F:$F,$A358)))</f>
        <v/>
      </c>
      <c r="G358" s="18" t="str">
        <f aca="false">IF($A358="","",IF(INDEX(Tasks!$H:$H,$A358)="","",INDEX(Tasks!$H:$H,$A358)))</f>
        <v/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</row>
    <row r="359" customFormat="false" ht="15" hidden="false" customHeight="false" outlineLevel="0" collapsed="false">
      <c r="A359" s="16" t="str">
        <f aca="false">IFERROR(MATCH($C$2&amp;"|"&amp;(ROW()-4),Tasks!$L$4:$L$403,0)+3,"")</f>
        <v/>
      </c>
      <c r="B359" s="17" t="str">
        <f aca="false">IF($A359="","",IF(INDEX(Tasks!$A:$A,$A359)="","",INDEX(Tasks!$A:$A,$A359)))</f>
        <v/>
      </c>
      <c r="C359" s="17" t="str">
        <f aca="false">IF($A359="","",IF(ISERROR(FIND(".",INDEX(Tasks!$A:$A,$A359))),"","   ")&amp;INDEX(Tasks!$C:$C,$A359))</f>
        <v/>
      </c>
      <c r="D359" s="17" t="str">
        <f aca="false">IF($A359="","",IF(INDEX(Tasks!$D:$D,$A359)="","",INDEX(Tasks!$D:$D,$A359)))</f>
        <v/>
      </c>
      <c r="E359" s="17" t="str">
        <f aca="false">IF($A359="","",IF(INDEX(Tasks!$E:$E,$A359)="","",INDEX(Tasks!$E:$E,$A359)))</f>
        <v/>
      </c>
      <c r="F359" s="18" t="str">
        <f aca="false">IF($A359="","",IF(INDEX(Tasks!$F:$F,$A359)="","",INDEX(Tasks!$F:$F,$A359)))</f>
        <v/>
      </c>
      <c r="G359" s="18" t="str">
        <f aca="false">IF($A359="","",IF(INDEX(Tasks!$H:$H,$A359)="","",INDEX(Tasks!$H:$H,$A359)))</f>
        <v/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 customFormat="false" ht="15" hidden="false" customHeight="false" outlineLevel="0" collapsed="false">
      <c r="A360" s="16" t="str">
        <f aca="false">IFERROR(MATCH($C$2&amp;"|"&amp;(ROW()-4),Tasks!$L$4:$L$403,0)+3,"")</f>
        <v/>
      </c>
      <c r="B360" s="17" t="str">
        <f aca="false">IF($A360="","",IF(INDEX(Tasks!$A:$A,$A360)="","",INDEX(Tasks!$A:$A,$A360)))</f>
        <v/>
      </c>
      <c r="C360" s="17" t="str">
        <f aca="false">IF($A360="","",IF(ISERROR(FIND(".",INDEX(Tasks!$A:$A,$A360))),"","   ")&amp;INDEX(Tasks!$C:$C,$A360))</f>
        <v/>
      </c>
      <c r="D360" s="17" t="str">
        <f aca="false">IF($A360="","",IF(INDEX(Tasks!$D:$D,$A360)="","",INDEX(Tasks!$D:$D,$A360)))</f>
        <v/>
      </c>
      <c r="E360" s="17" t="str">
        <f aca="false">IF($A360="","",IF(INDEX(Tasks!$E:$E,$A360)="","",INDEX(Tasks!$E:$E,$A360)))</f>
        <v/>
      </c>
      <c r="F360" s="18" t="str">
        <f aca="false">IF($A360="","",IF(INDEX(Tasks!$F:$F,$A360)="","",INDEX(Tasks!$F:$F,$A360)))</f>
        <v/>
      </c>
      <c r="G360" s="18" t="str">
        <f aca="false">IF($A360="","",IF(INDEX(Tasks!$H:$H,$A360)="","",INDEX(Tasks!$H:$H,$A360)))</f>
        <v/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</row>
    <row r="361" customFormat="false" ht="15" hidden="false" customHeight="false" outlineLevel="0" collapsed="false">
      <c r="A361" s="16" t="str">
        <f aca="false">IFERROR(MATCH($C$2&amp;"|"&amp;(ROW()-4),Tasks!$L$4:$L$403,0)+3,"")</f>
        <v/>
      </c>
      <c r="B361" s="17" t="str">
        <f aca="false">IF($A361="","",IF(INDEX(Tasks!$A:$A,$A361)="","",INDEX(Tasks!$A:$A,$A361)))</f>
        <v/>
      </c>
      <c r="C361" s="17" t="str">
        <f aca="false">IF($A361="","",IF(ISERROR(FIND(".",INDEX(Tasks!$A:$A,$A361))),"","   ")&amp;INDEX(Tasks!$C:$C,$A361))</f>
        <v/>
      </c>
      <c r="D361" s="17" t="str">
        <f aca="false">IF($A361="","",IF(INDEX(Tasks!$D:$D,$A361)="","",INDEX(Tasks!$D:$D,$A361)))</f>
        <v/>
      </c>
      <c r="E361" s="17" t="str">
        <f aca="false">IF($A361="","",IF(INDEX(Tasks!$E:$E,$A361)="","",INDEX(Tasks!$E:$E,$A361)))</f>
        <v/>
      </c>
      <c r="F361" s="18" t="str">
        <f aca="false">IF($A361="","",IF(INDEX(Tasks!$F:$F,$A361)="","",INDEX(Tasks!$F:$F,$A361)))</f>
        <v/>
      </c>
      <c r="G361" s="18" t="str">
        <f aca="false">IF($A361="","",IF(INDEX(Tasks!$H:$H,$A361)="","",INDEX(Tasks!$H:$H,$A361)))</f>
        <v/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</row>
    <row r="362" customFormat="false" ht="15" hidden="false" customHeight="false" outlineLevel="0" collapsed="false">
      <c r="A362" s="16" t="str">
        <f aca="false">IFERROR(MATCH($C$2&amp;"|"&amp;(ROW()-4),Tasks!$L$4:$L$403,0)+3,"")</f>
        <v/>
      </c>
      <c r="B362" s="17" t="str">
        <f aca="false">IF($A362="","",IF(INDEX(Tasks!$A:$A,$A362)="","",INDEX(Tasks!$A:$A,$A362)))</f>
        <v/>
      </c>
      <c r="C362" s="17" t="str">
        <f aca="false">IF($A362="","",IF(ISERROR(FIND(".",INDEX(Tasks!$A:$A,$A362))),"","   ")&amp;INDEX(Tasks!$C:$C,$A362))</f>
        <v/>
      </c>
      <c r="D362" s="17" t="str">
        <f aca="false">IF($A362="","",IF(INDEX(Tasks!$D:$D,$A362)="","",INDEX(Tasks!$D:$D,$A362)))</f>
        <v/>
      </c>
      <c r="E362" s="17" t="str">
        <f aca="false">IF($A362="","",IF(INDEX(Tasks!$E:$E,$A362)="","",INDEX(Tasks!$E:$E,$A362)))</f>
        <v/>
      </c>
      <c r="F362" s="18" t="str">
        <f aca="false">IF($A362="","",IF(INDEX(Tasks!$F:$F,$A362)="","",INDEX(Tasks!$F:$F,$A362)))</f>
        <v/>
      </c>
      <c r="G362" s="18" t="str">
        <f aca="false">IF($A362="","",IF(INDEX(Tasks!$H:$H,$A362)="","",INDEX(Tasks!$H:$H,$A362)))</f>
        <v/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</row>
    <row r="363" customFormat="false" ht="15" hidden="false" customHeight="false" outlineLevel="0" collapsed="false">
      <c r="A363" s="16" t="str">
        <f aca="false">IFERROR(MATCH($C$2&amp;"|"&amp;(ROW()-4),Tasks!$L$4:$L$403,0)+3,"")</f>
        <v/>
      </c>
      <c r="B363" s="17" t="str">
        <f aca="false">IF($A363="","",IF(INDEX(Tasks!$A:$A,$A363)="","",INDEX(Tasks!$A:$A,$A363)))</f>
        <v/>
      </c>
      <c r="C363" s="17" t="str">
        <f aca="false">IF($A363="","",IF(ISERROR(FIND(".",INDEX(Tasks!$A:$A,$A363))),"","   ")&amp;INDEX(Tasks!$C:$C,$A363))</f>
        <v/>
      </c>
      <c r="D363" s="17" t="str">
        <f aca="false">IF($A363="","",IF(INDEX(Tasks!$D:$D,$A363)="","",INDEX(Tasks!$D:$D,$A363)))</f>
        <v/>
      </c>
      <c r="E363" s="17" t="str">
        <f aca="false">IF($A363="","",IF(INDEX(Tasks!$E:$E,$A363)="","",INDEX(Tasks!$E:$E,$A363)))</f>
        <v/>
      </c>
      <c r="F363" s="18" t="str">
        <f aca="false">IF($A363="","",IF(INDEX(Tasks!$F:$F,$A363)="","",INDEX(Tasks!$F:$F,$A363)))</f>
        <v/>
      </c>
      <c r="G363" s="18" t="str">
        <f aca="false">IF($A363="","",IF(INDEX(Tasks!$H:$H,$A363)="","",INDEX(Tasks!$H:$H,$A363)))</f>
        <v/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</row>
    <row r="364" customFormat="false" ht="15" hidden="false" customHeight="false" outlineLevel="0" collapsed="false">
      <c r="A364" s="16" t="str">
        <f aca="false">IFERROR(MATCH($C$2&amp;"|"&amp;(ROW()-4),Tasks!$L$4:$L$403,0)+3,"")</f>
        <v/>
      </c>
      <c r="B364" s="17" t="str">
        <f aca="false">IF($A364="","",IF(INDEX(Tasks!$A:$A,$A364)="","",INDEX(Tasks!$A:$A,$A364)))</f>
        <v/>
      </c>
      <c r="C364" s="17" t="str">
        <f aca="false">IF($A364="","",IF(ISERROR(FIND(".",INDEX(Tasks!$A:$A,$A364))),"","   ")&amp;INDEX(Tasks!$C:$C,$A364))</f>
        <v/>
      </c>
      <c r="D364" s="17" t="str">
        <f aca="false">IF($A364="","",IF(INDEX(Tasks!$D:$D,$A364)="","",INDEX(Tasks!$D:$D,$A364)))</f>
        <v/>
      </c>
      <c r="E364" s="17" t="str">
        <f aca="false">IF($A364="","",IF(INDEX(Tasks!$E:$E,$A364)="","",INDEX(Tasks!$E:$E,$A364)))</f>
        <v/>
      </c>
      <c r="F364" s="18" t="str">
        <f aca="false">IF($A364="","",IF(INDEX(Tasks!$F:$F,$A364)="","",INDEX(Tasks!$F:$F,$A364)))</f>
        <v/>
      </c>
      <c r="G364" s="18" t="str">
        <f aca="false">IF($A364="","",IF(INDEX(Tasks!$H:$H,$A364)="","",INDEX(Tasks!$H:$H,$A364)))</f>
        <v/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</row>
    <row r="365" customFormat="false" ht="15" hidden="false" customHeight="false" outlineLevel="0" collapsed="false">
      <c r="A365" s="16" t="str">
        <f aca="false">IFERROR(MATCH($C$2&amp;"|"&amp;(ROW()-4),Tasks!$L$4:$L$403,0)+3,"")</f>
        <v/>
      </c>
      <c r="B365" s="17" t="str">
        <f aca="false">IF($A365="","",IF(INDEX(Tasks!$A:$A,$A365)="","",INDEX(Tasks!$A:$A,$A365)))</f>
        <v/>
      </c>
      <c r="C365" s="17" t="str">
        <f aca="false">IF($A365="","",IF(ISERROR(FIND(".",INDEX(Tasks!$A:$A,$A365))),"","   ")&amp;INDEX(Tasks!$C:$C,$A365))</f>
        <v/>
      </c>
      <c r="D365" s="17" t="str">
        <f aca="false">IF($A365="","",IF(INDEX(Tasks!$D:$D,$A365)="","",INDEX(Tasks!$D:$D,$A365)))</f>
        <v/>
      </c>
      <c r="E365" s="17" t="str">
        <f aca="false">IF($A365="","",IF(INDEX(Tasks!$E:$E,$A365)="","",INDEX(Tasks!$E:$E,$A365)))</f>
        <v/>
      </c>
      <c r="F365" s="18" t="str">
        <f aca="false">IF($A365="","",IF(INDEX(Tasks!$F:$F,$A365)="","",INDEX(Tasks!$F:$F,$A365)))</f>
        <v/>
      </c>
      <c r="G365" s="18" t="str">
        <f aca="false">IF($A365="","",IF(INDEX(Tasks!$H:$H,$A365)="","",INDEX(Tasks!$H:$H,$A365)))</f>
        <v/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</row>
    <row r="366" customFormat="false" ht="15" hidden="false" customHeight="false" outlineLevel="0" collapsed="false">
      <c r="A366" s="16" t="str">
        <f aca="false">IFERROR(MATCH($C$2&amp;"|"&amp;(ROW()-4),Tasks!$L$4:$L$403,0)+3,"")</f>
        <v/>
      </c>
      <c r="B366" s="17" t="str">
        <f aca="false">IF($A366="","",IF(INDEX(Tasks!$A:$A,$A366)="","",INDEX(Tasks!$A:$A,$A366)))</f>
        <v/>
      </c>
      <c r="C366" s="17" t="str">
        <f aca="false">IF($A366="","",IF(ISERROR(FIND(".",INDEX(Tasks!$A:$A,$A366))),"","   ")&amp;INDEX(Tasks!$C:$C,$A366))</f>
        <v/>
      </c>
      <c r="D366" s="17" t="str">
        <f aca="false">IF($A366="","",IF(INDEX(Tasks!$D:$D,$A366)="","",INDEX(Tasks!$D:$D,$A366)))</f>
        <v/>
      </c>
      <c r="E366" s="17" t="str">
        <f aca="false">IF($A366="","",IF(INDEX(Tasks!$E:$E,$A366)="","",INDEX(Tasks!$E:$E,$A366)))</f>
        <v/>
      </c>
      <c r="F366" s="18" t="str">
        <f aca="false">IF($A366="","",IF(INDEX(Tasks!$F:$F,$A366)="","",INDEX(Tasks!$F:$F,$A366)))</f>
        <v/>
      </c>
      <c r="G366" s="18" t="str">
        <f aca="false">IF($A366="","",IF(INDEX(Tasks!$H:$H,$A366)="","",INDEX(Tasks!$H:$H,$A366)))</f>
        <v/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</row>
    <row r="367" customFormat="false" ht="15" hidden="false" customHeight="false" outlineLevel="0" collapsed="false">
      <c r="A367" s="16" t="str">
        <f aca="false">IFERROR(MATCH($C$2&amp;"|"&amp;(ROW()-4),Tasks!$L$4:$L$403,0)+3,"")</f>
        <v/>
      </c>
      <c r="B367" s="17" t="str">
        <f aca="false">IF($A367="","",IF(INDEX(Tasks!$A:$A,$A367)="","",INDEX(Tasks!$A:$A,$A367)))</f>
        <v/>
      </c>
      <c r="C367" s="17" t="str">
        <f aca="false">IF($A367="","",IF(ISERROR(FIND(".",INDEX(Tasks!$A:$A,$A367))),"","   ")&amp;INDEX(Tasks!$C:$C,$A367))</f>
        <v/>
      </c>
      <c r="D367" s="17" t="str">
        <f aca="false">IF($A367="","",IF(INDEX(Tasks!$D:$D,$A367)="","",INDEX(Tasks!$D:$D,$A367)))</f>
        <v/>
      </c>
      <c r="E367" s="17" t="str">
        <f aca="false">IF($A367="","",IF(INDEX(Tasks!$E:$E,$A367)="","",INDEX(Tasks!$E:$E,$A367)))</f>
        <v/>
      </c>
      <c r="F367" s="18" t="str">
        <f aca="false">IF($A367="","",IF(INDEX(Tasks!$F:$F,$A367)="","",INDEX(Tasks!$F:$F,$A367)))</f>
        <v/>
      </c>
      <c r="G367" s="18" t="str">
        <f aca="false">IF($A367="","",IF(INDEX(Tasks!$H:$H,$A367)="","",INDEX(Tasks!$H:$H,$A367)))</f>
        <v/>
      </c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</row>
    <row r="368" customFormat="false" ht="15" hidden="false" customHeight="false" outlineLevel="0" collapsed="false">
      <c r="A368" s="16" t="str">
        <f aca="false">IFERROR(MATCH($C$2&amp;"|"&amp;(ROW()-4),Tasks!$L$4:$L$403,0)+3,"")</f>
        <v/>
      </c>
      <c r="B368" s="17" t="str">
        <f aca="false">IF($A368="","",IF(INDEX(Tasks!$A:$A,$A368)="","",INDEX(Tasks!$A:$A,$A368)))</f>
        <v/>
      </c>
      <c r="C368" s="17" t="str">
        <f aca="false">IF($A368="","",IF(ISERROR(FIND(".",INDEX(Tasks!$A:$A,$A368))),"","   ")&amp;INDEX(Tasks!$C:$C,$A368))</f>
        <v/>
      </c>
      <c r="D368" s="17" t="str">
        <f aca="false">IF($A368="","",IF(INDEX(Tasks!$D:$D,$A368)="","",INDEX(Tasks!$D:$D,$A368)))</f>
        <v/>
      </c>
      <c r="E368" s="17" t="str">
        <f aca="false">IF($A368="","",IF(INDEX(Tasks!$E:$E,$A368)="","",INDEX(Tasks!$E:$E,$A368)))</f>
        <v/>
      </c>
      <c r="F368" s="18" t="str">
        <f aca="false">IF($A368="","",IF(INDEX(Tasks!$F:$F,$A368)="","",INDEX(Tasks!$F:$F,$A368)))</f>
        <v/>
      </c>
      <c r="G368" s="18" t="str">
        <f aca="false">IF($A368="","",IF(INDEX(Tasks!$H:$H,$A368)="","",INDEX(Tasks!$H:$H,$A368)))</f>
        <v/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</row>
    <row r="369" customFormat="false" ht="15" hidden="false" customHeight="false" outlineLevel="0" collapsed="false">
      <c r="A369" s="16" t="str">
        <f aca="false">IFERROR(MATCH($C$2&amp;"|"&amp;(ROW()-4),Tasks!$L$4:$L$403,0)+3,"")</f>
        <v/>
      </c>
      <c r="B369" s="17" t="str">
        <f aca="false">IF($A369="","",IF(INDEX(Tasks!$A:$A,$A369)="","",INDEX(Tasks!$A:$A,$A369)))</f>
        <v/>
      </c>
      <c r="C369" s="17" t="str">
        <f aca="false">IF($A369="","",IF(ISERROR(FIND(".",INDEX(Tasks!$A:$A,$A369))),"","   ")&amp;INDEX(Tasks!$C:$C,$A369))</f>
        <v/>
      </c>
      <c r="D369" s="17" t="str">
        <f aca="false">IF($A369="","",IF(INDEX(Tasks!$D:$D,$A369)="","",INDEX(Tasks!$D:$D,$A369)))</f>
        <v/>
      </c>
      <c r="E369" s="17" t="str">
        <f aca="false">IF($A369="","",IF(INDEX(Tasks!$E:$E,$A369)="","",INDEX(Tasks!$E:$E,$A369)))</f>
        <v/>
      </c>
      <c r="F369" s="18" t="str">
        <f aca="false">IF($A369="","",IF(INDEX(Tasks!$F:$F,$A369)="","",INDEX(Tasks!$F:$F,$A369)))</f>
        <v/>
      </c>
      <c r="G369" s="18" t="str">
        <f aca="false">IF($A369="","",IF(INDEX(Tasks!$H:$H,$A369)="","",INDEX(Tasks!$H:$H,$A369)))</f>
        <v/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</row>
    <row r="370" customFormat="false" ht="15" hidden="false" customHeight="false" outlineLevel="0" collapsed="false">
      <c r="A370" s="16" t="str">
        <f aca="false">IFERROR(MATCH($C$2&amp;"|"&amp;(ROW()-4),Tasks!$L$4:$L$403,0)+3,"")</f>
        <v/>
      </c>
      <c r="B370" s="17" t="str">
        <f aca="false">IF($A370="","",IF(INDEX(Tasks!$A:$A,$A370)="","",INDEX(Tasks!$A:$A,$A370)))</f>
        <v/>
      </c>
      <c r="C370" s="17" t="str">
        <f aca="false">IF($A370="","",IF(ISERROR(FIND(".",INDEX(Tasks!$A:$A,$A370))),"","   ")&amp;INDEX(Tasks!$C:$C,$A370))</f>
        <v/>
      </c>
      <c r="D370" s="17" t="str">
        <f aca="false">IF($A370="","",IF(INDEX(Tasks!$D:$D,$A370)="","",INDEX(Tasks!$D:$D,$A370)))</f>
        <v/>
      </c>
      <c r="E370" s="17" t="str">
        <f aca="false">IF($A370="","",IF(INDEX(Tasks!$E:$E,$A370)="","",INDEX(Tasks!$E:$E,$A370)))</f>
        <v/>
      </c>
      <c r="F370" s="18" t="str">
        <f aca="false">IF($A370="","",IF(INDEX(Tasks!$F:$F,$A370)="","",INDEX(Tasks!$F:$F,$A370)))</f>
        <v/>
      </c>
      <c r="G370" s="18" t="str">
        <f aca="false">IF($A370="","",IF(INDEX(Tasks!$H:$H,$A370)="","",INDEX(Tasks!$H:$H,$A370)))</f>
        <v/>
      </c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</row>
    <row r="371" customFormat="false" ht="15" hidden="false" customHeight="false" outlineLevel="0" collapsed="false">
      <c r="A371" s="16" t="str">
        <f aca="false">IFERROR(MATCH($C$2&amp;"|"&amp;(ROW()-4),Tasks!$L$4:$L$403,0)+3,"")</f>
        <v/>
      </c>
      <c r="B371" s="17" t="str">
        <f aca="false">IF($A371="","",IF(INDEX(Tasks!$A:$A,$A371)="","",INDEX(Tasks!$A:$A,$A371)))</f>
        <v/>
      </c>
      <c r="C371" s="17" t="str">
        <f aca="false">IF($A371="","",IF(ISERROR(FIND(".",INDEX(Tasks!$A:$A,$A371))),"","   ")&amp;INDEX(Tasks!$C:$C,$A371))</f>
        <v/>
      </c>
      <c r="D371" s="17" t="str">
        <f aca="false">IF($A371="","",IF(INDEX(Tasks!$D:$D,$A371)="","",INDEX(Tasks!$D:$D,$A371)))</f>
        <v/>
      </c>
      <c r="E371" s="17" t="str">
        <f aca="false">IF($A371="","",IF(INDEX(Tasks!$E:$E,$A371)="","",INDEX(Tasks!$E:$E,$A371)))</f>
        <v/>
      </c>
      <c r="F371" s="18" t="str">
        <f aca="false">IF($A371="","",IF(INDEX(Tasks!$F:$F,$A371)="","",INDEX(Tasks!$F:$F,$A371)))</f>
        <v/>
      </c>
      <c r="G371" s="18" t="str">
        <f aca="false">IF($A371="","",IF(INDEX(Tasks!$H:$H,$A371)="","",INDEX(Tasks!$H:$H,$A371)))</f>
        <v/>
      </c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</row>
    <row r="372" customFormat="false" ht="15" hidden="false" customHeight="false" outlineLevel="0" collapsed="false">
      <c r="A372" s="16" t="str">
        <f aca="false">IFERROR(MATCH($C$2&amp;"|"&amp;(ROW()-4),Tasks!$L$4:$L$403,0)+3,"")</f>
        <v/>
      </c>
      <c r="B372" s="17" t="str">
        <f aca="false">IF($A372="","",IF(INDEX(Tasks!$A:$A,$A372)="","",INDEX(Tasks!$A:$A,$A372)))</f>
        <v/>
      </c>
      <c r="C372" s="17" t="str">
        <f aca="false">IF($A372="","",IF(ISERROR(FIND(".",INDEX(Tasks!$A:$A,$A372))),"","   ")&amp;INDEX(Tasks!$C:$C,$A372))</f>
        <v/>
      </c>
      <c r="D372" s="17" t="str">
        <f aca="false">IF($A372="","",IF(INDEX(Tasks!$D:$D,$A372)="","",INDEX(Tasks!$D:$D,$A372)))</f>
        <v/>
      </c>
      <c r="E372" s="17" t="str">
        <f aca="false">IF($A372="","",IF(INDEX(Tasks!$E:$E,$A372)="","",INDEX(Tasks!$E:$E,$A372)))</f>
        <v/>
      </c>
      <c r="F372" s="18" t="str">
        <f aca="false">IF($A372="","",IF(INDEX(Tasks!$F:$F,$A372)="","",INDEX(Tasks!$F:$F,$A372)))</f>
        <v/>
      </c>
      <c r="G372" s="18" t="str">
        <f aca="false">IF($A372="","",IF(INDEX(Tasks!$H:$H,$A372)="","",INDEX(Tasks!$H:$H,$A372)))</f>
        <v/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</row>
    <row r="373" customFormat="false" ht="15" hidden="false" customHeight="false" outlineLevel="0" collapsed="false">
      <c r="A373" s="16" t="str">
        <f aca="false">IFERROR(MATCH($C$2&amp;"|"&amp;(ROW()-4),Tasks!$L$4:$L$403,0)+3,"")</f>
        <v/>
      </c>
      <c r="B373" s="17" t="str">
        <f aca="false">IF($A373="","",IF(INDEX(Tasks!$A:$A,$A373)="","",INDEX(Tasks!$A:$A,$A373)))</f>
        <v/>
      </c>
      <c r="C373" s="17" t="str">
        <f aca="false">IF($A373="","",IF(ISERROR(FIND(".",INDEX(Tasks!$A:$A,$A373))),"","   ")&amp;INDEX(Tasks!$C:$C,$A373))</f>
        <v/>
      </c>
      <c r="D373" s="17" t="str">
        <f aca="false">IF($A373="","",IF(INDEX(Tasks!$D:$D,$A373)="","",INDEX(Tasks!$D:$D,$A373)))</f>
        <v/>
      </c>
      <c r="E373" s="17" t="str">
        <f aca="false">IF($A373="","",IF(INDEX(Tasks!$E:$E,$A373)="","",INDEX(Tasks!$E:$E,$A373)))</f>
        <v/>
      </c>
      <c r="F373" s="18" t="str">
        <f aca="false">IF($A373="","",IF(INDEX(Tasks!$F:$F,$A373)="","",INDEX(Tasks!$F:$F,$A373)))</f>
        <v/>
      </c>
      <c r="G373" s="18" t="str">
        <f aca="false">IF($A373="","",IF(INDEX(Tasks!$H:$H,$A373)="","",INDEX(Tasks!$H:$H,$A373)))</f>
        <v/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</row>
    <row r="374" customFormat="false" ht="15" hidden="false" customHeight="false" outlineLevel="0" collapsed="false">
      <c r="A374" s="16" t="str">
        <f aca="false">IFERROR(MATCH($C$2&amp;"|"&amp;(ROW()-4),Tasks!$L$4:$L$403,0)+3,"")</f>
        <v/>
      </c>
      <c r="B374" s="17" t="str">
        <f aca="false">IF($A374="","",IF(INDEX(Tasks!$A:$A,$A374)="","",INDEX(Tasks!$A:$A,$A374)))</f>
        <v/>
      </c>
      <c r="C374" s="17" t="str">
        <f aca="false">IF($A374="","",IF(ISERROR(FIND(".",INDEX(Tasks!$A:$A,$A374))),"","   ")&amp;INDEX(Tasks!$C:$C,$A374))</f>
        <v/>
      </c>
      <c r="D374" s="17" t="str">
        <f aca="false">IF($A374="","",IF(INDEX(Tasks!$D:$D,$A374)="","",INDEX(Tasks!$D:$D,$A374)))</f>
        <v/>
      </c>
      <c r="E374" s="17" t="str">
        <f aca="false">IF($A374="","",IF(INDEX(Tasks!$E:$E,$A374)="","",INDEX(Tasks!$E:$E,$A374)))</f>
        <v/>
      </c>
      <c r="F374" s="18" t="str">
        <f aca="false">IF($A374="","",IF(INDEX(Tasks!$F:$F,$A374)="","",INDEX(Tasks!$F:$F,$A374)))</f>
        <v/>
      </c>
      <c r="G374" s="18" t="str">
        <f aca="false">IF($A374="","",IF(INDEX(Tasks!$H:$H,$A374)="","",INDEX(Tasks!$H:$H,$A374)))</f>
        <v/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</row>
    <row r="375" customFormat="false" ht="15" hidden="false" customHeight="false" outlineLevel="0" collapsed="false">
      <c r="A375" s="16" t="str">
        <f aca="false">IFERROR(MATCH($C$2&amp;"|"&amp;(ROW()-4),Tasks!$L$4:$L$403,0)+3,"")</f>
        <v/>
      </c>
      <c r="B375" s="17" t="str">
        <f aca="false">IF($A375="","",IF(INDEX(Tasks!$A:$A,$A375)="","",INDEX(Tasks!$A:$A,$A375)))</f>
        <v/>
      </c>
      <c r="C375" s="17" t="str">
        <f aca="false">IF($A375="","",IF(ISERROR(FIND(".",INDEX(Tasks!$A:$A,$A375))),"","   ")&amp;INDEX(Tasks!$C:$C,$A375))</f>
        <v/>
      </c>
      <c r="D375" s="17" t="str">
        <f aca="false">IF($A375="","",IF(INDEX(Tasks!$D:$D,$A375)="","",INDEX(Tasks!$D:$D,$A375)))</f>
        <v/>
      </c>
      <c r="E375" s="17" t="str">
        <f aca="false">IF($A375="","",IF(INDEX(Tasks!$E:$E,$A375)="","",INDEX(Tasks!$E:$E,$A375)))</f>
        <v/>
      </c>
      <c r="F375" s="18" t="str">
        <f aca="false">IF($A375="","",IF(INDEX(Tasks!$F:$F,$A375)="","",INDEX(Tasks!$F:$F,$A375)))</f>
        <v/>
      </c>
      <c r="G375" s="18" t="str">
        <f aca="false">IF($A375="","",IF(INDEX(Tasks!$H:$H,$A375)="","",INDEX(Tasks!$H:$H,$A375)))</f>
        <v/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</row>
    <row r="376" customFormat="false" ht="15" hidden="false" customHeight="false" outlineLevel="0" collapsed="false">
      <c r="A376" s="16" t="str">
        <f aca="false">IFERROR(MATCH($C$2&amp;"|"&amp;(ROW()-4),Tasks!$L$4:$L$403,0)+3,"")</f>
        <v/>
      </c>
      <c r="B376" s="17" t="str">
        <f aca="false">IF($A376="","",IF(INDEX(Tasks!$A:$A,$A376)="","",INDEX(Tasks!$A:$A,$A376)))</f>
        <v/>
      </c>
      <c r="C376" s="17" t="str">
        <f aca="false">IF($A376="","",IF(ISERROR(FIND(".",INDEX(Tasks!$A:$A,$A376))),"","   ")&amp;INDEX(Tasks!$C:$C,$A376))</f>
        <v/>
      </c>
      <c r="D376" s="17" t="str">
        <f aca="false">IF($A376="","",IF(INDEX(Tasks!$D:$D,$A376)="","",INDEX(Tasks!$D:$D,$A376)))</f>
        <v/>
      </c>
      <c r="E376" s="17" t="str">
        <f aca="false">IF($A376="","",IF(INDEX(Tasks!$E:$E,$A376)="","",INDEX(Tasks!$E:$E,$A376)))</f>
        <v/>
      </c>
      <c r="F376" s="18" t="str">
        <f aca="false">IF($A376="","",IF(INDEX(Tasks!$F:$F,$A376)="","",INDEX(Tasks!$F:$F,$A376)))</f>
        <v/>
      </c>
      <c r="G376" s="18" t="str">
        <f aca="false">IF($A376="","",IF(INDEX(Tasks!$H:$H,$A376)="","",INDEX(Tasks!$H:$H,$A376)))</f>
        <v/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</row>
    <row r="377" customFormat="false" ht="15" hidden="false" customHeight="false" outlineLevel="0" collapsed="false">
      <c r="A377" s="16" t="str">
        <f aca="false">IFERROR(MATCH($C$2&amp;"|"&amp;(ROW()-4),Tasks!$L$4:$L$403,0)+3,"")</f>
        <v/>
      </c>
      <c r="B377" s="17" t="str">
        <f aca="false">IF($A377="","",IF(INDEX(Tasks!$A:$A,$A377)="","",INDEX(Tasks!$A:$A,$A377)))</f>
        <v/>
      </c>
      <c r="C377" s="17" t="str">
        <f aca="false">IF($A377="","",IF(ISERROR(FIND(".",INDEX(Tasks!$A:$A,$A377))),"","   ")&amp;INDEX(Tasks!$C:$C,$A377))</f>
        <v/>
      </c>
      <c r="D377" s="17" t="str">
        <f aca="false">IF($A377="","",IF(INDEX(Tasks!$D:$D,$A377)="","",INDEX(Tasks!$D:$D,$A377)))</f>
        <v/>
      </c>
      <c r="E377" s="17" t="str">
        <f aca="false">IF($A377="","",IF(INDEX(Tasks!$E:$E,$A377)="","",INDEX(Tasks!$E:$E,$A377)))</f>
        <v/>
      </c>
      <c r="F377" s="18" t="str">
        <f aca="false">IF($A377="","",IF(INDEX(Tasks!$F:$F,$A377)="","",INDEX(Tasks!$F:$F,$A377)))</f>
        <v/>
      </c>
      <c r="G377" s="18" t="str">
        <f aca="false">IF($A377="","",IF(INDEX(Tasks!$H:$H,$A377)="","",INDEX(Tasks!$H:$H,$A377)))</f>
        <v/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</row>
    <row r="378" customFormat="false" ht="15" hidden="false" customHeight="false" outlineLevel="0" collapsed="false">
      <c r="A378" s="16" t="str">
        <f aca="false">IFERROR(MATCH($C$2&amp;"|"&amp;(ROW()-4),Tasks!$L$4:$L$403,0)+3,"")</f>
        <v/>
      </c>
      <c r="B378" s="17" t="str">
        <f aca="false">IF($A378="","",IF(INDEX(Tasks!$A:$A,$A378)="","",INDEX(Tasks!$A:$A,$A378)))</f>
        <v/>
      </c>
      <c r="C378" s="17" t="str">
        <f aca="false">IF($A378="","",IF(ISERROR(FIND(".",INDEX(Tasks!$A:$A,$A378))),"","   ")&amp;INDEX(Tasks!$C:$C,$A378))</f>
        <v/>
      </c>
      <c r="D378" s="17" t="str">
        <f aca="false">IF($A378="","",IF(INDEX(Tasks!$D:$D,$A378)="","",INDEX(Tasks!$D:$D,$A378)))</f>
        <v/>
      </c>
      <c r="E378" s="17" t="str">
        <f aca="false">IF($A378="","",IF(INDEX(Tasks!$E:$E,$A378)="","",INDEX(Tasks!$E:$E,$A378)))</f>
        <v/>
      </c>
      <c r="F378" s="18" t="str">
        <f aca="false">IF($A378="","",IF(INDEX(Tasks!$F:$F,$A378)="","",INDEX(Tasks!$F:$F,$A378)))</f>
        <v/>
      </c>
      <c r="G378" s="18" t="str">
        <f aca="false">IF($A378="","",IF(INDEX(Tasks!$H:$H,$A378)="","",INDEX(Tasks!$H:$H,$A378)))</f>
        <v/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</row>
    <row r="379" customFormat="false" ht="15" hidden="false" customHeight="false" outlineLevel="0" collapsed="false">
      <c r="A379" s="16" t="str">
        <f aca="false">IFERROR(MATCH($C$2&amp;"|"&amp;(ROW()-4),Tasks!$L$4:$L$403,0)+3,"")</f>
        <v/>
      </c>
      <c r="B379" s="17" t="str">
        <f aca="false">IF($A379="","",IF(INDEX(Tasks!$A:$A,$A379)="","",INDEX(Tasks!$A:$A,$A379)))</f>
        <v/>
      </c>
      <c r="C379" s="17" t="str">
        <f aca="false">IF($A379="","",IF(ISERROR(FIND(".",INDEX(Tasks!$A:$A,$A379))),"","   ")&amp;INDEX(Tasks!$C:$C,$A379))</f>
        <v/>
      </c>
      <c r="D379" s="17" t="str">
        <f aca="false">IF($A379="","",IF(INDEX(Tasks!$D:$D,$A379)="","",INDEX(Tasks!$D:$D,$A379)))</f>
        <v/>
      </c>
      <c r="E379" s="17" t="str">
        <f aca="false">IF($A379="","",IF(INDEX(Tasks!$E:$E,$A379)="","",INDEX(Tasks!$E:$E,$A379)))</f>
        <v/>
      </c>
      <c r="F379" s="18" t="str">
        <f aca="false">IF($A379="","",IF(INDEX(Tasks!$F:$F,$A379)="","",INDEX(Tasks!$F:$F,$A379)))</f>
        <v/>
      </c>
      <c r="G379" s="18" t="str">
        <f aca="false">IF($A379="","",IF(INDEX(Tasks!$H:$H,$A379)="","",INDEX(Tasks!$H:$H,$A379)))</f>
        <v/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</row>
    <row r="380" customFormat="false" ht="15" hidden="false" customHeight="false" outlineLevel="0" collapsed="false">
      <c r="A380" s="16" t="str">
        <f aca="false">IFERROR(MATCH($C$2&amp;"|"&amp;(ROW()-4),Tasks!$L$4:$L$403,0)+3,"")</f>
        <v/>
      </c>
      <c r="B380" s="17" t="str">
        <f aca="false">IF($A380="","",IF(INDEX(Tasks!$A:$A,$A380)="","",INDEX(Tasks!$A:$A,$A380)))</f>
        <v/>
      </c>
      <c r="C380" s="17" t="str">
        <f aca="false">IF($A380="","",IF(ISERROR(FIND(".",INDEX(Tasks!$A:$A,$A380))),"","   ")&amp;INDEX(Tasks!$C:$C,$A380))</f>
        <v/>
      </c>
      <c r="D380" s="17" t="str">
        <f aca="false">IF($A380="","",IF(INDEX(Tasks!$D:$D,$A380)="","",INDEX(Tasks!$D:$D,$A380)))</f>
        <v/>
      </c>
      <c r="E380" s="17" t="str">
        <f aca="false">IF($A380="","",IF(INDEX(Tasks!$E:$E,$A380)="","",INDEX(Tasks!$E:$E,$A380)))</f>
        <v/>
      </c>
      <c r="F380" s="18" t="str">
        <f aca="false">IF($A380="","",IF(INDEX(Tasks!$F:$F,$A380)="","",INDEX(Tasks!$F:$F,$A380)))</f>
        <v/>
      </c>
      <c r="G380" s="18" t="str">
        <f aca="false">IF($A380="","",IF(INDEX(Tasks!$H:$H,$A380)="","",INDEX(Tasks!$H:$H,$A380)))</f>
        <v/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</row>
    <row r="381" customFormat="false" ht="15" hidden="false" customHeight="false" outlineLevel="0" collapsed="false">
      <c r="A381" s="16" t="str">
        <f aca="false">IFERROR(MATCH($C$2&amp;"|"&amp;(ROW()-4),Tasks!$L$4:$L$403,0)+3,"")</f>
        <v/>
      </c>
      <c r="B381" s="17" t="str">
        <f aca="false">IF($A381="","",IF(INDEX(Tasks!$A:$A,$A381)="","",INDEX(Tasks!$A:$A,$A381)))</f>
        <v/>
      </c>
      <c r="C381" s="17" t="str">
        <f aca="false">IF($A381="","",IF(ISERROR(FIND(".",INDEX(Tasks!$A:$A,$A381))),"","   ")&amp;INDEX(Tasks!$C:$C,$A381))</f>
        <v/>
      </c>
      <c r="D381" s="17" t="str">
        <f aca="false">IF($A381="","",IF(INDEX(Tasks!$D:$D,$A381)="","",INDEX(Tasks!$D:$D,$A381)))</f>
        <v/>
      </c>
      <c r="E381" s="17" t="str">
        <f aca="false">IF($A381="","",IF(INDEX(Tasks!$E:$E,$A381)="","",INDEX(Tasks!$E:$E,$A381)))</f>
        <v/>
      </c>
      <c r="F381" s="18" t="str">
        <f aca="false">IF($A381="","",IF(INDEX(Tasks!$F:$F,$A381)="","",INDEX(Tasks!$F:$F,$A381)))</f>
        <v/>
      </c>
      <c r="G381" s="18" t="str">
        <f aca="false">IF($A381="","",IF(INDEX(Tasks!$H:$H,$A381)="","",INDEX(Tasks!$H:$H,$A381)))</f>
        <v/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</row>
    <row r="382" customFormat="false" ht="15" hidden="false" customHeight="false" outlineLevel="0" collapsed="false">
      <c r="A382" s="16" t="str">
        <f aca="false">IFERROR(MATCH($C$2&amp;"|"&amp;(ROW()-4),Tasks!$L$4:$L$403,0)+3,"")</f>
        <v/>
      </c>
      <c r="B382" s="17" t="str">
        <f aca="false">IF($A382="","",IF(INDEX(Tasks!$A:$A,$A382)="","",INDEX(Tasks!$A:$A,$A382)))</f>
        <v/>
      </c>
      <c r="C382" s="17" t="str">
        <f aca="false">IF($A382="","",IF(ISERROR(FIND(".",INDEX(Tasks!$A:$A,$A382))),"","   ")&amp;INDEX(Tasks!$C:$C,$A382))</f>
        <v/>
      </c>
      <c r="D382" s="17" t="str">
        <f aca="false">IF($A382="","",IF(INDEX(Tasks!$D:$D,$A382)="","",INDEX(Tasks!$D:$D,$A382)))</f>
        <v/>
      </c>
      <c r="E382" s="17" t="str">
        <f aca="false">IF($A382="","",IF(INDEX(Tasks!$E:$E,$A382)="","",INDEX(Tasks!$E:$E,$A382)))</f>
        <v/>
      </c>
      <c r="F382" s="18" t="str">
        <f aca="false">IF($A382="","",IF(INDEX(Tasks!$F:$F,$A382)="","",INDEX(Tasks!$F:$F,$A382)))</f>
        <v/>
      </c>
      <c r="G382" s="18" t="str">
        <f aca="false">IF($A382="","",IF(INDEX(Tasks!$H:$H,$A382)="","",INDEX(Tasks!$H:$H,$A382)))</f>
        <v/>
      </c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</row>
    <row r="383" customFormat="false" ht="15" hidden="false" customHeight="false" outlineLevel="0" collapsed="false">
      <c r="A383" s="16" t="str">
        <f aca="false">IFERROR(MATCH($C$2&amp;"|"&amp;(ROW()-4),Tasks!$L$4:$L$403,0)+3,"")</f>
        <v/>
      </c>
      <c r="B383" s="17" t="str">
        <f aca="false">IF($A383="","",IF(INDEX(Tasks!$A:$A,$A383)="","",INDEX(Tasks!$A:$A,$A383)))</f>
        <v/>
      </c>
      <c r="C383" s="17" t="str">
        <f aca="false">IF($A383="","",IF(ISERROR(FIND(".",INDEX(Tasks!$A:$A,$A383))),"","   ")&amp;INDEX(Tasks!$C:$C,$A383))</f>
        <v/>
      </c>
      <c r="D383" s="17" t="str">
        <f aca="false">IF($A383="","",IF(INDEX(Tasks!$D:$D,$A383)="","",INDEX(Tasks!$D:$D,$A383)))</f>
        <v/>
      </c>
      <c r="E383" s="17" t="str">
        <f aca="false">IF($A383="","",IF(INDEX(Tasks!$E:$E,$A383)="","",INDEX(Tasks!$E:$E,$A383)))</f>
        <v/>
      </c>
      <c r="F383" s="18" t="str">
        <f aca="false">IF($A383="","",IF(INDEX(Tasks!$F:$F,$A383)="","",INDEX(Tasks!$F:$F,$A383)))</f>
        <v/>
      </c>
      <c r="G383" s="18" t="str">
        <f aca="false">IF($A383="","",IF(INDEX(Tasks!$H:$H,$A383)="","",INDEX(Tasks!$H:$H,$A383)))</f>
        <v/>
      </c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 customFormat="false" ht="15" hidden="false" customHeight="false" outlineLevel="0" collapsed="false">
      <c r="A384" s="16" t="str">
        <f aca="false">IFERROR(MATCH($C$2&amp;"|"&amp;(ROW()-4),Tasks!$L$4:$L$403,0)+3,"")</f>
        <v/>
      </c>
      <c r="B384" s="17" t="str">
        <f aca="false">IF($A384="","",IF(INDEX(Tasks!$A:$A,$A384)="","",INDEX(Tasks!$A:$A,$A384)))</f>
        <v/>
      </c>
      <c r="C384" s="17" t="str">
        <f aca="false">IF($A384="","",IF(ISERROR(FIND(".",INDEX(Tasks!$A:$A,$A384))),"","   ")&amp;INDEX(Tasks!$C:$C,$A384))</f>
        <v/>
      </c>
      <c r="D384" s="17" t="str">
        <f aca="false">IF($A384="","",IF(INDEX(Tasks!$D:$D,$A384)="","",INDEX(Tasks!$D:$D,$A384)))</f>
        <v/>
      </c>
      <c r="E384" s="17" t="str">
        <f aca="false">IF($A384="","",IF(INDEX(Tasks!$E:$E,$A384)="","",INDEX(Tasks!$E:$E,$A384)))</f>
        <v/>
      </c>
      <c r="F384" s="18" t="str">
        <f aca="false">IF($A384="","",IF(INDEX(Tasks!$F:$F,$A384)="","",INDEX(Tasks!$F:$F,$A384)))</f>
        <v/>
      </c>
      <c r="G384" s="18" t="str">
        <f aca="false">IF($A384="","",IF(INDEX(Tasks!$H:$H,$A384)="","",INDEX(Tasks!$H:$H,$A384)))</f>
        <v/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</row>
    <row r="385" customFormat="false" ht="15" hidden="false" customHeight="false" outlineLevel="0" collapsed="false">
      <c r="A385" s="16" t="str">
        <f aca="false">IFERROR(MATCH($C$2&amp;"|"&amp;(ROW()-4),Tasks!$L$4:$L$403,0)+3,"")</f>
        <v/>
      </c>
      <c r="B385" s="17" t="str">
        <f aca="false">IF($A385="","",IF(INDEX(Tasks!$A:$A,$A385)="","",INDEX(Tasks!$A:$A,$A385)))</f>
        <v/>
      </c>
      <c r="C385" s="17" t="str">
        <f aca="false">IF($A385="","",IF(ISERROR(FIND(".",INDEX(Tasks!$A:$A,$A385))),"","   ")&amp;INDEX(Tasks!$C:$C,$A385))</f>
        <v/>
      </c>
      <c r="D385" s="17" t="str">
        <f aca="false">IF($A385="","",IF(INDEX(Tasks!$D:$D,$A385)="","",INDEX(Tasks!$D:$D,$A385)))</f>
        <v/>
      </c>
      <c r="E385" s="17" t="str">
        <f aca="false">IF($A385="","",IF(INDEX(Tasks!$E:$E,$A385)="","",INDEX(Tasks!$E:$E,$A385)))</f>
        <v/>
      </c>
      <c r="F385" s="18" t="str">
        <f aca="false">IF($A385="","",IF(INDEX(Tasks!$F:$F,$A385)="","",INDEX(Tasks!$F:$F,$A385)))</f>
        <v/>
      </c>
      <c r="G385" s="18" t="str">
        <f aca="false">IF($A385="","",IF(INDEX(Tasks!$H:$H,$A385)="","",INDEX(Tasks!$H:$H,$A385)))</f>
        <v/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</row>
    <row r="386" customFormat="false" ht="15" hidden="false" customHeight="false" outlineLevel="0" collapsed="false">
      <c r="A386" s="16" t="str">
        <f aca="false">IFERROR(MATCH($C$2&amp;"|"&amp;(ROW()-4),Tasks!$L$4:$L$403,0)+3,"")</f>
        <v/>
      </c>
      <c r="B386" s="17" t="str">
        <f aca="false">IF($A386="","",IF(INDEX(Tasks!$A:$A,$A386)="","",INDEX(Tasks!$A:$A,$A386)))</f>
        <v/>
      </c>
      <c r="C386" s="17" t="str">
        <f aca="false">IF($A386="","",IF(ISERROR(FIND(".",INDEX(Tasks!$A:$A,$A386))),"","   ")&amp;INDEX(Tasks!$C:$C,$A386))</f>
        <v/>
      </c>
      <c r="D386" s="17" t="str">
        <f aca="false">IF($A386="","",IF(INDEX(Tasks!$D:$D,$A386)="","",INDEX(Tasks!$D:$D,$A386)))</f>
        <v/>
      </c>
      <c r="E386" s="17" t="str">
        <f aca="false">IF($A386="","",IF(INDEX(Tasks!$E:$E,$A386)="","",INDEX(Tasks!$E:$E,$A386)))</f>
        <v/>
      </c>
      <c r="F386" s="18" t="str">
        <f aca="false">IF($A386="","",IF(INDEX(Tasks!$F:$F,$A386)="","",INDEX(Tasks!$F:$F,$A386)))</f>
        <v/>
      </c>
      <c r="G386" s="18" t="str">
        <f aca="false">IF($A386="","",IF(INDEX(Tasks!$H:$H,$A386)="","",INDEX(Tasks!$H:$H,$A386)))</f>
        <v/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 customFormat="false" ht="15" hidden="false" customHeight="false" outlineLevel="0" collapsed="false">
      <c r="A387" s="16" t="str">
        <f aca="false">IFERROR(MATCH($C$2&amp;"|"&amp;(ROW()-4),Tasks!$L$4:$L$403,0)+3,"")</f>
        <v/>
      </c>
      <c r="B387" s="17" t="str">
        <f aca="false">IF($A387="","",IF(INDEX(Tasks!$A:$A,$A387)="","",INDEX(Tasks!$A:$A,$A387)))</f>
        <v/>
      </c>
      <c r="C387" s="17" t="str">
        <f aca="false">IF($A387="","",IF(ISERROR(FIND(".",INDEX(Tasks!$A:$A,$A387))),"","   ")&amp;INDEX(Tasks!$C:$C,$A387))</f>
        <v/>
      </c>
      <c r="D387" s="17" t="str">
        <f aca="false">IF($A387="","",IF(INDEX(Tasks!$D:$D,$A387)="","",INDEX(Tasks!$D:$D,$A387)))</f>
        <v/>
      </c>
      <c r="E387" s="17" t="str">
        <f aca="false">IF($A387="","",IF(INDEX(Tasks!$E:$E,$A387)="","",INDEX(Tasks!$E:$E,$A387)))</f>
        <v/>
      </c>
      <c r="F387" s="18" t="str">
        <f aca="false">IF($A387="","",IF(INDEX(Tasks!$F:$F,$A387)="","",INDEX(Tasks!$F:$F,$A387)))</f>
        <v/>
      </c>
      <c r="G387" s="18" t="str">
        <f aca="false">IF($A387="","",IF(INDEX(Tasks!$H:$H,$A387)="","",INDEX(Tasks!$H:$H,$A387)))</f>
        <v/>
      </c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  <row r="388" customFormat="false" ht="15" hidden="false" customHeight="false" outlineLevel="0" collapsed="false">
      <c r="A388" s="16" t="str">
        <f aca="false">IFERROR(MATCH($C$2&amp;"|"&amp;(ROW()-4),Tasks!$L$4:$L$403,0)+3,"")</f>
        <v/>
      </c>
      <c r="B388" s="17" t="str">
        <f aca="false">IF($A388="","",IF(INDEX(Tasks!$A:$A,$A388)="","",INDEX(Tasks!$A:$A,$A388)))</f>
        <v/>
      </c>
      <c r="C388" s="17" t="str">
        <f aca="false">IF($A388="","",IF(ISERROR(FIND(".",INDEX(Tasks!$A:$A,$A388))),"","   ")&amp;INDEX(Tasks!$C:$C,$A388))</f>
        <v/>
      </c>
      <c r="D388" s="17" t="str">
        <f aca="false">IF($A388="","",IF(INDEX(Tasks!$D:$D,$A388)="","",INDEX(Tasks!$D:$D,$A388)))</f>
        <v/>
      </c>
      <c r="E388" s="17" t="str">
        <f aca="false">IF($A388="","",IF(INDEX(Tasks!$E:$E,$A388)="","",INDEX(Tasks!$E:$E,$A388)))</f>
        <v/>
      </c>
      <c r="F388" s="18" t="str">
        <f aca="false">IF($A388="","",IF(INDEX(Tasks!$F:$F,$A388)="","",INDEX(Tasks!$F:$F,$A388)))</f>
        <v/>
      </c>
      <c r="G388" s="18" t="str">
        <f aca="false">IF($A388="","",IF(INDEX(Tasks!$H:$H,$A388)="","",INDEX(Tasks!$H:$H,$A388)))</f>
        <v/>
      </c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</row>
    <row r="389" customFormat="false" ht="15" hidden="false" customHeight="false" outlineLevel="0" collapsed="false">
      <c r="A389" s="16" t="str">
        <f aca="false">IFERROR(MATCH($C$2&amp;"|"&amp;(ROW()-4),Tasks!$L$4:$L$403,0)+3,"")</f>
        <v/>
      </c>
      <c r="B389" s="17" t="str">
        <f aca="false">IF($A389="","",IF(INDEX(Tasks!$A:$A,$A389)="","",INDEX(Tasks!$A:$A,$A389)))</f>
        <v/>
      </c>
      <c r="C389" s="17" t="str">
        <f aca="false">IF($A389="","",IF(ISERROR(FIND(".",INDEX(Tasks!$A:$A,$A389))),"","   ")&amp;INDEX(Tasks!$C:$C,$A389))</f>
        <v/>
      </c>
      <c r="D389" s="17" t="str">
        <f aca="false">IF($A389="","",IF(INDEX(Tasks!$D:$D,$A389)="","",INDEX(Tasks!$D:$D,$A389)))</f>
        <v/>
      </c>
      <c r="E389" s="17" t="str">
        <f aca="false">IF($A389="","",IF(INDEX(Tasks!$E:$E,$A389)="","",INDEX(Tasks!$E:$E,$A389)))</f>
        <v/>
      </c>
      <c r="F389" s="18" t="str">
        <f aca="false">IF($A389="","",IF(INDEX(Tasks!$F:$F,$A389)="","",INDEX(Tasks!$F:$F,$A389)))</f>
        <v/>
      </c>
      <c r="G389" s="18" t="str">
        <f aca="false">IF($A389="","",IF(INDEX(Tasks!$H:$H,$A389)="","",INDEX(Tasks!$H:$H,$A389)))</f>
        <v/>
      </c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</row>
    <row r="390" customFormat="false" ht="15" hidden="false" customHeight="false" outlineLevel="0" collapsed="false">
      <c r="A390" s="16" t="str">
        <f aca="false">IFERROR(MATCH($C$2&amp;"|"&amp;(ROW()-4),Tasks!$L$4:$L$403,0)+3,"")</f>
        <v/>
      </c>
      <c r="B390" s="17" t="str">
        <f aca="false">IF($A390="","",IF(INDEX(Tasks!$A:$A,$A390)="","",INDEX(Tasks!$A:$A,$A390)))</f>
        <v/>
      </c>
      <c r="C390" s="17" t="str">
        <f aca="false">IF($A390="","",IF(ISERROR(FIND(".",INDEX(Tasks!$A:$A,$A390))),"","   ")&amp;INDEX(Tasks!$C:$C,$A390))</f>
        <v/>
      </c>
      <c r="D390" s="17" t="str">
        <f aca="false">IF($A390="","",IF(INDEX(Tasks!$D:$D,$A390)="","",INDEX(Tasks!$D:$D,$A390)))</f>
        <v/>
      </c>
      <c r="E390" s="17" t="str">
        <f aca="false">IF($A390="","",IF(INDEX(Tasks!$E:$E,$A390)="","",INDEX(Tasks!$E:$E,$A390)))</f>
        <v/>
      </c>
      <c r="F390" s="18" t="str">
        <f aca="false">IF($A390="","",IF(INDEX(Tasks!$F:$F,$A390)="","",INDEX(Tasks!$F:$F,$A390)))</f>
        <v/>
      </c>
      <c r="G390" s="18" t="str">
        <f aca="false">IF($A390="","",IF(INDEX(Tasks!$H:$H,$A390)="","",INDEX(Tasks!$H:$H,$A390)))</f>
        <v/>
      </c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</row>
    <row r="391" customFormat="false" ht="15" hidden="false" customHeight="false" outlineLevel="0" collapsed="false">
      <c r="A391" s="16" t="str">
        <f aca="false">IFERROR(MATCH($C$2&amp;"|"&amp;(ROW()-4),Tasks!$L$4:$L$403,0)+3,"")</f>
        <v/>
      </c>
      <c r="B391" s="17" t="str">
        <f aca="false">IF($A391="","",IF(INDEX(Tasks!$A:$A,$A391)="","",INDEX(Tasks!$A:$A,$A391)))</f>
        <v/>
      </c>
      <c r="C391" s="17" t="str">
        <f aca="false">IF($A391="","",IF(ISERROR(FIND(".",INDEX(Tasks!$A:$A,$A391))),"","   ")&amp;INDEX(Tasks!$C:$C,$A391))</f>
        <v/>
      </c>
      <c r="D391" s="17" t="str">
        <f aca="false">IF($A391="","",IF(INDEX(Tasks!$D:$D,$A391)="","",INDEX(Tasks!$D:$D,$A391)))</f>
        <v/>
      </c>
      <c r="E391" s="17" t="str">
        <f aca="false">IF($A391="","",IF(INDEX(Tasks!$E:$E,$A391)="","",INDEX(Tasks!$E:$E,$A391)))</f>
        <v/>
      </c>
      <c r="F391" s="18" t="str">
        <f aca="false">IF($A391="","",IF(INDEX(Tasks!$F:$F,$A391)="","",INDEX(Tasks!$F:$F,$A391)))</f>
        <v/>
      </c>
      <c r="G391" s="18" t="str">
        <f aca="false">IF($A391="","",IF(INDEX(Tasks!$H:$H,$A391)="","",INDEX(Tasks!$H:$H,$A391)))</f>
        <v/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</row>
    <row r="392" customFormat="false" ht="15" hidden="false" customHeight="false" outlineLevel="0" collapsed="false">
      <c r="A392" s="16" t="str">
        <f aca="false">IFERROR(MATCH($C$2&amp;"|"&amp;(ROW()-4),Tasks!$L$4:$L$403,0)+3,"")</f>
        <v/>
      </c>
      <c r="B392" s="17" t="str">
        <f aca="false">IF($A392="","",IF(INDEX(Tasks!$A:$A,$A392)="","",INDEX(Tasks!$A:$A,$A392)))</f>
        <v/>
      </c>
      <c r="C392" s="17" t="str">
        <f aca="false">IF($A392="","",IF(ISERROR(FIND(".",INDEX(Tasks!$A:$A,$A392))),"","   ")&amp;INDEX(Tasks!$C:$C,$A392))</f>
        <v/>
      </c>
      <c r="D392" s="17" t="str">
        <f aca="false">IF($A392="","",IF(INDEX(Tasks!$D:$D,$A392)="","",INDEX(Tasks!$D:$D,$A392)))</f>
        <v/>
      </c>
      <c r="E392" s="17" t="str">
        <f aca="false">IF($A392="","",IF(INDEX(Tasks!$E:$E,$A392)="","",INDEX(Tasks!$E:$E,$A392)))</f>
        <v/>
      </c>
      <c r="F392" s="18" t="str">
        <f aca="false">IF($A392="","",IF(INDEX(Tasks!$F:$F,$A392)="","",INDEX(Tasks!$F:$F,$A392)))</f>
        <v/>
      </c>
      <c r="G392" s="18" t="str">
        <f aca="false">IF($A392="","",IF(INDEX(Tasks!$H:$H,$A392)="","",INDEX(Tasks!$H:$H,$A392)))</f>
        <v/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</row>
    <row r="393" customFormat="false" ht="15" hidden="false" customHeight="false" outlineLevel="0" collapsed="false">
      <c r="A393" s="16" t="str">
        <f aca="false">IFERROR(MATCH($C$2&amp;"|"&amp;(ROW()-4),Tasks!$L$4:$L$403,0)+3,"")</f>
        <v/>
      </c>
      <c r="B393" s="17" t="str">
        <f aca="false">IF($A393="","",IF(INDEX(Tasks!$A:$A,$A393)="","",INDEX(Tasks!$A:$A,$A393)))</f>
        <v/>
      </c>
      <c r="C393" s="17" t="str">
        <f aca="false">IF($A393="","",IF(ISERROR(FIND(".",INDEX(Tasks!$A:$A,$A393))),"","   ")&amp;INDEX(Tasks!$C:$C,$A393))</f>
        <v/>
      </c>
      <c r="D393" s="17" t="str">
        <f aca="false">IF($A393="","",IF(INDEX(Tasks!$D:$D,$A393)="","",INDEX(Tasks!$D:$D,$A393)))</f>
        <v/>
      </c>
      <c r="E393" s="17" t="str">
        <f aca="false">IF($A393="","",IF(INDEX(Tasks!$E:$E,$A393)="","",INDEX(Tasks!$E:$E,$A393)))</f>
        <v/>
      </c>
      <c r="F393" s="18" t="str">
        <f aca="false">IF($A393="","",IF(INDEX(Tasks!$F:$F,$A393)="","",INDEX(Tasks!$F:$F,$A393)))</f>
        <v/>
      </c>
      <c r="G393" s="18" t="str">
        <f aca="false">IF($A393="","",IF(INDEX(Tasks!$H:$H,$A393)="","",INDEX(Tasks!$H:$H,$A393)))</f>
        <v/>
      </c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</row>
    <row r="394" customFormat="false" ht="15" hidden="false" customHeight="false" outlineLevel="0" collapsed="false">
      <c r="A394" s="16" t="str">
        <f aca="false">IFERROR(MATCH($C$2&amp;"|"&amp;(ROW()-4),Tasks!$L$4:$L$403,0)+3,"")</f>
        <v/>
      </c>
      <c r="B394" s="17" t="str">
        <f aca="false">IF($A394="","",IF(INDEX(Tasks!$A:$A,$A394)="","",INDEX(Tasks!$A:$A,$A394)))</f>
        <v/>
      </c>
      <c r="C394" s="17" t="str">
        <f aca="false">IF($A394="","",IF(ISERROR(FIND(".",INDEX(Tasks!$A:$A,$A394))),"","   ")&amp;INDEX(Tasks!$C:$C,$A394))</f>
        <v/>
      </c>
      <c r="D394" s="17" t="str">
        <f aca="false">IF($A394="","",IF(INDEX(Tasks!$D:$D,$A394)="","",INDEX(Tasks!$D:$D,$A394)))</f>
        <v/>
      </c>
      <c r="E394" s="17" t="str">
        <f aca="false">IF($A394="","",IF(INDEX(Tasks!$E:$E,$A394)="","",INDEX(Tasks!$E:$E,$A394)))</f>
        <v/>
      </c>
      <c r="F394" s="18" t="str">
        <f aca="false">IF($A394="","",IF(INDEX(Tasks!$F:$F,$A394)="","",INDEX(Tasks!$F:$F,$A394)))</f>
        <v/>
      </c>
      <c r="G394" s="18" t="str">
        <f aca="false">IF($A394="","",IF(INDEX(Tasks!$H:$H,$A394)="","",INDEX(Tasks!$H:$H,$A394)))</f>
        <v/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</row>
    <row r="395" customFormat="false" ht="15" hidden="false" customHeight="false" outlineLevel="0" collapsed="false">
      <c r="A395" s="16" t="str">
        <f aca="false">IFERROR(MATCH($C$2&amp;"|"&amp;(ROW()-4),Tasks!$L$4:$L$403,0)+3,"")</f>
        <v/>
      </c>
      <c r="B395" s="17" t="str">
        <f aca="false">IF($A395="","",IF(INDEX(Tasks!$A:$A,$A395)="","",INDEX(Tasks!$A:$A,$A395)))</f>
        <v/>
      </c>
      <c r="C395" s="17" t="str">
        <f aca="false">IF($A395="","",IF(ISERROR(FIND(".",INDEX(Tasks!$A:$A,$A395))),"","   ")&amp;INDEX(Tasks!$C:$C,$A395))</f>
        <v/>
      </c>
      <c r="D395" s="17" t="str">
        <f aca="false">IF($A395="","",IF(INDEX(Tasks!$D:$D,$A395)="","",INDEX(Tasks!$D:$D,$A395)))</f>
        <v/>
      </c>
      <c r="E395" s="17" t="str">
        <f aca="false">IF($A395="","",IF(INDEX(Tasks!$E:$E,$A395)="","",INDEX(Tasks!$E:$E,$A395)))</f>
        <v/>
      </c>
      <c r="F395" s="18" t="str">
        <f aca="false">IF($A395="","",IF(INDEX(Tasks!$F:$F,$A395)="","",INDEX(Tasks!$F:$F,$A395)))</f>
        <v/>
      </c>
      <c r="G395" s="18" t="str">
        <f aca="false">IF($A395="","",IF(INDEX(Tasks!$H:$H,$A395)="","",INDEX(Tasks!$H:$H,$A395)))</f>
        <v/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</row>
    <row r="396" customFormat="false" ht="15" hidden="false" customHeight="false" outlineLevel="0" collapsed="false">
      <c r="A396" s="16" t="str">
        <f aca="false">IFERROR(MATCH($C$2&amp;"|"&amp;(ROW()-4),Tasks!$L$4:$L$403,0)+3,"")</f>
        <v/>
      </c>
      <c r="B396" s="17" t="str">
        <f aca="false">IF($A396="","",IF(INDEX(Tasks!$A:$A,$A396)="","",INDEX(Tasks!$A:$A,$A396)))</f>
        <v/>
      </c>
      <c r="C396" s="17" t="str">
        <f aca="false">IF($A396="","",IF(ISERROR(FIND(".",INDEX(Tasks!$A:$A,$A396))),"","   ")&amp;INDEX(Tasks!$C:$C,$A396))</f>
        <v/>
      </c>
      <c r="D396" s="17" t="str">
        <f aca="false">IF($A396="","",IF(INDEX(Tasks!$D:$D,$A396)="","",INDEX(Tasks!$D:$D,$A396)))</f>
        <v/>
      </c>
      <c r="E396" s="17" t="str">
        <f aca="false">IF($A396="","",IF(INDEX(Tasks!$E:$E,$A396)="","",INDEX(Tasks!$E:$E,$A396)))</f>
        <v/>
      </c>
      <c r="F396" s="18" t="str">
        <f aca="false">IF($A396="","",IF(INDEX(Tasks!$F:$F,$A396)="","",INDEX(Tasks!$F:$F,$A396)))</f>
        <v/>
      </c>
      <c r="G396" s="18" t="str">
        <f aca="false">IF($A396="","",IF(INDEX(Tasks!$H:$H,$A396)="","",INDEX(Tasks!$H:$H,$A396)))</f>
        <v/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</row>
    <row r="397" customFormat="false" ht="15" hidden="false" customHeight="false" outlineLevel="0" collapsed="false">
      <c r="A397" s="16" t="str">
        <f aca="false">IFERROR(MATCH($C$2&amp;"|"&amp;(ROW()-4),Tasks!$L$4:$L$403,0)+3,"")</f>
        <v/>
      </c>
      <c r="B397" s="17" t="str">
        <f aca="false">IF($A397="","",IF(INDEX(Tasks!$A:$A,$A397)="","",INDEX(Tasks!$A:$A,$A397)))</f>
        <v/>
      </c>
      <c r="C397" s="17" t="str">
        <f aca="false">IF($A397="","",IF(ISERROR(FIND(".",INDEX(Tasks!$A:$A,$A397))),"","   ")&amp;INDEX(Tasks!$C:$C,$A397))</f>
        <v/>
      </c>
      <c r="D397" s="17" t="str">
        <f aca="false">IF($A397="","",IF(INDEX(Tasks!$D:$D,$A397)="","",INDEX(Tasks!$D:$D,$A397)))</f>
        <v/>
      </c>
      <c r="E397" s="17" t="str">
        <f aca="false">IF($A397="","",IF(INDEX(Tasks!$E:$E,$A397)="","",INDEX(Tasks!$E:$E,$A397)))</f>
        <v/>
      </c>
      <c r="F397" s="18" t="str">
        <f aca="false">IF($A397="","",IF(INDEX(Tasks!$F:$F,$A397)="","",INDEX(Tasks!$F:$F,$A397)))</f>
        <v/>
      </c>
      <c r="G397" s="18" t="str">
        <f aca="false">IF($A397="","",IF(INDEX(Tasks!$H:$H,$A397)="","",INDEX(Tasks!$H:$H,$A397)))</f>
        <v/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</row>
    <row r="398" customFormat="false" ht="15" hidden="false" customHeight="false" outlineLevel="0" collapsed="false">
      <c r="A398" s="16" t="str">
        <f aca="false">IFERROR(MATCH($C$2&amp;"|"&amp;(ROW()-4),Tasks!$L$4:$L$403,0)+3,"")</f>
        <v/>
      </c>
      <c r="B398" s="17" t="str">
        <f aca="false">IF($A398="","",IF(INDEX(Tasks!$A:$A,$A398)="","",INDEX(Tasks!$A:$A,$A398)))</f>
        <v/>
      </c>
      <c r="C398" s="17" t="str">
        <f aca="false">IF($A398="","",IF(ISERROR(FIND(".",INDEX(Tasks!$A:$A,$A398))),"","   ")&amp;INDEX(Tasks!$C:$C,$A398))</f>
        <v/>
      </c>
      <c r="D398" s="17" t="str">
        <f aca="false">IF($A398="","",IF(INDEX(Tasks!$D:$D,$A398)="","",INDEX(Tasks!$D:$D,$A398)))</f>
        <v/>
      </c>
      <c r="E398" s="17" t="str">
        <f aca="false">IF($A398="","",IF(INDEX(Tasks!$E:$E,$A398)="","",INDEX(Tasks!$E:$E,$A398)))</f>
        <v/>
      </c>
      <c r="F398" s="18" t="str">
        <f aca="false">IF($A398="","",IF(INDEX(Tasks!$F:$F,$A398)="","",INDEX(Tasks!$F:$F,$A398)))</f>
        <v/>
      </c>
      <c r="G398" s="18" t="str">
        <f aca="false">IF($A398="","",IF(INDEX(Tasks!$H:$H,$A398)="","",INDEX(Tasks!$H:$H,$A398)))</f>
        <v/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</row>
    <row r="399" customFormat="false" ht="15" hidden="false" customHeight="false" outlineLevel="0" collapsed="false">
      <c r="A399" s="16" t="str">
        <f aca="false">IFERROR(MATCH($C$2&amp;"|"&amp;(ROW()-4),Tasks!$L$4:$L$403,0)+3,"")</f>
        <v/>
      </c>
      <c r="B399" s="17" t="str">
        <f aca="false">IF($A399="","",IF(INDEX(Tasks!$A:$A,$A399)="","",INDEX(Tasks!$A:$A,$A399)))</f>
        <v/>
      </c>
      <c r="C399" s="17" t="str">
        <f aca="false">IF($A399="","",IF(ISERROR(FIND(".",INDEX(Tasks!$A:$A,$A399))),"","   ")&amp;INDEX(Tasks!$C:$C,$A399))</f>
        <v/>
      </c>
      <c r="D399" s="17" t="str">
        <f aca="false">IF($A399="","",IF(INDEX(Tasks!$D:$D,$A399)="","",INDEX(Tasks!$D:$D,$A399)))</f>
        <v/>
      </c>
      <c r="E399" s="17" t="str">
        <f aca="false">IF($A399="","",IF(INDEX(Tasks!$E:$E,$A399)="","",INDEX(Tasks!$E:$E,$A399)))</f>
        <v/>
      </c>
      <c r="F399" s="18" t="str">
        <f aca="false">IF($A399="","",IF(INDEX(Tasks!$F:$F,$A399)="","",INDEX(Tasks!$F:$F,$A399)))</f>
        <v/>
      </c>
      <c r="G399" s="18" t="str">
        <f aca="false">IF($A399="","",IF(INDEX(Tasks!$H:$H,$A399)="","",INDEX(Tasks!$H:$H,$A399)))</f>
        <v/>
      </c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</row>
    <row r="400" customFormat="false" ht="15" hidden="false" customHeight="false" outlineLevel="0" collapsed="false">
      <c r="A400" s="16" t="str">
        <f aca="false">IFERROR(MATCH($C$2&amp;"|"&amp;(ROW()-4),Tasks!$L$4:$L$403,0)+3,"")</f>
        <v/>
      </c>
      <c r="B400" s="17" t="str">
        <f aca="false">IF($A400="","",IF(INDEX(Tasks!$A:$A,$A400)="","",INDEX(Tasks!$A:$A,$A400)))</f>
        <v/>
      </c>
      <c r="C400" s="17" t="str">
        <f aca="false">IF($A400="","",IF(ISERROR(FIND(".",INDEX(Tasks!$A:$A,$A400))),"","   ")&amp;INDEX(Tasks!$C:$C,$A400))</f>
        <v/>
      </c>
      <c r="D400" s="17" t="str">
        <f aca="false">IF($A400="","",IF(INDEX(Tasks!$D:$D,$A400)="","",INDEX(Tasks!$D:$D,$A400)))</f>
        <v/>
      </c>
      <c r="E400" s="17" t="str">
        <f aca="false">IF($A400="","",IF(INDEX(Tasks!$E:$E,$A400)="","",INDEX(Tasks!$E:$E,$A400)))</f>
        <v/>
      </c>
      <c r="F400" s="18" t="str">
        <f aca="false">IF($A400="","",IF(INDEX(Tasks!$F:$F,$A400)="","",INDEX(Tasks!$F:$F,$A400)))</f>
        <v/>
      </c>
      <c r="G400" s="18" t="str">
        <f aca="false">IF($A400="","",IF(INDEX(Tasks!$H:$H,$A400)="","",INDEX(Tasks!$H:$H,$A400)))</f>
        <v/>
      </c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</row>
    <row r="401" customFormat="false" ht="15" hidden="false" customHeight="false" outlineLevel="0" collapsed="false">
      <c r="A401" s="16" t="str">
        <f aca="false">IFERROR(MATCH($C$2&amp;"|"&amp;(ROW()-4),Tasks!$L$4:$L$403,0)+3,"")</f>
        <v/>
      </c>
      <c r="B401" s="17" t="str">
        <f aca="false">IF($A401="","",IF(INDEX(Tasks!$A:$A,$A401)="","",INDEX(Tasks!$A:$A,$A401)))</f>
        <v/>
      </c>
      <c r="C401" s="17" t="str">
        <f aca="false">IF($A401="","",IF(ISERROR(FIND(".",INDEX(Tasks!$A:$A,$A401))),"","   ")&amp;INDEX(Tasks!$C:$C,$A401))</f>
        <v/>
      </c>
      <c r="D401" s="17" t="str">
        <f aca="false">IF($A401="","",IF(INDEX(Tasks!$D:$D,$A401)="","",INDEX(Tasks!$D:$D,$A401)))</f>
        <v/>
      </c>
      <c r="E401" s="17" t="str">
        <f aca="false">IF($A401="","",IF(INDEX(Tasks!$E:$E,$A401)="","",INDEX(Tasks!$E:$E,$A401)))</f>
        <v/>
      </c>
      <c r="F401" s="18" t="str">
        <f aca="false">IF($A401="","",IF(INDEX(Tasks!$F:$F,$A401)="","",INDEX(Tasks!$F:$F,$A401)))</f>
        <v/>
      </c>
      <c r="G401" s="18" t="str">
        <f aca="false">IF($A401="","",IF(INDEX(Tasks!$H:$H,$A401)="","",INDEX(Tasks!$H:$H,$A401)))</f>
        <v/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</row>
    <row r="402" customFormat="false" ht="15" hidden="false" customHeight="false" outlineLevel="0" collapsed="false">
      <c r="A402" s="16" t="str">
        <f aca="false">IFERROR(MATCH($C$2&amp;"|"&amp;(ROW()-4),Tasks!$L$4:$L$403,0)+3,"")</f>
        <v/>
      </c>
      <c r="B402" s="17" t="str">
        <f aca="false">IF($A402="","",IF(INDEX(Tasks!$A:$A,$A402)="","",INDEX(Tasks!$A:$A,$A402)))</f>
        <v/>
      </c>
      <c r="C402" s="17" t="str">
        <f aca="false">IF($A402="","",IF(ISERROR(FIND(".",INDEX(Tasks!$A:$A,$A402))),"","   ")&amp;INDEX(Tasks!$C:$C,$A402))</f>
        <v/>
      </c>
      <c r="D402" s="17" t="str">
        <f aca="false">IF($A402="","",IF(INDEX(Tasks!$D:$D,$A402)="","",INDEX(Tasks!$D:$D,$A402)))</f>
        <v/>
      </c>
      <c r="E402" s="17" t="str">
        <f aca="false">IF($A402="","",IF(INDEX(Tasks!$E:$E,$A402)="","",INDEX(Tasks!$E:$E,$A402)))</f>
        <v/>
      </c>
      <c r="F402" s="18" t="str">
        <f aca="false">IF($A402="","",IF(INDEX(Tasks!$F:$F,$A402)="","",INDEX(Tasks!$F:$F,$A402)))</f>
        <v/>
      </c>
      <c r="G402" s="18" t="str">
        <f aca="false">IF($A402="","",IF(INDEX(Tasks!$H:$H,$A402)="","",INDEX(Tasks!$H:$H,$A402)))</f>
        <v/>
      </c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</row>
    <row r="403" customFormat="false" ht="15" hidden="false" customHeight="false" outlineLevel="0" collapsed="false">
      <c r="A403" s="16" t="str">
        <f aca="false">IFERROR(MATCH($C$2&amp;"|"&amp;(ROW()-4),Tasks!$L$4:$L$403,0)+3,"")</f>
        <v/>
      </c>
      <c r="B403" s="17" t="str">
        <f aca="false">IF($A403="","",IF(INDEX(Tasks!$A:$A,$A403)="","",INDEX(Tasks!$A:$A,$A403)))</f>
        <v/>
      </c>
      <c r="C403" s="17" t="str">
        <f aca="false">IF($A403="","",IF(ISERROR(FIND(".",INDEX(Tasks!$A:$A,$A403))),"","   ")&amp;INDEX(Tasks!$C:$C,$A403))</f>
        <v/>
      </c>
      <c r="D403" s="17" t="str">
        <f aca="false">IF($A403="","",IF(INDEX(Tasks!$D:$D,$A403)="","",INDEX(Tasks!$D:$D,$A403)))</f>
        <v/>
      </c>
      <c r="E403" s="17" t="str">
        <f aca="false">IF($A403="","",IF(INDEX(Tasks!$E:$E,$A403)="","",INDEX(Tasks!$E:$E,$A403)))</f>
        <v/>
      </c>
      <c r="F403" s="18" t="str">
        <f aca="false">IF($A403="","",IF(INDEX(Tasks!$F:$F,$A403)="","",INDEX(Tasks!$F:$F,$A403)))</f>
        <v/>
      </c>
      <c r="G403" s="18" t="str">
        <f aca="false">IF($A403="","",IF(INDEX(Tasks!$H:$H,$A403)="","",INDEX(Tasks!$H:$H,$A403)))</f>
        <v/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</row>
    <row r="404" customFormat="false" ht="15" hidden="false" customHeight="false" outlineLevel="0" collapsed="false">
      <c r="A404" s="16" t="str">
        <f aca="false">IFERROR(MATCH($C$2&amp;"|"&amp;(ROW()-4),Tasks!$L$4:$L$403,0)+3,"")</f>
        <v/>
      </c>
      <c r="B404" s="17" t="str">
        <f aca="false">IF($A404="","",IF(INDEX(Tasks!$A:$A,$A404)="","",INDEX(Tasks!$A:$A,$A404)))</f>
        <v/>
      </c>
      <c r="C404" s="17" t="str">
        <f aca="false">IF($A404="","",IF(ISERROR(FIND(".",INDEX(Tasks!$A:$A,$A404))),"","   ")&amp;INDEX(Tasks!$C:$C,$A404))</f>
        <v/>
      </c>
      <c r="D404" s="17" t="str">
        <f aca="false">IF($A404="","",IF(INDEX(Tasks!$D:$D,$A404)="","",INDEX(Tasks!$D:$D,$A404)))</f>
        <v/>
      </c>
      <c r="E404" s="17" t="str">
        <f aca="false">IF($A404="","",IF(INDEX(Tasks!$E:$E,$A404)="","",INDEX(Tasks!$E:$E,$A404)))</f>
        <v/>
      </c>
      <c r="F404" s="18" t="str">
        <f aca="false">IF($A404="","",IF(INDEX(Tasks!$F:$F,$A404)="","",INDEX(Tasks!$F:$F,$A404)))</f>
        <v/>
      </c>
      <c r="G404" s="18" t="str">
        <f aca="false">IF($A404="","",IF(INDEX(Tasks!$H:$H,$A404)="","",INDEX(Tasks!$H:$H,$A404)))</f>
        <v/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</row>
  </sheetData>
  <conditionalFormatting sqref="H5:AY40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40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40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404 F5:G40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317</v>
      </c>
    </row>
    <row r="2" customFormat="false" ht="15" hidden="false" customHeight="false" outlineLevel="0" collapsed="false">
      <c r="B2" s="2" t="s">
        <v>318</v>
      </c>
      <c r="C2" s="28" t="s">
        <v>133</v>
      </c>
      <c r="E2" s="13" t="str">
        <f aca="true">COUNTIFS(Tasks!$B$4:$B$403,$C$2,Tasks!$C$4:$C$403,"?*")&amp;" tasks   ·   "&amp;COUNTIFS(Tasks!$B$4:$B$403,$C$2,Tasks!$C$4:$C$403,"?*",Tasks!$E$4:$E$403,"In Progress")&amp;" in progress   ·   "&amp;COUNTIFS(Tasks!$B$4:$B$403,$C$2,Tasks!$C$4:$C$403,"?*",Tasks!$E$4:$E$403,"Blocked")&amp;" blocked   ·   "&amp;COUNTIFS(Tasks!$B$4:$B$403,$C$2,Tasks!$C$4:$C$403,"?*",Tasks!$H$4:$H$403,"&lt;"&amp;TODAY(),Tasks!$E$4:$E$403,"&lt;&gt;Complete")&amp;" overdue"</f>
        <v>43 tasks   ·   1 in progress   ·   1 blocked   ·   6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IFERROR(MATCH($C$2&amp;"|"&amp;(ROW()-4),Tasks!$K$4:$K$403,0)+3,"")</f>
        <v>44</v>
      </c>
      <c r="B5" s="17" t="str">
        <f aca="false">IF($A5="","",IF(INDEX(Tasks!$A:$A,$A5)="","",INDEX(Tasks!$A:$A,$A5)))</f>
        <v>G1-SP-1</v>
      </c>
      <c r="C5" s="17" t="str">
        <f aca="false">IF($A5="","",IF(ISERROR(FIND(".",INDEX(Tasks!$A:$A,$A5))),"","   ")&amp;INDEX(Tasks!$C:$C,$A5))</f>
        <v>Sensor rig &amp; TF tree per robot</v>
      </c>
      <c r="D5" s="17" t="str">
        <f aca="false">IF($A5="","",IF(INDEX(Tasks!$D:$D,$A5)="","",INDEX(Tasks!$D:$D,$A5)))</f>
        <v>Sensors &amp; platform owner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46307</v>
      </c>
      <c r="G5" s="18" t="n">
        <f aca="false">IF($A5="","",IF(INDEX(Tasks!$H:$H,$A5)="","",INDEX(Tasks!$H:$H,$A5)))</f>
        <v>46318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IFERROR(MATCH($C$2&amp;"|"&amp;(ROW()-4),Tasks!$K$4:$K$403,0)+3,"")</f>
        <v>45</v>
      </c>
      <c r="B6" s="17" t="str">
        <f aca="false">IF($A6="","",IF(INDEX(Tasks!$A:$A,$A6)="","",INDEX(Tasks!$A:$A,$A6)))</f>
        <v>G1-SP-2</v>
      </c>
      <c r="C6" s="17" t="str">
        <f aca="false">IF($A6="","",IF(ISERROR(FIND(".",INDEX(Tasks!$A:$A,$A6))),"","   ")&amp;INDEX(Tasks!$C:$C,$A6))</f>
        <v>Odometry: front end + fusion filter</v>
      </c>
      <c r="D6" s="17" t="str">
        <f aca="false">IF($A6="","",IF(INDEX(Tasks!$D:$D,$A6)="","",INDEX(Tasks!$D:$D,$A6)))</f>
        <v>Sensors &amp; platform owner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46314</v>
      </c>
      <c r="G6" s="18" t="n">
        <f aca="false">IF($A6="","",IF(INDEX(Tasks!$H:$H,$A6)="","",INDEX(Tasks!$H:$H,$A6)))</f>
        <v>46339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IFERROR(MATCH($C$2&amp;"|"&amp;(ROW()-4),Tasks!$K$4:$K$403,0)+3,"")</f>
        <v>46</v>
      </c>
      <c r="B7" s="17" t="str">
        <f aca="false">IF($A7="","",IF(INDEX(Tasks!$A:$A,$A7)="","",INDEX(Tasks!$A:$A,$A7)))</f>
        <v>G1-SP-3</v>
      </c>
      <c r="C7" s="17" t="str">
        <f aca="false">IF($A7="","",IF(ISERROR(FIND(".",INDEX(Tasks!$A:$A,$A7))),"","   ")&amp;INDEX(Tasks!$C:$C,$A7))</f>
        <v>ED305 camera calibration in the room frame</v>
      </c>
      <c r="D7" s="17" t="str">
        <f aca="false">IF($A7="","",IF(INDEX(Tasks!$D:$D,$A7)="","",INDEX(Tasks!$D:$D,$A7)))</f>
        <v>Sensors &amp; platform owner</v>
      </c>
      <c r="E7" s="17" t="str">
        <f aca="false">IF($A7="","",IF(INDEX(Tasks!$E:$E,$A7)="","",INDEX(Tasks!$E:$E,$A7)))</f>
        <v>Blocked</v>
      </c>
      <c r="F7" s="18" t="n">
        <f aca="false">IF($A7="","",IF(INDEX(Tasks!$F:$F,$A7)="","",INDEX(Tasks!$F:$F,$A7)))</f>
        <v>46307</v>
      </c>
      <c r="G7" s="18" t="n">
        <f aca="false">IF($A7="","",IF(INDEX(Tasks!$H:$H,$A7)="","",INDEX(Tasks!$H:$H,$A7)))</f>
        <v>46318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IFERROR(MATCH($C$2&amp;"|"&amp;(ROW()-4),Tasks!$K$4:$K$403,0)+3,"")</f>
        <v>47</v>
      </c>
      <c r="B8" s="17" t="str">
        <f aca="false">IF($A8="","",IF(INDEX(Tasks!$A:$A,$A8)="","",INDEX(Tasks!$A:$A,$A8)))</f>
        <v>G1-SP-4</v>
      </c>
      <c r="C8" s="17" t="str">
        <f aca="false">IF($A8="","",IF(ISERROR(FIND(".",INDEX(Tasks!$A:$A,$A8))),"","   ")&amp;INDEX(Tasks!$C:$C,$A8))</f>
        <v>ED305 coverage &amp; camera placement</v>
      </c>
      <c r="D8" s="17" t="str">
        <f aca="false">IF($A8="","",IF(INDEX(Tasks!$D:$D,$A8)="","",INDEX(Tasks!$D:$D,$A8)))</f>
        <v>Sensors &amp; platform owner</v>
      </c>
      <c r="E8" s="17" t="str">
        <f aca="false">IF($A8="","",IF(INDEX(Tasks!$E:$E,$A8)="","",INDEX(Tasks!$E:$E,$A8)))</f>
        <v>In Progress</v>
      </c>
      <c r="F8" s="18" t="n">
        <f aca="false">IF($A8="","",IF(INDEX(Tasks!$F:$F,$A8)="","",INDEX(Tasks!$F:$F,$A8)))</f>
        <v>46321</v>
      </c>
      <c r="G8" s="18" t="n">
        <f aca="false">IF($A8="","",IF(INDEX(Tasks!$H:$H,$A8)="","",INDEX(Tasks!$H:$H,$A8)))</f>
        <v>46339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IFERROR(MATCH($C$2&amp;"|"&amp;(ROW()-4),Tasks!$K$4:$K$403,0)+3,"")</f>
        <v>48</v>
      </c>
      <c r="B9" s="17" t="str">
        <f aca="false">IF($A9="","",IF(INDEX(Tasks!$A:$A,$A9)="","",INDEX(Tasks!$A:$A,$A9)))</f>
        <v>G1-SP-5</v>
      </c>
      <c r="C9" s="17" t="str">
        <f aca="false">IF($A9="","",IF(ISERROR(FIND(".",INDEX(Tasks!$A:$A,$A9))),"","   ")&amp;INDEX(Tasks!$C:$C,$A9))</f>
        <v>Printed pan-tilt heads</v>
      </c>
      <c r="D9" s="17" t="str">
        <f aca="false">IF($A9="","",IF(INDEX(Tasks!$D:$D,$A9)="","",INDEX(Tasks!$D:$D,$A9)))</f>
        <v>Sensors &amp; platform owner</v>
      </c>
      <c r="E9" s="17" t="str">
        <f aca="false">IF($A9="","",IF(INDEX(Tasks!$E:$E,$A9)="","",INDEX(Tasks!$E:$E,$A9)))</f>
        <v>Not Started</v>
      </c>
      <c r="F9" s="18" t="n">
        <f aca="false">IF($A9="","",IF(INDEX(Tasks!$F:$F,$A9)="","",INDEX(Tasks!$F:$F,$A9)))</f>
        <v>46314</v>
      </c>
      <c r="G9" s="18" t="n">
        <f aca="false">IF($A9="","",IF(INDEX(Tasks!$H:$H,$A9)="","",INDEX(Tasks!$H:$H,$A9)))</f>
        <v>46332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IFERROR(MATCH($C$2&amp;"|"&amp;(ROW()-4),Tasks!$K$4:$K$403,0)+3,"")</f>
        <v>49</v>
      </c>
      <c r="B10" s="17" t="str">
        <f aca="false">IF($A10="","",IF(INDEX(Tasks!$A:$A,$A10)="","",INDEX(Tasks!$A:$A,$A10)))</f>
        <v>G1-SP-6</v>
      </c>
      <c r="C10" s="17" t="str">
        <f aca="false">IF($A10="","",IF(ISERROR(FIND(".",INDEX(Tasks!$A:$A,$A10))),"","   ")&amp;INDEX(Tasks!$C:$C,$A10))</f>
        <v>ED305 camera time sync</v>
      </c>
      <c r="D10" s="17" t="str">
        <f aca="false">IF($A10="","",IF(INDEX(Tasks!$D:$D,$A10)="","",INDEX(Tasks!$D:$D,$A10)))</f>
        <v>Sensors &amp; platform owner</v>
      </c>
      <c r="E10" s="17" t="str">
        <f aca="false">IF($A10="","",IF(INDEX(Tasks!$E:$E,$A10)="","",INDEX(Tasks!$E:$E,$A10)))</f>
        <v>Not Started</v>
      </c>
      <c r="F10" s="18" t="n">
        <f aca="false">IF($A10="","",IF(INDEX(Tasks!$F:$F,$A10)="","",INDEX(Tasks!$F:$F,$A10)))</f>
        <v>46321</v>
      </c>
      <c r="G10" s="18" t="n">
        <f aca="false">IF($A10="","",IF(INDEX(Tasks!$H:$H,$A10)="","",INDEX(Tasks!$H:$H,$A10)))</f>
        <v>46332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IFERROR(MATCH($C$2&amp;"|"&amp;(ROW()-4),Tasks!$K$4:$K$403,0)+3,"")</f>
        <v>50</v>
      </c>
      <c r="B11" s="17" t="str">
        <f aca="false">IF($A11="","",IF(INDEX(Tasks!$A:$A,$A11)="","",INDEX(Tasks!$A:$A,$A11)))</f>
        <v>G1-GS-1</v>
      </c>
      <c r="C11" s="17" t="str">
        <f aca="false">IF($A11="","",IF(ISERROR(FIND(".",INDEX(Tasks!$A:$A,$A11))),"","   ")&amp;INDEX(Tasks!$C:$C,$A11))</f>
        <v>Metric prior</v>
      </c>
      <c r="D11" s="17" t="str">
        <f aca="false">IF($A11="","",IF(INDEX(Tasks!$D:$D,$A11)="","",INDEX(Tasks!$D:$D,$A11)))</f>
        <v>GS-SLAM owner</v>
      </c>
      <c r="E11" s="17" t="str">
        <f aca="false">IF($A11="","",IF(INDEX(Tasks!$E:$E,$A11)="","",INDEX(Tasks!$E:$E,$A11)))</f>
        <v>Not Started</v>
      </c>
      <c r="F11" s="18" t="n">
        <f aca="false">IF($A11="","",IF(INDEX(Tasks!$F:$F,$A11)="","",INDEX(Tasks!$F:$F,$A11)))</f>
        <v>46307</v>
      </c>
      <c r="G11" s="18" t="n">
        <f aca="false">IF($A11="","",IF(INDEX(Tasks!$H:$H,$A11)="","",INDEX(Tasks!$H:$H,$A11)))</f>
        <v>46318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IFERROR(MATCH($C$2&amp;"|"&amp;(ROW()-4),Tasks!$K$4:$K$403,0)+3,"")</f>
        <v>51</v>
      </c>
      <c r="B12" s="17" t="str">
        <f aca="false">IF($A12="","",IF(INDEX(Tasks!$A:$A,$A12)="","",INDEX(Tasks!$A:$A,$A12)))</f>
        <v>G1-GS-2</v>
      </c>
      <c r="C12" s="17" t="str">
        <f aca="false">IF($A12="","",IF(ISERROR(FIND(".",INDEX(Tasks!$A:$A,$A12))),"","   ")&amp;INDEX(Tasks!$C:$C,$A12))</f>
        <v>Tracking + keyframe gate</v>
      </c>
      <c r="D12" s="17" t="str">
        <f aca="false">IF($A12="","",IF(INDEX(Tasks!$D:$D,$A12)="","",INDEX(Tasks!$D:$D,$A12)))</f>
        <v>GS-SLAM owner</v>
      </c>
      <c r="E12" s="17" t="str">
        <f aca="false">IF($A12="","",IF(INDEX(Tasks!$E:$E,$A12)="","",INDEX(Tasks!$E:$E,$A12)))</f>
        <v>Not Started</v>
      </c>
      <c r="F12" s="18" t="n">
        <f aca="false">IF($A12="","",IF(INDEX(Tasks!$F:$F,$A12)="","",INDEX(Tasks!$F:$F,$A12)))</f>
        <v>46314</v>
      </c>
      <c r="G12" s="18" t="n">
        <f aca="false">IF($A12="","",IF(INDEX(Tasks!$H:$H,$A12)="","",INDEX(Tasks!$H:$H,$A12)))</f>
        <v>46339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IFERROR(MATCH($C$2&amp;"|"&amp;(ROW()-4),Tasks!$K$4:$K$403,0)+3,"")</f>
        <v>52</v>
      </c>
      <c r="B13" s="17" t="str">
        <f aca="false">IF($A13="","",IF(INDEX(Tasks!$A:$A,$A13)="","",INDEX(Tasks!$A:$A,$A13)))</f>
        <v>G1-GS-3</v>
      </c>
      <c r="C13" s="17" t="str">
        <f aca="false">IF($A13="","",IF(ISERROR(FIND(".",INDEX(Tasks!$A:$A,$A13))),"","   ")&amp;INDEX(Tasks!$C:$C,$A13))</f>
        <v>Mapping + loop closure</v>
      </c>
      <c r="D13" s="17" t="str">
        <f aca="false">IF($A13="","",IF(INDEX(Tasks!$D:$D,$A13)="","",INDEX(Tasks!$D:$D,$A13)))</f>
        <v>GS-SLAM owner</v>
      </c>
      <c r="E13" s="17" t="str">
        <f aca="false">IF($A13="","",IF(INDEX(Tasks!$E:$E,$A13)="","",INDEX(Tasks!$E:$E,$A13)))</f>
        <v>Not Started</v>
      </c>
      <c r="F13" s="18" t="n">
        <f aca="false">IF($A13="","",IF(INDEX(Tasks!$F:$F,$A13)="","",INDEX(Tasks!$F:$F,$A13)))</f>
        <v>46328</v>
      </c>
      <c r="G13" s="18" t="n">
        <f aca="false">IF($A13="","",IF(INDEX(Tasks!$H:$H,$A13)="","",INDEX(Tasks!$H:$H,$A13)))</f>
        <v>46353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IFERROR(MATCH($C$2&amp;"|"&amp;(ROW()-4),Tasks!$K$4:$K$403,0)+3,"")</f>
        <v>53</v>
      </c>
      <c r="B14" s="17" t="str">
        <f aca="false">IF($A14="","",IF(INDEX(Tasks!$A:$A,$A14)="","",INDEX(Tasks!$A:$A,$A14)))</f>
        <v>G1-GS-3.1</v>
      </c>
      <c r="C14" s="17" t="str">
        <f aca="false">IF($A14="","",IF(ISERROR(FIND(".",INDEX(Tasks!$A:$A,$A14))),"","   ")&amp;INDEX(Tasks!$C:$C,$A14))</f>
        <v>   Dynamic-Object Filter (Pre-Registration)</v>
      </c>
      <c r="D14" s="17" t="str">
        <f aca="false">IF($A14="","",IF(INDEX(Tasks!$D:$D,$A14)="","",INDEX(Tasks!$D:$D,$A14)))</f>
        <v>GS-SLAM owner</v>
      </c>
      <c r="E14" s="17" t="str">
        <f aca="false">IF($A14="","",IF(INDEX(Tasks!$E:$E,$A14)="","",INDEX(Tasks!$E:$E,$A14)))</f>
        <v>Not Started</v>
      </c>
      <c r="F14" s="18" t="n">
        <f aca="false">IF($A14="","",IF(INDEX(Tasks!$F:$F,$A14)="","",INDEX(Tasks!$F:$F,$A14)))</f>
        <v>46202</v>
      </c>
      <c r="G14" s="18" t="n">
        <f aca="false">IF($A14="","",IF(INDEX(Tasks!$H:$H,$A14)="","",INDEX(Tasks!$H:$H,$A14)))</f>
        <v>46206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IFERROR(MATCH($C$2&amp;"|"&amp;(ROW()-4),Tasks!$K$4:$K$403,0)+3,"")</f>
        <v>54</v>
      </c>
      <c r="B15" s="17" t="str">
        <f aca="false">IF($A15="","",IF(INDEX(Tasks!$A:$A,$A15)="","",INDEX(Tasks!$A:$A,$A15)))</f>
        <v>G1-GS-3.2</v>
      </c>
      <c r="C15" s="17" t="str">
        <f aca="false">IF($A15="","",IF(ISERROR(FIND(".",INDEX(Tasks!$A:$A,$A15))),"","   ")&amp;INDEX(Tasks!$C:$C,$A15))</f>
        <v>   Static Point Cloud Registration</v>
      </c>
      <c r="D15" s="17" t="str">
        <f aca="false">IF($A15="","",IF(INDEX(Tasks!$D:$D,$A15)="","",INDEX(Tasks!$D:$D,$A15)))</f>
        <v>GS-SLAM owner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46202</v>
      </c>
      <c r="G15" s="18" t="n">
        <f aca="false">IF($A15="","",IF(INDEX(Tasks!$H:$H,$A15)="","",INDEX(Tasks!$H:$H,$A15)))</f>
        <v>46206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IFERROR(MATCH($C$2&amp;"|"&amp;(ROW()-4),Tasks!$K$4:$K$403,0)+3,"")</f>
        <v>55</v>
      </c>
      <c r="B16" s="17" t="str">
        <f aca="false">IF($A16="","",IF(INDEX(Tasks!$A:$A,$A16)="","",INDEX(Tasks!$A:$A,$A16)))</f>
        <v>G1-GS-4</v>
      </c>
      <c r="C16" s="17" t="str">
        <f aca="false">IF($A16="","",IF(ISERROR(FIND(".",INDEX(Tasks!$A:$A,$A16))),"","   ")&amp;INDEX(Tasks!$C:$C,$A16))</f>
        <v>Real-time budget</v>
      </c>
      <c r="D16" s="17" t="str">
        <f aca="false">IF($A16="","",IF(INDEX(Tasks!$D:$D,$A16)="","",INDEX(Tasks!$D:$D,$A16)))</f>
        <v>GS-SLAM owner</v>
      </c>
      <c r="E16" s="17" t="str">
        <f aca="false">IF($A16="","",IF(INDEX(Tasks!$E:$E,$A16)="","",INDEX(Tasks!$E:$E,$A16)))</f>
        <v>Not Started</v>
      </c>
      <c r="F16" s="18" t="n">
        <f aca="false">IF($A16="","",IF(INDEX(Tasks!$F:$F,$A16)="","",INDEX(Tasks!$F:$F,$A16)))</f>
        <v>46349</v>
      </c>
      <c r="G16" s="18" t="n">
        <f aca="false">IF($A16="","",IF(INDEX(Tasks!$H:$H,$A16)="","",INDEX(Tasks!$H:$H,$A16)))</f>
        <v>46360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IFERROR(MATCH($C$2&amp;"|"&amp;(ROW()-4),Tasks!$K$4:$K$403,0)+3,"")</f>
        <v>56</v>
      </c>
      <c r="B17" s="17" t="str">
        <f aca="false">IF($A17="","",IF(INDEX(Tasks!$A:$A,$A17)="","",INDEX(Tasks!$A:$A,$A17)))</f>
        <v>G1-GS-5</v>
      </c>
      <c r="C17" s="17" t="str">
        <f aca="false">IF($A17="","",IF(ISERROR(FIND(".",INDEX(Tasks!$A:$A,$A17))),"","   ")&amp;INDEX(Tasks!$C:$C,$A17))</f>
        <v>Map fusion (multi-robot)</v>
      </c>
      <c r="D17" s="17" t="str">
        <f aca="false">IF($A17="","",IF(INDEX(Tasks!$D:$D,$A17)="","",INDEX(Tasks!$D:$D,$A17)))</f>
        <v>GS-SLAM owner</v>
      </c>
      <c r="E17" s="17" t="str">
        <f aca="false">IF($A17="","",IF(INDEX(Tasks!$E:$E,$A17)="","",INDEX(Tasks!$E:$E,$A17)))</f>
        <v>Not Started</v>
      </c>
      <c r="F17" s="18" t="n">
        <f aca="false">IF($A17="","",IF(INDEX(Tasks!$F:$F,$A17)="","",INDEX(Tasks!$F:$F,$A17)))</f>
        <v>46356</v>
      </c>
      <c r="G17" s="18" t="n">
        <f aca="false">IF($A17="","",IF(INDEX(Tasks!$H:$H,$A17)="","",INDEX(Tasks!$H:$H,$A17)))</f>
        <v>46381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IFERROR(MATCH($C$2&amp;"|"&amp;(ROW()-4),Tasks!$K$4:$K$403,0)+3,"")</f>
        <v>57</v>
      </c>
      <c r="B18" s="17" t="str">
        <f aca="false">IF($A18="","",IF(INDEX(Tasks!$A:$A,$A18)="","",INDEX(Tasks!$A:$A,$A18)))</f>
        <v>G1-GS-6</v>
      </c>
      <c r="C18" s="17" t="str">
        <f aca="false">IF($A18="","",IF(ISERROR(FIND(".",INDEX(Tasks!$A:$A,$A18))),"","   ")&amp;INDEX(Tasks!$C:$C,$A18))</f>
        <v>Evaluation</v>
      </c>
      <c r="D18" s="17" t="str">
        <f aca="false">IF($A18="","",IF(INDEX(Tasks!$D:$D,$A18)="","",INDEX(Tasks!$D:$D,$A18)))</f>
        <v>GS-SLAM owner</v>
      </c>
      <c r="E18" s="17" t="str">
        <f aca="false">IF($A18="","",IF(INDEX(Tasks!$E:$E,$A18)="","",INDEX(Tasks!$E:$E,$A18)))</f>
        <v>Not Started</v>
      </c>
      <c r="F18" s="18" t="n">
        <f aca="false">IF($A18="","",IF(INDEX(Tasks!$F:$F,$A18)="","",INDEX(Tasks!$F:$F,$A18)))</f>
        <v>46377</v>
      </c>
      <c r="G18" s="18" t="n">
        <f aca="false">IF($A18="","",IF(INDEX(Tasks!$H:$H,$A18)="","",INDEX(Tasks!$H:$H,$A18)))</f>
        <v>46388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n">
        <f aca="false">IFERROR(MATCH($C$2&amp;"|"&amp;(ROW()-4),Tasks!$K$4:$K$403,0)+3,"")</f>
        <v>58</v>
      </c>
      <c r="B19" s="17" t="str">
        <f aca="false">IF($A19="","",IF(INDEX(Tasks!$A:$A,$A19)="","",INDEX(Tasks!$A:$A,$A19)))</f>
        <v>G1-SD-1</v>
      </c>
      <c r="C19" s="17" t="str">
        <f aca="false">IF($A19="","",IF(ISERROR(FIND(".",INDEX(Tasks!$A:$A,$A19))),"","   ")&amp;INDEX(Tasks!$C:$C,$A19))</f>
        <v>Object asset library</v>
      </c>
      <c r="D19" s="17" t="str">
        <f aca="false">IF($A19="","",IF(INDEX(Tasks!$D:$D,$A19)="","",INDEX(Tasks!$D:$D,$A19)))</f>
        <v>Scene detection owner</v>
      </c>
      <c r="E19" s="17" t="str">
        <f aca="false">IF($A19="","",IF(INDEX(Tasks!$E:$E,$A19)="","",INDEX(Tasks!$E:$E,$A19)))</f>
        <v>Not Started</v>
      </c>
      <c r="F19" s="18" t="n">
        <f aca="false">IF($A19="","",IF(INDEX(Tasks!$F:$F,$A19)="","",INDEX(Tasks!$F:$F,$A19)))</f>
        <v>46307</v>
      </c>
      <c r="G19" s="18" t="n">
        <f aca="false">IF($A19="","",IF(INDEX(Tasks!$H:$H,$A19)="","",INDEX(Tasks!$H:$H,$A19)))</f>
        <v>46325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n">
        <f aca="false">IFERROR(MATCH($C$2&amp;"|"&amp;(ROW()-4),Tasks!$K$4:$K$403,0)+3,"")</f>
        <v>59</v>
      </c>
      <c r="B20" s="17" t="str">
        <f aca="false">IF($A20="","",IF(INDEX(Tasks!$A:$A,$A20)="","",INDEX(Tasks!$A:$A,$A20)))</f>
        <v>G1-SD-2</v>
      </c>
      <c r="C20" s="17" t="str">
        <f aca="false">IF($A20="","",IF(ISERROR(FIND(".",INDEX(Tasks!$A:$A,$A20))),"","   ")&amp;INDEX(Tasks!$C:$C,$A20))</f>
        <v>Object retrieval from G*</v>
      </c>
      <c r="D20" s="17" t="str">
        <f aca="false">IF($A20="","",IF(INDEX(Tasks!$D:$D,$A20)="","",INDEX(Tasks!$D:$D,$A20)))</f>
        <v>Scene detection owner</v>
      </c>
      <c r="E20" s="17" t="str">
        <f aca="false">IF($A20="","",IF(INDEX(Tasks!$E:$E,$A20)="","",INDEX(Tasks!$E:$E,$A20)))</f>
        <v>Not Started</v>
      </c>
      <c r="F20" s="18" t="n">
        <f aca="false">IF($A20="","",IF(INDEX(Tasks!$F:$F,$A20)="","",INDEX(Tasks!$F:$F,$A20)))</f>
        <v>46328</v>
      </c>
      <c r="G20" s="18" t="n">
        <f aca="false">IF($A20="","",IF(INDEX(Tasks!$H:$H,$A20)="","",INDEX(Tasks!$H:$H,$A20)))</f>
        <v>46353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n">
        <f aca="false">IFERROR(MATCH($C$2&amp;"|"&amp;(ROW()-4),Tasks!$K$4:$K$403,0)+3,"")</f>
        <v>60</v>
      </c>
      <c r="B21" s="17" t="str">
        <f aca="false">IF($A21="","",IF(INDEX(Tasks!$A:$A,$A21)="","",INDEX(Tasks!$A:$A,$A21)))</f>
        <v>G1-SD-2.1</v>
      </c>
      <c r="C21" s="17" t="str">
        <f aca="false">IF($A21="","",IF(ISERROR(FIND(".",INDEX(Tasks!$A:$A,$A21))),"","   ")&amp;INDEX(Tasks!$C:$C,$A21))</f>
        <v>   Object Detection &amp; Instance Identification (RGB / RGBD / LiDAR / Radar)</v>
      </c>
      <c r="D21" s="17" t="str">
        <f aca="false">IF($A21="","",IF(INDEX(Tasks!$D:$D,$A21)="","",INDEX(Tasks!$D:$D,$A21)))</f>
        <v>Scene detection owner</v>
      </c>
      <c r="E21" s="17" t="str">
        <f aca="false">IF($A21="","",IF(INDEX(Tasks!$E:$E,$A21)="","",INDEX(Tasks!$E:$E,$A21)))</f>
        <v>Not Started</v>
      </c>
      <c r="F21" s="18" t="n">
        <f aca="false">IF($A21="","",IF(INDEX(Tasks!$F:$F,$A21)="","",INDEX(Tasks!$F:$F,$A21)))</f>
        <v>46209</v>
      </c>
      <c r="G21" s="18" t="n">
        <f aca="false">IF($A21="","",IF(INDEX(Tasks!$H:$H,$A21)="","",INDEX(Tasks!$H:$H,$A21)))</f>
        <v>46220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n">
        <f aca="false">IFERROR(MATCH($C$2&amp;"|"&amp;(ROW()-4),Tasks!$K$4:$K$403,0)+3,"")</f>
        <v>61</v>
      </c>
      <c r="B22" s="17" t="str">
        <f aca="false">IF($A22="","",IF(INDEX(Tasks!$A:$A,$A22)="","",INDEX(Tasks!$A:$A,$A22)))</f>
        <v>G1-SD-2.2</v>
      </c>
      <c r="C22" s="17" t="str">
        <f aca="false">IF($A22="","",IF(ISERROR(FIND(".",INDEX(Tasks!$A:$A,$A22))),"","   ")&amp;INDEX(Tasks!$C:$C,$A22))</f>
        <v>   Radar + Panoptic Fusion Tracking</v>
      </c>
      <c r="D22" s="17" t="str">
        <f aca="false">IF($A22="","",IF(INDEX(Tasks!$D:$D,$A22)="","",INDEX(Tasks!$D:$D,$A22)))</f>
        <v>Scene detection owner</v>
      </c>
      <c r="E22" s="17" t="str">
        <f aca="false">IF($A22="","",IF(INDEX(Tasks!$E:$E,$A22)="","",INDEX(Tasks!$E:$E,$A22)))</f>
        <v>Not Started</v>
      </c>
      <c r="F22" s="18" t="n">
        <f aca="false">IF($A22="","",IF(INDEX(Tasks!$F:$F,$A22)="","",INDEX(Tasks!$F:$F,$A22)))</f>
        <v>46209</v>
      </c>
      <c r="G22" s="18" t="n">
        <f aca="false">IF($A22="","",IF(INDEX(Tasks!$H:$H,$A22)="","",INDEX(Tasks!$H:$H,$A22)))</f>
        <v>46220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n">
        <f aca="false">IFERROR(MATCH($C$2&amp;"|"&amp;(ROW()-4),Tasks!$K$4:$K$403,0)+3,"")</f>
        <v>62</v>
      </c>
      <c r="B23" s="17" t="str">
        <f aca="false">IF($A23="","",IF(INDEX(Tasks!$A:$A,$A23)="","",INDEX(Tasks!$A:$A,$A23)))</f>
        <v>G1-SD-3</v>
      </c>
      <c r="C23" s="17" t="str">
        <f aca="false">IF($A23="","",IF(ISERROR(FIND(".",INDEX(Tasks!$A:$A,$A23))),"","   ")&amp;INDEX(Tasks!$C:$C,$A23))</f>
        <v>Decomposition: segments &amp; materials</v>
      </c>
      <c r="D23" s="17" t="str">
        <f aca="false">IF($A23="","",IF(INDEX(Tasks!$D:$D,$A23)="","",INDEX(Tasks!$D:$D,$A23)))</f>
        <v>Scene detection owner</v>
      </c>
      <c r="E23" s="17" t="str">
        <f aca="false">IF($A23="","",IF(INDEX(Tasks!$E:$E,$A23)="","",INDEX(Tasks!$E:$E,$A23)))</f>
        <v>Not Started</v>
      </c>
      <c r="F23" s="18" t="n">
        <f aca="false">IF($A23="","",IF(INDEX(Tasks!$F:$F,$A23)="","",INDEX(Tasks!$F:$F,$A23)))</f>
        <v>46335</v>
      </c>
      <c r="G23" s="18" t="n">
        <f aca="false">IF($A23="","",IF(INDEX(Tasks!$H:$H,$A23)="","",INDEX(Tasks!$H:$H,$A23)))</f>
        <v>46360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n">
        <f aca="false">IFERROR(MATCH($C$2&amp;"|"&amp;(ROW()-4),Tasks!$K$4:$K$403,0)+3,"")</f>
        <v>63</v>
      </c>
      <c r="B24" s="17" t="str">
        <f aca="false">IF($A24="","",IF(INDEX(Tasks!$A:$A,$A24)="","",INDEX(Tasks!$A:$A,$A24)))</f>
        <v>G1-SD-4</v>
      </c>
      <c r="C24" s="17" t="str">
        <f aca="false">IF($A24="","",IF(ISERROR(FIND(".",INDEX(Tasks!$A:$A,$A24))),"","   ")&amp;INDEX(Tasks!$C:$C,$A24))</f>
        <v>Change detection</v>
      </c>
      <c r="D24" s="17" t="str">
        <f aca="false">IF($A24="","",IF(INDEX(Tasks!$D:$D,$A24)="","",INDEX(Tasks!$D:$D,$A24)))</f>
        <v>Scene detection owner</v>
      </c>
      <c r="E24" s="17" t="str">
        <f aca="false">IF($A24="","",IF(INDEX(Tasks!$E:$E,$A24)="","",INDEX(Tasks!$E:$E,$A24)))</f>
        <v>Not Started</v>
      </c>
      <c r="F24" s="18" t="n">
        <f aca="false">IF($A24="","",IF(INDEX(Tasks!$F:$F,$A24)="","",INDEX(Tasks!$F:$F,$A24)))</f>
        <v>46356</v>
      </c>
      <c r="G24" s="18" t="n">
        <f aca="false">IF($A24="","",IF(INDEX(Tasks!$H:$H,$A24)="","",INDEX(Tasks!$H:$H,$A24)))</f>
        <v>46381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n">
        <f aca="false">IFERROR(MATCH($C$2&amp;"|"&amp;(ROW()-4),Tasks!$K$4:$K$403,0)+3,"")</f>
        <v>64</v>
      </c>
      <c r="B25" s="17" t="str">
        <f aca="false">IF($A25="","",IF(INDEX(Tasks!$A:$A,$A25)="","",INDEX(Tasks!$A:$A,$A25)))</f>
        <v>G1-SD-4.1</v>
      </c>
      <c r="C25" s="17" t="str">
        <f aca="false">IF($A25="","",IF(ISERROR(FIND(".",INDEX(Tasks!$A:$A,$A25))),"","   ")&amp;INDEX(Tasks!$C:$C,$A25))</f>
        <v>   Change Detection (Object Moved / Appeared / Disappeared)</v>
      </c>
      <c r="D25" s="17" t="str">
        <f aca="false">IF($A25="","",IF(INDEX(Tasks!$D:$D,$A25)="","",INDEX(Tasks!$D:$D,$A25)))</f>
        <v>Scene detection owner</v>
      </c>
      <c r="E25" s="17" t="str">
        <f aca="false">IF($A25="","",IF(INDEX(Tasks!$E:$E,$A25)="","",INDEX(Tasks!$E:$E,$A25)))</f>
        <v>Not Started</v>
      </c>
      <c r="F25" s="18" t="n">
        <f aca="false">IF($A25="","",IF(INDEX(Tasks!$F:$F,$A25)="","",INDEX(Tasks!$F:$F,$A25)))</f>
        <v>46223</v>
      </c>
      <c r="G25" s="18" t="n">
        <f aca="false">IF($A25="","",IF(INDEX(Tasks!$H:$H,$A25)="","",INDEX(Tasks!$H:$H,$A25)))</f>
        <v>46227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n">
        <f aca="false">IFERROR(MATCH($C$2&amp;"|"&amp;(ROW()-4),Tasks!$K$4:$K$403,0)+3,"")</f>
        <v>65</v>
      </c>
      <c r="B26" s="17" t="str">
        <f aca="false">IF($A26="","",IF(INDEX(Tasks!$A:$A,$A26)="","",INDEX(Tasks!$A:$A,$A26)))</f>
        <v>G1-SD-5</v>
      </c>
      <c r="C26" s="17" t="str">
        <f aca="false">IF($A26="","",IF(ISERROR(FIND(".",INDEX(Tasks!$A:$A,$A26))),"","   ")&amp;INDEX(Tasks!$C:$C,$A26))</f>
        <v>Maintenance with change history</v>
      </c>
      <c r="D26" s="17" t="str">
        <f aca="false">IF($A26="","",IF(INDEX(Tasks!$D:$D,$A26)="","",INDEX(Tasks!$D:$D,$A26)))</f>
        <v>Scene detection owner</v>
      </c>
      <c r="E26" s="17" t="str">
        <f aca="false">IF($A26="","",IF(INDEX(Tasks!$E:$E,$A26)="","",INDEX(Tasks!$E:$E,$A26)))</f>
        <v>Not Started</v>
      </c>
      <c r="F26" s="18" t="n">
        <f aca="false">IF($A26="","",IF(INDEX(Tasks!$F:$F,$A26)="","",INDEX(Tasks!$F:$F,$A26)))</f>
        <v>46370</v>
      </c>
      <c r="G26" s="18" t="n">
        <f aca="false">IF($A26="","",IF(INDEX(Tasks!$H:$H,$A26)="","",INDEX(Tasks!$H:$H,$A26)))</f>
        <v>46388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n">
        <f aca="false">IFERROR(MATCH($C$2&amp;"|"&amp;(ROW()-4),Tasks!$K$4:$K$403,0)+3,"")</f>
        <v>66</v>
      </c>
      <c r="B27" s="17" t="str">
        <f aca="false">IF($A27="","",IF(INDEX(Tasks!$A:$A,$A27)="","",INDEX(Tasks!$A:$A,$A27)))</f>
        <v>G1-SD-5.1</v>
      </c>
      <c r="C27" s="17" t="str">
        <f aca="false">IF($A27="","",IF(ISERROR(FIND(".",INDEX(Tasks!$A:$A,$A27))),"","   ")&amp;INDEX(Tasks!$C:$C,$A27))</f>
        <v>   Scene Graph &amp; Map Update on Change (with Change History)</v>
      </c>
      <c r="D27" s="17" t="str">
        <f aca="false">IF($A27="","",IF(INDEX(Tasks!$D:$D,$A27)="","",INDEX(Tasks!$D:$D,$A27)))</f>
        <v>Scene detection owner</v>
      </c>
      <c r="E27" s="17" t="str">
        <f aca="false">IF($A27="","",IF(INDEX(Tasks!$E:$E,$A27)="","",INDEX(Tasks!$E:$E,$A27)))</f>
        <v>Not Started</v>
      </c>
      <c r="F27" s="18" t="n">
        <f aca="false">IF($A27="","",IF(INDEX(Tasks!$F:$F,$A27)="","",INDEX(Tasks!$F:$F,$A27)))</f>
        <v>46223</v>
      </c>
      <c r="G27" s="18" t="n">
        <f aca="false">IF($A27="","",IF(INDEX(Tasks!$H:$H,$A27)="","",INDEX(Tasks!$H:$H,$A27)))</f>
        <v>46234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n">
        <f aca="false">IFERROR(MATCH($C$2&amp;"|"&amp;(ROW()-4),Tasks!$K$4:$K$403,0)+3,"")</f>
        <v>67</v>
      </c>
      <c r="B28" s="17" t="str">
        <f aca="false">IF($A28="","",IF(INDEX(Tasks!$A:$A,$A28)="","",INDEX(Tasks!$A:$A,$A28)))</f>
        <v>G1-SD-6</v>
      </c>
      <c r="C28" s="17" t="str">
        <f aca="false">IF($A28="","",IF(ISERROR(FIND(".",INDEX(Tasks!$A:$A,$A28))),"","   ")&amp;INDEX(Tasks!$C:$C,$A28))</f>
        <v>USD edits to Isaac</v>
      </c>
      <c r="D28" s="17" t="str">
        <f aca="false">IF($A28="","",IF(INDEX(Tasks!$D:$D,$A28)="","",INDEX(Tasks!$D:$D,$A28)))</f>
        <v>Scene detection owner</v>
      </c>
      <c r="E28" s="17" t="str">
        <f aca="false">IF($A28="","",IF(INDEX(Tasks!$E:$E,$A28)="","",INDEX(Tasks!$E:$E,$A28)))</f>
        <v>Not Started</v>
      </c>
      <c r="F28" s="18" t="n">
        <f aca="false">IF($A28="","",IF(INDEX(Tasks!$F:$F,$A28)="","",INDEX(Tasks!$F:$F,$A28)))</f>
        <v>46370</v>
      </c>
      <c r="G28" s="18" t="n">
        <f aca="false">IF($A28="","",IF(INDEX(Tasks!$H:$H,$A28)="","",INDEX(Tasks!$H:$H,$A28)))</f>
        <v>46388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n">
        <f aca="false">IFERROR(MATCH($C$2&amp;"|"&amp;(ROW()-4),Tasks!$K$4:$K$403,0)+3,"")</f>
        <v>68</v>
      </c>
      <c r="B29" s="17" t="str">
        <f aca="false">IF($A29="","",IF(INDEX(Tasks!$A:$A,$A29)="","",INDEX(Tasks!$A:$A,$A29)))</f>
        <v>G1-SD-7</v>
      </c>
      <c r="C29" s="17" t="str">
        <f aca="false">IF($A29="","",IF(ISERROR(FIND(".",INDEX(Tasks!$A:$A,$A29))),"","   ")&amp;INDEX(Tasks!$C:$C,$A29))</f>
        <v>Live targets from the ED305 cameras</v>
      </c>
      <c r="D29" s="17" t="str">
        <f aca="false">IF($A29="","",IF(INDEX(Tasks!$D:$D,$A29)="","",INDEX(Tasks!$D:$D,$A29)))</f>
        <v>Scene detection owner</v>
      </c>
      <c r="E29" s="17" t="str">
        <f aca="false">IF($A29="","",IF(INDEX(Tasks!$E:$E,$A29)="","",INDEX(Tasks!$E:$E,$A29)))</f>
        <v>Not Started</v>
      </c>
      <c r="F29" s="18" t="n">
        <f aca="false">IF($A29="","",IF(INDEX(Tasks!$F:$F,$A29)="","",INDEX(Tasks!$F:$F,$A29)))</f>
        <v>46349</v>
      </c>
      <c r="G29" s="18" t="n">
        <f aca="false">IF($A29="","",IF(INDEX(Tasks!$H:$H,$A29)="","",INDEX(Tasks!$H:$H,$A29)))</f>
        <v>46374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n">
        <f aca="false">IFERROR(MATCH($C$2&amp;"|"&amp;(ROW()-4),Tasks!$K$4:$K$403,0)+3,"")</f>
        <v>69</v>
      </c>
      <c r="B30" s="17" t="str">
        <f aca="false">IF($A30="","",IF(INDEX(Tasks!$A:$A,$A30)="","",INDEX(Tasks!$A:$A,$A30)))</f>
        <v>G1-IS-1</v>
      </c>
      <c r="C30" s="17" t="str">
        <f aca="false">IF($A30="","",IF(ISERROR(FIND(".",INDEX(Tasks!$A:$A,$A30))),"","   ")&amp;INDEX(Tasks!$C:$C,$A30))</f>
        <v>ED305 USD stage in the room frame</v>
      </c>
      <c r="D30" s="17" t="str">
        <f aca="false">IF($A30="","",IF(INDEX(Tasks!$D:$D,$A30)="","",INDEX(Tasks!$D:$D,$A30)))</f>
        <v>Isaac Sim owner</v>
      </c>
      <c r="E30" s="17" t="str">
        <f aca="false">IF($A30="","",IF(INDEX(Tasks!$E:$E,$A30)="","",INDEX(Tasks!$E:$E,$A30)))</f>
        <v>Not Started</v>
      </c>
      <c r="F30" s="18" t="n">
        <f aca="false">IF($A30="","",IF(INDEX(Tasks!$F:$F,$A30)="","",INDEX(Tasks!$F:$F,$A30)))</f>
        <v>46307</v>
      </c>
      <c r="G30" s="18" t="n">
        <f aca="false">IF($A30="","",IF(INDEX(Tasks!$H:$H,$A30)="","",INDEX(Tasks!$H:$H,$A30)))</f>
        <v>46325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n">
        <f aca="false">IFERROR(MATCH($C$2&amp;"|"&amp;(ROW()-4),Tasks!$K$4:$K$403,0)+3,"")</f>
        <v>70</v>
      </c>
      <c r="B31" s="17" t="str">
        <f aca="false">IF($A31="","",IF(INDEX(Tasks!$A:$A,$A31)="","",INDEX(Tasks!$A:$A,$A31)))</f>
        <v>G1-IS-2</v>
      </c>
      <c r="C31" s="17" t="str">
        <f aca="false">IF($A31="","",IF(ISERROR(FIND(".",INDEX(Tasks!$A:$A,$A31))),"","   ")&amp;INDEX(Tasks!$C:$C,$A31))</f>
        <v>Robot + antenna prims, live pose</v>
      </c>
      <c r="D31" s="17" t="str">
        <f aca="false">IF($A31="","",IF(INDEX(Tasks!$D:$D,$A31)="","",INDEX(Tasks!$D:$D,$A31)))</f>
        <v>Isaac Sim owner</v>
      </c>
      <c r="E31" s="17" t="str">
        <f aca="false">IF($A31="","",IF(INDEX(Tasks!$E:$E,$A31)="","",INDEX(Tasks!$E:$E,$A31)))</f>
        <v>Not Started</v>
      </c>
      <c r="F31" s="18" t="n">
        <f aca="false">IF($A31="","",IF(INDEX(Tasks!$F:$F,$A31)="","",INDEX(Tasks!$F:$F,$A31)))</f>
        <v>46321</v>
      </c>
      <c r="G31" s="18" t="n">
        <f aca="false">IF($A31="","",IF(INDEX(Tasks!$H:$H,$A31)="","",INDEX(Tasks!$H:$H,$A31)))</f>
        <v>46339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n">
        <f aca="false">IFERROR(MATCH($C$2&amp;"|"&amp;(ROW()-4),Tasks!$K$4:$K$403,0)+3,"")</f>
        <v>71</v>
      </c>
      <c r="B32" s="17" t="str">
        <f aca="false">IF($A32="","",IF(INDEX(Tasks!$A:$A,$A32)="","",INDEX(Tasks!$A:$A,$A32)))</f>
        <v>G1-IS-3</v>
      </c>
      <c r="C32" s="17" t="str">
        <f aca="false">IF($A32="","",IF(ISERROR(FIND(".",INDEX(Tasks!$A:$A,$A32))),"","   ")&amp;INDEX(Tasks!$C:$C,$A32))</f>
        <v>Gaussian layer</v>
      </c>
      <c r="D32" s="17" t="str">
        <f aca="false">IF($A32="","",IF(INDEX(Tasks!$D:$D,$A32)="","",INDEX(Tasks!$D:$D,$A32)))</f>
        <v>Isaac Sim owner</v>
      </c>
      <c r="E32" s="17" t="str">
        <f aca="false">IF($A32="","",IF(INDEX(Tasks!$E:$E,$A32)="","",INDEX(Tasks!$E:$E,$A32)))</f>
        <v>Not Started</v>
      </c>
      <c r="F32" s="18" t="n">
        <f aca="false">IF($A32="","",IF(INDEX(Tasks!$F:$F,$A32)="","",INDEX(Tasks!$F:$F,$A32)))</f>
        <v>46335</v>
      </c>
      <c r="G32" s="18" t="n">
        <f aca="false">IF($A32="","",IF(INDEX(Tasks!$H:$H,$A32)="","",INDEX(Tasks!$H:$H,$A32)))</f>
        <v>46353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n">
        <f aca="false">IFERROR(MATCH($C$2&amp;"|"&amp;(ROW()-4),Tasks!$K$4:$K$403,0)+3,"")</f>
        <v>72</v>
      </c>
      <c r="B33" s="17" t="str">
        <f aca="false">IF($A33="","",IF(INDEX(Tasks!$A:$A,$A33)="","",INDEX(Tasks!$A:$A,$A33)))</f>
        <v>G1-IS-4</v>
      </c>
      <c r="C33" s="17" t="str">
        <f aca="false">IF($A33="","",IF(ISERROR(FIND(".",INDEX(Tasks!$A:$A,$A33))),"","   ")&amp;INDEX(Tasks!$C:$C,$A33))</f>
        <v>Mesh layer</v>
      </c>
      <c r="D33" s="17" t="str">
        <f aca="false">IF($A33="","",IF(INDEX(Tasks!$D:$D,$A33)="","",INDEX(Tasks!$D:$D,$A33)))</f>
        <v>Isaac Sim owner</v>
      </c>
      <c r="E33" s="17" t="str">
        <f aca="false">IF($A33="","",IF(INDEX(Tasks!$E:$E,$A33)="","",INDEX(Tasks!$E:$E,$A33)))</f>
        <v>Not Started</v>
      </c>
      <c r="F33" s="18" t="n">
        <f aca="false">IF($A33="","",IF(INDEX(Tasks!$F:$F,$A33)="","",INDEX(Tasks!$F:$F,$A33)))</f>
        <v>46328</v>
      </c>
      <c r="G33" s="18" t="n">
        <f aca="false">IF($A33="","",IF(INDEX(Tasks!$H:$H,$A33)="","",INDEX(Tasks!$H:$H,$A33)))</f>
        <v>46346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n">
        <f aca="false">IFERROR(MATCH($C$2&amp;"|"&amp;(ROW()-4),Tasks!$K$4:$K$403,0)+3,"")</f>
        <v>73</v>
      </c>
      <c r="B34" s="17" t="str">
        <f aca="false">IF($A34="","",IF(INDEX(Tasks!$A:$A,$A34)="","",INDEX(Tasks!$A:$A,$A34)))</f>
        <v>G1-IS-5</v>
      </c>
      <c r="C34" s="17" t="str">
        <f aca="false">IF($A34="","",IF(ISERROR(FIND(".",INDEX(Tasks!$A:$A,$A34))),"","   ")&amp;INDEX(Tasks!$C:$C,$A34))</f>
        <v>Expected-view render</v>
      </c>
      <c r="D34" s="17" t="str">
        <f aca="false">IF($A34="","",IF(INDEX(Tasks!$D:$D,$A34)="","",INDEX(Tasks!$D:$D,$A34)))</f>
        <v>Isaac Sim owner</v>
      </c>
      <c r="E34" s="17" t="str">
        <f aca="false">IF($A34="","",IF(INDEX(Tasks!$E:$E,$A34)="","",INDEX(Tasks!$E:$E,$A34)))</f>
        <v>Not Started</v>
      </c>
      <c r="F34" s="18" t="n">
        <f aca="false">IF($A34="","",IF(INDEX(Tasks!$F:$F,$A34)="","",INDEX(Tasks!$F:$F,$A34)))</f>
        <v>46349</v>
      </c>
      <c r="G34" s="18" t="n">
        <f aca="false">IF($A34="","",IF(INDEX(Tasks!$H:$H,$A34)="","",INDEX(Tasks!$H:$H,$A34)))</f>
        <v>46367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n">
        <f aca="false">IFERROR(MATCH($C$2&amp;"|"&amp;(ROW()-4),Tasks!$K$4:$K$403,0)+3,"")</f>
        <v>74</v>
      </c>
      <c r="B35" s="17" t="str">
        <f aca="false">IF($A35="","",IF(INDEX(Tasks!$A:$A,$A35)="","",INDEX(Tasks!$A:$A,$A35)))</f>
        <v>G1-IS-6</v>
      </c>
      <c r="C35" s="17" t="str">
        <f aca="false">IF($A35="","",IF(ISERROR(FIND(".",INDEX(Tasks!$A:$A,$A35))),"","   ")&amp;INDEX(Tasks!$C:$C,$A35))</f>
        <v>Apply live USD edits</v>
      </c>
      <c r="D35" s="17" t="str">
        <f aca="false">IF($A35="","",IF(INDEX(Tasks!$D:$D,$A35)="","",INDEX(Tasks!$D:$D,$A35)))</f>
        <v>Isaac Sim owner</v>
      </c>
      <c r="E35" s="17" t="str">
        <f aca="false">IF($A35="","",IF(INDEX(Tasks!$E:$E,$A35)="","",INDEX(Tasks!$E:$E,$A35)))</f>
        <v>Not Started</v>
      </c>
      <c r="F35" s="18" t="n">
        <f aca="false">IF($A35="","",IF(INDEX(Tasks!$F:$F,$A35)="","",INDEX(Tasks!$F:$F,$A35)))</f>
        <v>46370</v>
      </c>
      <c r="G35" s="18" t="n">
        <f aca="false">IF($A35="","",IF(INDEX(Tasks!$H:$H,$A35)="","",INDEX(Tasks!$H:$H,$A35)))</f>
        <v>46388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n">
        <f aca="false">IFERROR(MATCH($C$2&amp;"|"&amp;(ROW()-4),Tasks!$K$4:$K$403,0)+3,"")</f>
        <v>75</v>
      </c>
      <c r="B36" s="17" t="str">
        <f aca="false">IF($A36="","",IF(INDEX(Tasks!$A:$A,$A36)="","",INDEX(Tasks!$A:$A,$A36)))</f>
        <v>G1-IS-7</v>
      </c>
      <c r="C36" s="17" t="str">
        <f aca="false">IF($A36="","",IF(ISERROR(FIND(".",INDEX(Tasks!$A:$A,$A36))),"","   ")&amp;INDEX(Tasks!$C:$C,$A36))</f>
        <v>Control commands to robots</v>
      </c>
      <c r="D36" s="17" t="str">
        <f aca="false">IF($A36="","",IF(INDEX(Tasks!$D:$D,$A36)="","",INDEX(Tasks!$D:$D,$A36)))</f>
        <v>Isaac Sim owner</v>
      </c>
      <c r="E36" s="17" t="str">
        <f aca="false">IF($A36="","",IF(INDEX(Tasks!$E:$E,$A36)="","",INDEX(Tasks!$E:$E,$A36)))</f>
        <v>Not Started</v>
      </c>
      <c r="F36" s="18" t="n">
        <f aca="false">IF($A36="","",IF(INDEX(Tasks!$F:$F,$A36)="","",INDEX(Tasks!$F:$F,$A36)))</f>
        <v>46391</v>
      </c>
      <c r="G36" s="18" t="n">
        <f aca="false">IF($A36="","",IF(INDEX(Tasks!$H:$H,$A36)="","",INDEX(Tasks!$H:$H,$A36)))</f>
        <v>46402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n">
        <f aca="false">IFERROR(MATCH($C$2&amp;"|"&amp;(ROW()-4),Tasks!$K$4:$K$403,0)+3,"")</f>
        <v>76</v>
      </c>
      <c r="B37" s="17" t="str">
        <f aca="false">IF($A37="","",IF(INDEX(Tasks!$A:$A,$A37)="","",INDEX(Tasks!$A:$A,$A37)))</f>
        <v>G1-IS-8</v>
      </c>
      <c r="C37" s="17" t="str">
        <f aca="false">IF($A37="","",IF(ISERROR(FIND(".",INDEX(Tasks!$A:$A,$A37))),"","   ")&amp;INDEX(Tasks!$C:$C,$A37))</f>
        <v>Export to Sionna</v>
      </c>
      <c r="D37" s="17" t="str">
        <f aca="false">IF($A37="","",IF(INDEX(Tasks!$D:$D,$A37)="","",INDEX(Tasks!$D:$D,$A37)))</f>
        <v>Isaac Sim owner</v>
      </c>
      <c r="E37" s="17" t="str">
        <f aca="false">IF($A37="","",IF(INDEX(Tasks!$E:$E,$A37)="","",INDEX(Tasks!$E:$E,$A37)))</f>
        <v>Not Started</v>
      </c>
      <c r="F37" s="18" t="n">
        <f aca="false">IF($A37="","",IF(INDEX(Tasks!$F:$F,$A37)="","",INDEX(Tasks!$F:$F,$A37)))</f>
        <v>46356</v>
      </c>
      <c r="G37" s="18" t="n">
        <f aca="false">IF($A37="","",IF(INDEX(Tasks!$H:$H,$A37)="","",INDEX(Tasks!$H:$H,$A37)))</f>
        <v>46367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n">
        <f aca="false">IFERROR(MATCH($C$2&amp;"|"&amp;(ROW()-4),Tasks!$K$4:$K$403,0)+3,"")</f>
        <v>77</v>
      </c>
      <c r="B38" s="17" t="str">
        <f aca="false">IF($A38="","",IF(INDEX(Tasks!$A:$A,$A38)="","",INDEX(Tasks!$A:$A,$A38)))</f>
        <v>G1-SR-1</v>
      </c>
      <c r="C38" s="17" t="str">
        <f aca="false">IF($A38="","",IF(ISERROR(FIND(".",INDEX(Tasks!$A:$A,$A38))),"","   ")&amp;INDEX(Tasks!$C:$C,$A38))</f>
        <v>Scene export USD -&gt; Mitsuba</v>
      </c>
      <c r="D38" s="17" t="str">
        <f aca="false">IF($A38="","",IF(INDEX(Tasks!$D:$D,$A38)="","",INDEX(Tasks!$D:$D,$A38)))</f>
        <v>Sionna RT owner</v>
      </c>
      <c r="E38" s="17" t="str">
        <f aca="false">IF($A38="","",IF(INDEX(Tasks!$E:$E,$A38)="","",INDEX(Tasks!$E:$E,$A38)))</f>
        <v>Not Started</v>
      </c>
      <c r="F38" s="18" t="n">
        <f aca="false">IF($A38="","",IF(INDEX(Tasks!$F:$F,$A38)="","",INDEX(Tasks!$F:$F,$A38)))</f>
        <v>46363</v>
      </c>
      <c r="G38" s="18" t="n">
        <f aca="false">IF($A38="","",IF(INDEX(Tasks!$H:$H,$A38)="","",INDEX(Tasks!$H:$H,$A38)))</f>
        <v>46374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n">
        <f aca="false">IFERROR(MATCH($C$2&amp;"|"&amp;(ROW()-4),Tasks!$K$4:$K$403,0)+3,"")</f>
        <v>78</v>
      </c>
      <c r="B39" s="17" t="str">
        <f aca="false">IF($A39="","",IF(INDEX(Tasks!$A:$A,$A39)="","",INDEX(Tasks!$A:$A,$A39)))</f>
        <v>G1-SR-2</v>
      </c>
      <c r="C39" s="17" t="str">
        <f aca="false">IF($A39="","",IF(ISERROR(FIND(".",INDEX(Tasks!$A:$A,$A39))),"","   ")&amp;INDEX(Tasks!$C:$C,$A39))</f>
        <v>Path solver, all Tx/Rx links</v>
      </c>
      <c r="D39" s="17" t="str">
        <f aca="false">IF($A39="","",IF(INDEX(Tasks!$D:$D,$A39)="","",INDEX(Tasks!$D:$D,$A39)))</f>
        <v>Sionna RT owner</v>
      </c>
      <c r="E39" s="17" t="str">
        <f aca="false">IF($A39="","",IF(INDEX(Tasks!$E:$E,$A39)="","",INDEX(Tasks!$E:$E,$A39)))</f>
        <v>Not Started</v>
      </c>
      <c r="F39" s="18" t="n">
        <f aca="false">IF($A39="","",IF(INDEX(Tasks!$F:$F,$A39)="","",INDEX(Tasks!$F:$F,$A39)))</f>
        <v>46370</v>
      </c>
      <c r="G39" s="18" t="n">
        <f aca="false">IF($A39="","",IF(INDEX(Tasks!$H:$H,$A39)="","",INDEX(Tasks!$H:$H,$A39)))</f>
        <v>46388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n">
        <f aca="false">IFERROR(MATCH($C$2&amp;"|"&amp;(ROW()-4),Tasks!$K$4:$K$403,0)+3,"")</f>
        <v>79</v>
      </c>
      <c r="B40" s="17" t="str">
        <f aca="false">IF($A40="","",IF(INDEX(Tasks!$A:$A,$A40)="","",INDEX(Tasks!$A:$A,$A40)))</f>
        <v>G1-SR-3</v>
      </c>
      <c r="C40" s="17" t="str">
        <f aca="false">IF($A40="","",IF(ISERROR(FIND(".",INDEX(Tasks!$A:$A,$A40))),"","   ")&amp;INDEX(Tasks!$C:$C,$A40))</f>
        <v>Channel output</v>
      </c>
      <c r="D40" s="17" t="str">
        <f aca="false">IF($A40="","",IF(INDEX(Tasks!$D:$D,$A40)="","",INDEX(Tasks!$D:$D,$A40)))</f>
        <v>Sionna RT owner</v>
      </c>
      <c r="E40" s="17" t="str">
        <f aca="false">IF($A40="","",IF(INDEX(Tasks!$E:$E,$A40)="","",INDEX(Tasks!$E:$E,$A40)))</f>
        <v>Not Started</v>
      </c>
      <c r="F40" s="18" t="n">
        <f aca="false">IF($A40="","",IF(INDEX(Tasks!$F:$F,$A40)="","",INDEX(Tasks!$F:$F,$A40)))</f>
        <v>46384</v>
      </c>
      <c r="G40" s="18" t="n">
        <f aca="false">IF($A40="","",IF(INDEX(Tasks!$H:$H,$A40)="","",INDEX(Tasks!$H:$H,$A40)))</f>
        <v>46395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n">
        <f aca="false">IFERROR(MATCH($C$2&amp;"|"&amp;(ROW()-4),Tasks!$K$4:$K$403,0)+3,"")</f>
        <v>80</v>
      </c>
      <c r="B41" s="17" t="str">
        <f aca="false">IF($A41="","",IF(INDEX(Tasks!$A:$A,$A41)="","",INDEX(Tasks!$A:$A,$A41)))</f>
        <v>G1-SR-4</v>
      </c>
      <c r="C41" s="17" t="str">
        <f aca="false">IF($A41="","",IF(ISERROR(FIND(".",INDEX(Tasks!$A:$A,$A41))),"","   ")&amp;INDEX(Tasks!$C:$C,$A41))</f>
        <v>Validate against measured channels</v>
      </c>
      <c r="D41" s="17" t="str">
        <f aca="false">IF($A41="","",IF(INDEX(Tasks!$D:$D,$A41)="","",INDEX(Tasks!$D:$D,$A41)))</f>
        <v>Sionna RT owner</v>
      </c>
      <c r="E41" s="17" t="str">
        <f aca="false">IF($A41="","",IF(INDEX(Tasks!$E:$E,$A41)="","",INDEX(Tasks!$E:$E,$A41)))</f>
        <v>Not Started</v>
      </c>
      <c r="F41" s="18" t="n">
        <f aca="false">IF($A41="","",IF(INDEX(Tasks!$F:$F,$A41)="","",INDEX(Tasks!$F:$F,$A41)))</f>
        <v>46391</v>
      </c>
      <c r="G41" s="18" t="n">
        <f aca="false">IF($A41="","",IF(INDEX(Tasks!$H:$H,$A41)="","",INDEX(Tasks!$H:$H,$A41)))</f>
        <v>46409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n">
        <f aca="false">IFERROR(MATCH($C$2&amp;"|"&amp;(ROW()-4),Tasks!$K$4:$K$403,0)+3,"")</f>
        <v>81</v>
      </c>
      <c r="B42" s="17" t="str">
        <f aca="false">IF($A42="","",IF(INDEX(Tasks!$A:$A,$A42)="","",INDEX(Tasks!$A:$A,$A42)))</f>
        <v>G1-M1</v>
      </c>
      <c r="C42" s="17" t="str">
        <f aca="false">IF($A42="","",IF(ISERROR(FIND(".",INDEX(Tasks!$A:$A,$A42))),"","   ")&amp;INDEX(Tasks!$C:$C,$A42))</f>
        <v>M1 Offline map in Isaac</v>
      </c>
      <c r="D42" s="17" t="str">
        <f aca="false">IF($A42="","",IF(INDEX(Tasks!$D:$D,$A42)="","",INDEX(Tasks!$D:$D,$A42)))</f>
        <v>Team</v>
      </c>
      <c r="E42" s="17" t="str">
        <f aca="false">IF($A42="","",IF(INDEX(Tasks!$E:$E,$A42)="","",INDEX(Tasks!$E:$E,$A42)))</f>
        <v>Not Started</v>
      </c>
      <c r="F42" s="18" t="n">
        <f aca="false">IF($A42="","",IF(INDEX(Tasks!$F:$F,$A42)="","",INDEX(Tasks!$F:$F,$A42)))</f>
        <v>46349</v>
      </c>
      <c r="G42" s="18" t="n">
        <f aca="false">IF($A42="","",IF(INDEX(Tasks!$H:$H,$A42)="","",INDEX(Tasks!$H:$H,$A42)))</f>
        <v>46353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n">
        <f aca="false">IFERROR(MATCH($C$2&amp;"|"&amp;(ROW()-4),Tasks!$K$4:$K$403,0)+3,"")</f>
        <v>82</v>
      </c>
      <c r="B43" s="17" t="str">
        <f aca="false">IF($A43="","",IF(INDEX(Tasks!$A:$A,$A43)="","",INDEX(Tasks!$A:$A,$A43)))</f>
        <v>G1-M2</v>
      </c>
      <c r="C43" s="17" t="str">
        <f aca="false">IF($A43="","",IF(ISERROR(FIND(".",INDEX(Tasks!$A:$A,$A43))),"","   ")&amp;INDEX(Tasks!$C:$C,$A43))</f>
        <v>M2 Live robot pose in Isaac</v>
      </c>
      <c r="D43" s="17" t="str">
        <f aca="false">IF($A43="","",IF(INDEX(Tasks!$D:$D,$A43)="","",INDEX(Tasks!$D:$D,$A43)))</f>
        <v>Team</v>
      </c>
      <c r="E43" s="17" t="str">
        <f aca="false">IF($A43="","",IF(INDEX(Tasks!$E:$E,$A43)="","",INDEX(Tasks!$E:$E,$A43)))</f>
        <v>Not Started</v>
      </c>
      <c r="F43" s="18" t="n">
        <f aca="false">IF($A43="","",IF(INDEX(Tasks!$F:$F,$A43)="","",INDEX(Tasks!$F:$F,$A43)))</f>
        <v>46363</v>
      </c>
      <c r="G43" s="18" t="n">
        <f aca="false">IF($A43="","",IF(INDEX(Tasks!$H:$H,$A43)="","",INDEX(Tasks!$H:$H,$A43)))</f>
        <v>46367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n">
        <f aca="false">IFERROR(MATCH($C$2&amp;"|"&amp;(ROW()-4),Tasks!$K$4:$K$403,0)+3,"")</f>
        <v>83</v>
      </c>
      <c r="B44" s="17" t="str">
        <f aca="false">IF($A44="","",IF(INDEX(Tasks!$A:$A,$A44)="","",INDEX(Tasks!$A:$A,$A44)))</f>
        <v>G1-M3</v>
      </c>
      <c r="C44" s="17" t="str">
        <f aca="false">IF($A44="","",IF(ISERROR(FIND(".",INDEX(Tasks!$A:$A,$A44))),"","   ")&amp;INDEX(Tasks!$C:$C,$A44))</f>
        <v>M3 Change loop</v>
      </c>
      <c r="D44" s="17" t="str">
        <f aca="false">IF($A44="","",IF(INDEX(Tasks!$D:$D,$A44)="","",INDEX(Tasks!$D:$D,$A44)))</f>
        <v>Team</v>
      </c>
      <c r="E44" s="17" t="str">
        <f aca="false">IF($A44="","",IF(INDEX(Tasks!$E:$E,$A44)="","",INDEX(Tasks!$E:$E,$A44)))</f>
        <v>Not Started</v>
      </c>
      <c r="F44" s="18" t="n">
        <f aca="false">IF($A44="","",IF(INDEX(Tasks!$F:$F,$A44)="","",INDEX(Tasks!$F:$F,$A44)))</f>
        <v>46391</v>
      </c>
      <c r="G44" s="18" t="n">
        <f aca="false">IF($A44="","",IF(INDEX(Tasks!$H:$H,$A44)="","",INDEX(Tasks!$H:$H,$A44)))</f>
        <v>46395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n">
        <f aca="false">IFERROR(MATCH($C$2&amp;"|"&amp;(ROW()-4),Tasks!$K$4:$K$403,0)+3,"")</f>
        <v>84</v>
      </c>
      <c r="B45" s="17" t="str">
        <f aca="false">IF($A45="","",IF(INDEX(Tasks!$A:$A,$A45)="","",INDEX(Tasks!$A:$A,$A45)))</f>
        <v>G1-M4</v>
      </c>
      <c r="C45" s="17" t="str">
        <f aca="false">IF($A45="","",IF(ISERROR(FIND(".",INDEX(Tasks!$A:$A,$A45))),"","   ")&amp;INDEX(Tasks!$C:$C,$A45))</f>
        <v>M4 Two robots, fused map</v>
      </c>
      <c r="D45" s="17" t="str">
        <f aca="false">IF($A45="","",IF(INDEX(Tasks!$D:$D,$A45)="","",INDEX(Tasks!$D:$D,$A45)))</f>
        <v>Team</v>
      </c>
      <c r="E45" s="17" t="str">
        <f aca="false">IF($A45="","",IF(INDEX(Tasks!$E:$E,$A45)="","",INDEX(Tasks!$E:$E,$A45)))</f>
        <v>Not Started</v>
      </c>
      <c r="F45" s="18" t="n">
        <f aca="false">IF($A45="","",IF(INDEX(Tasks!$F:$F,$A45)="","",INDEX(Tasks!$F:$F,$A45)))</f>
        <v>46391</v>
      </c>
      <c r="G45" s="18" t="n">
        <f aca="false">IF($A45="","",IF(INDEX(Tasks!$H:$H,$A45)="","",INDEX(Tasks!$H:$H,$A45)))</f>
        <v>46395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n">
        <f aca="false">IFERROR(MATCH($C$2&amp;"|"&amp;(ROW()-4),Tasks!$K$4:$K$403,0)+3,"")</f>
        <v>85</v>
      </c>
      <c r="B46" s="17" t="str">
        <f aca="false">IF($A46="","",IF(INDEX(Tasks!$A:$A,$A46)="","",INDEX(Tasks!$A:$A,$A46)))</f>
        <v>G1-M5</v>
      </c>
      <c r="C46" s="17" t="str">
        <f aca="false">IF($A46="","",IF(ISERROR(FIND(".",INDEX(Tasks!$A:$A,$A46))),"","   ")&amp;INDEX(Tasks!$C:$C,$A46))</f>
        <v>M5 ED305 targets live in the twin</v>
      </c>
      <c r="D46" s="17" t="str">
        <f aca="false">IF($A46="","",IF(INDEX(Tasks!$D:$D,$A46)="","",INDEX(Tasks!$D:$D,$A46)))</f>
        <v>Team</v>
      </c>
      <c r="E46" s="17" t="str">
        <f aca="false">IF($A46="","",IF(INDEX(Tasks!$E:$E,$A46)="","",INDEX(Tasks!$E:$E,$A46)))</f>
        <v>Not Started</v>
      </c>
      <c r="F46" s="18" t="n">
        <f aca="false">IF($A46="","",IF(INDEX(Tasks!$F:$F,$A46)="","",INDEX(Tasks!$F:$F,$A46)))</f>
        <v>46398</v>
      </c>
      <c r="G46" s="18" t="n">
        <f aca="false">IF($A46="","",IF(INDEX(Tasks!$H:$H,$A46)="","",INDEX(Tasks!$H:$H,$A46)))</f>
        <v>46402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n">
        <f aca="false">IFERROR(MATCH($C$2&amp;"|"&amp;(ROW()-4),Tasks!$K$4:$K$403,0)+3,"")</f>
        <v>86</v>
      </c>
      <c r="B47" s="17" t="str">
        <f aca="false">IF($A47="","",IF(INDEX(Tasks!$A:$A,$A47)="","",INDEX(Tasks!$A:$A,$A47)))</f>
        <v>G1-M6</v>
      </c>
      <c r="C47" s="17" t="str">
        <f aca="false">IF($A47="","",IF(ISERROR(FIND(".",INDEX(Tasks!$A:$A,$A47))),"","   ")&amp;INDEX(Tasks!$C:$C,$A47))</f>
        <v>M6 Radio channels from the live twin</v>
      </c>
      <c r="D47" s="17" t="str">
        <f aca="false">IF($A47="","",IF(INDEX(Tasks!$D:$D,$A47)="","",INDEX(Tasks!$D:$D,$A47)))</f>
        <v>Team</v>
      </c>
      <c r="E47" s="17" t="str">
        <f aca="false">IF($A47="","",IF(INDEX(Tasks!$E:$E,$A47)="","",INDEX(Tasks!$E:$E,$A47)))</f>
        <v>Not Started</v>
      </c>
      <c r="F47" s="18" t="n">
        <f aca="false">IF($A47="","",IF(INDEX(Tasks!$F:$F,$A47)="","",INDEX(Tasks!$F:$F,$A47)))</f>
        <v>46405</v>
      </c>
      <c r="G47" s="18" t="n">
        <f aca="false">IF($A47="","",IF(INDEX(Tasks!$H:$H,$A47)="","",INDEX(Tasks!$H:$H,$A47)))</f>
        <v>46409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IFERROR(MATCH($C$2&amp;"|"&amp;(ROW()-4),Tasks!$K$4:$K$403,0)+3,"")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IF($A48="","",IF(INDEX(Tasks!$D:$D,$A48)="","",INDEX(Tasks!$D:$D,$A48)))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IFERROR(MATCH($C$2&amp;"|"&amp;(ROW()-4),Tasks!$K$4:$K$403,0)+3,"")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IF($A49="","",IF(INDEX(Tasks!$D:$D,$A49)="","",INDEX(Tasks!$D:$D,$A49)))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IFERROR(MATCH($C$2&amp;"|"&amp;(ROW()-4),Tasks!$K$4:$K$403,0)+3,"")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IF($A50="","",IF(INDEX(Tasks!$D:$D,$A50)="","",INDEX(Tasks!$D:$D,$A50)))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IFERROR(MATCH($C$2&amp;"|"&amp;(ROW()-4),Tasks!$K$4:$K$403,0)+3,"")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IF($A51="","",IF(INDEX(Tasks!$D:$D,$A51)="","",INDEX(Tasks!$D:$D,$A51)))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IFERROR(MATCH($C$2&amp;"|"&amp;(ROW()-4),Tasks!$K$4:$K$403,0)+3,"")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IF($A52="","",IF(INDEX(Tasks!$D:$D,$A52)="","",INDEX(Tasks!$D:$D,$A52)))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IFERROR(MATCH($C$2&amp;"|"&amp;(ROW()-4),Tasks!$K$4:$K$403,0)+3,"")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IF($A53="","",IF(INDEX(Tasks!$D:$D,$A53)="","",INDEX(Tasks!$D:$D,$A53)))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IFERROR(MATCH($C$2&amp;"|"&amp;(ROW()-4),Tasks!$K$4:$K$403,0)+3,"")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IF($A54="","",IF(INDEX(Tasks!$D:$D,$A54)="","",INDEX(Tasks!$D:$D,$A54)))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IFERROR(MATCH($C$2&amp;"|"&amp;(ROW()-4),Tasks!$K$4:$K$403,0)+3,"")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IF($A55="","",IF(INDEX(Tasks!$D:$D,$A55)="","",INDEX(Tasks!$D:$D,$A55)))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IFERROR(MATCH($C$2&amp;"|"&amp;(ROW()-4),Tasks!$K$4:$K$403,0)+3,"")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IF($A56="","",IF(INDEX(Tasks!$D:$D,$A56)="","",INDEX(Tasks!$D:$D,$A56)))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IFERROR(MATCH($C$2&amp;"|"&amp;(ROW()-4),Tasks!$K$4:$K$403,0)+3,"")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IF($A57="","",IF(INDEX(Tasks!$D:$D,$A57)="","",INDEX(Tasks!$D:$D,$A57)))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IFERROR(MATCH($C$2&amp;"|"&amp;(ROW()-4),Tasks!$K$4:$K$403,0)+3,"")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IF($A58="","",IF(INDEX(Tasks!$D:$D,$A58)="","",INDEX(Tasks!$D:$D,$A58)))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IFERROR(MATCH($C$2&amp;"|"&amp;(ROW()-4),Tasks!$K$4:$K$403,0)+3,"")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IF($A59="","",IF(INDEX(Tasks!$D:$D,$A59)="","",INDEX(Tasks!$D:$D,$A59)))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IFERROR(MATCH($C$2&amp;"|"&amp;(ROW()-4),Tasks!$K$4:$K$403,0)+3,"")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IF($A60="","",IF(INDEX(Tasks!$D:$D,$A60)="","",INDEX(Tasks!$D:$D,$A60)))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IFERROR(MATCH($C$2&amp;"|"&amp;(ROW()-4),Tasks!$K$4:$K$403,0)+3,"")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IF($A61="","",IF(INDEX(Tasks!$D:$D,$A61)="","",INDEX(Tasks!$D:$D,$A61)))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IFERROR(MATCH($C$2&amp;"|"&amp;(ROW()-4),Tasks!$K$4:$K$403,0)+3,"")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IF($A62="","",IF(INDEX(Tasks!$D:$D,$A62)="","",INDEX(Tasks!$D:$D,$A62)))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IFERROR(MATCH($C$2&amp;"|"&amp;(ROW()-4),Tasks!$K$4:$K$403,0)+3,"")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IF($A63="","",IF(INDEX(Tasks!$D:$D,$A63)="","",INDEX(Tasks!$D:$D,$A63)))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IFERROR(MATCH($C$2&amp;"|"&amp;(ROW()-4),Tasks!$K$4:$K$403,0)+3,"")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IF($A64="","",IF(INDEX(Tasks!$D:$D,$A64)="","",INDEX(Tasks!$D:$D,$A64)))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IFERROR(MATCH($C$2&amp;"|"&amp;(ROW()-4),Tasks!$K$4:$K$403,0)+3,"")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IF($A65="","",IF(INDEX(Tasks!$D:$D,$A65)="","",INDEX(Tasks!$D:$D,$A65)))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IFERROR(MATCH($C$2&amp;"|"&amp;(ROW()-4),Tasks!$K$4:$K$403,0)+3,"")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IF($A66="","",IF(INDEX(Tasks!$D:$D,$A66)="","",INDEX(Tasks!$D:$D,$A66)))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IFERROR(MATCH($C$2&amp;"|"&amp;(ROW()-4),Tasks!$K$4:$K$403,0)+3,"")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IF($A67="","",IF(INDEX(Tasks!$D:$D,$A67)="","",INDEX(Tasks!$D:$D,$A67)))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IFERROR(MATCH($C$2&amp;"|"&amp;(ROW()-4),Tasks!$K$4:$K$403,0)+3,"")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IF($A68="","",IF(INDEX(Tasks!$D:$D,$A68)="","",INDEX(Tasks!$D:$D,$A68)))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IFERROR(MATCH($C$2&amp;"|"&amp;(ROW()-4),Tasks!$K$4:$K$403,0)+3,"")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IF($A69="","",IF(INDEX(Tasks!$D:$D,$A69)="","",INDEX(Tasks!$D:$D,$A69)))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IFERROR(MATCH($C$2&amp;"|"&amp;(ROW()-4),Tasks!$K$4:$K$403,0)+3,"")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IF($A70="","",IF(INDEX(Tasks!$D:$D,$A70)="","",INDEX(Tasks!$D:$D,$A70)))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IFERROR(MATCH($C$2&amp;"|"&amp;(ROW()-4),Tasks!$K$4:$K$403,0)+3,"")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IF($A71="","",IF(INDEX(Tasks!$D:$D,$A71)="","",INDEX(Tasks!$D:$D,$A71)))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IFERROR(MATCH($C$2&amp;"|"&amp;(ROW()-4),Tasks!$K$4:$K$403,0)+3,"")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IF($A72="","",IF(INDEX(Tasks!$D:$D,$A72)="","",INDEX(Tasks!$D:$D,$A72)))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IFERROR(MATCH($C$2&amp;"|"&amp;(ROW()-4),Tasks!$K$4:$K$403,0)+3,"")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IF($A73="","",IF(INDEX(Tasks!$D:$D,$A73)="","",INDEX(Tasks!$D:$D,$A73)))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IFERROR(MATCH($C$2&amp;"|"&amp;(ROW()-4),Tasks!$K$4:$K$403,0)+3,"")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IF($A74="","",IF(INDEX(Tasks!$D:$D,$A74)="","",INDEX(Tasks!$D:$D,$A74)))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IFERROR(MATCH($C$2&amp;"|"&amp;(ROW()-4),Tasks!$K$4:$K$403,0)+3,"")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IF($A75="","",IF(INDEX(Tasks!$D:$D,$A75)="","",INDEX(Tasks!$D:$D,$A75)))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IFERROR(MATCH($C$2&amp;"|"&amp;(ROW()-4),Tasks!$K$4:$K$403,0)+3,"")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IF($A76="","",IF(INDEX(Tasks!$D:$D,$A76)="","",INDEX(Tasks!$D:$D,$A76)))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IFERROR(MATCH($C$2&amp;"|"&amp;(ROW()-4),Tasks!$K$4:$K$403,0)+3,"")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IF($A77="","",IF(INDEX(Tasks!$D:$D,$A77)="","",INDEX(Tasks!$D:$D,$A77)))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IFERROR(MATCH($C$2&amp;"|"&amp;(ROW()-4),Tasks!$K$4:$K$403,0)+3,"")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IF($A78="","",IF(INDEX(Tasks!$D:$D,$A78)="","",INDEX(Tasks!$D:$D,$A78)))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IFERROR(MATCH($C$2&amp;"|"&amp;(ROW()-4),Tasks!$K$4:$K$403,0)+3,"")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IF($A79="","",IF(INDEX(Tasks!$D:$D,$A79)="","",INDEX(Tasks!$D:$D,$A79)))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IFERROR(MATCH($C$2&amp;"|"&amp;(ROW()-4),Tasks!$K$4:$K$403,0)+3,"")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IF($A80="","",IF(INDEX(Tasks!$D:$D,$A80)="","",INDEX(Tasks!$D:$D,$A80)))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IFERROR(MATCH($C$2&amp;"|"&amp;(ROW()-4),Tasks!$K$4:$K$403,0)+3,"")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IF($A81="","",IF(INDEX(Tasks!$D:$D,$A81)="","",INDEX(Tasks!$D:$D,$A81)))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IFERROR(MATCH($C$2&amp;"|"&amp;(ROW()-4),Tasks!$K$4:$K$403,0)+3,"")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IF($A82="","",IF(INDEX(Tasks!$D:$D,$A82)="","",INDEX(Tasks!$D:$D,$A82)))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IFERROR(MATCH($C$2&amp;"|"&amp;(ROW()-4),Tasks!$K$4:$K$403,0)+3,"")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IF($A83="","",IF(INDEX(Tasks!$D:$D,$A83)="","",INDEX(Tasks!$D:$D,$A83)))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IFERROR(MATCH($C$2&amp;"|"&amp;(ROW()-4),Tasks!$K$4:$K$403,0)+3,"")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IF($A84="","",IF(INDEX(Tasks!$D:$D,$A84)="","",INDEX(Tasks!$D:$D,$A84)))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IFERROR(MATCH($C$2&amp;"|"&amp;(ROW()-4),Tasks!$K$4:$K$403,0)+3,"")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IF($A85="","",IF(INDEX(Tasks!$D:$D,$A85)="","",INDEX(Tasks!$D:$D,$A85)))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IFERROR(MATCH($C$2&amp;"|"&amp;(ROW()-4),Tasks!$K$4:$K$403,0)+3,"")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IF($A86="","",IF(INDEX(Tasks!$D:$D,$A86)="","",INDEX(Tasks!$D:$D,$A86)))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IFERROR(MATCH($C$2&amp;"|"&amp;(ROW()-4),Tasks!$K$4:$K$403,0)+3,"")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IF($A87="","",IF(INDEX(Tasks!$D:$D,$A87)="","",INDEX(Tasks!$D:$D,$A87)))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IFERROR(MATCH($C$2&amp;"|"&amp;(ROW()-4),Tasks!$K$4:$K$403,0)+3,"")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IF($A88="","",IF(INDEX(Tasks!$D:$D,$A88)="","",INDEX(Tasks!$D:$D,$A88)))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IFERROR(MATCH($C$2&amp;"|"&amp;(ROW()-4),Tasks!$K$4:$K$403,0)+3,"")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IF($A89="","",IF(INDEX(Tasks!$D:$D,$A89)="","",INDEX(Tasks!$D:$D,$A89)))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IFERROR(MATCH($C$2&amp;"|"&amp;(ROW()-4),Tasks!$K$4:$K$403,0)+3,"")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IF($A90="","",IF(INDEX(Tasks!$D:$D,$A90)="","",INDEX(Tasks!$D:$D,$A90)))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IFERROR(MATCH($C$2&amp;"|"&amp;(ROW()-4),Tasks!$K$4:$K$403,0)+3,"")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IF($A91="","",IF(INDEX(Tasks!$D:$D,$A91)="","",INDEX(Tasks!$D:$D,$A91)))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IFERROR(MATCH($C$2&amp;"|"&amp;(ROW()-4),Tasks!$K$4:$K$403,0)+3,"")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IF($A92="","",IF(INDEX(Tasks!$D:$D,$A92)="","",INDEX(Tasks!$D:$D,$A92)))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IFERROR(MATCH($C$2&amp;"|"&amp;(ROW()-4),Tasks!$K$4:$K$403,0)+3,"")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IF($A93="","",IF(INDEX(Tasks!$D:$D,$A93)="","",INDEX(Tasks!$D:$D,$A93)))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IFERROR(MATCH($C$2&amp;"|"&amp;(ROW()-4),Tasks!$K$4:$K$403,0)+3,"")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IF($A94="","",IF(INDEX(Tasks!$D:$D,$A94)="","",INDEX(Tasks!$D:$D,$A94)))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IFERROR(MATCH($C$2&amp;"|"&amp;(ROW()-4),Tasks!$K$4:$K$403,0)+3,"")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IF($A95="","",IF(INDEX(Tasks!$D:$D,$A95)="","",INDEX(Tasks!$D:$D,$A95)))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IFERROR(MATCH($C$2&amp;"|"&amp;(ROW()-4),Tasks!$K$4:$K$403,0)+3,"")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IF($A96="","",IF(INDEX(Tasks!$D:$D,$A96)="","",INDEX(Tasks!$D:$D,$A96)))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IFERROR(MATCH($C$2&amp;"|"&amp;(ROW()-4),Tasks!$K$4:$K$403,0)+3,"")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IF($A97="","",IF(INDEX(Tasks!$D:$D,$A97)="","",INDEX(Tasks!$D:$D,$A97)))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IFERROR(MATCH($C$2&amp;"|"&amp;(ROW()-4),Tasks!$K$4:$K$403,0)+3,"")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IF($A98="","",IF(INDEX(Tasks!$D:$D,$A98)="","",INDEX(Tasks!$D:$D,$A98)))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IFERROR(MATCH($C$2&amp;"|"&amp;(ROW()-4),Tasks!$K$4:$K$403,0)+3,"")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IF($A99="","",IF(INDEX(Tasks!$D:$D,$A99)="","",INDEX(Tasks!$D:$D,$A99)))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IFERROR(MATCH($C$2&amp;"|"&amp;(ROW()-4),Tasks!$K$4:$K$403,0)+3,"")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IF($A100="","",IF(INDEX(Tasks!$D:$D,$A100)="","",INDEX(Tasks!$D:$D,$A100)))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IFERROR(MATCH($C$2&amp;"|"&amp;(ROW()-4),Tasks!$K$4:$K$403,0)+3,"")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IF($A101="","",IF(INDEX(Tasks!$D:$D,$A101)="","",INDEX(Tasks!$D:$D,$A101)))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IFERROR(MATCH($C$2&amp;"|"&amp;(ROW()-4),Tasks!$K$4:$K$403,0)+3,"")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IF($A102="","",IF(INDEX(Tasks!$D:$D,$A102)="","",INDEX(Tasks!$D:$D,$A102)))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IFERROR(MATCH($C$2&amp;"|"&amp;(ROW()-4),Tasks!$K$4:$K$403,0)+3,"")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IF($A103="","",IF(INDEX(Tasks!$D:$D,$A103)="","",INDEX(Tasks!$D:$D,$A103)))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IFERROR(MATCH($C$2&amp;"|"&amp;(ROW()-4),Tasks!$K$4:$K$403,0)+3,"")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IF($A104="","",IF(INDEX(Tasks!$D:$D,$A104)="","",INDEX(Tasks!$D:$D,$A104)))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IFERROR(MATCH($C$2&amp;"|"&amp;(ROW()-4),Tasks!$K$4:$K$403,0)+3,"")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IF($A105="","",IF(INDEX(Tasks!$D:$D,$A105)="","",INDEX(Tasks!$D:$D,$A105)))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IFERROR(MATCH($C$2&amp;"|"&amp;(ROW()-4),Tasks!$K$4:$K$403,0)+3,"")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IF($A106="","",IF(INDEX(Tasks!$D:$D,$A106)="","",INDEX(Tasks!$D:$D,$A106)))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IFERROR(MATCH($C$2&amp;"|"&amp;(ROW()-4),Tasks!$K$4:$K$403,0)+3,"")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IF($A107="","",IF(INDEX(Tasks!$D:$D,$A107)="","",INDEX(Tasks!$D:$D,$A107)))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IFERROR(MATCH($C$2&amp;"|"&amp;(ROW()-4),Tasks!$K$4:$K$403,0)+3,"")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IF($A108="","",IF(INDEX(Tasks!$D:$D,$A108)="","",INDEX(Tasks!$D:$D,$A108)))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IFERROR(MATCH($C$2&amp;"|"&amp;(ROW()-4),Tasks!$K$4:$K$403,0)+3,"")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IF($A109="","",IF(INDEX(Tasks!$D:$D,$A109)="","",INDEX(Tasks!$D:$D,$A109)))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IFERROR(MATCH($C$2&amp;"|"&amp;(ROW()-4),Tasks!$K$4:$K$403,0)+3,"")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IF($A110="","",IF(INDEX(Tasks!$D:$D,$A110)="","",INDEX(Tasks!$D:$D,$A110)))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IFERROR(MATCH($C$2&amp;"|"&amp;(ROW()-4),Tasks!$K$4:$K$403,0)+3,"")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IF($A111="","",IF(INDEX(Tasks!$D:$D,$A111)="","",INDEX(Tasks!$D:$D,$A111)))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IFERROR(MATCH($C$2&amp;"|"&amp;(ROW()-4),Tasks!$K$4:$K$403,0)+3,"")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IF($A112="","",IF(INDEX(Tasks!$D:$D,$A112)="","",INDEX(Tasks!$D:$D,$A112)))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IFERROR(MATCH($C$2&amp;"|"&amp;(ROW()-4),Tasks!$K$4:$K$403,0)+3,"")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IF($A113="","",IF(INDEX(Tasks!$D:$D,$A113)="","",INDEX(Tasks!$D:$D,$A113)))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IFERROR(MATCH($C$2&amp;"|"&amp;(ROW()-4),Tasks!$K$4:$K$403,0)+3,"")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IF($A114="","",IF(INDEX(Tasks!$D:$D,$A114)="","",INDEX(Tasks!$D:$D,$A114)))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IFERROR(MATCH($C$2&amp;"|"&amp;(ROW()-4),Tasks!$K$4:$K$403,0)+3,"")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IF($A115="","",IF(INDEX(Tasks!$D:$D,$A115)="","",INDEX(Tasks!$D:$D,$A115)))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IFERROR(MATCH($C$2&amp;"|"&amp;(ROW()-4),Tasks!$K$4:$K$403,0)+3,"")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IF($A116="","",IF(INDEX(Tasks!$D:$D,$A116)="","",INDEX(Tasks!$D:$D,$A116)))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IFERROR(MATCH($C$2&amp;"|"&amp;(ROW()-4),Tasks!$K$4:$K$403,0)+3,"")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IF($A117="","",IF(INDEX(Tasks!$D:$D,$A117)="","",INDEX(Tasks!$D:$D,$A117)))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IFERROR(MATCH($C$2&amp;"|"&amp;(ROW()-4),Tasks!$K$4:$K$403,0)+3,"")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IF($A118="","",IF(INDEX(Tasks!$D:$D,$A118)="","",INDEX(Tasks!$D:$D,$A118)))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IFERROR(MATCH($C$2&amp;"|"&amp;(ROW()-4),Tasks!$K$4:$K$403,0)+3,"")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IF($A119="","",IF(INDEX(Tasks!$D:$D,$A119)="","",INDEX(Tasks!$D:$D,$A119)))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IFERROR(MATCH($C$2&amp;"|"&amp;(ROW()-4),Tasks!$K$4:$K$403,0)+3,"")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IF($A120="","",IF(INDEX(Tasks!$D:$D,$A120)="","",INDEX(Tasks!$D:$D,$A120)))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IFERROR(MATCH($C$2&amp;"|"&amp;(ROW()-4),Tasks!$K$4:$K$403,0)+3,"")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IF($A121="","",IF(INDEX(Tasks!$D:$D,$A121)="","",INDEX(Tasks!$D:$D,$A121)))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IFERROR(MATCH($C$2&amp;"|"&amp;(ROW()-4),Tasks!$K$4:$K$403,0)+3,"")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IF($A122="","",IF(INDEX(Tasks!$D:$D,$A122)="","",INDEX(Tasks!$D:$D,$A122)))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IFERROR(MATCH($C$2&amp;"|"&amp;(ROW()-4),Tasks!$K$4:$K$403,0)+3,"")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IF($A123="","",IF(INDEX(Tasks!$D:$D,$A123)="","",INDEX(Tasks!$D:$D,$A123)))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IFERROR(MATCH($C$2&amp;"|"&amp;(ROW()-4),Tasks!$K$4:$K$403,0)+3,"")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IF($A124="","",IF(INDEX(Tasks!$D:$D,$A124)="","",INDEX(Tasks!$D:$D,$A124)))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319</v>
      </c>
    </row>
    <row r="2" customFormat="false" ht="15" hidden="false" customHeight="false" outlineLevel="0" collapsed="false">
      <c r="B2" s="2" t="s">
        <v>318</v>
      </c>
      <c r="C2" s="28" t="s">
        <v>68</v>
      </c>
      <c r="E2" s="13" t="str">
        <f aca="true">COUNTIFS(Tasks!$B$4:$B$403,$C$2,Tasks!$C$4:$C$403,"?*")&amp;" tasks   ·   "&amp;COUNTIFS(Tasks!$B$4:$B$403,$C$2,Tasks!$C$4:$C$403,"?*",Tasks!$E$4:$E$403,"In Progress")&amp;" in progress   ·   "&amp;COUNTIFS(Tasks!$B$4:$B$403,$C$2,Tasks!$C$4:$C$403,"?*",Tasks!$E$4:$E$403,"Blocked")&amp;" blocked   ·   "&amp;COUNTIFS(Tasks!$B$4:$B$403,$C$2,Tasks!$C$4:$C$403,"?*",Tasks!$H$4:$H$403,"&lt;"&amp;TODAY(),Tasks!$E$4:$E$403,"&lt;&gt;Complete")&amp;" overdue"</f>
        <v>29 tasks   ·   4 in progress   ·   0 blocked   ·   5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IFERROR(MATCH($C$2&amp;"|"&amp;(ROW()-4),Tasks!$K$4:$K$403,0)+3,"")</f>
        <v>15</v>
      </c>
      <c r="B5" s="17" t="str">
        <f aca="false">IF($A5="","",IF(INDEX(Tasks!$A:$A,$A5)="","",INDEX(Tasks!$A:$A,$A5)))</f>
        <v>G2-DS-1</v>
      </c>
      <c r="C5" s="17" t="str">
        <f aca="false">IF($A5="","",IF(ISERROR(FIND(".",INDEX(Tasks!$A:$A,$A5))),"","   ")&amp;INDEX(Tasks!$C:$C,$A5))</f>
        <v>Recording campaign</v>
      </c>
      <c r="D5" s="17" t="str">
        <f aca="false">IF($A5="","",IF(INDEX(Tasks!$D:$D,$A5)="","",INDEX(Tasks!$D:$D,$A5)))</f>
        <v>SCooP owner</v>
      </c>
      <c r="E5" s="17" t="str">
        <f aca="false">IF($A5="","",IF(INDEX(Tasks!$E:$E,$A5)="","",INDEX(Tasks!$E:$E,$A5)))</f>
        <v>Partially Completed</v>
      </c>
      <c r="F5" s="18" t="n">
        <f aca="false">IF($A5="","",IF(INDEX(Tasks!$F:$F,$A5)="","",INDEX(Tasks!$F:$F,$A5)))</f>
        <v>46314</v>
      </c>
      <c r="G5" s="18" t="n">
        <f aca="false">IF($A5="","",IF(INDEX(Tasks!$H:$H,$A5)="","",INDEX(Tasks!$H:$H,$A5)))</f>
        <v>46353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IFERROR(MATCH($C$2&amp;"|"&amp;(ROW()-4),Tasks!$K$4:$K$403,0)+3,"")</f>
        <v>16</v>
      </c>
      <c r="B6" s="17" t="str">
        <f aca="false">IF($A6="","",IF(INDEX(Tasks!$A:$A,$A6)="","",INDEX(Tasks!$A:$A,$A6)))</f>
        <v>G2-DS-1.1</v>
      </c>
      <c r="C6" s="17" t="str">
        <f aca="false">IF($A6="","",IF(ISERROR(FIND(".",INDEX(Tasks!$A:$A,$A6))),"","   ")&amp;INDEX(Tasks!$C:$C,$A6))</f>
        <v>   Indoor Trajectory Sessions</v>
      </c>
      <c r="D6" s="17" t="str">
        <f aca="false">IF($A6="","",IF(INDEX(Tasks!$D:$D,$A6)="","",INDEX(Tasks!$D:$D,$A6)))</f>
        <v>SCooP owner</v>
      </c>
      <c r="E6" s="17" t="str">
        <f aca="false">IF($A6="","",IF(INDEX(Tasks!$E:$E,$A6)="","",INDEX(Tasks!$E:$E,$A6)))</f>
        <v>Partially Completed</v>
      </c>
      <c r="F6" s="18" t="n">
        <f aca="false">IF($A6="","",IF(INDEX(Tasks!$F:$F,$A6)="","",INDEX(Tasks!$F:$F,$A6)))</f>
        <v>46202</v>
      </c>
      <c r="G6" s="18" t="n">
        <f aca="false">IF($A6="","",IF(INDEX(Tasks!$H:$H,$A6)="","",INDEX(Tasks!$H:$H,$A6)))</f>
        <v>46206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IFERROR(MATCH($C$2&amp;"|"&amp;(ROW()-4),Tasks!$K$4:$K$403,0)+3,"")</f>
        <v>17</v>
      </c>
      <c r="B7" s="17" t="str">
        <f aca="false">IF($A7="","",IF(INDEX(Tasks!$A:$A,$A7)="","",INDEX(Tasks!$A:$A,$A7)))</f>
        <v>G2-DS-1.2</v>
      </c>
      <c r="C7" s="17" t="str">
        <f aca="false">IF($A7="","",IF(ISERROR(FIND(".",INDEX(Tasks!$A:$A,$A7))),"","   ")&amp;INDEX(Tasks!$C:$C,$A7))</f>
        <v>   Outdoor Trajectory Sessions</v>
      </c>
      <c r="D7" s="17" t="str">
        <f aca="false">IF($A7="","",IF(INDEX(Tasks!$D:$D,$A7)="","",INDEX(Tasks!$D:$D,$A7)))</f>
        <v>SCooP owner</v>
      </c>
      <c r="E7" s="17" t="str">
        <f aca="false">IF($A7="","",IF(INDEX(Tasks!$E:$E,$A7)="","",INDEX(Tasks!$E:$E,$A7)))</f>
        <v>Not Started</v>
      </c>
      <c r="F7" s="18" t="str">
        <f aca="false">IF($A7="","",IF(INDEX(Tasks!$F:$F,$A7)="","",INDEX(Tasks!$F:$F,$A7)))</f>
        <v/>
      </c>
      <c r="G7" s="18" t="str">
        <f aca="false">IF($A7="","",IF(INDEX(Tasks!$H:$H,$A7)="","",INDEX(Tasks!$H:$H,$A7)))</f>
        <v/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IFERROR(MATCH($C$2&amp;"|"&amp;(ROW()-4),Tasks!$K$4:$K$403,0)+3,"")</f>
        <v>18</v>
      </c>
      <c r="B8" s="17" t="str">
        <f aca="false">IF($A8="","",IF(INDEX(Tasks!$A:$A,$A8)="","",INDEX(Tasks!$A:$A,$A8)))</f>
        <v>G2-DS-1.3</v>
      </c>
      <c r="C8" s="17" t="str">
        <f aca="false">IF($A8="","",IF(ISERROR(FIND(".",INDEX(Tasks!$A:$A,$A8))),"","   ")&amp;INDEX(Tasks!$C:$C,$A8))</f>
        <v>   Record sites 2 and 3</v>
      </c>
      <c r="D8" s="17" t="str">
        <f aca="false">IF($A8="","",IF(INDEX(Tasks!$D:$D,$A8)="","",INDEX(Tasks!$D:$D,$A8)))</f>
        <v>SCooP owner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46321</v>
      </c>
      <c r="G8" s="18" t="n">
        <f aca="false">IF($A8="","",IF(INDEX(Tasks!$H:$H,$A8)="","",INDEX(Tasks!$H:$H,$A8)))</f>
        <v>46346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IFERROR(MATCH($C$2&amp;"|"&amp;(ROW()-4),Tasks!$K$4:$K$403,0)+3,"")</f>
        <v>19</v>
      </c>
      <c r="B9" s="17" t="str">
        <f aca="false">IF($A9="","",IF(INDEX(Tasks!$A:$A,$A9)="","",INDEX(Tasks!$A:$A,$A9)))</f>
        <v>G2-DS-1.4</v>
      </c>
      <c r="C9" s="17" t="str">
        <f aca="false">IF($A9="","",IF(ISERROR(FIND(".",INDEX(Tasks!$A:$A,$A9))),"","   ")&amp;INDEX(Tasks!$C:$C,$A9))</f>
        <v>   Calibration rosbag</v>
      </c>
      <c r="D9" s="17" t="str">
        <f aca="false">IF($A9="","",IF(INDEX(Tasks!$D:$D,$A9)="","",INDEX(Tasks!$D:$D,$A9)))</f>
        <v>SCooP owner</v>
      </c>
      <c r="E9" s="17" t="str">
        <f aca="false">IF($A9="","",IF(INDEX(Tasks!$E:$E,$A9)="","",INDEX(Tasks!$E:$E,$A9)))</f>
        <v/>
      </c>
      <c r="F9" s="18" t="n">
        <f aca="false">IF($A9="","",IF(INDEX(Tasks!$F:$F,$A9)="","",INDEX(Tasks!$F:$F,$A9)))</f>
        <v>46314</v>
      </c>
      <c r="G9" s="18" t="n">
        <f aca="false">IF($A9="","",IF(INDEX(Tasks!$H:$H,$A9)="","",INDEX(Tasks!$H:$H,$A9)))</f>
        <v>46318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IFERROR(MATCH($C$2&amp;"|"&amp;(ROW()-4),Tasks!$K$4:$K$403,0)+3,"")</f>
        <v>20</v>
      </c>
      <c r="B10" s="17" t="str">
        <f aca="false">IF($A10="","",IF(INDEX(Tasks!$A:$A,$A10)="","",INDEX(Tasks!$A:$A,$A10)))</f>
        <v>G2-DS-1.5</v>
      </c>
      <c r="C10" s="17" t="str">
        <f aca="false">IF($A10="","",IF(ISERROR(FIND(".",INDEX(Tasks!$A:$A,$A10))),"","   ")&amp;INDEX(Tasks!$C:$C,$A10))</f>
        <v>   Short test recordings</v>
      </c>
      <c r="D10" s="17" t="str">
        <f aca="false">IF($A10="","",IF(INDEX(Tasks!$D:$D,$A10)="","",INDEX(Tasks!$D:$D,$A10)))</f>
        <v>SCooP owner</v>
      </c>
      <c r="E10" s="17" t="str">
        <f aca="false">IF($A10="","",IF(INDEX(Tasks!$E:$E,$A10)="","",INDEX(Tasks!$E:$E,$A10)))</f>
        <v/>
      </c>
      <c r="F10" s="18" t="n">
        <f aca="false">IF($A10="","",IF(INDEX(Tasks!$F:$F,$A10)="","",INDEX(Tasks!$F:$F,$A10)))</f>
        <v>46314</v>
      </c>
      <c r="G10" s="18" t="n">
        <f aca="false">IF($A10="","",IF(INDEX(Tasks!$H:$H,$A10)="","",INDEX(Tasks!$H:$H,$A10)))</f>
        <v>46318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IFERROR(MATCH($C$2&amp;"|"&amp;(ROW()-4),Tasks!$K$4:$K$403,0)+3,"")</f>
        <v>21</v>
      </c>
      <c r="B11" s="17" t="str">
        <f aca="false">IF($A11="","",IF(INDEX(Tasks!$A:$A,$A11)="","",INDEX(Tasks!$A:$A,$A11)))</f>
        <v>G2-DS-2</v>
      </c>
      <c r="C11" s="17" t="str">
        <f aca="false">IF($A11="","",IF(ISERROR(FIND(".",INDEX(Tasks!$A:$A,$A11))),"","   ")&amp;INDEX(Tasks!$C:$C,$A11))</f>
        <v>Per-pass processing</v>
      </c>
      <c r="D11" s="17" t="str">
        <f aca="false">IF($A11="","",IF(INDEX(Tasks!$D:$D,$A11)="","",INDEX(Tasks!$D:$D,$A11)))</f>
        <v>SCooP owner</v>
      </c>
      <c r="E11" s="17" t="str">
        <f aca="false">IF($A11="","",IF(INDEX(Tasks!$E:$E,$A11)="","",INDEX(Tasks!$E:$E,$A11)))</f>
        <v>In Progress</v>
      </c>
      <c r="F11" s="18" t="n">
        <f aca="false">IF($A11="","",IF(INDEX(Tasks!$F:$F,$A11)="","",INDEX(Tasks!$F:$F,$A11)))</f>
        <v>46307</v>
      </c>
      <c r="G11" s="18" t="n">
        <f aca="false">IF($A11="","",IF(INDEX(Tasks!$H:$H,$A11)="","",INDEX(Tasks!$H:$H,$A11)))</f>
        <v>46374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IFERROR(MATCH($C$2&amp;"|"&amp;(ROW()-4),Tasks!$K$4:$K$403,0)+3,"")</f>
        <v>22</v>
      </c>
      <c r="B12" s="17" t="str">
        <f aca="false">IF($A12="","",IF(INDEX(Tasks!$A:$A,$A12)="","",INDEX(Tasks!$A:$A,$A12)))</f>
        <v>G2-DS-2.1</v>
      </c>
      <c r="C12" s="17" t="str">
        <f aca="false">IF($A12="","",IF(ISERROR(FIND(".",INDEX(Tasks!$A:$A,$A12))),"","   ")&amp;INDEX(Tasks!$C:$C,$A12))</f>
        <v>   Merging Sensor Data</v>
      </c>
      <c r="D12" s="17" t="str">
        <f aca="false">IF($A12="","",IF(INDEX(Tasks!$D:$D,$A12)="","",INDEX(Tasks!$D:$D,$A12)))</f>
        <v>SCooP owner</v>
      </c>
      <c r="E12" s="17" t="str">
        <f aca="false">IF($A12="","",IF(INDEX(Tasks!$E:$E,$A12)="","",INDEX(Tasks!$E:$E,$A12)))</f>
        <v>In Progress</v>
      </c>
      <c r="F12" s="18" t="n">
        <f aca="false">IF($A12="","",IF(INDEX(Tasks!$F:$F,$A12)="","",INDEX(Tasks!$F:$F,$A12)))</f>
        <v>46202</v>
      </c>
      <c r="G12" s="18" t="n">
        <f aca="false">IF($A12="","",IF(INDEX(Tasks!$H:$H,$A12)="","",INDEX(Tasks!$H:$H,$A12)))</f>
        <v>46206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IFERROR(MATCH($C$2&amp;"|"&amp;(ROW()-4),Tasks!$K$4:$K$403,0)+3,"")</f>
        <v>23</v>
      </c>
      <c r="B13" s="17" t="str">
        <f aca="false">IF($A13="","",IF(INDEX(Tasks!$A:$A,$A13)="","",INDEX(Tasks!$A:$A,$A13)))</f>
        <v>G2-DS-2.2</v>
      </c>
      <c r="C13" s="17" t="str">
        <f aca="false">IF($A13="","",IF(ISERROR(FIND(".",INDEX(Tasks!$A:$A,$A13))),"","   ")&amp;INDEX(Tasks!$C:$C,$A13))</f>
        <v>   Timestamp Alignment Post-Processing</v>
      </c>
      <c r="D13" s="17" t="str">
        <f aca="false">IF($A13="","",IF(INDEX(Tasks!$D:$D,$A13)="","",INDEX(Tasks!$D:$D,$A13)))</f>
        <v>SCooP owner</v>
      </c>
      <c r="E13" s="17" t="str">
        <f aca="false">IF($A13="","",IF(INDEX(Tasks!$E:$E,$A13)="","",INDEX(Tasks!$E:$E,$A13)))</f>
        <v>Not Started</v>
      </c>
      <c r="F13" s="18" t="n">
        <f aca="false">IF($A13="","",IF(INDEX(Tasks!$F:$F,$A13)="","",INDEX(Tasks!$F:$F,$A13)))</f>
        <v>46202</v>
      </c>
      <c r="G13" s="18" t="n">
        <f aca="false">IF($A13="","",IF(INDEX(Tasks!$H:$H,$A13)="","",INDEX(Tasks!$H:$H,$A13)))</f>
        <v>46206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IFERROR(MATCH($C$2&amp;"|"&amp;(ROW()-4),Tasks!$K$4:$K$403,0)+3,"")</f>
        <v>24</v>
      </c>
      <c r="B14" s="17" t="str">
        <f aca="false">IF($A14="","",IF(INDEX(Tasks!$A:$A,$A14)="","",INDEX(Tasks!$A:$A,$A14)))</f>
        <v>G2-DS-3</v>
      </c>
      <c r="C14" s="17" t="str">
        <f aca="false">IF($A14="","",IF(ISERROR(FIND(".",INDEX(Tasks!$A:$A,$A14))),"","   ")&amp;INDEX(Tasks!$C:$C,$A14))</f>
        <v>Reference maps &amp; board networks per site</v>
      </c>
      <c r="D14" s="17" t="str">
        <f aca="false">IF($A14="","",IF(INDEX(Tasks!$D:$D,$A14)="","",INDEX(Tasks!$D:$D,$A14)))</f>
        <v>SCooP owner</v>
      </c>
      <c r="E14" s="17" t="str">
        <f aca="false">IF($A14="","",IF(INDEX(Tasks!$E:$E,$A14)="","",INDEX(Tasks!$E:$E,$A14)))</f>
        <v>In Progress</v>
      </c>
      <c r="F14" s="18" t="n">
        <f aca="false">IF($A14="","",IF(INDEX(Tasks!$F:$F,$A14)="","",INDEX(Tasks!$F:$F,$A14)))</f>
        <v>46307</v>
      </c>
      <c r="G14" s="18" t="n">
        <f aca="false">IF($A14="","",IF(INDEX(Tasks!$H:$H,$A14)="","",INDEX(Tasks!$H:$H,$A14)))</f>
        <v>46360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IFERROR(MATCH($C$2&amp;"|"&amp;(ROW()-4),Tasks!$K$4:$K$403,0)+3,"")</f>
        <v>25</v>
      </c>
      <c r="B15" s="17" t="str">
        <f aca="false">IF($A15="","",IF(INDEX(Tasks!$A:$A,$A15)="","",INDEX(Tasks!$A:$A,$A15)))</f>
        <v>G2-DS-3.1</v>
      </c>
      <c r="C15" s="17" t="str">
        <f aca="false">IF($A15="","",IF(ISERROR(FIND(".",INDEX(Tasks!$A:$A,$A15))),"","   ")&amp;INDEX(Tasks!$C:$C,$A15))</f>
        <v>   Localization and Mapping</v>
      </c>
      <c r="D15" s="17" t="str">
        <f aca="false">IF($A15="","",IF(INDEX(Tasks!$D:$D,$A15)="","",INDEX(Tasks!$D:$D,$A15)))</f>
        <v>SCooP owner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46202</v>
      </c>
      <c r="G15" s="18" t="n">
        <f aca="false">IF($A15="","",IF(INDEX(Tasks!$H:$H,$A15)="","",INDEX(Tasks!$H:$H,$A15)))</f>
        <v>46206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IFERROR(MATCH($C$2&amp;"|"&amp;(ROW()-4),Tasks!$K$4:$K$403,0)+3,"")</f>
        <v>26</v>
      </c>
      <c r="B16" s="17" t="str">
        <f aca="false">IF($A16="","",IF(INDEX(Tasks!$A:$A,$A16)="","",INDEX(Tasks!$A:$A,$A16)))</f>
        <v>G2-DS-3.2</v>
      </c>
      <c r="C16" s="17" t="str">
        <f aca="false">IF($A16="","",IF(ISERROR(FIND(".",INDEX(Tasks!$A:$A,$A16))),"","   ")&amp;INDEX(Tasks!$C:$C,$A16))</f>
        <v>   Mesh Conversion</v>
      </c>
      <c r="D16" s="17" t="str">
        <f aca="false">IF($A16="","",IF(INDEX(Tasks!$D:$D,$A16)="","",INDEX(Tasks!$D:$D,$A16)))</f>
        <v>SCooP owner</v>
      </c>
      <c r="E16" s="17" t="str">
        <f aca="false">IF($A16="","",IF(INDEX(Tasks!$E:$E,$A16)="","",INDEX(Tasks!$E:$E,$A16)))</f>
        <v>Not Started</v>
      </c>
      <c r="F16" s="18" t="n">
        <f aca="false">IF($A16="","",IF(INDEX(Tasks!$F:$F,$A16)="","",INDEX(Tasks!$F:$F,$A16)))</f>
        <v>46209</v>
      </c>
      <c r="G16" s="18" t="n">
        <f aca="false">IF($A16="","",IF(INDEX(Tasks!$H:$H,$A16)="","",INDEX(Tasks!$H:$H,$A16)))</f>
        <v>46220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IFERROR(MATCH($C$2&amp;"|"&amp;(ROW()-4),Tasks!$K$4:$K$403,0)+3,"")</f>
        <v>27</v>
      </c>
      <c r="B17" s="17" t="str">
        <f aca="false">IF($A17="","",IF(INDEX(Tasks!$A:$A,$A17)="","",INDEX(Tasks!$A:$A,$A17)))</f>
        <v>G2-DS-4</v>
      </c>
      <c r="C17" s="17" t="str">
        <f aca="false">IF($A17="","",IF(ISERROR(FIND(".",INDEX(Tasks!$A:$A,$A17))),"","   ")&amp;INDEX(Tasks!$C:$C,$A17))</f>
        <v>Reference poses (map stages 03-10)</v>
      </c>
      <c r="D17" s="17" t="str">
        <f aca="false">IF($A17="","",IF(INDEX(Tasks!$D:$D,$A17)="","",INDEX(Tasks!$D:$D,$A17)))</f>
        <v>SCooP owner</v>
      </c>
      <c r="E17" s="17" t="str">
        <f aca="false">IF($A17="","",IF(INDEX(Tasks!$E:$E,$A17)="","",INDEX(Tasks!$E:$E,$A17)))</f>
        <v>In Progress</v>
      </c>
      <c r="F17" s="18" t="n">
        <f aca="false">IF($A17="","",IF(INDEX(Tasks!$F:$F,$A17)="","",INDEX(Tasks!$F:$F,$A17)))</f>
        <v>46307</v>
      </c>
      <c r="G17" s="18" t="n">
        <f aca="false">IF($A17="","",IF(INDEX(Tasks!$H:$H,$A17)="","",INDEX(Tasks!$H:$H,$A17)))</f>
        <v>46346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IFERROR(MATCH($C$2&amp;"|"&amp;(ROW()-4),Tasks!$K$4:$K$403,0)+3,"")</f>
        <v>28</v>
      </c>
      <c r="B18" s="17" t="str">
        <f aca="false">IF($A18="","",IF(INDEX(Tasks!$A:$A,$A18)="","",INDEX(Tasks!$A:$A,$A18)))</f>
        <v>G2-DS-5</v>
      </c>
      <c r="C18" s="17" t="str">
        <f aca="false">IF($A18="","",IF(ISERROR(FIND(".",INDEX(Tasks!$A:$A,$A18))),"","   ")&amp;INDEX(Tasks!$C:$C,$A18))</f>
        <v>Ground-truth validation</v>
      </c>
      <c r="D18" s="17" t="str">
        <f aca="false">IF($A18="","",IF(INDEX(Tasks!$D:$D,$A18)="","",INDEX(Tasks!$D:$D,$A18)))</f>
        <v>SCooP owner</v>
      </c>
      <c r="E18" s="17" t="str">
        <f aca="false">IF($A18="","",IF(INDEX(Tasks!$E:$E,$A18)="","",INDEX(Tasks!$E:$E,$A18)))</f>
        <v>Not Started</v>
      </c>
      <c r="F18" s="18" t="n">
        <f aca="false">IF($A18="","",IF(INDEX(Tasks!$F:$F,$A18)="","",INDEX(Tasks!$F:$F,$A18)))</f>
        <v>46342</v>
      </c>
      <c r="G18" s="18" t="n">
        <f aca="false">IF($A18="","",IF(INDEX(Tasks!$H:$H,$A18)="","",INDEX(Tasks!$H:$H,$A18)))</f>
        <v>46360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n">
        <f aca="false">IFERROR(MATCH($C$2&amp;"|"&amp;(ROW()-4),Tasks!$K$4:$K$403,0)+3,"")</f>
        <v>29</v>
      </c>
      <c r="B19" s="17" t="str">
        <f aca="false">IF($A19="","",IF(INDEX(Tasks!$A:$A,$A19)="","",INDEX(Tasks!$A:$A,$A19)))</f>
        <v>G2-DS-6</v>
      </c>
      <c r="C19" s="17" t="str">
        <f aca="false">IF($A19="","",IF(ISERROR(FIND(".",INDEX(Tasks!$A:$A,$A19))),"","   ")&amp;INDEX(Tasks!$C:$C,$A19))</f>
        <v>Annotations</v>
      </c>
      <c r="D19" s="17" t="str">
        <f aca="false">IF($A19="","",IF(INDEX(Tasks!$D:$D,$A19)="","",INDEX(Tasks!$D:$D,$A19)))</f>
        <v>SCooP owner</v>
      </c>
      <c r="E19" s="17" t="str">
        <f aca="false">IF($A19="","",IF(INDEX(Tasks!$E:$E,$A19)="","",INDEX(Tasks!$E:$E,$A19)))</f>
        <v>Not Started</v>
      </c>
      <c r="F19" s="18" t="n">
        <f aca="false">IF($A19="","",IF(INDEX(Tasks!$F:$F,$A19)="","",INDEX(Tasks!$F:$F,$A19)))</f>
        <v>46335</v>
      </c>
      <c r="G19" s="18" t="n">
        <f aca="false">IF($A19="","",IF(INDEX(Tasks!$H:$H,$A19)="","",INDEX(Tasks!$H:$H,$A19)))</f>
        <v>46381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n">
        <f aca="false">IFERROR(MATCH($C$2&amp;"|"&amp;(ROW()-4),Tasks!$K$4:$K$403,0)+3,"")</f>
        <v>30</v>
      </c>
      <c r="B20" s="17" t="str">
        <f aca="false">IF($A20="","",IF(INDEX(Tasks!$A:$A,$A20)="","",INDEX(Tasks!$A:$A,$A20)))</f>
        <v>G2-DS-6.1</v>
      </c>
      <c r="C20" s="17" t="str">
        <f aca="false">IF($A20="","",IF(ISERROR(FIND(".",INDEX(Tasks!$A:$A,$A20))),"","   ")&amp;INDEX(Tasks!$C:$C,$A20))</f>
        <v>   Label QA (Coverage &amp; Class Balance)</v>
      </c>
      <c r="D20" s="17" t="str">
        <f aca="false">IF($A20="","",IF(INDEX(Tasks!$D:$D,$A20)="","",INDEX(Tasks!$D:$D,$A20)))</f>
        <v>SCooP owner</v>
      </c>
      <c r="E20" s="17" t="str">
        <f aca="false">IF($A20="","",IF(INDEX(Tasks!$E:$E,$A20)="","",INDEX(Tasks!$E:$E,$A20)))</f>
        <v>Not Started</v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n">
        <f aca="false">IFERROR(MATCH($C$2&amp;"|"&amp;(ROW()-4),Tasks!$K$4:$K$403,0)+3,"")</f>
        <v>31</v>
      </c>
      <c r="B21" s="17" t="str">
        <f aca="false">IF($A21="","",IF(INDEX(Tasks!$A:$A,$A21)="","",INDEX(Tasks!$A:$A,$A21)))</f>
        <v>G2-DS-7</v>
      </c>
      <c r="C21" s="17" t="str">
        <f aca="false">IF($A21="","",IF(ISERROR(FIND(".",INDEX(Tasks!$A:$A,$A21))),"","   ")&amp;INDEX(Tasks!$C:$C,$A21))</f>
        <v>Collaboration geometry &amp; comm ground truth</v>
      </c>
      <c r="D21" s="17" t="str">
        <f aca="false">IF($A21="","",IF(INDEX(Tasks!$D:$D,$A21)="","",INDEX(Tasks!$D:$D,$A21)))</f>
        <v>SCooP owner</v>
      </c>
      <c r="E21" s="17" t="str">
        <f aca="false">IF($A21="","",IF(INDEX(Tasks!$E:$E,$A21)="","",INDEX(Tasks!$E:$E,$A21)))</f>
        <v>Not Started</v>
      </c>
      <c r="F21" s="18" t="n">
        <f aca="false">IF($A21="","",IF(INDEX(Tasks!$F:$F,$A21)="","",INDEX(Tasks!$F:$F,$A21)))</f>
        <v>46349</v>
      </c>
      <c r="G21" s="18" t="n">
        <f aca="false">IF($A21="","",IF(INDEX(Tasks!$H:$H,$A21)="","",INDEX(Tasks!$H:$H,$A21)))</f>
        <v>46381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n">
        <f aca="false">IFERROR(MATCH($C$2&amp;"|"&amp;(ROW()-4),Tasks!$K$4:$K$403,0)+3,"")</f>
        <v>32</v>
      </c>
      <c r="B22" s="17" t="str">
        <f aca="false">IF($A22="","",IF(INDEX(Tasks!$A:$A,$A22)="","",INDEX(Tasks!$A:$A,$A22)))</f>
        <v>G2-DS-8</v>
      </c>
      <c r="C22" s="17" t="str">
        <f aca="false">IF($A22="","",IF(ISERROR(FIND(".",INDEX(Tasks!$A:$A,$A22))),"","   ")&amp;INDEX(Tasks!$C:$C,$A22))</f>
        <v>Release</v>
      </c>
      <c r="D22" s="17" t="str">
        <f aca="false">IF($A22="","",IF(INDEX(Tasks!$D:$D,$A22)="","",INDEX(Tasks!$D:$D,$A22)))</f>
        <v>SCooP owner</v>
      </c>
      <c r="E22" s="17" t="str">
        <f aca="false">IF($A22="","",IF(INDEX(Tasks!$E:$E,$A22)="","",INDEX(Tasks!$E:$E,$A22)))</f>
        <v>Not Started</v>
      </c>
      <c r="F22" s="18" t="n">
        <f aca="false">IF($A22="","",IF(INDEX(Tasks!$F:$F,$A22)="","",INDEX(Tasks!$F:$F,$A22)))</f>
        <v>46384</v>
      </c>
      <c r="G22" s="18" t="n">
        <f aca="false">IF($A22="","",IF(INDEX(Tasks!$H:$H,$A22)="","",INDEX(Tasks!$H:$H,$A22)))</f>
        <v>46416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n">
        <f aca="false">IFERROR(MATCH($C$2&amp;"|"&amp;(ROW()-4),Tasks!$K$4:$K$403,0)+3,"")</f>
        <v>33</v>
      </c>
      <c r="B23" s="17" t="str">
        <f aca="false">IF($A23="","",IF(INDEX(Tasks!$A:$A,$A23)="","",INDEX(Tasks!$A:$A,$A23)))</f>
        <v>G2-DS-8.1</v>
      </c>
      <c r="C23" s="17" t="str">
        <f aca="false">IF($A23="","",IF(ISERROR(FIND(".",INDEX(Tasks!$A:$A,$A23))),"","   ")&amp;INDEX(Tasks!$C:$C,$A23))</f>
        <v>   Dataset Packaging &amp; Documentation</v>
      </c>
      <c r="D23" s="17" t="str">
        <f aca="false">IF($A23="","",IF(INDEX(Tasks!$D:$D,$A23)="","",INDEX(Tasks!$D:$D,$A23)))</f>
        <v>SCooP owner</v>
      </c>
      <c r="E23" s="17" t="str">
        <f aca="false">IF($A23="","",IF(INDEX(Tasks!$E:$E,$A23)="","",INDEX(Tasks!$E:$E,$A23)))</f>
        <v>Not Started</v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n">
        <f aca="false">IFERROR(MATCH($C$2&amp;"|"&amp;(ROW()-4),Tasks!$K$4:$K$403,0)+3,"")</f>
        <v>34</v>
      </c>
      <c r="B24" s="17" t="str">
        <f aca="false">IF($A24="","",IF(INDEX(Tasks!$A:$A,$A24)="","",INDEX(Tasks!$A:$A,$A24)))</f>
        <v>G2-DS-8.2</v>
      </c>
      <c r="C24" s="17" t="str">
        <f aca="false">IF($A24="","",IF(ISERROR(FIND(".",INDEX(Tasks!$A:$A,$A24))),"","   ")&amp;INDEX(Tasks!$C:$C,$A24))</f>
        <v>   Devkit</v>
      </c>
      <c r="D24" s="17" t="str">
        <f aca="false">IF($A24="","",IF(INDEX(Tasks!$D:$D,$A24)="","",INDEX(Tasks!$D:$D,$A24)))</f>
        <v>SCooP owner</v>
      </c>
      <c r="E24" s="17" t="str">
        <f aca="false">IF($A24="","",IF(INDEX(Tasks!$E:$E,$A24)="","",INDEX(Tasks!$E:$E,$A24)))</f>
        <v>Not Started</v>
      </c>
      <c r="F24" s="18" t="n">
        <f aca="false">IF($A24="","",IF(INDEX(Tasks!$F:$F,$A24)="","",INDEX(Tasks!$F:$F,$A24)))</f>
        <v>46384</v>
      </c>
      <c r="G24" s="18" t="n">
        <f aca="false">IF($A24="","",IF(INDEX(Tasks!$H:$H,$A24)="","",INDEX(Tasks!$H:$H,$A24)))</f>
        <v>46409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n">
        <f aca="false">IFERROR(MATCH($C$2&amp;"|"&amp;(ROW()-4),Tasks!$K$4:$K$403,0)+3,"")</f>
        <v>35</v>
      </c>
      <c r="B25" s="17" t="str">
        <f aca="false">IF($A25="","",IF(INDEX(Tasks!$A:$A,$A25)="","",INDEX(Tasks!$A:$A,$A25)))</f>
        <v>G2-DS-8.3</v>
      </c>
      <c r="C25" s="17" t="str">
        <f aca="false">IF($A25="","",IF(ISERROR(FIND(".",INDEX(Tasks!$A:$A,$A25))),"","   ")&amp;INDEX(Tasks!$C:$C,$A25))</f>
        <v>   License, DOI, hosting</v>
      </c>
      <c r="D25" s="17" t="str">
        <f aca="false">IF($A25="","",IF(INDEX(Tasks!$D:$D,$A25)="","",INDEX(Tasks!$D:$D,$A25)))</f>
        <v>SCooP owner</v>
      </c>
      <c r="E25" s="17" t="str">
        <f aca="false">IF($A25="","",IF(INDEX(Tasks!$E:$E,$A25)="","",INDEX(Tasks!$E:$E,$A25)))</f>
        <v>Not Started</v>
      </c>
      <c r="F25" s="18" t="n">
        <f aca="false">IF($A25="","",IF(INDEX(Tasks!$F:$F,$A25)="","",INDEX(Tasks!$F:$F,$A25)))</f>
        <v>46398</v>
      </c>
      <c r="G25" s="18" t="n">
        <f aca="false">IF($A25="","",IF(INDEX(Tasks!$H:$H,$A25)="","",INDEX(Tasks!$H:$H,$A25)))</f>
        <v>46409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n">
        <f aca="false">IFERROR(MATCH($C$2&amp;"|"&amp;(ROW()-4),Tasks!$K$4:$K$403,0)+3,"")</f>
        <v>36</v>
      </c>
      <c r="B26" s="17" t="str">
        <f aca="false">IF($A26="","",IF(INDEX(Tasks!$A:$A,$A26)="","",INDEX(Tasks!$A:$A,$A26)))</f>
        <v>G2-BP-A</v>
      </c>
      <c r="C26" s="17" t="str">
        <f aca="false">IF($A26="","",IF(ISERROR(FIND(".",INDEX(Tasks!$A:$A,$A26))),"","   ")&amp;INDEX(Tasks!$C:$C,$A26))</f>
        <v>Ground-truth numbers (RESULTS_PLAN A0)</v>
      </c>
      <c r="D26" s="17" t="str">
        <f aca="false">IF($A26="","",IF(INDEX(Tasks!$D:$D,$A26)="","",INDEX(Tasks!$D:$D,$A26)))</f>
        <v>SCooP owner</v>
      </c>
      <c r="E26" s="17" t="str">
        <f aca="false">IF($A26="","",IF(INDEX(Tasks!$E:$E,$A26)="","",INDEX(Tasks!$E:$E,$A26)))</f>
        <v>Not Started</v>
      </c>
      <c r="F26" s="18" t="n">
        <f aca="false">IF($A26="","",IF(INDEX(Tasks!$F:$F,$A26)="","",INDEX(Tasks!$F:$F,$A26)))</f>
        <v>46314</v>
      </c>
      <c r="G26" s="18" t="n">
        <f aca="false">IF($A26="","",IF(INDEX(Tasks!$H:$H,$A26)="","",INDEX(Tasks!$H:$H,$A26)))</f>
        <v>46332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n">
        <f aca="false">IFERROR(MATCH($C$2&amp;"|"&amp;(ROW()-4),Tasks!$K$4:$K$403,0)+3,"")</f>
        <v>37</v>
      </c>
      <c r="B27" s="17" t="str">
        <f aca="false">IF($A27="","",IF(INDEX(Tasks!$A:$A,$A27)="","",INDEX(Tasks!$A:$A,$A27)))</f>
        <v>G2-BP-B</v>
      </c>
      <c r="C27" s="17" t="str">
        <f aca="false">IF($A27="","",IF(ISERROR(FIND(".",INDEX(Tasks!$A:$A,$A27))),"","   ")&amp;INDEX(Tasks!$C:$C,$A27))</f>
        <v>Inventory &amp; statistics tables (B)</v>
      </c>
      <c r="D27" s="17" t="str">
        <f aca="false">IF($A27="","",IF(INDEX(Tasks!$D:$D,$A27)="","",INDEX(Tasks!$D:$D,$A27)))</f>
        <v>SCooP owner</v>
      </c>
      <c r="E27" s="17" t="str">
        <f aca="false">IF($A27="","",IF(INDEX(Tasks!$E:$E,$A27)="","",INDEX(Tasks!$E:$E,$A27)))</f>
        <v>Not Started</v>
      </c>
      <c r="F27" s="18" t="n">
        <f aca="false">IF($A27="","",IF(INDEX(Tasks!$F:$F,$A27)="","",INDEX(Tasks!$F:$F,$A27)))</f>
        <v>46342</v>
      </c>
      <c r="G27" s="18" t="n">
        <f aca="false">IF($A27="","",IF(INDEX(Tasks!$H:$H,$A27)="","",INDEX(Tasks!$H:$H,$A27)))</f>
        <v>46360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n">
        <f aca="false">IFERROR(MATCH($C$2&amp;"|"&amp;(ROW()-4),Tasks!$K$4:$K$403,0)+3,"")</f>
        <v>38</v>
      </c>
      <c r="B28" s="17" t="str">
        <f aca="false">IF($A28="","",IF(INDEX(Tasks!$A:$A,$A28)="","",INDEX(Tasks!$A:$A,$A28)))</f>
        <v>G2-BP-C</v>
      </c>
      <c r="C28" s="17" t="str">
        <f aca="false">IF($A28="","",IF(ISERROR(FIND(".",INDEX(Tasks!$A:$A,$A28))),"","   ")&amp;INDEX(Tasks!$C:$C,$A28))</f>
        <v>Geometry validation (C)</v>
      </c>
      <c r="D28" s="17" t="str">
        <f aca="false">IF($A28="","",IF(INDEX(Tasks!$D:$D,$A28)="","",INDEX(Tasks!$D:$D,$A28)))</f>
        <v>SCooP owner</v>
      </c>
      <c r="E28" s="17" t="str">
        <f aca="false">IF($A28="","",IF(INDEX(Tasks!$E:$E,$A28)="","",INDEX(Tasks!$E:$E,$A28)))</f>
        <v>Not Started</v>
      </c>
      <c r="F28" s="18" t="n">
        <f aca="false">IF($A28="","",IF(INDEX(Tasks!$F:$F,$A28)="","",INDEX(Tasks!$F:$F,$A28)))</f>
        <v>46363</v>
      </c>
      <c r="G28" s="18" t="n">
        <f aca="false">IF($A28="","",IF(INDEX(Tasks!$H:$H,$A28)="","",INDEX(Tasks!$H:$H,$A28)))</f>
        <v>46381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n">
        <f aca="false">IFERROR(MATCH($C$2&amp;"|"&amp;(ROW()-4),Tasks!$K$4:$K$403,0)+3,"")</f>
        <v>39</v>
      </c>
      <c r="B29" s="17" t="str">
        <f aca="false">IF($A29="","",IF(INDEX(Tasks!$A:$A,$A29)="","",INDEX(Tasks!$A:$A,$A29)))</f>
        <v>G2-BP-D</v>
      </c>
      <c r="C29" s="17" t="str">
        <f aca="false">IF($A29="","",IF(ISERROR(FIND(".",INDEX(Tasks!$A:$A,$A29))),"","   ")&amp;INDEX(Tasks!$C:$C,$A29))</f>
        <v>T2 collaborative perception under 3 channels (D)</v>
      </c>
      <c r="D29" s="17" t="str">
        <f aca="false">IF($A29="","",IF(INDEX(Tasks!$D:$D,$A29)="","",INDEX(Tasks!$D:$D,$A29)))</f>
        <v>SCooP owner</v>
      </c>
      <c r="E29" s="17" t="str">
        <f aca="false">IF($A29="","",IF(INDEX(Tasks!$E:$E,$A29)="","",INDEX(Tasks!$E:$E,$A29)))</f>
        <v>Not Started</v>
      </c>
      <c r="F29" s="18" t="n">
        <f aca="false">IF($A29="","",IF(INDEX(Tasks!$F:$F,$A29)="","",INDEX(Tasks!$F:$F,$A29)))</f>
        <v>46363</v>
      </c>
      <c r="G29" s="18" t="n">
        <f aca="false">IF($A29="","",IF(INDEX(Tasks!$H:$H,$A29)="","",INDEX(Tasks!$H:$H,$A29)))</f>
        <v>46395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n">
        <f aca="false">IFERROR(MATCH($C$2&amp;"|"&amp;(ROW()-4),Tasks!$K$4:$K$403,0)+3,"")</f>
        <v>40</v>
      </c>
      <c r="B30" s="17" t="str">
        <f aca="false">IF($A30="","",IF(INDEX(Tasks!$A:$A,$A30)="","",INDEX(Tasks!$A:$A,$A30)))</f>
        <v>G2-BP-E</v>
      </c>
      <c r="C30" s="17" t="str">
        <f aca="false">IF($A30="","",IF(ISERROR(FIND(".",INDEX(Tasks!$A:$A,$A30))),"","   ")&amp;INDEX(Tasks!$C:$C,$A30))</f>
        <v>T1 collaborative SLAM (E)</v>
      </c>
      <c r="D30" s="17" t="str">
        <f aca="false">IF($A30="","",IF(INDEX(Tasks!$D:$D,$A30)="","",INDEX(Tasks!$D:$D,$A30)))</f>
        <v>SCooP owner</v>
      </c>
      <c r="E30" s="17" t="str">
        <f aca="false">IF($A30="","",IF(INDEX(Tasks!$E:$E,$A30)="","",INDEX(Tasks!$E:$E,$A30)))</f>
        <v>Not Started</v>
      </c>
      <c r="F30" s="18" t="n">
        <f aca="false">IF($A30="","",IF(INDEX(Tasks!$F:$F,$A30)="","",INDEX(Tasks!$F:$F,$A30)))</f>
        <v>46363</v>
      </c>
      <c r="G30" s="18" t="n">
        <f aca="false">IF($A30="","",IF(INDEX(Tasks!$H:$H,$A30)="","",INDEX(Tasks!$H:$H,$A30)))</f>
        <v>46395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n">
        <f aca="false">IFERROR(MATCH($C$2&amp;"|"&amp;(ROW()-4),Tasks!$K$4:$K$403,0)+3,"")</f>
        <v>41</v>
      </c>
      <c r="B31" s="17" t="str">
        <f aca="false">IF($A31="","",IF(INDEX(Tasks!$A:$A,$A31)="","",INDEX(Tasks!$A:$A,$A31)))</f>
        <v>G2-BP-F</v>
      </c>
      <c r="C31" s="17" t="str">
        <f aca="false">IF($A31="","",IF(ISERROR(FIND(".",INDEX(Tasks!$A:$A,$A31))),"","   ")&amp;INDEX(Tasks!$C:$C,$A31))</f>
        <v>Q2 regression (F)</v>
      </c>
      <c r="D31" s="17" t="str">
        <f aca="false">IF($A31="","",IF(INDEX(Tasks!$D:$D,$A31)="","",INDEX(Tasks!$D:$D,$A31)))</f>
        <v>SCooP owner</v>
      </c>
      <c r="E31" s="17" t="str">
        <f aca="false">IF($A31="","",IF(INDEX(Tasks!$E:$E,$A31)="","",INDEX(Tasks!$E:$E,$A31)))</f>
        <v>Not Started</v>
      </c>
      <c r="F31" s="18" t="n">
        <f aca="false">IF($A31="","",IF(INDEX(Tasks!$F:$F,$A31)="","",INDEX(Tasks!$F:$F,$A31)))</f>
        <v>46398</v>
      </c>
      <c r="G31" s="18" t="n">
        <f aca="false">IF($A31="","",IF(INDEX(Tasks!$H:$H,$A31)="","",INDEX(Tasks!$H:$H,$A31)))</f>
        <v>46409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n">
        <f aca="false">IFERROR(MATCH($C$2&amp;"|"&amp;(ROW()-4),Tasks!$K$4:$K$403,0)+3,"")</f>
        <v>42</v>
      </c>
      <c r="B32" s="17" t="str">
        <f aca="false">IF($A32="","",IF(INDEX(Tasks!$A:$A,$A32)="","",INDEX(Tasks!$A:$A,$A32)))</f>
        <v>G2-BP-G</v>
      </c>
      <c r="C32" s="17" t="str">
        <f aca="false">IF($A32="","",IF(ISERROR(FIND(".",INDEX(Tasks!$A:$A,$A32))),"","   ")&amp;INDEX(Tasks!$C:$C,$A32))</f>
        <v>Write-up (G)</v>
      </c>
      <c r="D32" s="17" t="str">
        <f aca="false">IF($A32="","",IF(INDEX(Tasks!$D:$D,$A32)="","",INDEX(Tasks!$D:$D,$A32)))</f>
        <v>SCooP owner</v>
      </c>
      <c r="E32" s="17" t="str">
        <f aca="false">IF($A32="","",IF(INDEX(Tasks!$E:$E,$A32)="","",INDEX(Tasks!$E:$E,$A32)))</f>
        <v>Not Started</v>
      </c>
      <c r="F32" s="18" t="n">
        <f aca="false">IF($A32="","",IF(INDEX(Tasks!$F:$F,$A32)="","",INDEX(Tasks!$F:$F,$A32)))</f>
        <v>46398</v>
      </c>
      <c r="G32" s="18" t="n">
        <f aca="false">IF($A32="","",IF(INDEX(Tasks!$H:$H,$A32)="","",INDEX(Tasks!$H:$H,$A32)))</f>
        <v>46423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n">
        <f aca="false">IFERROR(MATCH($C$2&amp;"|"&amp;(ROW()-4),Tasks!$K$4:$K$403,0)+3,"")</f>
        <v>43</v>
      </c>
      <c r="B33" s="17" t="str">
        <f aca="false">IF($A33="","",IF(INDEX(Tasks!$A:$A,$A33)="","",INDEX(Tasks!$A:$A,$A33)))</f>
        <v>G2-M1</v>
      </c>
      <c r="C33" s="17" t="str">
        <f aca="false">IF($A33="","",IF(ISERROR(FIND(".",INDEX(Tasks!$A:$A,$A33))),"","   ")&amp;INDEX(Tasks!$C:$C,$A33))</f>
        <v>Paper submitted (IJRR)</v>
      </c>
      <c r="D33" s="17" t="str">
        <f aca="false">IF($A33="","",IF(INDEX(Tasks!$D:$D,$A33)="","",INDEX(Tasks!$D:$D,$A33)))</f>
        <v>SCooP owner</v>
      </c>
      <c r="E33" s="17" t="str">
        <f aca="false">IF($A33="","",IF(INDEX(Tasks!$E:$E,$A33)="","",INDEX(Tasks!$E:$E,$A33)))</f>
        <v>Not Started</v>
      </c>
      <c r="F33" s="18" t="n">
        <f aca="false">IF($A33="","",IF(INDEX(Tasks!$F:$F,$A33)="","",INDEX(Tasks!$F:$F,$A33)))</f>
        <v>46426</v>
      </c>
      <c r="G33" s="18" t="n">
        <f aca="false">IF($A33="","",IF(INDEX(Tasks!$H:$H,$A33)="","",INDEX(Tasks!$H:$H,$A33)))</f>
        <v>46430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IFERROR(MATCH($C$2&amp;"|"&amp;(ROW()-4),Tasks!$K$4:$K$403,0)+3,"")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IF($A34="","",IF(INDEX(Tasks!$D:$D,$A34)="","",INDEX(Tasks!$D:$D,$A34)))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IFERROR(MATCH($C$2&amp;"|"&amp;(ROW()-4),Tasks!$K$4:$K$403,0)+3,"")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IF($A35="","",IF(INDEX(Tasks!$D:$D,$A35)="","",INDEX(Tasks!$D:$D,$A35)))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IFERROR(MATCH($C$2&amp;"|"&amp;(ROW()-4),Tasks!$K$4:$K$403,0)+3,"")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IF($A36="","",IF(INDEX(Tasks!$D:$D,$A36)="","",INDEX(Tasks!$D:$D,$A36)))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IFERROR(MATCH($C$2&amp;"|"&amp;(ROW()-4),Tasks!$K$4:$K$403,0)+3,"")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IF($A37="","",IF(INDEX(Tasks!$D:$D,$A37)="","",INDEX(Tasks!$D:$D,$A37)))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IFERROR(MATCH($C$2&amp;"|"&amp;(ROW()-4),Tasks!$K$4:$K$403,0)+3,"")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IF($A38="","",IF(INDEX(Tasks!$D:$D,$A38)="","",INDEX(Tasks!$D:$D,$A38)))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IFERROR(MATCH($C$2&amp;"|"&amp;(ROW()-4),Tasks!$K$4:$K$403,0)+3,"")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IF($A39="","",IF(INDEX(Tasks!$D:$D,$A39)="","",INDEX(Tasks!$D:$D,$A39)))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IFERROR(MATCH($C$2&amp;"|"&amp;(ROW()-4),Tasks!$K$4:$K$403,0)+3,"")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IF($A40="","",IF(INDEX(Tasks!$D:$D,$A40)="","",INDEX(Tasks!$D:$D,$A40)))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IFERROR(MATCH($C$2&amp;"|"&amp;(ROW()-4),Tasks!$K$4:$K$403,0)+3,"")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IF($A41="","",IF(INDEX(Tasks!$D:$D,$A41)="","",INDEX(Tasks!$D:$D,$A41)))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IFERROR(MATCH($C$2&amp;"|"&amp;(ROW()-4),Tasks!$K$4:$K$403,0)+3,"")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IF($A42="","",IF(INDEX(Tasks!$D:$D,$A42)="","",INDEX(Tasks!$D:$D,$A42)))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IFERROR(MATCH($C$2&amp;"|"&amp;(ROW()-4),Tasks!$K$4:$K$403,0)+3,"")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IF($A43="","",IF(INDEX(Tasks!$D:$D,$A43)="","",INDEX(Tasks!$D:$D,$A43)))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IFERROR(MATCH($C$2&amp;"|"&amp;(ROW()-4),Tasks!$K$4:$K$403,0)+3,"")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IF($A44="","",IF(INDEX(Tasks!$D:$D,$A44)="","",INDEX(Tasks!$D:$D,$A44)))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IFERROR(MATCH($C$2&amp;"|"&amp;(ROW()-4),Tasks!$K$4:$K$403,0)+3,"")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IF($A45="","",IF(INDEX(Tasks!$D:$D,$A45)="","",INDEX(Tasks!$D:$D,$A45)))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IFERROR(MATCH($C$2&amp;"|"&amp;(ROW()-4),Tasks!$K$4:$K$403,0)+3,"")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IF($A46="","",IF(INDEX(Tasks!$D:$D,$A46)="","",INDEX(Tasks!$D:$D,$A46)))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IFERROR(MATCH($C$2&amp;"|"&amp;(ROW()-4),Tasks!$K$4:$K$403,0)+3,"")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IF($A47="","",IF(INDEX(Tasks!$D:$D,$A47)="","",INDEX(Tasks!$D:$D,$A47)))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IFERROR(MATCH($C$2&amp;"|"&amp;(ROW()-4),Tasks!$K$4:$K$403,0)+3,"")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IF($A48="","",IF(INDEX(Tasks!$D:$D,$A48)="","",INDEX(Tasks!$D:$D,$A48)))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IFERROR(MATCH($C$2&amp;"|"&amp;(ROW()-4),Tasks!$K$4:$K$403,0)+3,"")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IF($A49="","",IF(INDEX(Tasks!$D:$D,$A49)="","",INDEX(Tasks!$D:$D,$A49)))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IFERROR(MATCH($C$2&amp;"|"&amp;(ROW()-4),Tasks!$K$4:$K$403,0)+3,"")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IF($A50="","",IF(INDEX(Tasks!$D:$D,$A50)="","",INDEX(Tasks!$D:$D,$A50)))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IFERROR(MATCH($C$2&amp;"|"&amp;(ROW()-4),Tasks!$K$4:$K$403,0)+3,"")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IF($A51="","",IF(INDEX(Tasks!$D:$D,$A51)="","",INDEX(Tasks!$D:$D,$A51)))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IFERROR(MATCH($C$2&amp;"|"&amp;(ROW()-4),Tasks!$K$4:$K$403,0)+3,"")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IF($A52="","",IF(INDEX(Tasks!$D:$D,$A52)="","",INDEX(Tasks!$D:$D,$A52)))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IFERROR(MATCH($C$2&amp;"|"&amp;(ROW()-4),Tasks!$K$4:$K$403,0)+3,"")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IF($A53="","",IF(INDEX(Tasks!$D:$D,$A53)="","",INDEX(Tasks!$D:$D,$A53)))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IFERROR(MATCH($C$2&amp;"|"&amp;(ROW()-4),Tasks!$K$4:$K$403,0)+3,"")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IF($A54="","",IF(INDEX(Tasks!$D:$D,$A54)="","",INDEX(Tasks!$D:$D,$A54)))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IFERROR(MATCH($C$2&amp;"|"&amp;(ROW()-4),Tasks!$K$4:$K$403,0)+3,"")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IF($A55="","",IF(INDEX(Tasks!$D:$D,$A55)="","",INDEX(Tasks!$D:$D,$A55)))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IFERROR(MATCH($C$2&amp;"|"&amp;(ROW()-4),Tasks!$K$4:$K$403,0)+3,"")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IF($A56="","",IF(INDEX(Tasks!$D:$D,$A56)="","",INDEX(Tasks!$D:$D,$A56)))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IFERROR(MATCH($C$2&amp;"|"&amp;(ROW()-4),Tasks!$K$4:$K$403,0)+3,"")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IF($A57="","",IF(INDEX(Tasks!$D:$D,$A57)="","",INDEX(Tasks!$D:$D,$A57)))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IFERROR(MATCH($C$2&amp;"|"&amp;(ROW()-4),Tasks!$K$4:$K$403,0)+3,"")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IF($A58="","",IF(INDEX(Tasks!$D:$D,$A58)="","",INDEX(Tasks!$D:$D,$A58)))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IFERROR(MATCH($C$2&amp;"|"&amp;(ROW()-4),Tasks!$K$4:$K$403,0)+3,"")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IF($A59="","",IF(INDEX(Tasks!$D:$D,$A59)="","",INDEX(Tasks!$D:$D,$A59)))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IFERROR(MATCH($C$2&amp;"|"&amp;(ROW()-4),Tasks!$K$4:$K$403,0)+3,"")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IF($A60="","",IF(INDEX(Tasks!$D:$D,$A60)="","",INDEX(Tasks!$D:$D,$A60)))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IFERROR(MATCH($C$2&amp;"|"&amp;(ROW()-4),Tasks!$K$4:$K$403,0)+3,"")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IF($A61="","",IF(INDEX(Tasks!$D:$D,$A61)="","",INDEX(Tasks!$D:$D,$A61)))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IFERROR(MATCH($C$2&amp;"|"&amp;(ROW()-4),Tasks!$K$4:$K$403,0)+3,"")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IF($A62="","",IF(INDEX(Tasks!$D:$D,$A62)="","",INDEX(Tasks!$D:$D,$A62)))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IFERROR(MATCH($C$2&amp;"|"&amp;(ROW()-4),Tasks!$K$4:$K$403,0)+3,"")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IF($A63="","",IF(INDEX(Tasks!$D:$D,$A63)="","",INDEX(Tasks!$D:$D,$A63)))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IFERROR(MATCH($C$2&amp;"|"&amp;(ROW()-4),Tasks!$K$4:$K$403,0)+3,"")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IF($A64="","",IF(INDEX(Tasks!$D:$D,$A64)="","",INDEX(Tasks!$D:$D,$A64)))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IFERROR(MATCH($C$2&amp;"|"&amp;(ROW()-4),Tasks!$K$4:$K$403,0)+3,"")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IF($A65="","",IF(INDEX(Tasks!$D:$D,$A65)="","",INDEX(Tasks!$D:$D,$A65)))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IFERROR(MATCH($C$2&amp;"|"&amp;(ROW()-4),Tasks!$K$4:$K$403,0)+3,"")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IF($A66="","",IF(INDEX(Tasks!$D:$D,$A66)="","",INDEX(Tasks!$D:$D,$A66)))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IFERROR(MATCH($C$2&amp;"|"&amp;(ROW()-4),Tasks!$K$4:$K$403,0)+3,"")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IF($A67="","",IF(INDEX(Tasks!$D:$D,$A67)="","",INDEX(Tasks!$D:$D,$A67)))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IFERROR(MATCH($C$2&amp;"|"&amp;(ROW()-4),Tasks!$K$4:$K$403,0)+3,"")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IF($A68="","",IF(INDEX(Tasks!$D:$D,$A68)="","",INDEX(Tasks!$D:$D,$A68)))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IFERROR(MATCH($C$2&amp;"|"&amp;(ROW()-4),Tasks!$K$4:$K$403,0)+3,"")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IF($A69="","",IF(INDEX(Tasks!$D:$D,$A69)="","",INDEX(Tasks!$D:$D,$A69)))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IFERROR(MATCH($C$2&amp;"|"&amp;(ROW()-4),Tasks!$K$4:$K$403,0)+3,"")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IF($A70="","",IF(INDEX(Tasks!$D:$D,$A70)="","",INDEX(Tasks!$D:$D,$A70)))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IFERROR(MATCH($C$2&amp;"|"&amp;(ROW()-4),Tasks!$K$4:$K$403,0)+3,"")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IF($A71="","",IF(INDEX(Tasks!$D:$D,$A71)="","",INDEX(Tasks!$D:$D,$A71)))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IFERROR(MATCH($C$2&amp;"|"&amp;(ROW()-4),Tasks!$K$4:$K$403,0)+3,"")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IF($A72="","",IF(INDEX(Tasks!$D:$D,$A72)="","",INDEX(Tasks!$D:$D,$A72)))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IFERROR(MATCH($C$2&amp;"|"&amp;(ROW()-4),Tasks!$K$4:$K$403,0)+3,"")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IF($A73="","",IF(INDEX(Tasks!$D:$D,$A73)="","",INDEX(Tasks!$D:$D,$A73)))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IFERROR(MATCH($C$2&amp;"|"&amp;(ROW()-4),Tasks!$K$4:$K$403,0)+3,"")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IF($A74="","",IF(INDEX(Tasks!$D:$D,$A74)="","",INDEX(Tasks!$D:$D,$A74)))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IFERROR(MATCH($C$2&amp;"|"&amp;(ROW()-4),Tasks!$K$4:$K$403,0)+3,"")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IF($A75="","",IF(INDEX(Tasks!$D:$D,$A75)="","",INDEX(Tasks!$D:$D,$A75)))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IFERROR(MATCH($C$2&amp;"|"&amp;(ROW()-4),Tasks!$K$4:$K$403,0)+3,"")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IF($A76="","",IF(INDEX(Tasks!$D:$D,$A76)="","",INDEX(Tasks!$D:$D,$A76)))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IFERROR(MATCH($C$2&amp;"|"&amp;(ROW()-4),Tasks!$K$4:$K$403,0)+3,"")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IF($A77="","",IF(INDEX(Tasks!$D:$D,$A77)="","",INDEX(Tasks!$D:$D,$A77)))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IFERROR(MATCH($C$2&amp;"|"&amp;(ROW()-4),Tasks!$K$4:$K$403,0)+3,"")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IF($A78="","",IF(INDEX(Tasks!$D:$D,$A78)="","",INDEX(Tasks!$D:$D,$A78)))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IFERROR(MATCH($C$2&amp;"|"&amp;(ROW()-4),Tasks!$K$4:$K$403,0)+3,"")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IF($A79="","",IF(INDEX(Tasks!$D:$D,$A79)="","",INDEX(Tasks!$D:$D,$A79)))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IFERROR(MATCH($C$2&amp;"|"&amp;(ROW()-4),Tasks!$K$4:$K$403,0)+3,"")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IF($A80="","",IF(INDEX(Tasks!$D:$D,$A80)="","",INDEX(Tasks!$D:$D,$A80)))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IFERROR(MATCH($C$2&amp;"|"&amp;(ROW()-4),Tasks!$K$4:$K$403,0)+3,"")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IF($A81="","",IF(INDEX(Tasks!$D:$D,$A81)="","",INDEX(Tasks!$D:$D,$A81)))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IFERROR(MATCH($C$2&amp;"|"&amp;(ROW()-4),Tasks!$K$4:$K$403,0)+3,"")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IF($A82="","",IF(INDEX(Tasks!$D:$D,$A82)="","",INDEX(Tasks!$D:$D,$A82)))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IFERROR(MATCH($C$2&amp;"|"&amp;(ROW()-4),Tasks!$K$4:$K$403,0)+3,"")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IF($A83="","",IF(INDEX(Tasks!$D:$D,$A83)="","",INDEX(Tasks!$D:$D,$A83)))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IFERROR(MATCH($C$2&amp;"|"&amp;(ROW()-4),Tasks!$K$4:$K$403,0)+3,"")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IF($A84="","",IF(INDEX(Tasks!$D:$D,$A84)="","",INDEX(Tasks!$D:$D,$A84)))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IFERROR(MATCH($C$2&amp;"|"&amp;(ROW()-4),Tasks!$K$4:$K$403,0)+3,"")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IF($A85="","",IF(INDEX(Tasks!$D:$D,$A85)="","",INDEX(Tasks!$D:$D,$A85)))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IFERROR(MATCH($C$2&amp;"|"&amp;(ROW()-4),Tasks!$K$4:$K$403,0)+3,"")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IF($A86="","",IF(INDEX(Tasks!$D:$D,$A86)="","",INDEX(Tasks!$D:$D,$A86)))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IFERROR(MATCH($C$2&amp;"|"&amp;(ROW()-4),Tasks!$K$4:$K$403,0)+3,"")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IF($A87="","",IF(INDEX(Tasks!$D:$D,$A87)="","",INDEX(Tasks!$D:$D,$A87)))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IFERROR(MATCH($C$2&amp;"|"&amp;(ROW()-4),Tasks!$K$4:$K$403,0)+3,"")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IF($A88="","",IF(INDEX(Tasks!$D:$D,$A88)="","",INDEX(Tasks!$D:$D,$A88)))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IFERROR(MATCH($C$2&amp;"|"&amp;(ROW()-4),Tasks!$K$4:$K$403,0)+3,"")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IF($A89="","",IF(INDEX(Tasks!$D:$D,$A89)="","",INDEX(Tasks!$D:$D,$A89)))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IFERROR(MATCH($C$2&amp;"|"&amp;(ROW()-4),Tasks!$K$4:$K$403,0)+3,"")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IF($A90="","",IF(INDEX(Tasks!$D:$D,$A90)="","",INDEX(Tasks!$D:$D,$A90)))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IFERROR(MATCH($C$2&amp;"|"&amp;(ROW()-4),Tasks!$K$4:$K$403,0)+3,"")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IF($A91="","",IF(INDEX(Tasks!$D:$D,$A91)="","",INDEX(Tasks!$D:$D,$A91)))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IFERROR(MATCH($C$2&amp;"|"&amp;(ROW()-4),Tasks!$K$4:$K$403,0)+3,"")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IF($A92="","",IF(INDEX(Tasks!$D:$D,$A92)="","",INDEX(Tasks!$D:$D,$A92)))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IFERROR(MATCH($C$2&amp;"|"&amp;(ROW()-4),Tasks!$K$4:$K$403,0)+3,"")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IF($A93="","",IF(INDEX(Tasks!$D:$D,$A93)="","",INDEX(Tasks!$D:$D,$A93)))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IFERROR(MATCH($C$2&amp;"|"&amp;(ROW()-4),Tasks!$K$4:$K$403,0)+3,"")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IF($A94="","",IF(INDEX(Tasks!$D:$D,$A94)="","",INDEX(Tasks!$D:$D,$A94)))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IFERROR(MATCH($C$2&amp;"|"&amp;(ROW()-4),Tasks!$K$4:$K$403,0)+3,"")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IF($A95="","",IF(INDEX(Tasks!$D:$D,$A95)="","",INDEX(Tasks!$D:$D,$A95)))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IFERROR(MATCH($C$2&amp;"|"&amp;(ROW()-4),Tasks!$K$4:$K$403,0)+3,"")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IF($A96="","",IF(INDEX(Tasks!$D:$D,$A96)="","",INDEX(Tasks!$D:$D,$A96)))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IFERROR(MATCH($C$2&amp;"|"&amp;(ROW()-4),Tasks!$K$4:$K$403,0)+3,"")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IF($A97="","",IF(INDEX(Tasks!$D:$D,$A97)="","",INDEX(Tasks!$D:$D,$A97)))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IFERROR(MATCH($C$2&amp;"|"&amp;(ROW()-4),Tasks!$K$4:$K$403,0)+3,"")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IF($A98="","",IF(INDEX(Tasks!$D:$D,$A98)="","",INDEX(Tasks!$D:$D,$A98)))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IFERROR(MATCH($C$2&amp;"|"&amp;(ROW()-4),Tasks!$K$4:$K$403,0)+3,"")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IF($A99="","",IF(INDEX(Tasks!$D:$D,$A99)="","",INDEX(Tasks!$D:$D,$A99)))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IFERROR(MATCH($C$2&amp;"|"&amp;(ROW()-4),Tasks!$K$4:$K$403,0)+3,"")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IF($A100="","",IF(INDEX(Tasks!$D:$D,$A100)="","",INDEX(Tasks!$D:$D,$A100)))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IFERROR(MATCH($C$2&amp;"|"&amp;(ROW()-4),Tasks!$K$4:$K$403,0)+3,"")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IF($A101="","",IF(INDEX(Tasks!$D:$D,$A101)="","",INDEX(Tasks!$D:$D,$A101)))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IFERROR(MATCH($C$2&amp;"|"&amp;(ROW()-4),Tasks!$K$4:$K$403,0)+3,"")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IF($A102="","",IF(INDEX(Tasks!$D:$D,$A102)="","",INDEX(Tasks!$D:$D,$A102)))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IFERROR(MATCH($C$2&amp;"|"&amp;(ROW()-4),Tasks!$K$4:$K$403,0)+3,"")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IF($A103="","",IF(INDEX(Tasks!$D:$D,$A103)="","",INDEX(Tasks!$D:$D,$A103)))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IFERROR(MATCH($C$2&amp;"|"&amp;(ROW()-4),Tasks!$K$4:$K$403,0)+3,"")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IF($A104="","",IF(INDEX(Tasks!$D:$D,$A104)="","",INDEX(Tasks!$D:$D,$A104)))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IFERROR(MATCH($C$2&amp;"|"&amp;(ROW()-4),Tasks!$K$4:$K$403,0)+3,"")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IF($A105="","",IF(INDEX(Tasks!$D:$D,$A105)="","",INDEX(Tasks!$D:$D,$A105)))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IFERROR(MATCH($C$2&amp;"|"&amp;(ROW()-4),Tasks!$K$4:$K$403,0)+3,"")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IF($A106="","",IF(INDEX(Tasks!$D:$D,$A106)="","",INDEX(Tasks!$D:$D,$A106)))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IFERROR(MATCH($C$2&amp;"|"&amp;(ROW()-4),Tasks!$K$4:$K$403,0)+3,"")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IF($A107="","",IF(INDEX(Tasks!$D:$D,$A107)="","",INDEX(Tasks!$D:$D,$A107)))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IFERROR(MATCH($C$2&amp;"|"&amp;(ROW()-4),Tasks!$K$4:$K$403,0)+3,"")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IF($A108="","",IF(INDEX(Tasks!$D:$D,$A108)="","",INDEX(Tasks!$D:$D,$A108)))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IFERROR(MATCH($C$2&amp;"|"&amp;(ROW()-4),Tasks!$K$4:$K$403,0)+3,"")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IF($A109="","",IF(INDEX(Tasks!$D:$D,$A109)="","",INDEX(Tasks!$D:$D,$A109)))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IFERROR(MATCH($C$2&amp;"|"&amp;(ROW()-4),Tasks!$K$4:$K$403,0)+3,"")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IF($A110="","",IF(INDEX(Tasks!$D:$D,$A110)="","",INDEX(Tasks!$D:$D,$A110)))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IFERROR(MATCH($C$2&amp;"|"&amp;(ROW()-4),Tasks!$K$4:$K$403,0)+3,"")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IF($A111="","",IF(INDEX(Tasks!$D:$D,$A111)="","",INDEX(Tasks!$D:$D,$A111)))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IFERROR(MATCH($C$2&amp;"|"&amp;(ROW()-4),Tasks!$K$4:$K$403,0)+3,"")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IF($A112="","",IF(INDEX(Tasks!$D:$D,$A112)="","",INDEX(Tasks!$D:$D,$A112)))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IFERROR(MATCH($C$2&amp;"|"&amp;(ROW()-4),Tasks!$K$4:$K$403,0)+3,"")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IF($A113="","",IF(INDEX(Tasks!$D:$D,$A113)="","",INDEX(Tasks!$D:$D,$A113)))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IFERROR(MATCH($C$2&amp;"|"&amp;(ROW()-4),Tasks!$K$4:$K$403,0)+3,"")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IF($A114="","",IF(INDEX(Tasks!$D:$D,$A114)="","",INDEX(Tasks!$D:$D,$A114)))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IFERROR(MATCH($C$2&amp;"|"&amp;(ROW()-4),Tasks!$K$4:$K$403,0)+3,"")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IF($A115="","",IF(INDEX(Tasks!$D:$D,$A115)="","",INDEX(Tasks!$D:$D,$A115)))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IFERROR(MATCH($C$2&amp;"|"&amp;(ROW()-4),Tasks!$K$4:$K$403,0)+3,"")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IF($A116="","",IF(INDEX(Tasks!$D:$D,$A116)="","",INDEX(Tasks!$D:$D,$A116)))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IFERROR(MATCH($C$2&amp;"|"&amp;(ROW()-4),Tasks!$K$4:$K$403,0)+3,"")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IF($A117="","",IF(INDEX(Tasks!$D:$D,$A117)="","",INDEX(Tasks!$D:$D,$A117)))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IFERROR(MATCH($C$2&amp;"|"&amp;(ROW()-4),Tasks!$K$4:$K$403,0)+3,"")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IF($A118="","",IF(INDEX(Tasks!$D:$D,$A118)="","",INDEX(Tasks!$D:$D,$A118)))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IFERROR(MATCH($C$2&amp;"|"&amp;(ROW()-4),Tasks!$K$4:$K$403,0)+3,"")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IF($A119="","",IF(INDEX(Tasks!$D:$D,$A119)="","",INDEX(Tasks!$D:$D,$A119)))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IFERROR(MATCH($C$2&amp;"|"&amp;(ROW()-4),Tasks!$K$4:$K$403,0)+3,"")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IF($A120="","",IF(INDEX(Tasks!$D:$D,$A120)="","",INDEX(Tasks!$D:$D,$A120)))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IFERROR(MATCH($C$2&amp;"|"&amp;(ROW()-4),Tasks!$K$4:$K$403,0)+3,"")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IF($A121="","",IF(INDEX(Tasks!$D:$D,$A121)="","",INDEX(Tasks!$D:$D,$A121)))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IFERROR(MATCH($C$2&amp;"|"&amp;(ROW()-4),Tasks!$K$4:$K$403,0)+3,"")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IF($A122="","",IF(INDEX(Tasks!$D:$D,$A122)="","",INDEX(Tasks!$D:$D,$A122)))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IFERROR(MATCH($C$2&amp;"|"&amp;(ROW()-4),Tasks!$K$4:$K$403,0)+3,"")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IF($A123="","",IF(INDEX(Tasks!$D:$D,$A123)="","",INDEX(Tasks!$D:$D,$A123)))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IFERROR(MATCH($C$2&amp;"|"&amp;(ROW()-4),Tasks!$K$4:$K$403,0)+3,"")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IF($A124="","",IF(INDEX(Tasks!$D:$D,$A124)="","",INDEX(Tasks!$D:$D,$A124)))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320</v>
      </c>
    </row>
    <row r="2" customFormat="false" ht="15" hidden="false" customHeight="false" outlineLevel="0" collapsed="false">
      <c r="B2" s="2" t="s">
        <v>318</v>
      </c>
      <c r="C2" s="28" t="s">
        <v>42</v>
      </c>
      <c r="E2" s="13" t="str">
        <f aca="true">COUNTIFS(Tasks!$B$4:$B$403,$C$2,Tasks!$C$4:$C$403,"?*")&amp;" tasks   ·   "&amp;COUNTIFS(Tasks!$B$4:$B$403,$C$2,Tasks!$C$4:$C$403,"?*",Tasks!$E$4:$E$403,"In Progress")&amp;" in progress   ·   "&amp;COUNTIFS(Tasks!$B$4:$B$403,$C$2,Tasks!$C$4:$C$403,"?*",Tasks!$E$4:$E$403,"Blocked")&amp;" blocked   ·   "&amp;COUNTIFS(Tasks!$B$4:$B$403,$C$2,Tasks!$C$4:$C$403,"?*",Tasks!$H$4:$H$403,"&lt;"&amp;TODAY(),Tasks!$E$4:$E$403,"&lt;&gt;Complete")&amp;" overdue"</f>
        <v>11 tasks   ·   4 in progress   ·   0 blocked   ·   3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IFERROR(MATCH($C$2&amp;"|"&amp;(ROW()-4),Tasks!$K$4:$K$403,0)+3,"")</f>
        <v>4</v>
      </c>
      <c r="B5" s="17" t="str">
        <f aca="false">IF($A5="","",IF(INDEX(Tasks!$A:$A,$A5)="","",INDEX(Tasks!$A:$A,$A5)))</f>
        <v>TB-1</v>
      </c>
      <c r="C5" s="17" t="str">
        <f aca="false">IF($A5="","",IF(ISERROR(FIND(".",INDEX(Tasks!$A:$A,$A5))),"","   ")&amp;INDEX(Tasks!$C:$C,$A5))</f>
        <v>Hardware inventory &amp; specs</v>
      </c>
      <c r="D5" s="17" t="str">
        <f aca="false">IF($A5="","",IF(INDEX(Tasks!$D:$D,$A5)="","",INDEX(Tasks!$D:$D,$A5)))</f>
        <v>Sensors &amp; platform owner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46307</v>
      </c>
      <c r="G5" s="18" t="n">
        <f aca="false">IF($A5="","",IF(INDEX(Tasks!$H:$H,$A5)="","",INDEX(Tasks!$H:$H,$A5)))</f>
        <v>46318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IFERROR(MATCH($C$2&amp;"|"&amp;(ROW()-4),Tasks!$K$4:$K$403,0)+3,"")</f>
        <v>5</v>
      </c>
      <c r="B6" s="17" t="str">
        <f aca="false">IF($A6="","",IF(INDEX(Tasks!$A:$A,$A6)="","",INDEX(Tasks!$A:$A,$A6)))</f>
        <v>TB-2</v>
      </c>
      <c r="C6" s="17" t="str">
        <f aca="false">IF($A6="","",IF(ISERROR(FIND(".",INDEX(Tasks!$A:$A,$A6))),"","   ")&amp;INDEX(Tasks!$C:$C,$A6))</f>
        <v>Sensor calibration (all units)</v>
      </c>
      <c r="D6" s="17" t="str">
        <f aca="false">IF($A6="","",IF(INDEX(Tasks!$D:$D,$A6)="","",INDEX(Tasks!$D:$D,$A6)))</f>
        <v>Sensors &amp; platform owner</v>
      </c>
      <c r="E6" s="17" t="str">
        <f aca="false">IF($A6="","",IF(INDEX(Tasks!$E:$E,$A6)="","",INDEX(Tasks!$E:$E,$A6)))</f>
        <v>In Progress</v>
      </c>
      <c r="F6" s="18" t="n">
        <f aca="false">IF($A6="","",IF(INDEX(Tasks!$F:$F,$A6)="","",INDEX(Tasks!$F:$F,$A6)))</f>
        <v>46195</v>
      </c>
      <c r="G6" s="18" t="n">
        <f aca="false">IF($A6="","",IF(INDEX(Tasks!$H:$H,$A6)="","",INDEX(Tasks!$H:$H,$A6)))</f>
        <v>46206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IFERROR(MATCH($C$2&amp;"|"&amp;(ROW()-4),Tasks!$K$4:$K$403,0)+3,"")</f>
        <v>6</v>
      </c>
      <c r="B7" s="17" t="str">
        <f aca="false">IF($A7="","",IF(INDEX(Tasks!$A:$A,$A7)="","",INDEX(Tasks!$A:$A,$A7)))</f>
        <v>TB-2.1</v>
      </c>
      <c r="C7" s="17" t="str">
        <f aca="false">IF($A7="","",IF(ISERROR(FIND(".",INDEX(Tasks!$A:$A,$A7))),"","   ")&amp;INDEX(Tasks!$C:$C,$A7))</f>
        <v>   Sensor Calibration (LiDAR-Camera, LiDAR-IMU, Camera-Radar, Intrinsics, Realsense-Zed, Mobile-Infra Extrinsics)</v>
      </c>
      <c r="D7" s="17" t="str">
        <f aca="false">IF($A7="","",IF(INDEX(Tasks!$D:$D,$A7)="","",INDEX(Tasks!$D:$D,$A7)))</f>
        <v>Sensors &amp; platform owner</v>
      </c>
      <c r="E7" s="17" t="str">
        <f aca="false">IF($A7="","",IF(INDEX(Tasks!$E:$E,$A7)="","",INDEX(Tasks!$E:$E,$A7)))</f>
        <v>In Progress</v>
      </c>
      <c r="F7" s="18" t="n">
        <f aca="false">IF($A7="","",IF(INDEX(Tasks!$F:$F,$A7)="","",INDEX(Tasks!$F:$F,$A7)))</f>
        <v>46195</v>
      </c>
      <c r="G7" s="18" t="n">
        <f aca="false">IF($A7="","",IF(INDEX(Tasks!$H:$H,$A7)="","",INDEX(Tasks!$H:$H,$A7)))</f>
        <v>46206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IFERROR(MATCH($C$2&amp;"|"&amp;(ROW()-4),Tasks!$K$4:$K$403,0)+3,"")</f>
        <v>7</v>
      </c>
      <c r="B8" s="17" t="str">
        <f aca="false">IF($A8="","",IF(INDEX(Tasks!$A:$A,$A8)="","",INDEX(Tasks!$A:$A,$A8)))</f>
        <v>TB-2.2</v>
      </c>
      <c r="C8" s="17" t="str">
        <f aca="false">IF($A8="","",IF(ISERROR(FIND(".",INDEX(Tasks!$A:$A,$A8))),"","   ")&amp;INDEX(Tasks!$C:$C,$A8))</f>
        <v>   Calibration: LiDAR - Camera</v>
      </c>
      <c r="D8" s="17" t="str">
        <f aca="false">IF($A8="","",IF(INDEX(Tasks!$D:$D,$A8)="","",INDEX(Tasks!$D:$D,$A8)))</f>
        <v>Sensors &amp; platform owner</v>
      </c>
      <c r="E8" s="17" t="str">
        <f aca="false">IF($A8="","",IF(INDEX(Tasks!$E:$E,$A8)="","",INDEX(Tasks!$E:$E,$A8)))</f>
        <v/>
      </c>
      <c r="F8" s="18" t="str">
        <f aca="false">IF($A8="","",IF(INDEX(Tasks!$F:$F,$A8)="","",INDEX(Tasks!$F:$F,$A8)))</f>
        <v/>
      </c>
      <c r="G8" s="18" t="str">
        <f aca="false">IF($A8="","",IF(INDEX(Tasks!$H:$H,$A8)="","",INDEX(Tasks!$H:$H,$A8)))</f>
        <v/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IFERROR(MATCH($C$2&amp;"|"&amp;(ROW()-4),Tasks!$K$4:$K$403,0)+3,"")</f>
        <v>8</v>
      </c>
      <c r="B9" s="17" t="str">
        <f aca="false">IF($A9="","",IF(INDEX(Tasks!$A:$A,$A9)="","",INDEX(Tasks!$A:$A,$A9)))</f>
        <v>TB-2.3</v>
      </c>
      <c r="C9" s="17" t="str">
        <f aca="false">IF($A9="","",IF(ISERROR(FIND(".",INDEX(Tasks!$A:$A,$A9))),"","   ")&amp;INDEX(Tasks!$C:$C,$A9))</f>
        <v>   Calibration: LiDAR - IMU</v>
      </c>
      <c r="D9" s="17" t="str">
        <f aca="false">IF($A9="","",IF(INDEX(Tasks!$D:$D,$A9)="","",INDEX(Tasks!$D:$D,$A9)))</f>
        <v>Sensors &amp; platform owner</v>
      </c>
      <c r="E9" s="17" t="str">
        <f aca="false">IF($A9="","",IF(INDEX(Tasks!$E:$E,$A9)="","",INDEX(Tasks!$E:$E,$A9)))</f>
        <v/>
      </c>
      <c r="F9" s="18" t="str">
        <f aca="false">IF($A9="","",IF(INDEX(Tasks!$F:$F,$A9)="","",INDEX(Tasks!$F:$F,$A9)))</f>
        <v/>
      </c>
      <c r="G9" s="18" t="str">
        <f aca="false">IF($A9="","",IF(INDEX(Tasks!$H:$H,$A9)="","",INDEX(Tasks!$H:$H,$A9)))</f>
        <v/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IFERROR(MATCH($C$2&amp;"|"&amp;(ROW()-4),Tasks!$K$4:$K$403,0)+3,"")</f>
        <v>9</v>
      </c>
      <c r="B10" s="17" t="str">
        <f aca="false">IF($A10="","",IF(INDEX(Tasks!$A:$A,$A10)="","",INDEX(Tasks!$A:$A,$A10)))</f>
        <v>TB-2.4</v>
      </c>
      <c r="C10" s="17" t="str">
        <f aca="false">IF($A10="","",IF(ISERROR(FIND(".",INDEX(Tasks!$A:$A,$A10))),"","   ")&amp;INDEX(Tasks!$C:$C,$A10))</f>
        <v>   Calibration: RealSense - ZED</v>
      </c>
      <c r="D10" s="17" t="str">
        <f aca="false">IF($A10="","",IF(INDEX(Tasks!$D:$D,$A10)="","",INDEX(Tasks!$D:$D,$A10)))</f>
        <v>Sensors &amp; platform owner</v>
      </c>
      <c r="E10" s="17" t="str">
        <f aca="false">IF($A10="","",IF(INDEX(Tasks!$E:$E,$A10)="","",INDEX(Tasks!$E:$E,$A10)))</f>
        <v/>
      </c>
      <c r="F10" s="18" t="str">
        <f aca="false">IF($A10="","",IF(INDEX(Tasks!$F:$F,$A10)="","",INDEX(Tasks!$F:$F,$A10)))</f>
        <v/>
      </c>
      <c r="G10" s="18" t="str">
        <f aca="false">IF($A10="","",IF(INDEX(Tasks!$H:$H,$A10)="","",INDEX(Tasks!$H:$H,$A10)))</f>
        <v/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IFERROR(MATCH($C$2&amp;"|"&amp;(ROW()-4),Tasks!$K$4:$K$403,0)+3,"")</f>
        <v>10</v>
      </c>
      <c r="B11" s="17" t="str">
        <f aca="false">IF($A11="","",IF(INDEX(Tasks!$A:$A,$A11)="","",INDEX(Tasks!$A:$A,$A11)))</f>
        <v>TB-2.5</v>
      </c>
      <c r="C11" s="17" t="str">
        <f aca="false">IF($A11="","",IF(ISERROR(FIND(".",INDEX(Tasks!$A:$A,$A11))),"","   ")&amp;INDEX(Tasks!$C:$C,$A11))</f>
        <v>   Calibration: ZED - Arducam</v>
      </c>
      <c r="D11" s="17" t="str">
        <f aca="false">IF($A11="","",IF(INDEX(Tasks!$D:$D,$A11)="","",INDEX(Tasks!$D:$D,$A11)))</f>
        <v>Sensors &amp; platform owner</v>
      </c>
      <c r="E11" s="17" t="str">
        <f aca="false">IF($A11="","",IF(INDEX(Tasks!$E:$E,$A11)="","",INDEX(Tasks!$E:$E,$A11)))</f>
        <v/>
      </c>
      <c r="F11" s="18" t="str">
        <f aca="false">IF($A11="","",IF(INDEX(Tasks!$F:$F,$A11)="","",INDEX(Tasks!$F:$F,$A11)))</f>
        <v/>
      </c>
      <c r="G11" s="18" t="str">
        <f aca="false">IF($A11="","",IF(INDEX(Tasks!$H:$H,$A11)="","",INDEX(Tasks!$H:$H,$A11)))</f>
        <v/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IFERROR(MATCH($C$2&amp;"|"&amp;(ROW()-4),Tasks!$K$4:$K$403,0)+3,"")</f>
        <v>11</v>
      </c>
      <c r="B12" s="17" t="str">
        <f aca="false">IF($A12="","",IF(INDEX(Tasks!$A:$A,$A12)="","",INDEX(Tasks!$A:$A,$A12)))</f>
        <v>TB-2.6</v>
      </c>
      <c r="C12" s="17" t="str">
        <f aca="false">IF($A12="","",IF(ISERROR(FIND(".",INDEX(Tasks!$A:$A,$A12))),"","   ")&amp;INDEX(Tasks!$C:$C,$A12))</f>
        <v>   Calibration: Radars - ZED</v>
      </c>
      <c r="D12" s="17" t="str">
        <f aca="false">IF($A12="","",IF(INDEX(Tasks!$D:$D,$A12)="","",INDEX(Tasks!$D:$D,$A12)))</f>
        <v>Sensors &amp; platform owner</v>
      </c>
      <c r="E12" s="17" t="str">
        <f aca="false">IF($A12="","",IF(INDEX(Tasks!$E:$E,$A12)="","",INDEX(Tasks!$E:$E,$A12)))</f>
        <v/>
      </c>
      <c r="F12" s="18" t="str">
        <f aca="false">IF($A12="","",IF(INDEX(Tasks!$F:$F,$A12)="","",INDEX(Tasks!$F:$F,$A12)))</f>
        <v/>
      </c>
      <c r="G12" s="18" t="str">
        <f aca="false">IF($A12="","",IF(INDEX(Tasks!$H:$H,$A12)="","",INDEX(Tasks!$H:$H,$A12)))</f>
        <v/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IFERROR(MATCH($C$2&amp;"|"&amp;(ROW()-4),Tasks!$K$4:$K$403,0)+3,"")</f>
        <v>12</v>
      </c>
      <c r="B13" s="17" t="str">
        <f aca="false">IF($A13="","",IF(INDEX(Tasks!$A:$A,$A13)="","",INDEX(Tasks!$A:$A,$A13)))</f>
        <v>TB-3</v>
      </c>
      <c r="C13" s="17" t="str">
        <f aca="false">IF($A13="","",IF(ISERROR(FIND(".",INDEX(Tasks!$A:$A,$A13))),"","   ")&amp;INDEX(Tasks!$C:$C,$A13))</f>
        <v>Time sync &amp; TF chain</v>
      </c>
      <c r="D13" s="17" t="str">
        <f aca="false">IF($A13="","",IF(INDEX(Tasks!$D:$D,$A13)="","",INDEX(Tasks!$D:$D,$A13)))</f>
        <v>Sensors &amp; platform owner</v>
      </c>
      <c r="E13" s="17" t="str">
        <f aca="false">IF($A13="","",IF(INDEX(Tasks!$E:$E,$A13)="","",INDEX(Tasks!$E:$E,$A13)))</f>
        <v>In Progress</v>
      </c>
      <c r="F13" s="18" t="n">
        <f aca="false">IF($A13="","",IF(INDEX(Tasks!$F:$F,$A13)="","",INDEX(Tasks!$F:$F,$A13)))</f>
        <v>46202</v>
      </c>
      <c r="G13" s="18" t="n">
        <f aca="false">IF($A13="","",IF(INDEX(Tasks!$H:$H,$A13)="","",INDEX(Tasks!$H:$H,$A13)))</f>
        <v>46206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IFERROR(MATCH($C$2&amp;"|"&amp;(ROW()-4),Tasks!$K$4:$K$403,0)+3,"")</f>
        <v>13</v>
      </c>
      <c r="B14" s="17" t="str">
        <f aca="false">IF($A14="","",IF(INDEX(Tasks!$A:$A,$A14)="","",INDEX(Tasks!$A:$A,$A14)))</f>
        <v>TB-4</v>
      </c>
      <c r="C14" s="17" t="str">
        <f aca="false">IF($A14="","",IF(ISERROR(FIND(".",INDEX(Tasks!$A:$A,$A14))),"","   ")&amp;INDEX(Tasks!$C:$C,$A14))</f>
        <v>Wi-Fi &amp; comms logging</v>
      </c>
      <c r="D14" s="17" t="str">
        <f aca="false">IF($A14="","",IF(INDEX(Tasks!$D:$D,$A14)="","",INDEX(Tasks!$D:$D,$A14)))</f>
        <v>Sensors &amp; platform owner</v>
      </c>
      <c r="E14" s="17" t="str">
        <f aca="false">IF($A14="","",IF(INDEX(Tasks!$E:$E,$A14)="","",INDEX(Tasks!$E:$E,$A14)))</f>
        <v>In Progress</v>
      </c>
      <c r="F14" s="18" t="n">
        <f aca="false">IF($A14="","",IF(INDEX(Tasks!$F:$F,$A14)="","",INDEX(Tasks!$F:$F,$A14)))</f>
        <v>46307</v>
      </c>
      <c r="G14" s="18" t="n">
        <f aca="false">IF($A14="","",IF(INDEX(Tasks!$H:$H,$A14)="","",INDEX(Tasks!$H:$H,$A14)))</f>
        <v>46318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IFERROR(MATCH($C$2&amp;"|"&amp;(ROW()-4),Tasks!$K$4:$K$403,0)+3,"")</f>
        <v>14</v>
      </c>
      <c r="B15" s="17" t="str">
        <f aca="false">IF($A15="","",IF(INDEX(Tasks!$A:$A,$A15)="","",INDEX(Tasks!$A:$A,$A15)))</f>
        <v>TB-5</v>
      </c>
      <c r="C15" s="17" t="str">
        <f aca="false">IF($A15="","",IF(ISERROR(FIND(".",INDEX(Tasks!$A:$A,$A15))),"","   ")&amp;INDEX(Tasks!$C:$C,$A15))</f>
        <v>Recording tooling fixes</v>
      </c>
      <c r="D15" s="17" t="str">
        <f aca="false">IF($A15="","",IF(INDEX(Tasks!$D:$D,$A15)="","",INDEX(Tasks!$D:$D,$A15)))</f>
        <v>Sensors &amp; platform owner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46307</v>
      </c>
      <c r="G15" s="18" t="n">
        <f aca="false">IF($A15="","",IF(INDEX(Tasks!$H:$H,$A15)="","",INDEX(Tasks!$H:$H,$A15)))</f>
        <v>46318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str">
        <f aca="false">IFERROR(MATCH($C$2&amp;"|"&amp;(ROW()-4),Tasks!$K$4:$K$403,0)+3,"")</f>
        <v/>
      </c>
      <c r="B16" s="17" t="str">
        <f aca="false">IF($A16="","",IF(INDEX(Tasks!$A:$A,$A16)="","",INDEX(Tasks!$A:$A,$A16)))</f>
        <v/>
      </c>
      <c r="C16" s="17" t="str">
        <f aca="false">IF($A16="","",IF(ISERROR(FIND(".",INDEX(Tasks!$A:$A,$A16))),"","   ")&amp;INDEX(Tasks!$C:$C,$A16))</f>
        <v/>
      </c>
      <c r="D16" s="17" t="str">
        <f aca="false">IF($A16="","",IF(INDEX(Tasks!$D:$D,$A16)="","",INDEX(Tasks!$D:$D,$A16)))</f>
        <v/>
      </c>
      <c r="E16" s="17" t="str">
        <f aca="false">IF($A16="","",IF(INDEX(Tasks!$E:$E,$A16)="","",INDEX(Tasks!$E:$E,$A16)))</f>
        <v/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str">
        <f aca="false">IFERROR(MATCH($C$2&amp;"|"&amp;(ROW()-4),Tasks!$K$4:$K$403,0)+3,"")</f>
        <v/>
      </c>
      <c r="B17" s="17" t="str">
        <f aca="false">IF($A17="","",IF(INDEX(Tasks!$A:$A,$A17)="","",INDEX(Tasks!$A:$A,$A17)))</f>
        <v/>
      </c>
      <c r="C17" s="17" t="str">
        <f aca="false">IF($A17="","",IF(ISERROR(FIND(".",INDEX(Tasks!$A:$A,$A17))),"","   ")&amp;INDEX(Tasks!$C:$C,$A17))</f>
        <v/>
      </c>
      <c r="D17" s="17" t="str">
        <f aca="false">IF($A17="","",IF(INDEX(Tasks!$D:$D,$A17)="","",INDEX(Tasks!$D:$D,$A17)))</f>
        <v/>
      </c>
      <c r="E17" s="17" t="str">
        <f aca="false">IF($A17="","",IF(INDEX(Tasks!$E:$E,$A17)="","",INDEX(Tasks!$E:$E,$A17)))</f>
        <v/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str">
        <f aca="false">IFERROR(MATCH($C$2&amp;"|"&amp;(ROW()-4),Tasks!$K$4:$K$403,0)+3,"")</f>
        <v/>
      </c>
      <c r="B18" s="17" t="str">
        <f aca="false">IF($A18="","",IF(INDEX(Tasks!$A:$A,$A18)="","",INDEX(Tasks!$A:$A,$A18)))</f>
        <v/>
      </c>
      <c r="C18" s="17" t="str">
        <f aca="false">IF($A18="","",IF(ISERROR(FIND(".",INDEX(Tasks!$A:$A,$A18))),"","   ")&amp;INDEX(Tasks!$C:$C,$A18))</f>
        <v/>
      </c>
      <c r="D18" s="17" t="str">
        <f aca="false">IF($A18="","",IF(INDEX(Tasks!$D:$D,$A18)="","",INDEX(Tasks!$D:$D,$A18)))</f>
        <v/>
      </c>
      <c r="E18" s="17" t="str">
        <f aca="false">IF($A18="","",IF(INDEX(Tasks!$E:$E,$A18)="","",INDEX(Tasks!$E:$E,$A18)))</f>
        <v/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IFERROR(MATCH($C$2&amp;"|"&amp;(ROW()-4),Tasks!$K$4:$K$403,0)+3,"")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IF($A19="","",IF(INDEX(Tasks!$D:$D,$A19)="","",INDEX(Tasks!$D:$D,$A19)))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IFERROR(MATCH($C$2&amp;"|"&amp;(ROW()-4),Tasks!$K$4:$K$403,0)+3,"")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IF($A20="","",IF(INDEX(Tasks!$D:$D,$A20)="","",INDEX(Tasks!$D:$D,$A20)))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IFERROR(MATCH($C$2&amp;"|"&amp;(ROW()-4),Tasks!$K$4:$K$403,0)+3,"")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IF($A21="","",IF(INDEX(Tasks!$D:$D,$A21)="","",INDEX(Tasks!$D:$D,$A21)))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IFERROR(MATCH($C$2&amp;"|"&amp;(ROW()-4),Tasks!$K$4:$K$403,0)+3,"")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IF($A22="","",IF(INDEX(Tasks!$D:$D,$A22)="","",INDEX(Tasks!$D:$D,$A22)))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IFERROR(MATCH($C$2&amp;"|"&amp;(ROW()-4),Tasks!$K$4:$K$403,0)+3,"")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IF($A23="","",IF(INDEX(Tasks!$D:$D,$A23)="","",INDEX(Tasks!$D:$D,$A23)))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IFERROR(MATCH($C$2&amp;"|"&amp;(ROW()-4),Tasks!$K$4:$K$403,0)+3,"")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IF($A24="","",IF(INDEX(Tasks!$D:$D,$A24)="","",INDEX(Tasks!$D:$D,$A24)))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IFERROR(MATCH($C$2&amp;"|"&amp;(ROW()-4),Tasks!$K$4:$K$403,0)+3,"")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IF($A25="","",IF(INDEX(Tasks!$D:$D,$A25)="","",INDEX(Tasks!$D:$D,$A25)))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IFERROR(MATCH($C$2&amp;"|"&amp;(ROW()-4),Tasks!$K$4:$K$403,0)+3,"")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IF($A26="","",IF(INDEX(Tasks!$D:$D,$A26)="","",INDEX(Tasks!$D:$D,$A26)))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IFERROR(MATCH($C$2&amp;"|"&amp;(ROW()-4),Tasks!$K$4:$K$403,0)+3,"")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IF($A27="","",IF(INDEX(Tasks!$D:$D,$A27)="","",INDEX(Tasks!$D:$D,$A27)))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IFERROR(MATCH($C$2&amp;"|"&amp;(ROW()-4),Tasks!$K$4:$K$403,0)+3,"")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IF($A28="","",IF(INDEX(Tasks!$D:$D,$A28)="","",INDEX(Tasks!$D:$D,$A28)))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IFERROR(MATCH($C$2&amp;"|"&amp;(ROW()-4),Tasks!$K$4:$K$403,0)+3,"")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IF($A29="","",IF(INDEX(Tasks!$D:$D,$A29)="","",INDEX(Tasks!$D:$D,$A29)))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IFERROR(MATCH($C$2&amp;"|"&amp;(ROW()-4),Tasks!$K$4:$K$403,0)+3,"")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IF($A30="","",IF(INDEX(Tasks!$D:$D,$A30)="","",INDEX(Tasks!$D:$D,$A30)))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IFERROR(MATCH($C$2&amp;"|"&amp;(ROW()-4),Tasks!$K$4:$K$403,0)+3,"")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IF($A31="","",IF(INDEX(Tasks!$D:$D,$A31)="","",INDEX(Tasks!$D:$D,$A31)))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IFERROR(MATCH($C$2&amp;"|"&amp;(ROW()-4),Tasks!$K$4:$K$403,0)+3,"")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IF($A32="","",IF(INDEX(Tasks!$D:$D,$A32)="","",INDEX(Tasks!$D:$D,$A32)))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IFERROR(MATCH($C$2&amp;"|"&amp;(ROW()-4),Tasks!$K$4:$K$403,0)+3,"")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IF($A33="","",IF(INDEX(Tasks!$D:$D,$A33)="","",INDEX(Tasks!$D:$D,$A33)))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IFERROR(MATCH($C$2&amp;"|"&amp;(ROW()-4),Tasks!$K$4:$K$403,0)+3,"")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IF($A34="","",IF(INDEX(Tasks!$D:$D,$A34)="","",INDEX(Tasks!$D:$D,$A34)))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IFERROR(MATCH($C$2&amp;"|"&amp;(ROW()-4),Tasks!$K$4:$K$403,0)+3,"")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IF($A35="","",IF(INDEX(Tasks!$D:$D,$A35)="","",INDEX(Tasks!$D:$D,$A35)))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IFERROR(MATCH($C$2&amp;"|"&amp;(ROW()-4),Tasks!$K$4:$K$403,0)+3,"")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IF($A36="","",IF(INDEX(Tasks!$D:$D,$A36)="","",INDEX(Tasks!$D:$D,$A36)))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IFERROR(MATCH($C$2&amp;"|"&amp;(ROW()-4),Tasks!$K$4:$K$403,0)+3,"")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IF($A37="","",IF(INDEX(Tasks!$D:$D,$A37)="","",INDEX(Tasks!$D:$D,$A37)))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IFERROR(MATCH($C$2&amp;"|"&amp;(ROW()-4),Tasks!$K$4:$K$403,0)+3,"")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IF($A38="","",IF(INDEX(Tasks!$D:$D,$A38)="","",INDEX(Tasks!$D:$D,$A38)))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IFERROR(MATCH($C$2&amp;"|"&amp;(ROW()-4),Tasks!$K$4:$K$403,0)+3,"")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IF($A39="","",IF(INDEX(Tasks!$D:$D,$A39)="","",INDEX(Tasks!$D:$D,$A39)))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IFERROR(MATCH($C$2&amp;"|"&amp;(ROW()-4),Tasks!$K$4:$K$403,0)+3,"")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IF($A40="","",IF(INDEX(Tasks!$D:$D,$A40)="","",INDEX(Tasks!$D:$D,$A40)))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IFERROR(MATCH($C$2&amp;"|"&amp;(ROW()-4),Tasks!$K$4:$K$403,0)+3,"")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IF($A41="","",IF(INDEX(Tasks!$D:$D,$A41)="","",INDEX(Tasks!$D:$D,$A41)))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IFERROR(MATCH($C$2&amp;"|"&amp;(ROW()-4),Tasks!$K$4:$K$403,0)+3,"")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IF($A42="","",IF(INDEX(Tasks!$D:$D,$A42)="","",INDEX(Tasks!$D:$D,$A42)))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IFERROR(MATCH($C$2&amp;"|"&amp;(ROW()-4),Tasks!$K$4:$K$403,0)+3,"")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IF($A43="","",IF(INDEX(Tasks!$D:$D,$A43)="","",INDEX(Tasks!$D:$D,$A43)))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IFERROR(MATCH($C$2&amp;"|"&amp;(ROW()-4),Tasks!$K$4:$K$403,0)+3,"")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IF($A44="","",IF(INDEX(Tasks!$D:$D,$A44)="","",INDEX(Tasks!$D:$D,$A44)))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IFERROR(MATCH($C$2&amp;"|"&amp;(ROW()-4),Tasks!$K$4:$K$403,0)+3,"")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IF($A45="","",IF(INDEX(Tasks!$D:$D,$A45)="","",INDEX(Tasks!$D:$D,$A45)))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IFERROR(MATCH($C$2&amp;"|"&amp;(ROW()-4),Tasks!$K$4:$K$403,0)+3,"")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IF($A46="","",IF(INDEX(Tasks!$D:$D,$A46)="","",INDEX(Tasks!$D:$D,$A46)))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IFERROR(MATCH($C$2&amp;"|"&amp;(ROW()-4),Tasks!$K$4:$K$403,0)+3,"")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IF($A47="","",IF(INDEX(Tasks!$D:$D,$A47)="","",INDEX(Tasks!$D:$D,$A47)))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IFERROR(MATCH($C$2&amp;"|"&amp;(ROW()-4),Tasks!$K$4:$K$403,0)+3,"")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IF($A48="","",IF(INDEX(Tasks!$D:$D,$A48)="","",INDEX(Tasks!$D:$D,$A48)))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IFERROR(MATCH($C$2&amp;"|"&amp;(ROW()-4),Tasks!$K$4:$K$403,0)+3,"")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IF($A49="","",IF(INDEX(Tasks!$D:$D,$A49)="","",INDEX(Tasks!$D:$D,$A49)))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IFERROR(MATCH($C$2&amp;"|"&amp;(ROW()-4),Tasks!$K$4:$K$403,0)+3,"")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IF($A50="","",IF(INDEX(Tasks!$D:$D,$A50)="","",INDEX(Tasks!$D:$D,$A50)))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IFERROR(MATCH($C$2&amp;"|"&amp;(ROW()-4),Tasks!$K$4:$K$403,0)+3,"")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IF($A51="","",IF(INDEX(Tasks!$D:$D,$A51)="","",INDEX(Tasks!$D:$D,$A51)))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IFERROR(MATCH($C$2&amp;"|"&amp;(ROW()-4),Tasks!$K$4:$K$403,0)+3,"")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IF($A52="","",IF(INDEX(Tasks!$D:$D,$A52)="","",INDEX(Tasks!$D:$D,$A52)))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IFERROR(MATCH($C$2&amp;"|"&amp;(ROW()-4),Tasks!$K$4:$K$403,0)+3,"")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IF($A53="","",IF(INDEX(Tasks!$D:$D,$A53)="","",INDEX(Tasks!$D:$D,$A53)))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IFERROR(MATCH($C$2&amp;"|"&amp;(ROW()-4),Tasks!$K$4:$K$403,0)+3,"")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IF($A54="","",IF(INDEX(Tasks!$D:$D,$A54)="","",INDEX(Tasks!$D:$D,$A54)))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IFERROR(MATCH($C$2&amp;"|"&amp;(ROW()-4),Tasks!$K$4:$K$403,0)+3,"")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IF($A55="","",IF(INDEX(Tasks!$D:$D,$A55)="","",INDEX(Tasks!$D:$D,$A55)))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IFERROR(MATCH($C$2&amp;"|"&amp;(ROW()-4),Tasks!$K$4:$K$403,0)+3,"")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IF($A56="","",IF(INDEX(Tasks!$D:$D,$A56)="","",INDEX(Tasks!$D:$D,$A56)))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IFERROR(MATCH($C$2&amp;"|"&amp;(ROW()-4),Tasks!$K$4:$K$403,0)+3,"")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IF($A57="","",IF(INDEX(Tasks!$D:$D,$A57)="","",INDEX(Tasks!$D:$D,$A57)))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IFERROR(MATCH($C$2&amp;"|"&amp;(ROW()-4),Tasks!$K$4:$K$403,0)+3,"")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IF($A58="","",IF(INDEX(Tasks!$D:$D,$A58)="","",INDEX(Tasks!$D:$D,$A58)))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IFERROR(MATCH($C$2&amp;"|"&amp;(ROW()-4),Tasks!$K$4:$K$403,0)+3,"")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IF($A59="","",IF(INDEX(Tasks!$D:$D,$A59)="","",INDEX(Tasks!$D:$D,$A59)))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IFERROR(MATCH($C$2&amp;"|"&amp;(ROW()-4),Tasks!$K$4:$K$403,0)+3,"")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IF($A60="","",IF(INDEX(Tasks!$D:$D,$A60)="","",INDEX(Tasks!$D:$D,$A60)))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IFERROR(MATCH($C$2&amp;"|"&amp;(ROW()-4),Tasks!$K$4:$K$403,0)+3,"")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IF($A61="","",IF(INDEX(Tasks!$D:$D,$A61)="","",INDEX(Tasks!$D:$D,$A61)))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IFERROR(MATCH($C$2&amp;"|"&amp;(ROW()-4),Tasks!$K$4:$K$403,0)+3,"")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IF($A62="","",IF(INDEX(Tasks!$D:$D,$A62)="","",INDEX(Tasks!$D:$D,$A62)))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IFERROR(MATCH($C$2&amp;"|"&amp;(ROW()-4),Tasks!$K$4:$K$403,0)+3,"")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IF($A63="","",IF(INDEX(Tasks!$D:$D,$A63)="","",INDEX(Tasks!$D:$D,$A63)))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IFERROR(MATCH($C$2&amp;"|"&amp;(ROW()-4),Tasks!$K$4:$K$403,0)+3,"")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IF($A64="","",IF(INDEX(Tasks!$D:$D,$A64)="","",INDEX(Tasks!$D:$D,$A64)))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IFERROR(MATCH($C$2&amp;"|"&amp;(ROW()-4),Tasks!$K$4:$K$403,0)+3,"")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IF($A65="","",IF(INDEX(Tasks!$D:$D,$A65)="","",INDEX(Tasks!$D:$D,$A65)))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IFERROR(MATCH($C$2&amp;"|"&amp;(ROW()-4),Tasks!$K$4:$K$403,0)+3,"")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IF($A66="","",IF(INDEX(Tasks!$D:$D,$A66)="","",INDEX(Tasks!$D:$D,$A66)))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IFERROR(MATCH($C$2&amp;"|"&amp;(ROW()-4),Tasks!$K$4:$K$403,0)+3,"")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IF($A67="","",IF(INDEX(Tasks!$D:$D,$A67)="","",INDEX(Tasks!$D:$D,$A67)))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IFERROR(MATCH($C$2&amp;"|"&amp;(ROW()-4),Tasks!$K$4:$K$403,0)+3,"")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IF($A68="","",IF(INDEX(Tasks!$D:$D,$A68)="","",INDEX(Tasks!$D:$D,$A68)))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IFERROR(MATCH($C$2&amp;"|"&amp;(ROW()-4),Tasks!$K$4:$K$403,0)+3,"")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IF($A69="","",IF(INDEX(Tasks!$D:$D,$A69)="","",INDEX(Tasks!$D:$D,$A69)))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IFERROR(MATCH($C$2&amp;"|"&amp;(ROW()-4),Tasks!$K$4:$K$403,0)+3,"")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IF($A70="","",IF(INDEX(Tasks!$D:$D,$A70)="","",INDEX(Tasks!$D:$D,$A70)))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IFERROR(MATCH($C$2&amp;"|"&amp;(ROW()-4),Tasks!$K$4:$K$403,0)+3,"")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IF($A71="","",IF(INDEX(Tasks!$D:$D,$A71)="","",INDEX(Tasks!$D:$D,$A71)))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IFERROR(MATCH($C$2&amp;"|"&amp;(ROW()-4),Tasks!$K$4:$K$403,0)+3,"")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IF($A72="","",IF(INDEX(Tasks!$D:$D,$A72)="","",INDEX(Tasks!$D:$D,$A72)))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IFERROR(MATCH($C$2&amp;"|"&amp;(ROW()-4),Tasks!$K$4:$K$403,0)+3,"")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IF($A73="","",IF(INDEX(Tasks!$D:$D,$A73)="","",INDEX(Tasks!$D:$D,$A73)))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IFERROR(MATCH($C$2&amp;"|"&amp;(ROW()-4),Tasks!$K$4:$K$403,0)+3,"")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IF($A74="","",IF(INDEX(Tasks!$D:$D,$A74)="","",INDEX(Tasks!$D:$D,$A74)))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IFERROR(MATCH($C$2&amp;"|"&amp;(ROW()-4),Tasks!$K$4:$K$403,0)+3,"")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IF($A75="","",IF(INDEX(Tasks!$D:$D,$A75)="","",INDEX(Tasks!$D:$D,$A75)))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IFERROR(MATCH($C$2&amp;"|"&amp;(ROW()-4),Tasks!$K$4:$K$403,0)+3,"")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IF($A76="","",IF(INDEX(Tasks!$D:$D,$A76)="","",INDEX(Tasks!$D:$D,$A76)))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IFERROR(MATCH($C$2&amp;"|"&amp;(ROW()-4),Tasks!$K$4:$K$403,0)+3,"")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IF($A77="","",IF(INDEX(Tasks!$D:$D,$A77)="","",INDEX(Tasks!$D:$D,$A77)))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IFERROR(MATCH($C$2&amp;"|"&amp;(ROW()-4),Tasks!$K$4:$K$403,0)+3,"")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IF($A78="","",IF(INDEX(Tasks!$D:$D,$A78)="","",INDEX(Tasks!$D:$D,$A78)))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IFERROR(MATCH($C$2&amp;"|"&amp;(ROW()-4),Tasks!$K$4:$K$403,0)+3,"")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IF($A79="","",IF(INDEX(Tasks!$D:$D,$A79)="","",INDEX(Tasks!$D:$D,$A79)))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IFERROR(MATCH($C$2&amp;"|"&amp;(ROW()-4),Tasks!$K$4:$K$403,0)+3,"")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IF($A80="","",IF(INDEX(Tasks!$D:$D,$A80)="","",INDEX(Tasks!$D:$D,$A80)))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IFERROR(MATCH($C$2&amp;"|"&amp;(ROW()-4),Tasks!$K$4:$K$403,0)+3,"")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IF($A81="","",IF(INDEX(Tasks!$D:$D,$A81)="","",INDEX(Tasks!$D:$D,$A81)))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IFERROR(MATCH($C$2&amp;"|"&amp;(ROW()-4),Tasks!$K$4:$K$403,0)+3,"")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IF($A82="","",IF(INDEX(Tasks!$D:$D,$A82)="","",INDEX(Tasks!$D:$D,$A82)))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IFERROR(MATCH($C$2&amp;"|"&amp;(ROW()-4),Tasks!$K$4:$K$403,0)+3,"")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IF($A83="","",IF(INDEX(Tasks!$D:$D,$A83)="","",INDEX(Tasks!$D:$D,$A83)))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IFERROR(MATCH($C$2&amp;"|"&amp;(ROW()-4),Tasks!$K$4:$K$403,0)+3,"")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IF($A84="","",IF(INDEX(Tasks!$D:$D,$A84)="","",INDEX(Tasks!$D:$D,$A84)))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IFERROR(MATCH($C$2&amp;"|"&amp;(ROW()-4),Tasks!$K$4:$K$403,0)+3,"")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IF($A85="","",IF(INDEX(Tasks!$D:$D,$A85)="","",INDEX(Tasks!$D:$D,$A85)))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IFERROR(MATCH($C$2&amp;"|"&amp;(ROW()-4),Tasks!$K$4:$K$403,0)+3,"")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IF($A86="","",IF(INDEX(Tasks!$D:$D,$A86)="","",INDEX(Tasks!$D:$D,$A86)))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IFERROR(MATCH($C$2&amp;"|"&amp;(ROW()-4),Tasks!$K$4:$K$403,0)+3,"")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IF($A87="","",IF(INDEX(Tasks!$D:$D,$A87)="","",INDEX(Tasks!$D:$D,$A87)))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IFERROR(MATCH($C$2&amp;"|"&amp;(ROW()-4),Tasks!$K$4:$K$403,0)+3,"")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IF($A88="","",IF(INDEX(Tasks!$D:$D,$A88)="","",INDEX(Tasks!$D:$D,$A88)))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IFERROR(MATCH($C$2&amp;"|"&amp;(ROW()-4),Tasks!$K$4:$K$403,0)+3,"")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IF($A89="","",IF(INDEX(Tasks!$D:$D,$A89)="","",INDEX(Tasks!$D:$D,$A89)))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IFERROR(MATCH($C$2&amp;"|"&amp;(ROW()-4),Tasks!$K$4:$K$403,0)+3,"")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IF($A90="","",IF(INDEX(Tasks!$D:$D,$A90)="","",INDEX(Tasks!$D:$D,$A90)))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IFERROR(MATCH($C$2&amp;"|"&amp;(ROW()-4),Tasks!$K$4:$K$403,0)+3,"")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IF($A91="","",IF(INDEX(Tasks!$D:$D,$A91)="","",INDEX(Tasks!$D:$D,$A91)))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IFERROR(MATCH($C$2&amp;"|"&amp;(ROW()-4),Tasks!$K$4:$K$403,0)+3,"")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IF($A92="","",IF(INDEX(Tasks!$D:$D,$A92)="","",INDEX(Tasks!$D:$D,$A92)))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IFERROR(MATCH($C$2&amp;"|"&amp;(ROW()-4),Tasks!$K$4:$K$403,0)+3,"")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IF($A93="","",IF(INDEX(Tasks!$D:$D,$A93)="","",INDEX(Tasks!$D:$D,$A93)))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IFERROR(MATCH($C$2&amp;"|"&amp;(ROW()-4),Tasks!$K$4:$K$403,0)+3,"")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IF($A94="","",IF(INDEX(Tasks!$D:$D,$A94)="","",INDEX(Tasks!$D:$D,$A94)))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IFERROR(MATCH($C$2&amp;"|"&amp;(ROW()-4),Tasks!$K$4:$K$403,0)+3,"")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IF($A95="","",IF(INDEX(Tasks!$D:$D,$A95)="","",INDEX(Tasks!$D:$D,$A95)))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IFERROR(MATCH($C$2&amp;"|"&amp;(ROW()-4),Tasks!$K$4:$K$403,0)+3,"")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IF($A96="","",IF(INDEX(Tasks!$D:$D,$A96)="","",INDEX(Tasks!$D:$D,$A96)))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IFERROR(MATCH($C$2&amp;"|"&amp;(ROW()-4),Tasks!$K$4:$K$403,0)+3,"")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IF($A97="","",IF(INDEX(Tasks!$D:$D,$A97)="","",INDEX(Tasks!$D:$D,$A97)))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IFERROR(MATCH($C$2&amp;"|"&amp;(ROW()-4),Tasks!$K$4:$K$403,0)+3,"")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IF($A98="","",IF(INDEX(Tasks!$D:$D,$A98)="","",INDEX(Tasks!$D:$D,$A98)))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IFERROR(MATCH($C$2&amp;"|"&amp;(ROW()-4),Tasks!$K$4:$K$403,0)+3,"")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IF($A99="","",IF(INDEX(Tasks!$D:$D,$A99)="","",INDEX(Tasks!$D:$D,$A99)))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IFERROR(MATCH($C$2&amp;"|"&amp;(ROW()-4),Tasks!$K$4:$K$403,0)+3,"")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IF($A100="","",IF(INDEX(Tasks!$D:$D,$A100)="","",INDEX(Tasks!$D:$D,$A100)))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IFERROR(MATCH($C$2&amp;"|"&amp;(ROW()-4),Tasks!$K$4:$K$403,0)+3,"")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IF($A101="","",IF(INDEX(Tasks!$D:$D,$A101)="","",INDEX(Tasks!$D:$D,$A101)))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IFERROR(MATCH($C$2&amp;"|"&amp;(ROW()-4),Tasks!$K$4:$K$403,0)+3,"")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IF($A102="","",IF(INDEX(Tasks!$D:$D,$A102)="","",INDEX(Tasks!$D:$D,$A102)))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IFERROR(MATCH($C$2&amp;"|"&amp;(ROW()-4),Tasks!$K$4:$K$403,0)+3,"")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IF($A103="","",IF(INDEX(Tasks!$D:$D,$A103)="","",INDEX(Tasks!$D:$D,$A103)))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IFERROR(MATCH($C$2&amp;"|"&amp;(ROW()-4),Tasks!$K$4:$K$403,0)+3,"")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IF($A104="","",IF(INDEX(Tasks!$D:$D,$A104)="","",INDEX(Tasks!$D:$D,$A104)))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IFERROR(MATCH($C$2&amp;"|"&amp;(ROW()-4),Tasks!$K$4:$K$403,0)+3,"")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IF($A105="","",IF(INDEX(Tasks!$D:$D,$A105)="","",INDEX(Tasks!$D:$D,$A105)))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IFERROR(MATCH($C$2&amp;"|"&amp;(ROW()-4),Tasks!$K$4:$K$403,0)+3,"")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IF($A106="","",IF(INDEX(Tasks!$D:$D,$A106)="","",INDEX(Tasks!$D:$D,$A106)))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IFERROR(MATCH($C$2&amp;"|"&amp;(ROW()-4),Tasks!$K$4:$K$403,0)+3,"")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IF($A107="","",IF(INDEX(Tasks!$D:$D,$A107)="","",INDEX(Tasks!$D:$D,$A107)))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IFERROR(MATCH($C$2&amp;"|"&amp;(ROW()-4),Tasks!$K$4:$K$403,0)+3,"")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IF($A108="","",IF(INDEX(Tasks!$D:$D,$A108)="","",INDEX(Tasks!$D:$D,$A108)))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IFERROR(MATCH($C$2&amp;"|"&amp;(ROW()-4),Tasks!$K$4:$K$403,0)+3,"")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IF($A109="","",IF(INDEX(Tasks!$D:$D,$A109)="","",INDEX(Tasks!$D:$D,$A109)))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IFERROR(MATCH($C$2&amp;"|"&amp;(ROW()-4),Tasks!$K$4:$K$403,0)+3,"")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IF($A110="","",IF(INDEX(Tasks!$D:$D,$A110)="","",INDEX(Tasks!$D:$D,$A110)))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IFERROR(MATCH($C$2&amp;"|"&amp;(ROW()-4),Tasks!$K$4:$K$403,0)+3,"")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IF($A111="","",IF(INDEX(Tasks!$D:$D,$A111)="","",INDEX(Tasks!$D:$D,$A111)))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IFERROR(MATCH($C$2&amp;"|"&amp;(ROW()-4),Tasks!$K$4:$K$403,0)+3,"")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IF($A112="","",IF(INDEX(Tasks!$D:$D,$A112)="","",INDEX(Tasks!$D:$D,$A112)))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IFERROR(MATCH($C$2&amp;"|"&amp;(ROW()-4),Tasks!$K$4:$K$403,0)+3,"")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IF($A113="","",IF(INDEX(Tasks!$D:$D,$A113)="","",INDEX(Tasks!$D:$D,$A113)))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IFERROR(MATCH($C$2&amp;"|"&amp;(ROW()-4),Tasks!$K$4:$K$403,0)+3,"")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IF($A114="","",IF(INDEX(Tasks!$D:$D,$A114)="","",INDEX(Tasks!$D:$D,$A114)))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IFERROR(MATCH($C$2&amp;"|"&amp;(ROW()-4),Tasks!$K$4:$K$403,0)+3,"")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IF($A115="","",IF(INDEX(Tasks!$D:$D,$A115)="","",INDEX(Tasks!$D:$D,$A115)))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IFERROR(MATCH($C$2&amp;"|"&amp;(ROW()-4),Tasks!$K$4:$K$403,0)+3,"")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IF($A116="","",IF(INDEX(Tasks!$D:$D,$A116)="","",INDEX(Tasks!$D:$D,$A116)))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IFERROR(MATCH($C$2&amp;"|"&amp;(ROW()-4),Tasks!$K$4:$K$403,0)+3,"")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IF($A117="","",IF(INDEX(Tasks!$D:$D,$A117)="","",INDEX(Tasks!$D:$D,$A117)))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IFERROR(MATCH($C$2&amp;"|"&amp;(ROW()-4),Tasks!$K$4:$K$403,0)+3,"")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IF($A118="","",IF(INDEX(Tasks!$D:$D,$A118)="","",INDEX(Tasks!$D:$D,$A118)))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IFERROR(MATCH($C$2&amp;"|"&amp;(ROW()-4),Tasks!$K$4:$K$403,0)+3,"")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IF($A119="","",IF(INDEX(Tasks!$D:$D,$A119)="","",INDEX(Tasks!$D:$D,$A119)))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IFERROR(MATCH($C$2&amp;"|"&amp;(ROW()-4),Tasks!$K$4:$K$403,0)+3,"")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IF($A120="","",IF(INDEX(Tasks!$D:$D,$A120)="","",INDEX(Tasks!$D:$D,$A120)))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IFERROR(MATCH($C$2&amp;"|"&amp;(ROW()-4),Tasks!$K$4:$K$403,0)+3,"")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IF($A121="","",IF(INDEX(Tasks!$D:$D,$A121)="","",INDEX(Tasks!$D:$D,$A121)))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IFERROR(MATCH($C$2&amp;"|"&amp;(ROW()-4),Tasks!$K$4:$K$403,0)+3,"")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IF($A122="","",IF(INDEX(Tasks!$D:$D,$A122)="","",INDEX(Tasks!$D:$D,$A122)))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IFERROR(MATCH($C$2&amp;"|"&amp;(ROW()-4),Tasks!$K$4:$K$403,0)+3,"")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IF($A123="","",IF(INDEX(Tasks!$D:$D,$A123)="","",INDEX(Tasks!$D:$D,$A123)))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IFERROR(MATCH($C$2&amp;"|"&amp;(ROW()-4),Tasks!$K$4:$K$403,0)+3,"")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IF($A124="","",IF(INDEX(Tasks!$D:$D,$A124)="","",INDEX(Tasks!$D:$D,$A124)))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321</v>
      </c>
    </row>
    <row r="2" customFormat="false" ht="15" hidden="false" customHeight="false" outlineLevel="0" collapsed="false">
      <c r="B2" s="2" t="s">
        <v>318</v>
      </c>
      <c r="C2" s="28" t="s">
        <v>227</v>
      </c>
      <c r="E2" s="13" t="str">
        <f aca="true">COUNTIFS(Tasks!$B$4:$B$403,$C$2,Tasks!$C$4:$C$403,"?*")&amp;" tasks   ·   "&amp;COUNTIFS(Tasks!$B$4:$B$403,$C$2,Tasks!$C$4:$C$403,"?*",Tasks!$E$4:$E$403,"In Progress")&amp;" in progress   ·   "&amp;COUNTIFS(Tasks!$B$4:$B$403,$C$2,Tasks!$C$4:$C$403,"?*",Tasks!$E$4:$E$403,"Blocked")&amp;" blocked   ·   "&amp;COUNTIFS(Tasks!$B$4:$B$403,$C$2,Tasks!$C$4:$C$403,"?*",Tasks!$H$4:$H$403,"&lt;"&amp;TODAY(),Tasks!$E$4:$E$403,"&lt;&gt;Complete")&amp;" overdue"</f>
        <v>22 tasks   ·   2 in progress   ·   0 blocked   ·   22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IFERROR(MATCH($C$2&amp;"|"&amp;(ROW()-4),Tasks!$K$4:$K$403,0)+3,"")</f>
        <v>87</v>
      </c>
      <c r="B5" s="17" t="str">
        <f aca="false">IF($A5="","",IF(INDEX(Tasks!$A:$A,$A5)="","",INDEX(Tasks!$A:$A,$A5)))</f>
        <v>DL-1</v>
      </c>
      <c r="C5" s="17" t="str">
        <f aca="false">IF($A5="","",IF(ISERROR(FIND(".",INDEX(Tasks!$A:$A,$A5))),"","   ")&amp;INDEX(Tasks!$C:$C,$A5))</f>
        <v>Define dual-link architecture</v>
      </c>
      <c r="D5" s="17" t="str">
        <f aca="false">IF($A5="","",IF(INDEX(Tasks!$D:$D,$A5)="","",INDEX(Tasks!$D:$D,$A5)))</f>
        <v>Dual-link owner</v>
      </c>
      <c r="E5" s="17" t="str">
        <f aca="false">IF($A5="","",IF(INDEX(Tasks!$E:$E,$A5)="","",INDEX(Tasks!$E:$E,$A5)))</f>
        <v>Partially Completed</v>
      </c>
      <c r="F5" s="18" t="n">
        <f aca="false">IF($A5="","",IF(INDEX(Tasks!$F:$F,$A5)="","",INDEX(Tasks!$F:$F,$A5)))</f>
        <v>46195</v>
      </c>
      <c r="G5" s="18" t="n">
        <f aca="false">IF($A5="","",IF(INDEX(Tasks!$H:$H,$A5)="","",INDEX(Tasks!$H:$H,$A5)))</f>
        <v>46199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IFERROR(MATCH($C$2&amp;"|"&amp;(ROW()-4),Tasks!$K$4:$K$403,0)+3,"")</f>
        <v>88</v>
      </c>
      <c r="B6" s="17" t="str">
        <f aca="false">IF($A6="","",IF(INDEX(Tasks!$A:$A,$A6)="","",INDEX(Tasks!$A:$A,$A6)))</f>
        <v>DL-1.1</v>
      </c>
      <c r="C6" s="17" t="str">
        <f aca="false">IF($A6="","",IF(ISERROR(FIND(".",INDEX(Tasks!$A:$A,$A6))),"","   ")&amp;INDEX(Tasks!$C:$C,$A6))</f>
        <v>   Link Pairing Selection (WiFi + WiFi)</v>
      </c>
      <c r="D6" s="17" t="str">
        <f aca="false">IF($A6="","",IF(INDEX(Tasks!$D:$D,$A6)="","",INDEX(Tasks!$D:$D,$A6)))</f>
        <v>Dual-link owner</v>
      </c>
      <c r="E6" s="17" t="str">
        <f aca="false">IF($A6="","",IF(INDEX(Tasks!$E:$E,$A6)="","",INDEX(Tasks!$E:$E,$A6)))</f>
        <v>Partially Completed</v>
      </c>
      <c r="F6" s="18" t="n">
        <f aca="false">IF($A6="","",IF(INDEX(Tasks!$F:$F,$A6)="","",INDEX(Tasks!$F:$F,$A6)))</f>
        <v>46195</v>
      </c>
      <c r="G6" s="18" t="n">
        <f aca="false">IF($A6="","",IF(INDEX(Tasks!$H:$H,$A6)="","",INDEX(Tasks!$H:$H,$A6)))</f>
        <v>46199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IFERROR(MATCH($C$2&amp;"|"&amp;(ROW()-4),Tasks!$K$4:$K$403,0)+3,"")</f>
        <v>89</v>
      </c>
      <c r="B7" s="17" t="str">
        <f aca="false">IF($A7="","",IF(INDEX(Tasks!$A:$A,$A7)="","",INDEX(Tasks!$A:$A,$A7)))</f>
        <v>DL-1.2</v>
      </c>
      <c r="C7" s="17" t="str">
        <f aca="false">IF($A7="","",IF(ISERROR(FIND(".",INDEX(Tasks!$A:$A,$A7))),"","   ")&amp;INDEX(Tasks!$C:$C,$A7))</f>
        <v>   QoS-Tiered Traffic-Steering Policy</v>
      </c>
      <c r="D7" s="17" t="str">
        <f aca="false">IF($A7="","",IF(INDEX(Tasks!$D:$D,$A7)="","",INDEX(Tasks!$D:$D,$A7)))</f>
        <v>Dual-link owner</v>
      </c>
      <c r="E7" s="17" t="str">
        <f aca="false">IF($A7="","",IF(INDEX(Tasks!$E:$E,$A7)="","",INDEX(Tasks!$E:$E,$A7)))</f>
        <v>Partially Completed</v>
      </c>
      <c r="F7" s="18" t="n">
        <f aca="false">IF($A7="","",IF(INDEX(Tasks!$F:$F,$A7)="","",INDEX(Tasks!$F:$F,$A7)))</f>
        <v>46195</v>
      </c>
      <c r="G7" s="18" t="n">
        <f aca="false">IF($A7="","",IF(INDEX(Tasks!$H:$H,$A7)="","",INDEX(Tasks!$H:$H,$A7)))</f>
        <v>46199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IFERROR(MATCH($C$2&amp;"|"&amp;(ROW()-4),Tasks!$K$4:$K$403,0)+3,"")</f>
        <v>90</v>
      </c>
      <c r="B8" s="17" t="str">
        <f aca="false">IF($A8="","",IF(INDEX(Tasks!$A:$A,$A8)="","",INDEX(Tasks!$A:$A,$A8)))</f>
        <v>DL-2</v>
      </c>
      <c r="C8" s="17" t="str">
        <f aca="false">IF($A8="","",IF(ISERROR(FIND(".",INDEX(Tasks!$A:$A,$A8))),"","   ")&amp;INDEX(Tasks!$C:$C,$A8))</f>
        <v>Build link monitor</v>
      </c>
      <c r="D8" s="17" t="str">
        <f aca="false">IF($A8="","",IF(INDEX(Tasks!$D:$D,$A8)="","",INDEX(Tasks!$D:$D,$A8)))</f>
        <v>Dual-link owner</v>
      </c>
      <c r="E8" s="17" t="str">
        <f aca="false">IF($A8="","",IF(INDEX(Tasks!$E:$E,$A8)="","",INDEX(Tasks!$E:$E,$A8)))</f>
        <v>Partially Completed</v>
      </c>
      <c r="F8" s="18" t="n">
        <f aca="false">IF($A8="","",IF(INDEX(Tasks!$F:$F,$A8)="","",INDEX(Tasks!$F:$F,$A8)))</f>
        <v>46195</v>
      </c>
      <c r="G8" s="18" t="n">
        <f aca="false">IF($A8="","",IF(INDEX(Tasks!$H:$H,$A8)="","",INDEX(Tasks!$H:$H,$A8)))</f>
        <v>46199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IFERROR(MATCH($C$2&amp;"|"&amp;(ROW()-4),Tasks!$K$4:$K$403,0)+3,"")</f>
        <v>91</v>
      </c>
      <c r="B9" s="17" t="str">
        <f aca="false">IF($A9="","",IF(INDEX(Tasks!$A:$A,$A9)="","",INDEX(Tasks!$A:$A,$A9)))</f>
        <v>DL-2.1</v>
      </c>
      <c r="C9" s="17" t="str">
        <f aca="false">IF($A9="","",IF(ISERROR(FIND(".",INDEX(Tasks!$A:$A,$A9))),"","   ")&amp;INDEX(Tasks!$C:$C,$A9))</f>
        <v>   PER / MTU Tracking</v>
      </c>
      <c r="D9" s="17" t="str">
        <f aca="false">IF($A9="","",IF(INDEX(Tasks!$D:$D,$A9)="","",INDEX(Tasks!$D:$D,$A9)))</f>
        <v>Dual-link owner</v>
      </c>
      <c r="E9" s="17" t="str">
        <f aca="false">IF($A9="","",IF(INDEX(Tasks!$E:$E,$A9)="","",INDEX(Tasks!$E:$E,$A9)))</f>
        <v>Partially Completed</v>
      </c>
      <c r="F9" s="18" t="n">
        <f aca="false">IF($A9="","",IF(INDEX(Tasks!$F:$F,$A9)="","",INDEX(Tasks!$F:$F,$A9)))</f>
        <v>46195</v>
      </c>
      <c r="G9" s="18" t="n">
        <f aca="false">IF($A9="","",IF(INDEX(Tasks!$H:$H,$A9)="","",INDEX(Tasks!$H:$H,$A9)))</f>
        <v>46199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IFERROR(MATCH($C$2&amp;"|"&amp;(ROW()-4),Tasks!$K$4:$K$403,0)+3,"")</f>
        <v>92</v>
      </c>
      <c r="B10" s="17" t="str">
        <f aca="false">IF($A10="","",IF(INDEX(Tasks!$A:$A,$A10)="","",INDEX(Tasks!$A:$A,$A10)))</f>
        <v>DL-2.2</v>
      </c>
      <c r="C10" s="17" t="str">
        <f aca="false">IF($A10="","",IF(ISERROR(FIND(".",INDEX(Tasks!$A:$A,$A10))),"","   ")&amp;INDEX(Tasks!$C:$C,$A10))</f>
        <v>   Throughput / RTT / Queue-Health Tracking</v>
      </c>
      <c r="D10" s="17" t="str">
        <f aca="false">IF($A10="","",IF(INDEX(Tasks!$D:$D,$A10)="","",INDEX(Tasks!$D:$D,$A10)))</f>
        <v>Dual-link owner</v>
      </c>
      <c r="E10" s="17" t="str">
        <f aca="false">IF($A10="","",IF(INDEX(Tasks!$E:$E,$A10)="","",INDEX(Tasks!$E:$E,$A10)))</f>
        <v>Partially Completed</v>
      </c>
      <c r="F10" s="18" t="n">
        <f aca="false">IF($A10="","",IF(INDEX(Tasks!$F:$F,$A10)="","",INDEX(Tasks!$F:$F,$A10)))</f>
        <v>46195</v>
      </c>
      <c r="G10" s="18" t="n">
        <f aca="false">IF($A10="","",IF(INDEX(Tasks!$H:$H,$A10)="","",INDEX(Tasks!$H:$H,$A10)))</f>
        <v>46199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IFERROR(MATCH($C$2&amp;"|"&amp;(ROW()-4),Tasks!$K$4:$K$403,0)+3,"")</f>
        <v>93</v>
      </c>
      <c r="B11" s="17" t="str">
        <f aca="false">IF($A11="","",IF(INDEX(Tasks!$A:$A,$A11)="","",INDEX(Tasks!$A:$A,$A11)))</f>
        <v>DL-3</v>
      </c>
      <c r="C11" s="17" t="str">
        <f aca="false">IF($A11="","",IF(ISERROR(FIND(".",INDEX(Tasks!$A:$A,$A11))),"","   ")&amp;INDEX(Tasks!$C:$C,$A11))</f>
        <v>Implement link compression</v>
      </c>
      <c r="D11" s="17" t="str">
        <f aca="false">IF($A11="","",IF(INDEX(Tasks!$D:$D,$A11)="","",INDEX(Tasks!$D:$D,$A11)))</f>
        <v>Dual-link owner</v>
      </c>
      <c r="E11" s="17" t="str">
        <f aca="false">IF($A11="","",IF(INDEX(Tasks!$E:$E,$A11)="","",INDEX(Tasks!$E:$E,$A11)))</f>
        <v>In Progress</v>
      </c>
      <c r="F11" s="18" t="n">
        <f aca="false">IF($A11="","",IF(INDEX(Tasks!$F:$F,$A11)="","",INDEX(Tasks!$F:$F,$A11)))</f>
        <v>46195</v>
      </c>
      <c r="G11" s="18" t="n">
        <f aca="false">IF($A11="","",IF(INDEX(Tasks!$H:$H,$A11)="","",INDEX(Tasks!$H:$H,$A11)))</f>
        <v>46199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IFERROR(MATCH($C$2&amp;"|"&amp;(ROW()-4),Tasks!$K$4:$K$403,0)+3,"")</f>
        <v>94</v>
      </c>
      <c r="B12" s="17" t="str">
        <f aca="false">IF($A12="","",IF(INDEX(Tasks!$A:$A,$A12)="","",INDEX(Tasks!$A:$A,$A12)))</f>
        <v>DL-3.1</v>
      </c>
      <c r="C12" s="17" t="str">
        <f aca="false">IF($A12="","",IF(ISERROR(FIND(".",INDEX(Tasks!$A:$A,$A12))),"","   ")&amp;INDEX(Tasks!$C:$C,$A12))</f>
        <v>   Compression Module (Link-Monitor Reactive)</v>
      </c>
      <c r="D12" s="17" t="str">
        <f aca="false">IF($A12="","",IF(INDEX(Tasks!$D:$D,$A12)="","",INDEX(Tasks!$D:$D,$A12)))</f>
        <v>Dual-link owner</v>
      </c>
      <c r="E12" s="17" t="str">
        <f aca="false">IF($A12="","",IF(INDEX(Tasks!$E:$E,$A12)="","",INDEX(Tasks!$E:$E,$A12)))</f>
        <v>Partially Completed</v>
      </c>
      <c r="F12" s="18" t="n">
        <f aca="false">IF($A12="","",IF(INDEX(Tasks!$F:$F,$A12)="","",INDEX(Tasks!$F:$F,$A12)))</f>
        <v>46195</v>
      </c>
      <c r="G12" s="18" t="n">
        <f aca="false">IF($A12="","",IF(INDEX(Tasks!$H:$H,$A12)="","",INDEX(Tasks!$H:$H,$A12)))</f>
        <v>46199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IFERROR(MATCH($C$2&amp;"|"&amp;(ROW()-4),Tasks!$K$4:$K$403,0)+3,"")</f>
        <v>95</v>
      </c>
      <c r="B13" s="17" t="str">
        <f aca="false">IF($A13="","",IF(INDEX(Tasks!$A:$A,$A13)="","",INDEX(Tasks!$A:$A,$A13)))</f>
        <v>DL-3.2</v>
      </c>
      <c r="C13" s="17" t="str">
        <f aca="false">IF($A13="","",IF(ISERROR(FIND(".",INDEX(Tasks!$A:$A,$A13))),"","   ")&amp;INDEX(Tasks!$C:$C,$A13))</f>
        <v>   Compression Threshold Tuning</v>
      </c>
      <c r="D13" s="17" t="str">
        <f aca="false">IF($A13="","",IF(INDEX(Tasks!$D:$D,$A13)="","",INDEX(Tasks!$D:$D,$A13)))</f>
        <v>Dual-link owner</v>
      </c>
      <c r="E13" s="17" t="str">
        <f aca="false">IF($A13="","",IF(INDEX(Tasks!$E:$E,$A13)="","",INDEX(Tasks!$E:$E,$A13)))</f>
        <v>In Progress</v>
      </c>
      <c r="F13" s="18" t="n">
        <f aca="false">IF($A13="","",IF(INDEX(Tasks!$F:$F,$A13)="","",INDEX(Tasks!$F:$F,$A13)))</f>
        <v>46195</v>
      </c>
      <c r="G13" s="18" t="n">
        <f aca="false">IF($A13="","",IF(INDEX(Tasks!$H:$H,$A13)="","",INDEX(Tasks!$H:$H,$A13)))</f>
        <v>46199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IFERROR(MATCH($C$2&amp;"|"&amp;(ROW()-4),Tasks!$K$4:$K$403,0)+3,"")</f>
        <v>96</v>
      </c>
      <c r="B14" s="17" t="str">
        <f aca="false">IF($A14="","",IF(INDEX(Tasks!$A:$A,$A14)="","",INDEX(Tasks!$A:$A,$A14)))</f>
        <v>DL-4</v>
      </c>
      <c r="C14" s="17" t="str">
        <f aca="false">IF($A14="","",IF(ISERROR(FIND(".",INDEX(Tasks!$A:$A,$A14))),"","   ")&amp;INDEX(Tasks!$C:$C,$A14))</f>
        <v>Validate Switching Strategies — WiFi1 + WiFi2</v>
      </c>
      <c r="D14" s="17" t="str">
        <f aca="false">IF($A14="","",IF(INDEX(Tasks!$D:$D,$A14)="","",INDEX(Tasks!$D:$D,$A14)))</f>
        <v>Dual-link owner</v>
      </c>
      <c r="E14" s="17" t="str">
        <f aca="false">IF($A14="","",IF(INDEX(Tasks!$E:$E,$A14)="","",INDEX(Tasks!$E:$E,$A14)))</f>
        <v>Not Started</v>
      </c>
      <c r="F14" s="18" t="n">
        <f aca="false">IF($A14="","",IF(INDEX(Tasks!$F:$F,$A14)="","",INDEX(Tasks!$F:$F,$A14)))</f>
        <v>46195</v>
      </c>
      <c r="G14" s="18" t="n">
        <f aca="false">IF($A14="","",IF(INDEX(Tasks!$H:$H,$A14)="","",INDEX(Tasks!$H:$H,$A14)))</f>
        <v>46199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IFERROR(MATCH($C$2&amp;"|"&amp;(ROW()-4),Tasks!$K$4:$K$403,0)+3,"")</f>
        <v>97</v>
      </c>
      <c r="B15" s="17" t="str">
        <f aca="false">IF($A15="","",IF(INDEX(Tasks!$A:$A,$A15)="","",INDEX(Tasks!$A:$A,$A15)))</f>
        <v>DL-4.1</v>
      </c>
      <c r="C15" s="17" t="str">
        <f aca="false">IF($A15="","",IF(ISERROR(FIND(".",INDEX(Tasks!$A:$A,$A15))),"","   ")&amp;INDEX(Tasks!$C:$C,$A15))</f>
        <v>   Single-Link Baseline</v>
      </c>
      <c r="D15" s="17" t="str">
        <f aca="false">IF($A15="","",IF(INDEX(Tasks!$D:$D,$A15)="","",INDEX(Tasks!$D:$D,$A15)))</f>
        <v>Dual-link owner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46195</v>
      </c>
      <c r="G15" s="18" t="n">
        <f aca="false">IF($A15="","",IF(INDEX(Tasks!$H:$H,$A15)="","",INDEX(Tasks!$H:$H,$A15)))</f>
        <v>46199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IFERROR(MATCH($C$2&amp;"|"&amp;(ROW()-4),Tasks!$K$4:$K$403,0)+3,"")</f>
        <v>98</v>
      </c>
      <c r="B16" s="17" t="str">
        <f aca="false">IF($A16="","",IF(INDEX(Tasks!$A:$A,$A16)="","",INDEX(Tasks!$A:$A,$A16)))</f>
        <v>DL-4.2</v>
      </c>
      <c r="C16" s="17" t="str">
        <f aca="false">IF($A16="","",IF(ISERROR(FIND(".",INDEX(Tasks!$A:$A,$A16))),"","   ")&amp;INDEX(Tasks!$C:$C,$A16))</f>
        <v>   Full Topic Switchover</v>
      </c>
      <c r="D16" s="17" t="str">
        <f aca="false">IF($A16="","",IF(INDEX(Tasks!$D:$D,$A16)="","",INDEX(Tasks!$D:$D,$A16)))</f>
        <v>Dual-link owner</v>
      </c>
      <c r="E16" s="17" t="str">
        <f aca="false">IF($A16="","",IF(INDEX(Tasks!$E:$E,$A16)="","",INDEX(Tasks!$E:$E,$A16)))</f>
        <v>Not Started</v>
      </c>
      <c r="F16" s="18" t="n">
        <f aca="false">IF($A16="","",IF(INDEX(Tasks!$F:$F,$A16)="","",INDEX(Tasks!$F:$F,$A16)))</f>
        <v>46195</v>
      </c>
      <c r="G16" s="18" t="n">
        <f aca="false">IF($A16="","",IF(INDEX(Tasks!$H:$H,$A16)="","",INDEX(Tasks!$H:$H,$A16)))</f>
        <v>46199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IFERROR(MATCH($C$2&amp;"|"&amp;(ROW()-4),Tasks!$K$4:$K$403,0)+3,"")</f>
        <v>99</v>
      </c>
      <c r="B17" s="17" t="str">
        <f aca="false">IF($A17="","",IF(INDEX(Tasks!$A:$A,$A17)="","",INDEX(Tasks!$A:$A,$A17)))</f>
        <v>DL-4.3</v>
      </c>
      <c r="C17" s="17" t="str">
        <f aca="false">IF($A17="","",IF(ISERROR(FIND(".",INDEX(Tasks!$A:$A,$A17))),"","   ")&amp;INDEX(Tasks!$C:$C,$A17))</f>
        <v>   True Dual-Link (QoS-Tiered Per-Topic)</v>
      </c>
      <c r="D17" s="17" t="str">
        <f aca="false">IF($A17="","",IF(INDEX(Tasks!$D:$D,$A17)="","",INDEX(Tasks!$D:$D,$A17)))</f>
        <v>Dual-link owner</v>
      </c>
      <c r="E17" s="17" t="str">
        <f aca="false">IF($A17="","",IF(INDEX(Tasks!$E:$E,$A17)="","",INDEX(Tasks!$E:$E,$A17)))</f>
        <v>Not Started</v>
      </c>
      <c r="F17" s="18" t="n">
        <f aca="false">IF($A17="","",IF(INDEX(Tasks!$F:$F,$A17)="","",INDEX(Tasks!$F:$F,$A17)))</f>
        <v>46202</v>
      </c>
      <c r="G17" s="18" t="n">
        <f aca="false">IF($A17="","",IF(INDEX(Tasks!$H:$H,$A17)="","",INDEX(Tasks!$H:$H,$A17)))</f>
        <v>46206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IFERROR(MATCH($C$2&amp;"|"&amp;(ROW()-4),Tasks!$K$4:$K$403,0)+3,"")</f>
        <v>100</v>
      </c>
      <c r="B18" s="17" t="str">
        <f aca="false">IF($A18="","",IF(INDEX(Tasks!$A:$A,$A18)="","",INDEX(Tasks!$A:$A,$A18)))</f>
        <v>DL-5</v>
      </c>
      <c r="C18" s="17" t="str">
        <f aca="false">IF($A18="","",IF(ISERROR(FIND(".",INDEX(Tasks!$A:$A,$A18))),"","   ")&amp;INDEX(Tasks!$C:$C,$A18))</f>
        <v>Extend to WiFi + 5G</v>
      </c>
      <c r="D18" s="17" t="str">
        <f aca="false">IF($A18="","",IF(INDEX(Tasks!$D:$D,$A18)="","",INDEX(Tasks!$D:$D,$A18)))</f>
        <v>Dual-link owner</v>
      </c>
      <c r="E18" s="17" t="str">
        <f aca="false">IF($A18="","",IF(INDEX(Tasks!$E:$E,$A18)="","",INDEX(Tasks!$E:$E,$A18)))</f>
        <v>Not Started</v>
      </c>
      <c r="F18" s="18" t="n">
        <f aca="false">IF($A18="","",IF(INDEX(Tasks!$F:$F,$A18)="","",INDEX(Tasks!$F:$F,$A18)))</f>
        <v>46202</v>
      </c>
      <c r="G18" s="18" t="n">
        <f aca="false">IF($A18="","",IF(INDEX(Tasks!$H:$H,$A18)="","",INDEX(Tasks!$H:$H,$A18)))</f>
        <v>46213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n">
        <f aca="false">IFERROR(MATCH($C$2&amp;"|"&amp;(ROW()-4),Tasks!$K$4:$K$403,0)+3,"")</f>
        <v>101</v>
      </c>
      <c r="B19" s="17" t="str">
        <f aca="false">IF($A19="","",IF(INDEX(Tasks!$A:$A,$A19)="","",INDEX(Tasks!$A:$A,$A19)))</f>
        <v>DL-5.1</v>
      </c>
      <c r="C19" s="17" t="str">
        <f aca="false">IF($A19="","",IF(ISERROR(FIND(".",INDEX(Tasks!$A:$A,$A19))),"","   ")&amp;INDEX(Tasks!$C:$C,$A19))</f>
        <v>   WiFi + 5G Link Pairing &amp; Switching Validation</v>
      </c>
      <c r="D19" s="17" t="str">
        <f aca="false">IF($A19="","",IF(INDEX(Tasks!$D:$D,$A19)="","",INDEX(Tasks!$D:$D,$A19)))</f>
        <v>Dual-link owner</v>
      </c>
      <c r="E19" s="17" t="str">
        <f aca="false">IF($A19="","",IF(INDEX(Tasks!$E:$E,$A19)="","",INDEX(Tasks!$E:$E,$A19)))</f>
        <v>Not Started</v>
      </c>
      <c r="F19" s="18" t="n">
        <f aca="false">IF($A19="","",IF(INDEX(Tasks!$F:$F,$A19)="","",INDEX(Tasks!$F:$F,$A19)))</f>
        <v>46202</v>
      </c>
      <c r="G19" s="18" t="n">
        <f aca="false">IF($A19="","",IF(INDEX(Tasks!$H:$H,$A19)="","",INDEX(Tasks!$H:$H,$A19)))</f>
        <v>46206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n">
        <f aca="false">IFERROR(MATCH($C$2&amp;"|"&amp;(ROW()-4),Tasks!$K$4:$K$403,0)+3,"")</f>
        <v>102</v>
      </c>
      <c r="B20" s="17" t="str">
        <f aca="false">IF($A20="","",IF(INDEX(Tasks!$A:$A,$A20)="","",INDEX(Tasks!$A:$A,$A20)))</f>
        <v>DL-5.2</v>
      </c>
      <c r="C20" s="17" t="str">
        <f aca="false">IF($A20="","",IF(ISERROR(FIND(".",INDEX(Tasks!$A:$A,$A20))),"","   ")&amp;INDEX(Tasks!$C:$C,$A20))</f>
        <v>   Application-Level Testing on WiFi + 5G</v>
      </c>
      <c r="D20" s="17" t="str">
        <f aca="false">IF($A20="","",IF(INDEX(Tasks!$D:$D,$A20)="","",INDEX(Tasks!$D:$D,$A20)))</f>
        <v>Dual-link owner</v>
      </c>
      <c r="E20" s="17" t="str">
        <f aca="false">IF($A20="","",IF(INDEX(Tasks!$E:$E,$A20)="","",INDEX(Tasks!$E:$E,$A20)))</f>
        <v>Not Started</v>
      </c>
      <c r="F20" s="18" t="n">
        <f aca="false">IF($A20="","",IF(INDEX(Tasks!$F:$F,$A20)="","",INDEX(Tasks!$F:$F,$A20)))</f>
        <v>46209</v>
      </c>
      <c r="G20" s="18" t="n">
        <f aca="false">IF($A20="","",IF(INDEX(Tasks!$H:$H,$A20)="","",INDEX(Tasks!$H:$H,$A20)))</f>
        <v>46213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n">
        <f aca="false">IFERROR(MATCH($C$2&amp;"|"&amp;(ROW()-4),Tasks!$K$4:$K$403,0)+3,"")</f>
        <v>103</v>
      </c>
      <c r="B21" s="17" t="str">
        <f aca="false">IF($A21="","",IF(INDEX(Tasks!$A:$A,$A21)="","",INDEX(Tasks!$A:$A,$A21)))</f>
        <v>DL-6</v>
      </c>
      <c r="C21" s="17" t="str">
        <f aca="false">IF($A21="","",IF(ISERROR(FIND(".",INDEX(Tasks!$A:$A,$A21))),"","   ")&amp;INDEX(Tasks!$C:$C,$A21))</f>
        <v>Test failover &amp; reliability</v>
      </c>
      <c r="D21" s="17" t="str">
        <f aca="false">IF($A21="","",IF(INDEX(Tasks!$D:$D,$A21)="","",INDEX(Tasks!$D:$D,$A21)))</f>
        <v>Dual-link owner</v>
      </c>
      <c r="E21" s="17" t="str">
        <f aca="false">IF($A21="","",IF(INDEX(Tasks!$E:$E,$A21)="","",INDEX(Tasks!$E:$E,$A21)))</f>
        <v>Not Started</v>
      </c>
      <c r="F21" s="18" t="n">
        <f aca="false">IF($A21="","",IF(INDEX(Tasks!$F:$F,$A21)="","",INDEX(Tasks!$F:$F,$A21)))</f>
        <v>46216</v>
      </c>
      <c r="G21" s="18" t="n">
        <f aca="false">IF($A21="","",IF(INDEX(Tasks!$H:$H,$A21)="","",INDEX(Tasks!$H:$H,$A21)))</f>
        <v>46220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n">
        <f aca="false">IFERROR(MATCH($C$2&amp;"|"&amp;(ROW()-4),Tasks!$K$4:$K$403,0)+3,"")</f>
        <v>104</v>
      </c>
      <c r="B22" s="17" t="str">
        <f aca="false">IF($A22="","",IF(INDEX(Tasks!$A:$A,$A22)="","",INDEX(Tasks!$A:$A,$A22)))</f>
        <v>DL-6.1</v>
      </c>
      <c r="C22" s="17" t="str">
        <f aca="false">IF($A22="","",IF(ISERROR(FIND(".",INDEX(Tasks!$A:$A,$A22))),"","   ")&amp;INDEX(Tasks!$C:$C,$A22))</f>
        <v>   Failover Test Scenarios</v>
      </c>
      <c r="D22" s="17" t="str">
        <f aca="false">IF($A22="","",IF(INDEX(Tasks!$D:$D,$A22)="","",INDEX(Tasks!$D:$D,$A22)))</f>
        <v>Dual-link owner</v>
      </c>
      <c r="E22" s="17" t="str">
        <f aca="false">IF($A22="","",IF(INDEX(Tasks!$E:$E,$A22)="","",INDEX(Tasks!$E:$E,$A22)))</f>
        <v>Not Started</v>
      </c>
      <c r="F22" s="18" t="n">
        <f aca="false">IF($A22="","",IF(INDEX(Tasks!$F:$F,$A22)="","",INDEX(Tasks!$F:$F,$A22)))</f>
        <v>46216</v>
      </c>
      <c r="G22" s="18" t="n">
        <f aca="false">IF($A22="","",IF(INDEX(Tasks!$H:$H,$A22)="","",INDEX(Tasks!$H:$H,$A22)))</f>
        <v>46220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n">
        <f aca="false">IFERROR(MATCH($C$2&amp;"|"&amp;(ROW()-4),Tasks!$K$4:$K$403,0)+3,"")</f>
        <v>105</v>
      </c>
      <c r="B23" s="17" t="str">
        <f aca="false">IF($A23="","",IF(INDEX(Tasks!$A:$A,$A23)="","",INDEX(Tasks!$A:$A,$A23)))</f>
        <v>DL-6.2</v>
      </c>
      <c r="C23" s="17" t="str">
        <f aca="false">IF($A23="","",IF(ISERROR(FIND(".",INDEX(Tasks!$A:$A,$A23))),"","   ")&amp;INDEX(Tasks!$C:$C,$A23))</f>
        <v>   Availability / Latency Target Validation</v>
      </c>
      <c r="D23" s="17" t="str">
        <f aca="false">IF($A23="","",IF(INDEX(Tasks!$D:$D,$A23)="","",INDEX(Tasks!$D:$D,$A23)))</f>
        <v>Dual-link owner</v>
      </c>
      <c r="E23" s="17" t="str">
        <f aca="false">IF($A23="","",IF(INDEX(Tasks!$E:$E,$A23)="","",INDEX(Tasks!$E:$E,$A23)))</f>
        <v>Not Started</v>
      </c>
      <c r="F23" s="18" t="n">
        <f aca="false">IF($A23="","",IF(INDEX(Tasks!$F:$F,$A23)="","",INDEX(Tasks!$F:$F,$A23)))</f>
        <v>46216</v>
      </c>
      <c r="G23" s="18" t="n">
        <f aca="false">IF($A23="","",IF(INDEX(Tasks!$H:$H,$A23)="","",INDEX(Tasks!$H:$H,$A23)))</f>
        <v>46220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n">
        <f aca="false">IFERROR(MATCH($C$2&amp;"|"&amp;(ROW()-4),Tasks!$K$4:$K$403,0)+3,"")</f>
        <v>106</v>
      </c>
      <c r="B24" s="17" t="str">
        <f aca="false">IF($A24="","",IF(INDEX(Tasks!$A:$A,$A24)="","",INDEX(Tasks!$A:$A,$A24)))</f>
        <v>DL-7</v>
      </c>
      <c r="C24" s="17" t="str">
        <f aca="false">IF($A24="","",IF(ISERROR(FIND(".",INDEX(Tasks!$A:$A,$A24))),"","   ")&amp;INDEX(Tasks!$C:$C,$A24))</f>
        <v>Integrate with digital twin</v>
      </c>
      <c r="D24" s="17" t="str">
        <f aca="false">IF($A24="","",IF(INDEX(Tasks!$D:$D,$A24)="","",INDEX(Tasks!$D:$D,$A24)))</f>
        <v>Dual-link owner</v>
      </c>
      <c r="E24" s="17" t="str">
        <f aca="false">IF($A24="","",IF(INDEX(Tasks!$E:$E,$A24)="","",INDEX(Tasks!$E:$E,$A24)))</f>
        <v>Not Started</v>
      </c>
      <c r="F24" s="18" t="n">
        <f aca="false">IF($A24="","",IF(INDEX(Tasks!$F:$F,$A24)="","",INDEX(Tasks!$F:$F,$A24)))</f>
        <v>46223</v>
      </c>
      <c r="G24" s="18" t="n">
        <f aca="false">IF($A24="","",IF(INDEX(Tasks!$H:$H,$A24)="","",INDEX(Tasks!$H:$H,$A24)))</f>
        <v>46234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n">
        <f aca="false">IFERROR(MATCH($C$2&amp;"|"&amp;(ROW()-4),Tasks!$K$4:$K$403,0)+3,"")</f>
        <v>107</v>
      </c>
      <c r="B25" s="17" t="str">
        <f aca="false">IF($A25="","",IF(INDEX(Tasks!$A:$A,$A25)="","",INDEX(Tasks!$A:$A,$A25)))</f>
        <v>DL-7.1</v>
      </c>
      <c r="C25" s="17" t="str">
        <f aca="false">IF($A25="","",IF(ISERROR(FIND(".",INDEX(Tasks!$A:$A,$A25))),"","   ")&amp;INDEX(Tasks!$C:$C,$A25))</f>
        <v>   Predictive Handover &lt;-&gt; Twin Tracking Wiring</v>
      </c>
      <c r="D25" s="17" t="str">
        <f aca="false">IF($A25="","",IF(INDEX(Tasks!$D:$D,$A25)="","",INDEX(Tasks!$D:$D,$A25)))</f>
        <v>Dual-link owner</v>
      </c>
      <c r="E25" s="17" t="str">
        <f aca="false">IF($A25="","",IF(INDEX(Tasks!$E:$E,$A25)="","",INDEX(Tasks!$E:$E,$A25)))</f>
        <v>Not Started</v>
      </c>
      <c r="F25" s="18" t="n">
        <f aca="false">IF($A25="","",IF(INDEX(Tasks!$F:$F,$A25)="","",INDEX(Tasks!$F:$F,$A25)))</f>
        <v>46223</v>
      </c>
      <c r="G25" s="18" t="n">
        <f aca="false">IF($A25="","",IF(INDEX(Tasks!$H:$H,$A25)="","",INDEX(Tasks!$H:$H,$A25)))</f>
        <v>46227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n">
        <f aca="false">IFERROR(MATCH($C$2&amp;"|"&amp;(ROW()-4),Tasks!$K$4:$K$403,0)+3,"")</f>
        <v>108</v>
      </c>
      <c r="B26" s="17" t="str">
        <f aca="false">IF($A26="","",IF(INDEX(Tasks!$A:$A,$A26)="","",INDEX(Tasks!$A:$A,$A26)))</f>
        <v>DL-7.2</v>
      </c>
      <c r="C26" s="17" t="str">
        <f aca="false">IF($A26="","",IF(ISERROR(FIND(".",INDEX(Tasks!$A:$A,$A26))),"","   ")&amp;INDEX(Tasks!$C:$C,$A26))</f>
        <v>   End-to-End Integration Test</v>
      </c>
      <c r="D26" s="17" t="str">
        <f aca="false">IF($A26="","",IF(INDEX(Tasks!$D:$D,$A26)="","",INDEX(Tasks!$D:$D,$A26)))</f>
        <v>Dual-link owner</v>
      </c>
      <c r="E26" s="17" t="str">
        <f aca="false">IF($A26="","",IF(INDEX(Tasks!$E:$E,$A26)="","",INDEX(Tasks!$E:$E,$A26)))</f>
        <v>Not Started</v>
      </c>
      <c r="F26" s="18" t="n">
        <f aca="false">IF($A26="","",IF(INDEX(Tasks!$F:$F,$A26)="","",INDEX(Tasks!$F:$F,$A26)))</f>
        <v>46230</v>
      </c>
      <c r="G26" s="18" t="n">
        <f aca="false">IF($A26="","",IF(INDEX(Tasks!$H:$H,$A26)="","",INDEX(Tasks!$H:$H,$A26)))</f>
        <v>46234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IFERROR(MATCH($C$2&amp;"|"&amp;(ROW()-4),Tasks!$K$4:$K$403,0)+3,"")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IF($A27="","",IF(INDEX(Tasks!$D:$D,$A27)="","",INDEX(Tasks!$D:$D,$A27)))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IFERROR(MATCH($C$2&amp;"|"&amp;(ROW()-4),Tasks!$K$4:$K$403,0)+3,"")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IF($A28="","",IF(INDEX(Tasks!$D:$D,$A28)="","",INDEX(Tasks!$D:$D,$A28)))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IFERROR(MATCH($C$2&amp;"|"&amp;(ROW()-4),Tasks!$K$4:$K$403,0)+3,"")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IF($A29="","",IF(INDEX(Tasks!$D:$D,$A29)="","",INDEX(Tasks!$D:$D,$A29)))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IFERROR(MATCH($C$2&amp;"|"&amp;(ROW()-4),Tasks!$K$4:$K$403,0)+3,"")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IF($A30="","",IF(INDEX(Tasks!$D:$D,$A30)="","",INDEX(Tasks!$D:$D,$A30)))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IFERROR(MATCH($C$2&amp;"|"&amp;(ROW()-4),Tasks!$K$4:$K$403,0)+3,"")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IF($A31="","",IF(INDEX(Tasks!$D:$D,$A31)="","",INDEX(Tasks!$D:$D,$A31)))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IFERROR(MATCH($C$2&amp;"|"&amp;(ROW()-4),Tasks!$K$4:$K$403,0)+3,"")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IF($A32="","",IF(INDEX(Tasks!$D:$D,$A32)="","",INDEX(Tasks!$D:$D,$A32)))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IFERROR(MATCH($C$2&amp;"|"&amp;(ROW()-4),Tasks!$K$4:$K$403,0)+3,"")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IF($A33="","",IF(INDEX(Tasks!$D:$D,$A33)="","",INDEX(Tasks!$D:$D,$A33)))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IFERROR(MATCH($C$2&amp;"|"&amp;(ROW()-4),Tasks!$K$4:$K$403,0)+3,"")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IF($A34="","",IF(INDEX(Tasks!$D:$D,$A34)="","",INDEX(Tasks!$D:$D,$A34)))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IFERROR(MATCH($C$2&amp;"|"&amp;(ROW()-4),Tasks!$K$4:$K$403,0)+3,"")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IF($A35="","",IF(INDEX(Tasks!$D:$D,$A35)="","",INDEX(Tasks!$D:$D,$A35)))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IFERROR(MATCH($C$2&amp;"|"&amp;(ROW()-4),Tasks!$K$4:$K$403,0)+3,"")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IF($A36="","",IF(INDEX(Tasks!$D:$D,$A36)="","",INDEX(Tasks!$D:$D,$A36)))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IFERROR(MATCH($C$2&amp;"|"&amp;(ROW()-4),Tasks!$K$4:$K$403,0)+3,"")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IF($A37="","",IF(INDEX(Tasks!$D:$D,$A37)="","",INDEX(Tasks!$D:$D,$A37)))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IFERROR(MATCH($C$2&amp;"|"&amp;(ROW()-4),Tasks!$K$4:$K$403,0)+3,"")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IF($A38="","",IF(INDEX(Tasks!$D:$D,$A38)="","",INDEX(Tasks!$D:$D,$A38)))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IFERROR(MATCH($C$2&amp;"|"&amp;(ROW()-4),Tasks!$K$4:$K$403,0)+3,"")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IF($A39="","",IF(INDEX(Tasks!$D:$D,$A39)="","",INDEX(Tasks!$D:$D,$A39)))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IFERROR(MATCH($C$2&amp;"|"&amp;(ROW()-4),Tasks!$K$4:$K$403,0)+3,"")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IF($A40="","",IF(INDEX(Tasks!$D:$D,$A40)="","",INDEX(Tasks!$D:$D,$A40)))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IFERROR(MATCH($C$2&amp;"|"&amp;(ROW()-4),Tasks!$K$4:$K$403,0)+3,"")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IF($A41="","",IF(INDEX(Tasks!$D:$D,$A41)="","",INDEX(Tasks!$D:$D,$A41)))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IFERROR(MATCH($C$2&amp;"|"&amp;(ROW()-4),Tasks!$K$4:$K$403,0)+3,"")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IF($A42="","",IF(INDEX(Tasks!$D:$D,$A42)="","",INDEX(Tasks!$D:$D,$A42)))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IFERROR(MATCH($C$2&amp;"|"&amp;(ROW()-4),Tasks!$K$4:$K$403,0)+3,"")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IF($A43="","",IF(INDEX(Tasks!$D:$D,$A43)="","",INDEX(Tasks!$D:$D,$A43)))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IFERROR(MATCH($C$2&amp;"|"&amp;(ROW()-4),Tasks!$K$4:$K$403,0)+3,"")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IF($A44="","",IF(INDEX(Tasks!$D:$D,$A44)="","",INDEX(Tasks!$D:$D,$A44)))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IFERROR(MATCH($C$2&amp;"|"&amp;(ROW()-4),Tasks!$K$4:$K$403,0)+3,"")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IF($A45="","",IF(INDEX(Tasks!$D:$D,$A45)="","",INDEX(Tasks!$D:$D,$A45)))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IFERROR(MATCH($C$2&amp;"|"&amp;(ROW()-4),Tasks!$K$4:$K$403,0)+3,"")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IF($A46="","",IF(INDEX(Tasks!$D:$D,$A46)="","",INDEX(Tasks!$D:$D,$A46)))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IFERROR(MATCH($C$2&amp;"|"&amp;(ROW()-4),Tasks!$K$4:$K$403,0)+3,"")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IF($A47="","",IF(INDEX(Tasks!$D:$D,$A47)="","",INDEX(Tasks!$D:$D,$A47)))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IFERROR(MATCH($C$2&amp;"|"&amp;(ROW()-4),Tasks!$K$4:$K$403,0)+3,"")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IF($A48="","",IF(INDEX(Tasks!$D:$D,$A48)="","",INDEX(Tasks!$D:$D,$A48)))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IFERROR(MATCH($C$2&amp;"|"&amp;(ROW()-4),Tasks!$K$4:$K$403,0)+3,"")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IF($A49="","",IF(INDEX(Tasks!$D:$D,$A49)="","",INDEX(Tasks!$D:$D,$A49)))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IFERROR(MATCH($C$2&amp;"|"&amp;(ROW()-4),Tasks!$K$4:$K$403,0)+3,"")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IF($A50="","",IF(INDEX(Tasks!$D:$D,$A50)="","",INDEX(Tasks!$D:$D,$A50)))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IFERROR(MATCH($C$2&amp;"|"&amp;(ROW()-4),Tasks!$K$4:$K$403,0)+3,"")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IF($A51="","",IF(INDEX(Tasks!$D:$D,$A51)="","",INDEX(Tasks!$D:$D,$A51)))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IFERROR(MATCH($C$2&amp;"|"&amp;(ROW()-4),Tasks!$K$4:$K$403,0)+3,"")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IF($A52="","",IF(INDEX(Tasks!$D:$D,$A52)="","",INDEX(Tasks!$D:$D,$A52)))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IFERROR(MATCH($C$2&amp;"|"&amp;(ROW()-4),Tasks!$K$4:$K$403,0)+3,"")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IF($A53="","",IF(INDEX(Tasks!$D:$D,$A53)="","",INDEX(Tasks!$D:$D,$A53)))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IFERROR(MATCH($C$2&amp;"|"&amp;(ROW()-4),Tasks!$K$4:$K$403,0)+3,"")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IF($A54="","",IF(INDEX(Tasks!$D:$D,$A54)="","",INDEX(Tasks!$D:$D,$A54)))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IFERROR(MATCH($C$2&amp;"|"&amp;(ROW()-4),Tasks!$K$4:$K$403,0)+3,"")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IF($A55="","",IF(INDEX(Tasks!$D:$D,$A55)="","",INDEX(Tasks!$D:$D,$A55)))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IFERROR(MATCH($C$2&amp;"|"&amp;(ROW()-4),Tasks!$K$4:$K$403,0)+3,"")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IF($A56="","",IF(INDEX(Tasks!$D:$D,$A56)="","",INDEX(Tasks!$D:$D,$A56)))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IFERROR(MATCH($C$2&amp;"|"&amp;(ROW()-4),Tasks!$K$4:$K$403,0)+3,"")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IF($A57="","",IF(INDEX(Tasks!$D:$D,$A57)="","",INDEX(Tasks!$D:$D,$A57)))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IFERROR(MATCH($C$2&amp;"|"&amp;(ROW()-4),Tasks!$K$4:$K$403,0)+3,"")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IF($A58="","",IF(INDEX(Tasks!$D:$D,$A58)="","",INDEX(Tasks!$D:$D,$A58)))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IFERROR(MATCH($C$2&amp;"|"&amp;(ROW()-4),Tasks!$K$4:$K$403,0)+3,"")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IF($A59="","",IF(INDEX(Tasks!$D:$D,$A59)="","",INDEX(Tasks!$D:$D,$A59)))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IFERROR(MATCH($C$2&amp;"|"&amp;(ROW()-4),Tasks!$K$4:$K$403,0)+3,"")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IF($A60="","",IF(INDEX(Tasks!$D:$D,$A60)="","",INDEX(Tasks!$D:$D,$A60)))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IFERROR(MATCH($C$2&amp;"|"&amp;(ROW()-4),Tasks!$K$4:$K$403,0)+3,"")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IF($A61="","",IF(INDEX(Tasks!$D:$D,$A61)="","",INDEX(Tasks!$D:$D,$A61)))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IFERROR(MATCH($C$2&amp;"|"&amp;(ROW()-4),Tasks!$K$4:$K$403,0)+3,"")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IF($A62="","",IF(INDEX(Tasks!$D:$D,$A62)="","",INDEX(Tasks!$D:$D,$A62)))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IFERROR(MATCH($C$2&amp;"|"&amp;(ROW()-4),Tasks!$K$4:$K$403,0)+3,"")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IF($A63="","",IF(INDEX(Tasks!$D:$D,$A63)="","",INDEX(Tasks!$D:$D,$A63)))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IFERROR(MATCH($C$2&amp;"|"&amp;(ROW()-4),Tasks!$K$4:$K$403,0)+3,"")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IF($A64="","",IF(INDEX(Tasks!$D:$D,$A64)="","",INDEX(Tasks!$D:$D,$A64)))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IFERROR(MATCH($C$2&amp;"|"&amp;(ROW()-4),Tasks!$K$4:$K$403,0)+3,"")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IF($A65="","",IF(INDEX(Tasks!$D:$D,$A65)="","",INDEX(Tasks!$D:$D,$A65)))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IFERROR(MATCH($C$2&amp;"|"&amp;(ROW()-4),Tasks!$K$4:$K$403,0)+3,"")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IF($A66="","",IF(INDEX(Tasks!$D:$D,$A66)="","",INDEX(Tasks!$D:$D,$A66)))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IFERROR(MATCH($C$2&amp;"|"&amp;(ROW()-4),Tasks!$K$4:$K$403,0)+3,"")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IF($A67="","",IF(INDEX(Tasks!$D:$D,$A67)="","",INDEX(Tasks!$D:$D,$A67)))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IFERROR(MATCH($C$2&amp;"|"&amp;(ROW()-4),Tasks!$K$4:$K$403,0)+3,"")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IF($A68="","",IF(INDEX(Tasks!$D:$D,$A68)="","",INDEX(Tasks!$D:$D,$A68)))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IFERROR(MATCH($C$2&amp;"|"&amp;(ROW()-4),Tasks!$K$4:$K$403,0)+3,"")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IF($A69="","",IF(INDEX(Tasks!$D:$D,$A69)="","",INDEX(Tasks!$D:$D,$A69)))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IFERROR(MATCH($C$2&amp;"|"&amp;(ROW()-4),Tasks!$K$4:$K$403,0)+3,"")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IF($A70="","",IF(INDEX(Tasks!$D:$D,$A70)="","",INDEX(Tasks!$D:$D,$A70)))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IFERROR(MATCH($C$2&amp;"|"&amp;(ROW()-4),Tasks!$K$4:$K$403,0)+3,"")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IF($A71="","",IF(INDEX(Tasks!$D:$D,$A71)="","",INDEX(Tasks!$D:$D,$A71)))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IFERROR(MATCH($C$2&amp;"|"&amp;(ROW()-4),Tasks!$K$4:$K$403,0)+3,"")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IF($A72="","",IF(INDEX(Tasks!$D:$D,$A72)="","",INDEX(Tasks!$D:$D,$A72)))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IFERROR(MATCH($C$2&amp;"|"&amp;(ROW()-4),Tasks!$K$4:$K$403,0)+3,"")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IF($A73="","",IF(INDEX(Tasks!$D:$D,$A73)="","",INDEX(Tasks!$D:$D,$A73)))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IFERROR(MATCH($C$2&amp;"|"&amp;(ROW()-4),Tasks!$K$4:$K$403,0)+3,"")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IF($A74="","",IF(INDEX(Tasks!$D:$D,$A74)="","",INDEX(Tasks!$D:$D,$A74)))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IFERROR(MATCH($C$2&amp;"|"&amp;(ROW()-4),Tasks!$K$4:$K$403,0)+3,"")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IF($A75="","",IF(INDEX(Tasks!$D:$D,$A75)="","",INDEX(Tasks!$D:$D,$A75)))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IFERROR(MATCH($C$2&amp;"|"&amp;(ROW()-4),Tasks!$K$4:$K$403,0)+3,"")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IF($A76="","",IF(INDEX(Tasks!$D:$D,$A76)="","",INDEX(Tasks!$D:$D,$A76)))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IFERROR(MATCH($C$2&amp;"|"&amp;(ROW()-4),Tasks!$K$4:$K$403,0)+3,"")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IF($A77="","",IF(INDEX(Tasks!$D:$D,$A77)="","",INDEX(Tasks!$D:$D,$A77)))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IFERROR(MATCH($C$2&amp;"|"&amp;(ROW()-4),Tasks!$K$4:$K$403,0)+3,"")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IF($A78="","",IF(INDEX(Tasks!$D:$D,$A78)="","",INDEX(Tasks!$D:$D,$A78)))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IFERROR(MATCH($C$2&amp;"|"&amp;(ROW()-4),Tasks!$K$4:$K$403,0)+3,"")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IF($A79="","",IF(INDEX(Tasks!$D:$D,$A79)="","",INDEX(Tasks!$D:$D,$A79)))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IFERROR(MATCH($C$2&amp;"|"&amp;(ROW()-4),Tasks!$K$4:$K$403,0)+3,"")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IF($A80="","",IF(INDEX(Tasks!$D:$D,$A80)="","",INDEX(Tasks!$D:$D,$A80)))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IFERROR(MATCH($C$2&amp;"|"&amp;(ROW()-4),Tasks!$K$4:$K$403,0)+3,"")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IF($A81="","",IF(INDEX(Tasks!$D:$D,$A81)="","",INDEX(Tasks!$D:$D,$A81)))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IFERROR(MATCH($C$2&amp;"|"&amp;(ROW()-4),Tasks!$K$4:$K$403,0)+3,"")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IF($A82="","",IF(INDEX(Tasks!$D:$D,$A82)="","",INDEX(Tasks!$D:$D,$A82)))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IFERROR(MATCH($C$2&amp;"|"&amp;(ROW()-4),Tasks!$K$4:$K$403,0)+3,"")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IF($A83="","",IF(INDEX(Tasks!$D:$D,$A83)="","",INDEX(Tasks!$D:$D,$A83)))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IFERROR(MATCH($C$2&amp;"|"&amp;(ROW()-4),Tasks!$K$4:$K$403,0)+3,"")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IF($A84="","",IF(INDEX(Tasks!$D:$D,$A84)="","",INDEX(Tasks!$D:$D,$A84)))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IFERROR(MATCH($C$2&amp;"|"&amp;(ROW()-4),Tasks!$K$4:$K$403,0)+3,"")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IF($A85="","",IF(INDEX(Tasks!$D:$D,$A85)="","",INDEX(Tasks!$D:$D,$A85)))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IFERROR(MATCH($C$2&amp;"|"&amp;(ROW()-4),Tasks!$K$4:$K$403,0)+3,"")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IF($A86="","",IF(INDEX(Tasks!$D:$D,$A86)="","",INDEX(Tasks!$D:$D,$A86)))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IFERROR(MATCH($C$2&amp;"|"&amp;(ROW()-4),Tasks!$K$4:$K$403,0)+3,"")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IF($A87="","",IF(INDEX(Tasks!$D:$D,$A87)="","",INDEX(Tasks!$D:$D,$A87)))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IFERROR(MATCH($C$2&amp;"|"&amp;(ROW()-4),Tasks!$K$4:$K$403,0)+3,"")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IF($A88="","",IF(INDEX(Tasks!$D:$D,$A88)="","",INDEX(Tasks!$D:$D,$A88)))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IFERROR(MATCH($C$2&amp;"|"&amp;(ROW()-4),Tasks!$K$4:$K$403,0)+3,"")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IF($A89="","",IF(INDEX(Tasks!$D:$D,$A89)="","",INDEX(Tasks!$D:$D,$A89)))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IFERROR(MATCH($C$2&amp;"|"&amp;(ROW()-4),Tasks!$K$4:$K$403,0)+3,"")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IF($A90="","",IF(INDEX(Tasks!$D:$D,$A90)="","",INDEX(Tasks!$D:$D,$A90)))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IFERROR(MATCH($C$2&amp;"|"&amp;(ROW()-4),Tasks!$K$4:$K$403,0)+3,"")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IF($A91="","",IF(INDEX(Tasks!$D:$D,$A91)="","",INDEX(Tasks!$D:$D,$A91)))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IFERROR(MATCH($C$2&amp;"|"&amp;(ROW()-4),Tasks!$K$4:$K$403,0)+3,"")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IF($A92="","",IF(INDEX(Tasks!$D:$D,$A92)="","",INDEX(Tasks!$D:$D,$A92)))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IFERROR(MATCH($C$2&amp;"|"&amp;(ROW()-4),Tasks!$K$4:$K$403,0)+3,"")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IF($A93="","",IF(INDEX(Tasks!$D:$D,$A93)="","",INDEX(Tasks!$D:$D,$A93)))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IFERROR(MATCH($C$2&amp;"|"&amp;(ROW()-4),Tasks!$K$4:$K$403,0)+3,"")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IF($A94="","",IF(INDEX(Tasks!$D:$D,$A94)="","",INDEX(Tasks!$D:$D,$A94)))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IFERROR(MATCH($C$2&amp;"|"&amp;(ROW()-4),Tasks!$K$4:$K$403,0)+3,"")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IF($A95="","",IF(INDEX(Tasks!$D:$D,$A95)="","",INDEX(Tasks!$D:$D,$A95)))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IFERROR(MATCH($C$2&amp;"|"&amp;(ROW()-4),Tasks!$K$4:$K$403,0)+3,"")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IF($A96="","",IF(INDEX(Tasks!$D:$D,$A96)="","",INDEX(Tasks!$D:$D,$A96)))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IFERROR(MATCH($C$2&amp;"|"&amp;(ROW()-4),Tasks!$K$4:$K$403,0)+3,"")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IF($A97="","",IF(INDEX(Tasks!$D:$D,$A97)="","",INDEX(Tasks!$D:$D,$A97)))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IFERROR(MATCH($C$2&amp;"|"&amp;(ROW()-4),Tasks!$K$4:$K$403,0)+3,"")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IF($A98="","",IF(INDEX(Tasks!$D:$D,$A98)="","",INDEX(Tasks!$D:$D,$A98)))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IFERROR(MATCH($C$2&amp;"|"&amp;(ROW()-4),Tasks!$K$4:$K$403,0)+3,"")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IF($A99="","",IF(INDEX(Tasks!$D:$D,$A99)="","",INDEX(Tasks!$D:$D,$A99)))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IFERROR(MATCH($C$2&amp;"|"&amp;(ROW()-4),Tasks!$K$4:$K$403,0)+3,"")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IF($A100="","",IF(INDEX(Tasks!$D:$D,$A100)="","",INDEX(Tasks!$D:$D,$A100)))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IFERROR(MATCH($C$2&amp;"|"&amp;(ROW()-4),Tasks!$K$4:$K$403,0)+3,"")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IF($A101="","",IF(INDEX(Tasks!$D:$D,$A101)="","",INDEX(Tasks!$D:$D,$A101)))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IFERROR(MATCH($C$2&amp;"|"&amp;(ROW()-4),Tasks!$K$4:$K$403,0)+3,"")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IF($A102="","",IF(INDEX(Tasks!$D:$D,$A102)="","",INDEX(Tasks!$D:$D,$A102)))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IFERROR(MATCH($C$2&amp;"|"&amp;(ROW()-4),Tasks!$K$4:$K$403,0)+3,"")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IF($A103="","",IF(INDEX(Tasks!$D:$D,$A103)="","",INDEX(Tasks!$D:$D,$A103)))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IFERROR(MATCH($C$2&amp;"|"&amp;(ROW()-4),Tasks!$K$4:$K$403,0)+3,"")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IF($A104="","",IF(INDEX(Tasks!$D:$D,$A104)="","",INDEX(Tasks!$D:$D,$A104)))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IFERROR(MATCH($C$2&amp;"|"&amp;(ROW()-4),Tasks!$K$4:$K$403,0)+3,"")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IF($A105="","",IF(INDEX(Tasks!$D:$D,$A105)="","",INDEX(Tasks!$D:$D,$A105)))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IFERROR(MATCH($C$2&amp;"|"&amp;(ROW()-4),Tasks!$K$4:$K$403,0)+3,"")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IF($A106="","",IF(INDEX(Tasks!$D:$D,$A106)="","",INDEX(Tasks!$D:$D,$A106)))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IFERROR(MATCH($C$2&amp;"|"&amp;(ROW()-4),Tasks!$K$4:$K$403,0)+3,"")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IF($A107="","",IF(INDEX(Tasks!$D:$D,$A107)="","",INDEX(Tasks!$D:$D,$A107)))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IFERROR(MATCH($C$2&amp;"|"&amp;(ROW()-4),Tasks!$K$4:$K$403,0)+3,"")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IF($A108="","",IF(INDEX(Tasks!$D:$D,$A108)="","",INDEX(Tasks!$D:$D,$A108)))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IFERROR(MATCH($C$2&amp;"|"&amp;(ROW()-4),Tasks!$K$4:$K$403,0)+3,"")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IF($A109="","",IF(INDEX(Tasks!$D:$D,$A109)="","",INDEX(Tasks!$D:$D,$A109)))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IFERROR(MATCH($C$2&amp;"|"&amp;(ROW()-4),Tasks!$K$4:$K$403,0)+3,"")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IF($A110="","",IF(INDEX(Tasks!$D:$D,$A110)="","",INDEX(Tasks!$D:$D,$A110)))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IFERROR(MATCH($C$2&amp;"|"&amp;(ROW()-4),Tasks!$K$4:$K$403,0)+3,"")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IF($A111="","",IF(INDEX(Tasks!$D:$D,$A111)="","",INDEX(Tasks!$D:$D,$A111)))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IFERROR(MATCH($C$2&amp;"|"&amp;(ROW()-4),Tasks!$K$4:$K$403,0)+3,"")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IF($A112="","",IF(INDEX(Tasks!$D:$D,$A112)="","",INDEX(Tasks!$D:$D,$A112)))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IFERROR(MATCH($C$2&amp;"|"&amp;(ROW()-4),Tasks!$K$4:$K$403,0)+3,"")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IF($A113="","",IF(INDEX(Tasks!$D:$D,$A113)="","",INDEX(Tasks!$D:$D,$A113)))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IFERROR(MATCH($C$2&amp;"|"&amp;(ROW()-4),Tasks!$K$4:$K$403,0)+3,"")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IF($A114="","",IF(INDEX(Tasks!$D:$D,$A114)="","",INDEX(Tasks!$D:$D,$A114)))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IFERROR(MATCH($C$2&amp;"|"&amp;(ROW()-4),Tasks!$K$4:$K$403,0)+3,"")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IF($A115="","",IF(INDEX(Tasks!$D:$D,$A115)="","",INDEX(Tasks!$D:$D,$A115)))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IFERROR(MATCH($C$2&amp;"|"&amp;(ROW()-4),Tasks!$K$4:$K$403,0)+3,"")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IF($A116="","",IF(INDEX(Tasks!$D:$D,$A116)="","",INDEX(Tasks!$D:$D,$A116)))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IFERROR(MATCH($C$2&amp;"|"&amp;(ROW()-4),Tasks!$K$4:$K$403,0)+3,"")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IF($A117="","",IF(INDEX(Tasks!$D:$D,$A117)="","",INDEX(Tasks!$D:$D,$A117)))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IFERROR(MATCH($C$2&amp;"|"&amp;(ROW()-4),Tasks!$K$4:$K$403,0)+3,"")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IF($A118="","",IF(INDEX(Tasks!$D:$D,$A118)="","",INDEX(Tasks!$D:$D,$A118)))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IFERROR(MATCH($C$2&amp;"|"&amp;(ROW()-4),Tasks!$K$4:$K$403,0)+3,"")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IF($A119="","",IF(INDEX(Tasks!$D:$D,$A119)="","",INDEX(Tasks!$D:$D,$A119)))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IFERROR(MATCH($C$2&amp;"|"&amp;(ROW()-4),Tasks!$K$4:$K$403,0)+3,"")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IF($A120="","",IF(INDEX(Tasks!$D:$D,$A120)="","",INDEX(Tasks!$D:$D,$A120)))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IFERROR(MATCH($C$2&amp;"|"&amp;(ROW()-4),Tasks!$K$4:$K$403,0)+3,"")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IF($A121="","",IF(INDEX(Tasks!$D:$D,$A121)="","",INDEX(Tasks!$D:$D,$A121)))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IFERROR(MATCH($C$2&amp;"|"&amp;(ROW()-4),Tasks!$K$4:$K$403,0)+3,"")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IF($A122="","",IF(INDEX(Tasks!$D:$D,$A122)="","",INDEX(Tasks!$D:$D,$A122)))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IFERROR(MATCH($C$2&amp;"|"&amp;(ROW()-4),Tasks!$K$4:$K$403,0)+3,"")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IF($A123="","",IF(INDEX(Tasks!$D:$D,$A123)="","",INDEX(Tasks!$D:$D,$A123)))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IFERROR(MATCH($C$2&amp;"|"&amp;(ROW()-4),Tasks!$K$4:$K$403,0)+3,"")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IF($A124="","",IF(INDEX(Tasks!$D:$D,$A124)="","",INDEX(Tasks!$D:$D,$A124)))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322</v>
      </c>
    </row>
    <row r="2" customFormat="false" ht="15" hidden="false" customHeight="false" outlineLevel="0" collapsed="false">
      <c r="B2" s="2" t="s">
        <v>318</v>
      </c>
      <c r="C2" s="28" t="s">
        <v>273</v>
      </c>
      <c r="E2" s="13" t="str">
        <f aca="true">COUNTIFS(Tasks!$B$4:$B$403,$C$2,Tasks!$C$4:$C$403,"?*")&amp;" tasks   ·   "&amp;COUNTIFS(Tasks!$B$4:$B$403,$C$2,Tasks!$C$4:$C$403,"?*",Tasks!$E$4:$E$403,"In Progress")&amp;" in progress   ·   "&amp;COUNTIFS(Tasks!$B$4:$B$403,$C$2,Tasks!$C$4:$C$403,"?*",Tasks!$E$4:$E$403,"Blocked")&amp;" blocked   ·   "&amp;COUNTIFS(Tasks!$B$4:$B$403,$C$2,Tasks!$C$4:$C$403,"?*",Tasks!$H$4:$H$403,"&lt;"&amp;TODAY(),Tasks!$E$4:$E$403,"&lt;&gt;Complete")&amp;" overdue"</f>
        <v>14 tasks   ·   0 in progress   ·   0 blocked   ·   6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IFERROR(MATCH($C$2&amp;"|"&amp;(ROW()-4),Tasks!$K$4:$K$403,0)+3,"")</f>
        <v>109</v>
      </c>
      <c r="B5" s="17" t="str">
        <f aca="false">IF($A5="","",IF(INDEX(Tasks!$A:$A,$A5)="","",INDEX(Tasks!$A:$A,$A5)))</f>
        <v>SC-1</v>
      </c>
      <c r="C5" s="17" t="str">
        <f aca="false">IF($A5="","",IF(ISERROR(FIND(".",INDEX(Tasks!$A:$A,$A5))),"","   ")&amp;INDEX(Tasks!$C:$C,$A5))</f>
        <v>Object Recognition (Camera Encoder/Decoder)</v>
      </c>
      <c r="D5" s="17" t="str">
        <f aca="false">IF($A5="","",IF(INDEX(Tasks!$D:$D,$A5)="","",INDEX(Tasks!$D:$D,$A5)))</f>
        <v>Semantic comm owner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46195</v>
      </c>
      <c r="G5" s="18" t="n">
        <f aca="false">IF($A5="","",IF(INDEX(Tasks!$H:$H,$A5)="","",INDEX(Tasks!$H:$H,$A5)))</f>
        <v>46206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IFERROR(MATCH($C$2&amp;"|"&amp;(ROW()-4),Tasks!$K$4:$K$403,0)+3,"")</f>
        <v>110</v>
      </c>
      <c r="B6" s="17" t="str">
        <f aca="false">IF($A6="","",IF(INDEX(Tasks!$A:$A,$A6)="","",INDEX(Tasks!$A:$A,$A6)))</f>
        <v>SC-1.1</v>
      </c>
      <c r="C6" s="17" t="str">
        <f aca="false">IF($A6="","",IF(ISERROR(FIND(".",INDEX(Tasks!$A:$A,$A6))),"","   ")&amp;INDEX(Tasks!$C:$C,$A6))</f>
        <v>   Encoder + Decoder</v>
      </c>
      <c r="D6" s="17" t="str">
        <f aca="false">IF($A6="","",IF(INDEX(Tasks!$D:$D,$A6)="","",INDEX(Tasks!$D:$D,$A6)))</f>
        <v>Semantic comm owner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46195</v>
      </c>
      <c r="G6" s="18" t="n">
        <f aca="false">IF($A6="","",IF(INDEX(Tasks!$H:$H,$A6)="","",INDEX(Tasks!$H:$H,$A6)))</f>
        <v>46206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IFERROR(MATCH($C$2&amp;"|"&amp;(ROW()-4),Tasks!$K$4:$K$403,0)+3,"")</f>
        <v>111</v>
      </c>
      <c r="B7" s="17" t="str">
        <f aca="false">IF($A7="","",IF(INDEX(Tasks!$A:$A,$A7)="","",INDEX(Tasks!$A:$A,$A7)))</f>
        <v>SC-1.2</v>
      </c>
      <c r="C7" s="17" t="str">
        <f aca="false">IF($A7="","",IF(ISERROR(FIND(".",INDEX(Tasks!$A:$A,$A7))),"","   ")&amp;INDEX(Tasks!$C:$C,$A7))</f>
        <v>   Accuracy Validation</v>
      </c>
      <c r="D7" s="17" t="str">
        <f aca="false">IF($A7="","",IF(INDEX(Tasks!$D:$D,$A7)="","",INDEX(Tasks!$D:$D,$A7)))</f>
        <v>Semantic comm owner</v>
      </c>
      <c r="E7" s="17" t="str">
        <f aca="false">IF($A7="","",IF(INDEX(Tasks!$E:$E,$A7)="","",INDEX(Tasks!$E:$E,$A7)))</f>
        <v>Not Started</v>
      </c>
      <c r="F7" s="18" t="n">
        <f aca="false">IF($A7="","",IF(INDEX(Tasks!$F:$F,$A7)="","",INDEX(Tasks!$F:$F,$A7)))</f>
        <v>46202</v>
      </c>
      <c r="G7" s="18" t="n">
        <f aca="false">IF($A7="","",IF(INDEX(Tasks!$H:$H,$A7)="","",INDEX(Tasks!$H:$H,$A7)))</f>
        <v>46206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IFERROR(MATCH($C$2&amp;"|"&amp;(ROW()-4),Tasks!$K$4:$K$403,0)+3,"")</f>
        <v>112</v>
      </c>
      <c r="B8" s="17" t="str">
        <f aca="false">IF($A8="","",IF(INDEX(Tasks!$A:$A,$A8)="","",INDEX(Tasks!$A:$A,$A8)))</f>
        <v>SC-2</v>
      </c>
      <c r="C8" s="17" t="str">
        <f aca="false">IF($A8="","",IF(ISERROR(FIND(".",INDEX(Tasks!$A:$A,$A8))),"","   ")&amp;INDEX(Tasks!$C:$C,$A8))</f>
        <v>Build Core Framework</v>
      </c>
      <c r="D8" s="17" t="str">
        <f aca="false">IF($A8="","",IF(INDEX(Tasks!$D:$D,$A8)="","",INDEX(Tasks!$D:$D,$A8)))</f>
        <v>Semantic comm owner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46209</v>
      </c>
      <c r="G8" s="18" t="n">
        <f aca="false">IF($A8="","",IF(INDEX(Tasks!$H:$H,$A8)="","",INDEX(Tasks!$H:$H,$A8)))</f>
        <v>46220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IFERROR(MATCH($C$2&amp;"|"&amp;(ROW()-4),Tasks!$K$4:$K$403,0)+3,"")</f>
        <v>113</v>
      </c>
      <c r="B9" s="17" t="str">
        <f aca="false">IF($A9="","",IF(INDEX(Tasks!$A:$A,$A9)="","",INDEX(Tasks!$A:$A,$A9)))</f>
        <v>SC-2.1</v>
      </c>
      <c r="C9" s="17" t="str">
        <f aca="false">IF($A9="","",IF(ISERROR(FIND(".",INDEX(Tasks!$A:$A,$A9))),"","   ")&amp;INDEX(Tasks!$C:$C,$A9))</f>
        <v>   Baseline 3-Stage Framework</v>
      </c>
      <c r="D9" s="17" t="str">
        <f aca="false">IF($A9="","",IF(INDEX(Tasks!$D:$D,$A9)="","",INDEX(Tasks!$D:$D,$A9)))</f>
        <v>Semantic comm owner</v>
      </c>
      <c r="E9" s="17" t="str">
        <f aca="false">IF($A9="","",IF(INDEX(Tasks!$E:$E,$A9)="","",INDEX(Tasks!$E:$E,$A9)))</f>
        <v>Not Started</v>
      </c>
      <c r="F9" s="18" t="n">
        <f aca="false">IF($A9="","",IF(INDEX(Tasks!$F:$F,$A9)="","",INDEX(Tasks!$F:$F,$A9)))</f>
        <v>46209</v>
      </c>
      <c r="G9" s="18" t="n">
        <f aca="false">IF($A9="","",IF(INDEX(Tasks!$H:$H,$A9)="","",INDEX(Tasks!$H:$H,$A9)))</f>
        <v>46220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IFERROR(MATCH($C$2&amp;"|"&amp;(ROW()-4),Tasks!$K$4:$K$403,0)+3,"")</f>
        <v>114</v>
      </c>
      <c r="B10" s="17" t="str">
        <f aca="false">IF($A10="","",IF(INDEX(Tasks!$A:$A,$A10)="","",INDEX(Tasks!$A:$A,$A10)))</f>
        <v>SC-2.2</v>
      </c>
      <c r="C10" s="17" t="str">
        <f aca="false">IF($A10="","",IF(ISERROR(FIND(".",INDEX(Tasks!$A:$A,$A10))),"","   ")&amp;INDEX(Tasks!$C:$C,$A10))</f>
        <v>   Realistic Channel Model</v>
      </c>
      <c r="D10" s="17" t="str">
        <f aca="false">IF($A10="","",IF(INDEX(Tasks!$D:$D,$A10)="","",INDEX(Tasks!$D:$D,$A10)))</f>
        <v>Semantic comm owner</v>
      </c>
      <c r="E10" s="17" t="str">
        <f aca="false">IF($A10="","",IF(INDEX(Tasks!$E:$E,$A10)="","",INDEX(Tasks!$E:$E,$A10)))</f>
        <v>Not Started</v>
      </c>
      <c r="F10" s="18" t="n">
        <f aca="false">IF($A10="","",IF(INDEX(Tasks!$F:$F,$A10)="","",INDEX(Tasks!$F:$F,$A10)))</f>
        <v>46216</v>
      </c>
      <c r="G10" s="18" t="n">
        <f aca="false">IF($A10="","",IF(INDEX(Tasks!$H:$H,$A10)="","",INDEX(Tasks!$H:$H,$A10)))</f>
        <v>46220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IFERROR(MATCH($C$2&amp;"|"&amp;(ROW()-4),Tasks!$K$4:$K$403,0)+3,"")</f>
        <v>115</v>
      </c>
      <c r="B11" s="17" t="str">
        <f aca="false">IF($A11="","",IF(INDEX(Tasks!$A:$A,$A11)="","",INDEX(Tasks!$A:$A,$A11)))</f>
        <v>SC-3</v>
      </c>
      <c r="C11" s="17" t="str">
        <f aca="false">IF($A11="","",IF(ISERROR(FIND(".",INDEX(Tasks!$A:$A,$A11))),"","   ")&amp;INDEX(Tasks!$C:$C,$A11))</f>
        <v>Dynamic Bandwidth Management</v>
      </c>
      <c r="D11" s="17" t="str">
        <f aca="false">IF($A11="","",IF(INDEX(Tasks!$D:$D,$A11)="","",INDEX(Tasks!$D:$D,$A11)))</f>
        <v>Semantic comm owner</v>
      </c>
      <c r="E11" s="17" t="str">
        <f aca="false">IF($A11="","",IF(INDEX(Tasks!$E:$E,$A11)="","",INDEX(Tasks!$E:$E,$A11)))</f>
        <v>Not Started</v>
      </c>
      <c r="F11" s="18" t="str">
        <f aca="false">IF($A11="","",IF(INDEX(Tasks!$F:$F,$A11)="","",INDEX(Tasks!$F:$F,$A11)))</f>
        <v/>
      </c>
      <c r="G11" s="18" t="str">
        <f aca="false">IF($A11="","",IF(INDEX(Tasks!$H:$H,$A11)="","",INDEX(Tasks!$H:$H,$A11)))</f>
        <v/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IFERROR(MATCH($C$2&amp;"|"&amp;(ROW()-4),Tasks!$K$4:$K$403,0)+3,"")</f>
        <v>116</v>
      </c>
      <c r="B12" s="17" t="str">
        <f aca="false">IF($A12="","",IF(INDEX(Tasks!$A:$A,$A12)="","",INDEX(Tasks!$A:$A,$A12)))</f>
        <v>SC-3.1</v>
      </c>
      <c r="C12" s="17" t="str">
        <f aca="false">IF($A12="","",IF(ISERROR(FIND(".",INDEX(Tasks!$A:$A,$A12))),"","   ")&amp;INDEX(Tasks!$C:$C,$A12))</f>
        <v>   Semantic Allocation</v>
      </c>
      <c r="D12" s="17" t="str">
        <f aca="false">IF($A12="","",IF(INDEX(Tasks!$D:$D,$A12)="","",INDEX(Tasks!$D:$D,$A12)))</f>
        <v>Semantic comm owner</v>
      </c>
      <c r="E12" s="17" t="str">
        <f aca="false">IF($A12="","",IF(INDEX(Tasks!$E:$E,$A12)="","",INDEX(Tasks!$E:$E,$A12)))</f>
        <v>Not Started</v>
      </c>
      <c r="F12" s="18" t="str">
        <f aca="false">IF($A12="","",IF(INDEX(Tasks!$F:$F,$A12)="","",INDEX(Tasks!$F:$F,$A12)))</f>
        <v/>
      </c>
      <c r="G12" s="18" t="str">
        <f aca="false">IF($A12="","",IF(INDEX(Tasks!$H:$H,$A12)="","",INDEX(Tasks!$H:$H,$A12)))</f>
        <v/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IFERROR(MATCH($C$2&amp;"|"&amp;(ROW()-4),Tasks!$K$4:$K$403,0)+3,"")</f>
        <v>117</v>
      </c>
      <c r="B13" s="17" t="str">
        <f aca="false">IF($A13="","",IF(INDEX(Tasks!$A:$A,$A13)="","",INDEX(Tasks!$A:$A,$A13)))</f>
        <v>SC-3.2</v>
      </c>
      <c r="C13" s="17" t="str">
        <f aca="false">IF($A13="","",IF(ISERROR(FIND(".",INDEX(Tasks!$A:$A,$A13))),"","   ")&amp;INDEX(Tasks!$C:$C,$A13))</f>
        <v>   Physical Constraint Bounds</v>
      </c>
      <c r="D13" s="17" t="str">
        <f aca="false">IF($A13="","",IF(INDEX(Tasks!$D:$D,$A13)="","",INDEX(Tasks!$D:$D,$A13)))</f>
        <v>Semantic comm owner</v>
      </c>
      <c r="E13" s="17" t="str">
        <f aca="false">IF($A13="","",IF(INDEX(Tasks!$E:$E,$A13)="","",INDEX(Tasks!$E:$E,$A13)))</f>
        <v>Not Started</v>
      </c>
      <c r="F13" s="18" t="str">
        <f aca="false">IF($A13="","",IF(INDEX(Tasks!$F:$F,$A13)="","",INDEX(Tasks!$F:$F,$A13)))</f>
        <v/>
      </c>
      <c r="G13" s="18" t="str">
        <f aca="false">IF($A13="","",IF(INDEX(Tasks!$H:$H,$A13)="","",INDEX(Tasks!$H:$H,$A13)))</f>
        <v/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IFERROR(MATCH($C$2&amp;"|"&amp;(ROW()-4),Tasks!$K$4:$K$403,0)+3,"")</f>
        <v>118</v>
      </c>
      <c r="B14" s="17" t="str">
        <f aca="false">IF($A14="","",IF(INDEX(Tasks!$A:$A,$A14)="","",INDEX(Tasks!$A:$A,$A14)))</f>
        <v>SC-3.3</v>
      </c>
      <c r="C14" s="17" t="str">
        <f aca="false">IF($A14="","",IF(ISERROR(FIND(".",INDEX(Tasks!$A:$A,$A14))),"","   ")&amp;INDEX(Tasks!$C:$C,$A14))</f>
        <v>   Per-Modality Truncation</v>
      </c>
      <c r="D14" s="17" t="str">
        <f aca="false">IF($A14="","",IF(INDEX(Tasks!$D:$D,$A14)="","",INDEX(Tasks!$D:$D,$A14)))</f>
        <v>Semantic comm owner</v>
      </c>
      <c r="E14" s="17" t="str">
        <f aca="false">IF($A14="","",IF(INDEX(Tasks!$E:$E,$A14)="","",INDEX(Tasks!$E:$E,$A14)))</f>
        <v>Not Started</v>
      </c>
      <c r="F14" s="18" t="str">
        <f aca="false">IF($A14="","",IF(INDEX(Tasks!$F:$F,$A14)="","",INDEX(Tasks!$F:$F,$A14)))</f>
        <v/>
      </c>
      <c r="G14" s="18" t="str">
        <f aca="false">IF($A14="","",IF(INDEX(Tasks!$H:$H,$A14)="","",INDEX(Tasks!$H:$H,$A14)))</f>
        <v/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IFERROR(MATCH($C$2&amp;"|"&amp;(ROW()-4),Tasks!$K$4:$K$403,0)+3,"")</f>
        <v>119</v>
      </c>
      <c r="B15" s="17" t="str">
        <f aca="false">IF($A15="","",IF(INDEX(Tasks!$A:$A,$A15)="","",INDEX(Tasks!$A:$A,$A15)))</f>
        <v>SC-3.4</v>
      </c>
      <c r="C15" s="17" t="str">
        <f aca="false">IF($A15="","",IF(ISERROR(FIND(".",INDEX(Tasks!$A:$A,$A15))),"","   ")&amp;INDEX(Tasks!$C:$C,$A15))</f>
        <v>   Cost-Aware Feedback Loop</v>
      </c>
      <c r="D15" s="17" t="str">
        <f aca="false">IF($A15="","",IF(INDEX(Tasks!$D:$D,$A15)="","",INDEX(Tasks!$D:$D,$A15)))</f>
        <v>Semantic comm owner</v>
      </c>
      <c r="E15" s="17" t="str">
        <f aca="false">IF($A15="","",IF(INDEX(Tasks!$E:$E,$A15)="","",INDEX(Tasks!$E:$E,$A15)))</f>
        <v>Not Started</v>
      </c>
      <c r="F15" s="18" t="str">
        <f aca="false">IF($A15="","",IF(INDEX(Tasks!$F:$F,$A15)="","",INDEX(Tasks!$F:$F,$A15)))</f>
        <v/>
      </c>
      <c r="G15" s="18" t="str">
        <f aca="false">IF($A15="","",IF(INDEX(Tasks!$H:$H,$A15)="","",INDEX(Tasks!$H:$H,$A15)))</f>
        <v/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IFERROR(MATCH($C$2&amp;"|"&amp;(ROW()-4),Tasks!$K$4:$K$403,0)+3,"")</f>
        <v>120</v>
      </c>
      <c r="B16" s="17" t="str">
        <f aca="false">IF($A16="","",IF(INDEX(Tasks!$A:$A,$A16)="","",INDEX(Tasks!$A:$A,$A16)))</f>
        <v>SC-4</v>
      </c>
      <c r="C16" s="17" t="str">
        <f aca="false">IF($A16="","",IF(ISERROR(FIND(".",INDEX(Tasks!$A:$A,$A16))),"","   ")&amp;INDEX(Tasks!$C:$C,$A16))</f>
        <v>Multi-Task Transmission</v>
      </c>
      <c r="D16" s="17" t="str">
        <f aca="false">IF($A16="","",IF(INDEX(Tasks!$D:$D,$A16)="","",INDEX(Tasks!$D:$D,$A16)))</f>
        <v>Semantic comm owner</v>
      </c>
      <c r="E16" s="17" t="str">
        <f aca="false">IF($A16="","",IF(INDEX(Tasks!$E:$E,$A16)="","",INDEX(Tasks!$E:$E,$A16)))</f>
        <v>Not Started</v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IFERROR(MATCH($C$2&amp;"|"&amp;(ROW()-4),Tasks!$K$4:$K$403,0)+3,"")</f>
        <v>121</v>
      </c>
      <c r="B17" s="17" t="str">
        <f aca="false">IF($A17="","",IF(INDEX(Tasks!$A:$A,$A17)="","",INDEX(Tasks!$A:$A,$A17)))</f>
        <v>SC-5</v>
      </c>
      <c r="C17" s="17" t="str">
        <f aca="false">IF($A17="","",IF(ISERROR(FIND(".",INDEX(Tasks!$A:$A,$A17))),"","   ")&amp;INDEX(Tasks!$C:$C,$A17))</f>
        <v>Train &amp; Evaluate on Dataset</v>
      </c>
      <c r="D17" s="17" t="str">
        <f aca="false">IF($A17="","",IF(INDEX(Tasks!$D:$D,$A17)="","",INDEX(Tasks!$D:$D,$A17)))</f>
        <v>Semantic comm owner</v>
      </c>
      <c r="E17" s="17" t="str">
        <f aca="false">IF($A17="","",IF(INDEX(Tasks!$E:$E,$A17)="","",INDEX(Tasks!$E:$E,$A17)))</f>
        <v>Not Started</v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IFERROR(MATCH($C$2&amp;"|"&amp;(ROW()-4),Tasks!$K$4:$K$403,0)+3,"")</f>
        <v>122</v>
      </c>
      <c r="B18" s="17" t="str">
        <f aca="false">IF($A18="","",IF(INDEX(Tasks!$A:$A,$A18)="","",INDEX(Tasks!$A:$A,$A18)))</f>
        <v>SC-6</v>
      </c>
      <c r="C18" s="17" t="str">
        <f aca="false">IF($A18="","",IF(ISERROR(FIND(".",INDEX(Tasks!$A:$A,$A18))),"","   ")&amp;INDEX(Tasks!$C:$C,$A18))</f>
        <v>Integrate with Dual-Link</v>
      </c>
      <c r="D18" s="17" t="str">
        <f aca="false">IF($A18="","",IF(INDEX(Tasks!$D:$D,$A18)="","",INDEX(Tasks!$D:$D,$A18)))</f>
        <v>Semantic comm owner</v>
      </c>
      <c r="E18" s="17" t="str">
        <f aca="false">IF($A18="","",IF(INDEX(Tasks!$E:$E,$A18)="","",INDEX(Tasks!$E:$E,$A18)))</f>
        <v>Not Started</v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IFERROR(MATCH($C$2&amp;"|"&amp;(ROW()-4),Tasks!$K$4:$K$403,0)+3,"")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IF($A19="","",IF(INDEX(Tasks!$D:$D,$A19)="","",INDEX(Tasks!$D:$D,$A19)))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IFERROR(MATCH($C$2&amp;"|"&amp;(ROW()-4),Tasks!$K$4:$K$403,0)+3,"")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IF($A20="","",IF(INDEX(Tasks!$D:$D,$A20)="","",INDEX(Tasks!$D:$D,$A20)))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IFERROR(MATCH($C$2&amp;"|"&amp;(ROW()-4),Tasks!$K$4:$K$403,0)+3,"")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IF($A21="","",IF(INDEX(Tasks!$D:$D,$A21)="","",INDEX(Tasks!$D:$D,$A21)))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IFERROR(MATCH($C$2&amp;"|"&amp;(ROW()-4),Tasks!$K$4:$K$403,0)+3,"")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IF($A22="","",IF(INDEX(Tasks!$D:$D,$A22)="","",INDEX(Tasks!$D:$D,$A22)))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IFERROR(MATCH($C$2&amp;"|"&amp;(ROW()-4),Tasks!$K$4:$K$403,0)+3,"")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IF($A23="","",IF(INDEX(Tasks!$D:$D,$A23)="","",INDEX(Tasks!$D:$D,$A23)))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IFERROR(MATCH($C$2&amp;"|"&amp;(ROW()-4),Tasks!$K$4:$K$403,0)+3,"")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IF($A24="","",IF(INDEX(Tasks!$D:$D,$A24)="","",INDEX(Tasks!$D:$D,$A24)))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IFERROR(MATCH($C$2&amp;"|"&amp;(ROW()-4),Tasks!$K$4:$K$403,0)+3,"")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IF($A25="","",IF(INDEX(Tasks!$D:$D,$A25)="","",INDEX(Tasks!$D:$D,$A25)))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IFERROR(MATCH($C$2&amp;"|"&amp;(ROW()-4),Tasks!$K$4:$K$403,0)+3,"")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IF($A26="","",IF(INDEX(Tasks!$D:$D,$A26)="","",INDEX(Tasks!$D:$D,$A26)))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IFERROR(MATCH($C$2&amp;"|"&amp;(ROW()-4),Tasks!$K$4:$K$403,0)+3,"")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IF($A27="","",IF(INDEX(Tasks!$D:$D,$A27)="","",INDEX(Tasks!$D:$D,$A27)))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IFERROR(MATCH($C$2&amp;"|"&amp;(ROW()-4),Tasks!$K$4:$K$403,0)+3,"")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IF($A28="","",IF(INDEX(Tasks!$D:$D,$A28)="","",INDEX(Tasks!$D:$D,$A28)))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IFERROR(MATCH($C$2&amp;"|"&amp;(ROW()-4),Tasks!$K$4:$K$403,0)+3,"")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IF($A29="","",IF(INDEX(Tasks!$D:$D,$A29)="","",INDEX(Tasks!$D:$D,$A29)))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IFERROR(MATCH($C$2&amp;"|"&amp;(ROW()-4),Tasks!$K$4:$K$403,0)+3,"")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IF($A30="","",IF(INDEX(Tasks!$D:$D,$A30)="","",INDEX(Tasks!$D:$D,$A30)))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IFERROR(MATCH($C$2&amp;"|"&amp;(ROW()-4),Tasks!$K$4:$K$403,0)+3,"")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IF($A31="","",IF(INDEX(Tasks!$D:$D,$A31)="","",INDEX(Tasks!$D:$D,$A31)))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IFERROR(MATCH($C$2&amp;"|"&amp;(ROW()-4),Tasks!$K$4:$K$403,0)+3,"")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IF($A32="","",IF(INDEX(Tasks!$D:$D,$A32)="","",INDEX(Tasks!$D:$D,$A32)))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IFERROR(MATCH($C$2&amp;"|"&amp;(ROW()-4),Tasks!$K$4:$K$403,0)+3,"")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IF($A33="","",IF(INDEX(Tasks!$D:$D,$A33)="","",INDEX(Tasks!$D:$D,$A33)))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IFERROR(MATCH($C$2&amp;"|"&amp;(ROW()-4),Tasks!$K$4:$K$403,0)+3,"")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IF($A34="","",IF(INDEX(Tasks!$D:$D,$A34)="","",INDEX(Tasks!$D:$D,$A34)))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IFERROR(MATCH($C$2&amp;"|"&amp;(ROW()-4),Tasks!$K$4:$K$403,0)+3,"")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IF($A35="","",IF(INDEX(Tasks!$D:$D,$A35)="","",INDEX(Tasks!$D:$D,$A35)))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IFERROR(MATCH($C$2&amp;"|"&amp;(ROW()-4),Tasks!$K$4:$K$403,0)+3,"")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IF($A36="","",IF(INDEX(Tasks!$D:$D,$A36)="","",INDEX(Tasks!$D:$D,$A36)))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IFERROR(MATCH($C$2&amp;"|"&amp;(ROW()-4),Tasks!$K$4:$K$403,0)+3,"")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IF($A37="","",IF(INDEX(Tasks!$D:$D,$A37)="","",INDEX(Tasks!$D:$D,$A37)))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IFERROR(MATCH($C$2&amp;"|"&amp;(ROW()-4),Tasks!$K$4:$K$403,0)+3,"")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IF($A38="","",IF(INDEX(Tasks!$D:$D,$A38)="","",INDEX(Tasks!$D:$D,$A38)))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IFERROR(MATCH($C$2&amp;"|"&amp;(ROW()-4),Tasks!$K$4:$K$403,0)+3,"")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IF($A39="","",IF(INDEX(Tasks!$D:$D,$A39)="","",INDEX(Tasks!$D:$D,$A39)))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IFERROR(MATCH($C$2&amp;"|"&amp;(ROW()-4),Tasks!$K$4:$K$403,0)+3,"")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IF($A40="","",IF(INDEX(Tasks!$D:$D,$A40)="","",INDEX(Tasks!$D:$D,$A40)))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IFERROR(MATCH($C$2&amp;"|"&amp;(ROW()-4),Tasks!$K$4:$K$403,0)+3,"")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IF($A41="","",IF(INDEX(Tasks!$D:$D,$A41)="","",INDEX(Tasks!$D:$D,$A41)))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IFERROR(MATCH($C$2&amp;"|"&amp;(ROW()-4),Tasks!$K$4:$K$403,0)+3,"")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IF($A42="","",IF(INDEX(Tasks!$D:$D,$A42)="","",INDEX(Tasks!$D:$D,$A42)))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IFERROR(MATCH($C$2&amp;"|"&amp;(ROW()-4),Tasks!$K$4:$K$403,0)+3,"")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IF($A43="","",IF(INDEX(Tasks!$D:$D,$A43)="","",INDEX(Tasks!$D:$D,$A43)))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IFERROR(MATCH($C$2&amp;"|"&amp;(ROW()-4),Tasks!$K$4:$K$403,0)+3,"")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IF($A44="","",IF(INDEX(Tasks!$D:$D,$A44)="","",INDEX(Tasks!$D:$D,$A44)))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IFERROR(MATCH($C$2&amp;"|"&amp;(ROW()-4),Tasks!$K$4:$K$403,0)+3,"")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IF($A45="","",IF(INDEX(Tasks!$D:$D,$A45)="","",INDEX(Tasks!$D:$D,$A45)))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IFERROR(MATCH($C$2&amp;"|"&amp;(ROW()-4),Tasks!$K$4:$K$403,0)+3,"")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IF($A46="","",IF(INDEX(Tasks!$D:$D,$A46)="","",INDEX(Tasks!$D:$D,$A46)))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IFERROR(MATCH($C$2&amp;"|"&amp;(ROW()-4),Tasks!$K$4:$K$403,0)+3,"")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IF($A47="","",IF(INDEX(Tasks!$D:$D,$A47)="","",INDEX(Tasks!$D:$D,$A47)))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IFERROR(MATCH($C$2&amp;"|"&amp;(ROW()-4),Tasks!$K$4:$K$403,0)+3,"")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IF($A48="","",IF(INDEX(Tasks!$D:$D,$A48)="","",INDEX(Tasks!$D:$D,$A48)))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IFERROR(MATCH($C$2&amp;"|"&amp;(ROW()-4),Tasks!$K$4:$K$403,0)+3,"")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IF($A49="","",IF(INDEX(Tasks!$D:$D,$A49)="","",INDEX(Tasks!$D:$D,$A49)))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IFERROR(MATCH($C$2&amp;"|"&amp;(ROW()-4),Tasks!$K$4:$K$403,0)+3,"")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IF($A50="","",IF(INDEX(Tasks!$D:$D,$A50)="","",INDEX(Tasks!$D:$D,$A50)))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IFERROR(MATCH($C$2&amp;"|"&amp;(ROW()-4),Tasks!$K$4:$K$403,0)+3,"")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IF($A51="","",IF(INDEX(Tasks!$D:$D,$A51)="","",INDEX(Tasks!$D:$D,$A51)))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IFERROR(MATCH($C$2&amp;"|"&amp;(ROW()-4),Tasks!$K$4:$K$403,0)+3,"")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IF($A52="","",IF(INDEX(Tasks!$D:$D,$A52)="","",INDEX(Tasks!$D:$D,$A52)))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IFERROR(MATCH($C$2&amp;"|"&amp;(ROW()-4),Tasks!$K$4:$K$403,0)+3,"")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IF($A53="","",IF(INDEX(Tasks!$D:$D,$A53)="","",INDEX(Tasks!$D:$D,$A53)))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IFERROR(MATCH($C$2&amp;"|"&amp;(ROW()-4),Tasks!$K$4:$K$403,0)+3,"")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IF($A54="","",IF(INDEX(Tasks!$D:$D,$A54)="","",INDEX(Tasks!$D:$D,$A54)))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IFERROR(MATCH($C$2&amp;"|"&amp;(ROW()-4),Tasks!$K$4:$K$403,0)+3,"")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IF($A55="","",IF(INDEX(Tasks!$D:$D,$A55)="","",INDEX(Tasks!$D:$D,$A55)))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IFERROR(MATCH($C$2&amp;"|"&amp;(ROW()-4),Tasks!$K$4:$K$403,0)+3,"")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IF($A56="","",IF(INDEX(Tasks!$D:$D,$A56)="","",INDEX(Tasks!$D:$D,$A56)))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IFERROR(MATCH($C$2&amp;"|"&amp;(ROW()-4),Tasks!$K$4:$K$403,0)+3,"")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IF($A57="","",IF(INDEX(Tasks!$D:$D,$A57)="","",INDEX(Tasks!$D:$D,$A57)))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IFERROR(MATCH($C$2&amp;"|"&amp;(ROW()-4),Tasks!$K$4:$K$403,0)+3,"")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IF($A58="","",IF(INDEX(Tasks!$D:$D,$A58)="","",INDEX(Tasks!$D:$D,$A58)))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IFERROR(MATCH($C$2&amp;"|"&amp;(ROW()-4),Tasks!$K$4:$K$403,0)+3,"")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IF($A59="","",IF(INDEX(Tasks!$D:$D,$A59)="","",INDEX(Tasks!$D:$D,$A59)))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IFERROR(MATCH($C$2&amp;"|"&amp;(ROW()-4),Tasks!$K$4:$K$403,0)+3,"")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IF($A60="","",IF(INDEX(Tasks!$D:$D,$A60)="","",INDEX(Tasks!$D:$D,$A60)))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IFERROR(MATCH($C$2&amp;"|"&amp;(ROW()-4),Tasks!$K$4:$K$403,0)+3,"")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IF($A61="","",IF(INDEX(Tasks!$D:$D,$A61)="","",INDEX(Tasks!$D:$D,$A61)))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IFERROR(MATCH($C$2&amp;"|"&amp;(ROW()-4),Tasks!$K$4:$K$403,0)+3,"")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IF($A62="","",IF(INDEX(Tasks!$D:$D,$A62)="","",INDEX(Tasks!$D:$D,$A62)))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IFERROR(MATCH($C$2&amp;"|"&amp;(ROW()-4),Tasks!$K$4:$K$403,0)+3,"")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IF($A63="","",IF(INDEX(Tasks!$D:$D,$A63)="","",INDEX(Tasks!$D:$D,$A63)))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IFERROR(MATCH($C$2&amp;"|"&amp;(ROW()-4),Tasks!$K$4:$K$403,0)+3,"")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IF($A64="","",IF(INDEX(Tasks!$D:$D,$A64)="","",INDEX(Tasks!$D:$D,$A64)))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IFERROR(MATCH($C$2&amp;"|"&amp;(ROW()-4),Tasks!$K$4:$K$403,0)+3,"")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IF($A65="","",IF(INDEX(Tasks!$D:$D,$A65)="","",INDEX(Tasks!$D:$D,$A65)))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IFERROR(MATCH($C$2&amp;"|"&amp;(ROW()-4),Tasks!$K$4:$K$403,0)+3,"")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IF($A66="","",IF(INDEX(Tasks!$D:$D,$A66)="","",INDEX(Tasks!$D:$D,$A66)))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IFERROR(MATCH($C$2&amp;"|"&amp;(ROW()-4),Tasks!$K$4:$K$403,0)+3,"")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IF($A67="","",IF(INDEX(Tasks!$D:$D,$A67)="","",INDEX(Tasks!$D:$D,$A67)))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IFERROR(MATCH($C$2&amp;"|"&amp;(ROW()-4),Tasks!$K$4:$K$403,0)+3,"")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IF($A68="","",IF(INDEX(Tasks!$D:$D,$A68)="","",INDEX(Tasks!$D:$D,$A68)))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IFERROR(MATCH($C$2&amp;"|"&amp;(ROW()-4),Tasks!$K$4:$K$403,0)+3,"")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IF($A69="","",IF(INDEX(Tasks!$D:$D,$A69)="","",INDEX(Tasks!$D:$D,$A69)))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IFERROR(MATCH($C$2&amp;"|"&amp;(ROW()-4),Tasks!$K$4:$K$403,0)+3,"")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IF($A70="","",IF(INDEX(Tasks!$D:$D,$A70)="","",INDEX(Tasks!$D:$D,$A70)))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IFERROR(MATCH($C$2&amp;"|"&amp;(ROW()-4),Tasks!$K$4:$K$403,0)+3,"")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IF($A71="","",IF(INDEX(Tasks!$D:$D,$A71)="","",INDEX(Tasks!$D:$D,$A71)))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IFERROR(MATCH($C$2&amp;"|"&amp;(ROW()-4),Tasks!$K$4:$K$403,0)+3,"")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IF($A72="","",IF(INDEX(Tasks!$D:$D,$A72)="","",INDEX(Tasks!$D:$D,$A72)))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IFERROR(MATCH($C$2&amp;"|"&amp;(ROW()-4),Tasks!$K$4:$K$403,0)+3,"")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IF($A73="","",IF(INDEX(Tasks!$D:$D,$A73)="","",INDEX(Tasks!$D:$D,$A73)))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IFERROR(MATCH($C$2&amp;"|"&amp;(ROW()-4),Tasks!$K$4:$K$403,0)+3,"")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IF($A74="","",IF(INDEX(Tasks!$D:$D,$A74)="","",INDEX(Tasks!$D:$D,$A74)))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IFERROR(MATCH($C$2&amp;"|"&amp;(ROW()-4),Tasks!$K$4:$K$403,0)+3,"")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IF($A75="","",IF(INDEX(Tasks!$D:$D,$A75)="","",INDEX(Tasks!$D:$D,$A75)))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IFERROR(MATCH($C$2&amp;"|"&amp;(ROW()-4),Tasks!$K$4:$K$403,0)+3,"")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IF($A76="","",IF(INDEX(Tasks!$D:$D,$A76)="","",INDEX(Tasks!$D:$D,$A76)))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IFERROR(MATCH($C$2&amp;"|"&amp;(ROW()-4),Tasks!$K$4:$K$403,0)+3,"")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IF($A77="","",IF(INDEX(Tasks!$D:$D,$A77)="","",INDEX(Tasks!$D:$D,$A77)))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IFERROR(MATCH($C$2&amp;"|"&amp;(ROW()-4),Tasks!$K$4:$K$403,0)+3,"")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IF($A78="","",IF(INDEX(Tasks!$D:$D,$A78)="","",INDEX(Tasks!$D:$D,$A78)))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IFERROR(MATCH($C$2&amp;"|"&amp;(ROW()-4),Tasks!$K$4:$K$403,0)+3,"")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IF($A79="","",IF(INDEX(Tasks!$D:$D,$A79)="","",INDEX(Tasks!$D:$D,$A79)))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IFERROR(MATCH($C$2&amp;"|"&amp;(ROW()-4),Tasks!$K$4:$K$403,0)+3,"")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IF($A80="","",IF(INDEX(Tasks!$D:$D,$A80)="","",INDEX(Tasks!$D:$D,$A80)))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IFERROR(MATCH($C$2&amp;"|"&amp;(ROW()-4),Tasks!$K$4:$K$403,0)+3,"")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IF($A81="","",IF(INDEX(Tasks!$D:$D,$A81)="","",INDEX(Tasks!$D:$D,$A81)))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IFERROR(MATCH($C$2&amp;"|"&amp;(ROW()-4),Tasks!$K$4:$K$403,0)+3,"")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IF($A82="","",IF(INDEX(Tasks!$D:$D,$A82)="","",INDEX(Tasks!$D:$D,$A82)))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IFERROR(MATCH($C$2&amp;"|"&amp;(ROW()-4),Tasks!$K$4:$K$403,0)+3,"")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IF($A83="","",IF(INDEX(Tasks!$D:$D,$A83)="","",INDEX(Tasks!$D:$D,$A83)))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IFERROR(MATCH($C$2&amp;"|"&amp;(ROW()-4),Tasks!$K$4:$K$403,0)+3,"")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IF($A84="","",IF(INDEX(Tasks!$D:$D,$A84)="","",INDEX(Tasks!$D:$D,$A84)))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IFERROR(MATCH($C$2&amp;"|"&amp;(ROW()-4),Tasks!$K$4:$K$403,0)+3,"")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IF($A85="","",IF(INDEX(Tasks!$D:$D,$A85)="","",INDEX(Tasks!$D:$D,$A85)))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IFERROR(MATCH($C$2&amp;"|"&amp;(ROW()-4),Tasks!$K$4:$K$403,0)+3,"")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IF($A86="","",IF(INDEX(Tasks!$D:$D,$A86)="","",INDEX(Tasks!$D:$D,$A86)))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IFERROR(MATCH($C$2&amp;"|"&amp;(ROW()-4),Tasks!$K$4:$K$403,0)+3,"")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IF($A87="","",IF(INDEX(Tasks!$D:$D,$A87)="","",INDEX(Tasks!$D:$D,$A87)))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IFERROR(MATCH($C$2&amp;"|"&amp;(ROW()-4),Tasks!$K$4:$K$403,0)+3,"")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IF($A88="","",IF(INDEX(Tasks!$D:$D,$A88)="","",INDEX(Tasks!$D:$D,$A88)))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IFERROR(MATCH($C$2&amp;"|"&amp;(ROW()-4),Tasks!$K$4:$K$403,0)+3,"")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IF($A89="","",IF(INDEX(Tasks!$D:$D,$A89)="","",INDEX(Tasks!$D:$D,$A89)))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IFERROR(MATCH($C$2&amp;"|"&amp;(ROW()-4),Tasks!$K$4:$K$403,0)+3,"")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IF($A90="","",IF(INDEX(Tasks!$D:$D,$A90)="","",INDEX(Tasks!$D:$D,$A90)))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IFERROR(MATCH($C$2&amp;"|"&amp;(ROW()-4),Tasks!$K$4:$K$403,0)+3,"")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IF($A91="","",IF(INDEX(Tasks!$D:$D,$A91)="","",INDEX(Tasks!$D:$D,$A91)))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IFERROR(MATCH($C$2&amp;"|"&amp;(ROW()-4),Tasks!$K$4:$K$403,0)+3,"")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IF($A92="","",IF(INDEX(Tasks!$D:$D,$A92)="","",INDEX(Tasks!$D:$D,$A92)))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IFERROR(MATCH($C$2&amp;"|"&amp;(ROW()-4),Tasks!$K$4:$K$403,0)+3,"")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IF($A93="","",IF(INDEX(Tasks!$D:$D,$A93)="","",INDEX(Tasks!$D:$D,$A93)))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IFERROR(MATCH($C$2&amp;"|"&amp;(ROW()-4),Tasks!$K$4:$K$403,0)+3,"")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IF($A94="","",IF(INDEX(Tasks!$D:$D,$A94)="","",INDEX(Tasks!$D:$D,$A94)))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IFERROR(MATCH($C$2&amp;"|"&amp;(ROW()-4),Tasks!$K$4:$K$403,0)+3,"")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IF($A95="","",IF(INDEX(Tasks!$D:$D,$A95)="","",INDEX(Tasks!$D:$D,$A95)))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IFERROR(MATCH($C$2&amp;"|"&amp;(ROW()-4),Tasks!$K$4:$K$403,0)+3,"")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IF($A96="","",IF(INDEX(Tasks!$D:$D,$A96)="","",INDEX(Tasks!$D:$D,$A96)))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IFERROR(MATCH($C$2&amp;"|"&amp;(ROW()-4),Tasks!$K$4:$K$403,0)+3,"")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IF($A97="","",IF(INDEX(Tasks!$D:$D,$A97)="","",INDEX(Tasks!$D:$D,$A97)))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IFERROR(MATCH($C$2&amp;"|"&amp;(ROW()-4),Tasks!$K$4:$K$403,0)+3,"")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IF($A98="","",IF(INDEX(Tasks!$D:$D,$A98)="","",INDEX(Tasks!$D:$D,$A98)))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IFERROR(MATCH($C$2&amp;"|"&amp;(ROW()-4),Tasks!$K$4:$K$403,0)+3,"")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IF($A99="","",IF(INDEX(Tasks!$D:$D,$A99)="","",INDEX(Tasks!$D:$D,$A99)))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IFERROR(MATCH($C$2&amp;"|"&amp;(ROW()-4),Tasks!$K$4:$K$403,0)+3,"")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IF($A100="","",IF(INDEX(Tasks!$D:$D,$A100)="","",INDEX(Tasks!$D:$D,$A100)))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IFERROR(MATCH($C$2&amp;"|"&amp;(ROW()-4),Tasks!$K$4:$K$403,0)+3,"")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IF($A101="","",IF(INDEX(Tasks!$D:$D,$A101)="","",INDEX(Tasks!$D:$D,$A101)))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IFERROR(MATCH($C$2&amp;"|"&amp;(ROW()-4),Tasks!$K$4:$K$403,0)+3,"")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IF($A102="","",IF(INDEX(Tasks!$D:$D,$A102)="","",INDEX(Tasks!$D:$D,$A102)))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IFERROR(MATCH($C$2&amp;"|"&amp;(ROW()-4),Tasks!$K$4:$K$403,0)+3,"")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IF($A103="","",IF(INDEX(Tasks!$D:$D,$A103)="","",INDEX(Tasks!$D:$D,$A103)))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IFERROR(MATCH($C$2&amp;"|"&amp;(ROW()-4),Tasks!$K$4:$K$403,0)+3,"")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IF($A104="","",IF(INDEX(Tasks!$D:$D,$A104)="","",INDEX(Tasks!$D:$D,$A104)))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IFERROR(MATCH($C$2&amp;"|"&amp;(ROW()-4),Tasks!$K$4:$K$403,0)+3,"")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IF($A105="","",IF(INDEX(Tasks!$D:$D,$A105)="","",INDEX(Tasks!$D:$D,$A105)))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IFERROR(MATCH($C$2&amp;"|"&amp;(ROW()-4),Tasks!$K$4:$K$403,0)+3,"")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IF($A106="","",IF(INDEX(Tasks!$D:$D,$A106)="","",INDEX(Tasks!$D:$D,$A106)))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IFERROR(MATCH($C$2&amp;"|"&amp;(ROW()-4),Tasks!$K$4:$K$403,0)+3,"")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IF($A107="","",IF(INDEX(Tasks!$D:$D,$A107)="","",INDEX(Tasks!$D:$D,$A107)))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IFERROR(MATCH($C$2&amp;"|"&amp;(ROW()-4),Tasks!$K$4:$K$403,0)+3,"")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IF($A108="","",IF(INDEX(Tasks!$D:$D,$A108)="","",INDEX(Tasks!$D:$D,$A108)))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IFERROR(MATCH($C$2&amp;"|"&amp;(ROW()-4),Tasks!$K$4:$K$403,0)+3,"")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IF($A109="","",IF(INDEX(Tasks!$D:$D,$A109)="","",INDEX(Tasks!$D:$D,$A109)))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IFERROR(MATCH($C$2&amp;"|"&amp;(ROW()-4),Tasks!$K$4:$K$403,0)+3,"")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IF($A110="","",IF(INDEX(Tasks!$D:$D,$A110)="","",INDEX(Tasks!$D:$D,$A110)))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IFERROR(MATCH($C$2&amp;"|"&amp;(ROW()-4),Tasks!$K$4:$K$403,0)+3,"")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IF($A111="","",IF(INDEX(Tasks!$D:$D,$A111)="","",INDEX(Tasks!$D:$D,$A111)))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IFERROR(MATCH($C$2&amp;"|"&amp;(ROW()-4),Tasks!$K$4:$K$403,0)+3,"")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IF($A112="","",IF(INDEX(Tasks!$D:$D,$A112)="","",INDEX(Tasks!$D:$D,$A112)))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IFERROR(MATCH($C$2&amp;"|"&amp;(ROW()-4),Tasks!$K$4:$K$403,0)+3,"")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IF($A113="","",IF(INDEX(Tasks!$D:$D,$A113)="","",INDEX(Tasks!$D:$D,$A113)))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IFERROR(MATCH($C$2&amp;"|"&amp;(ROW()-4),Tasks!$K$4:$K$403,0)+3,"")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IF($A114="","",IF(INDEX(Tasks!$D:$D,$A114)="","",INDEX(Tasks!$D:$D,$A114)))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IFERROR(MATCH($C$2&amp;"|"&amp;(ROW()-4),Tasks!$K$4:$K$403,0)+3,"")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IF($A115="","",IF(INDEX(Tasks!$D:$D,$A115)="","",INDEX(Tasks!$D:$D,$A115)))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IFERROR(MATCH($C$2&amp;"|"&amp;(ROW()-4),Tasks!$K$4:$K$403,0)+3,"")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IF($A116="","",IF(INDEX(Tasks!$D:$D,$A116)="","",INDEX(Tasks!$D:$D,$A116)))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IFERROR(MATCH($C$2&amp;"|"&amp;(ROW()-4),Tasks!$K$4:$K$403,0)+3,"")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IF($A117="","",IF(INDEX(Tasks!$D:$D,$A117)="","",INDEX(Tasks!$D:$D,$A117)))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IFERROR(MATCH($C$2&amp;"|"&amp;(ROW()-4),Tasks!$K$4:$K$403,0)+3,"")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IF($A118="","",IF(INDEX(Tasks!$D:$D,$A118)="","",INDEX(Tasks!$D:$D,$A118)))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IFERROR(MATCH($C$2&amp;"|"&amp;(ROW()-4),Tasks!$K$4:$K$403,0)+3,"")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IF($A119="","",IF(INDEX(Tasks!$D:$D,$A119)="","",INDEX(Tasks!$D:$D,$A119)))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IFERROR(MATCH($C$2&amp;"|"&amp;(ROW()-4),Tasks!$K$4:$K$403,0)+3,"")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IF($A120="","",IF(INDEX(Tasks!$D:$D,$A120)="","",INDEX(Tasks!$D:$D,$A120)))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IFERROR(MATCH($C$2&amp;"|"&amp;(ROW()-4),Tasks!$K$4:$K$403,0)+3,"")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IF($A121="","",IF(INDEX(Tasks!$D:$D,$A121)="","",INDEX(Tasks!$D:$D,$A121)))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IFERROR(MATCH($C$2&amp;"|"&amp;(ROW()-4),Tasks!$K$4:$K$403,0)+3,"")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IF($A122="","",IF(INDEX(Tasks!$D:$D,$A122)="","",INDEX(Tasks!$D:$D,$A122)))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IFERROR(MATCH($C$2&amp;"|"&amp;(ROW()-4),Tasks!$K$4:$K$403,0)+3,"")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IF($A123="","",IF(INDEX(Tasks!$D:$D,$A123)="","",INDEX(Tasks!$D:$D,$A123)))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IFERROR(MATCH($C$2&amp;"|"&amp;(ROW()-4),Tasks!$K$4:$K$403,0)+3,"")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IF($A124="","",IF(INDEX(Tasks!$D:$D,$A124)="","",INDEX(Tasks!$D:$D,$A124)))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People!$A$4</f>
        <v>GS-SLAM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8 tasks   ·   0 in progress   ·   0 blocked   ·   2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50</v>
      </c>
      <c r="B5" s="17" t="str">
        <f aca="false">IF($A5="","",IF(INDEX(Tasks!$A:$A,$A5)="","",INDEX(Tasks!$A:$A,$A5)))</f>
        <v>G1-GS-1</v>
      </c>
      <c r="C5" s="17" t="str">
        <f aca="false">IF($A5="","",IF(ISERROR(FIND(".",INDEX(Tasks!$A:$A,$A5))),"","   ")&amp;INDEX(Tasks!$C:$C,$A5))</f>
        <v>Metric prior</v>
      </c>
      <c r="D5" s="17" t="str">
        <f aca="false">IF($A5="","",IF(INDEX(Tasks!$B:$B,$A5)="","",INDEX(Tasks!$B:$B,$A5)))</f>
        <v>G1 ED305 live digital twin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46307</v>
      </c>
      <c r="G5" s="18" t="n">
        <f aca="false">IF($A5="","",IF(INDEX(Tasks!$H:$H,$A5)="","",INDEX(Tasks!$H:$H,$A5)))</f>
        <v>46318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51</v>
      </c>
      <c r="B6" s="17" t="str">
        <f aca="false">IF($A6="","",IF(INDEX(Tasks!$A:$A,$A6)="","",INDEX(Tasks!$A:$A,$A6)))</f>
        <v>G1-GS-2</v>
      </c>
      <c r="C6" s="17" t="str">
        <f aca="false">IF($A6="","",IF(ISERROR(FIND(".",INDEX(Tasks!$A:$A,$A6))),"","   ")&amp;INDEX(Tasks!$C:$C,$A6))</f>
        <v>Tracking + keyframe gate</v>
      </c>
      <c r="D6" s="17" t="str">
        <f aca="false">IF($A6="","",IF(INDEX(Tasks!$B:$B,$A6)="","",INDEX(Tasks!$B:$B,$A6)))</f>
        <v>G1 ED305 live digital twin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46314</v>
      </c>
      <c r="G6" s="18" t="n">
        <f aca="false">IF($A6="","",IF(INDEX(Tasks!$H:$H,$A6)="","",INDEX(Tasks!$H:$H,$A6)))</f>
        <v>46339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52</v>
      </c>
      <c r="B7" s="17" t="str">
        <f aca="false">IF($A7="","",IF(INDEX(Tasks!$A:$A,$A7)="","",INDEX(Tasks!$A:$A,$A7)))</f>
        <v>G1-GS-3</v>
      </c>
      <c r="C7" s="17" t="str">
        <f aca="false">IF($A7="","",IF(ISERROR(FIND(".",INDEX(Tasks!$A:$A,$A7))),"","   ")&amp;INDEX(Tasks!$C:$C,$A7))</f>
        <v>Mapping + loop closure</v>
      </c>
      <c r="D7" s="17" t="str">
        <f aca="false">IF($A7="","",IF(INDEX(Tasks!$B:$B,$A7)="","",INDEX(Tasks!$B:$B,$A7)))</f>
        <v>G1 ED305 live digital twin</v>
      </c>
      <c r="E7" s="17" t="str">
        <f aca="false">IF($A7="","",IF(INDEX(Tasks!$E:$E,$A7)="","",INDEX(Tasks!$E:$E,$A7)))</f>
        <v>Not Started</v>
      </c>
      <c r="F7" s="18" t="n">
        <f aca="false">IF($A7="","",IF(INDEX(Tasks!$F:$F,$A7)="","",INDEX(Tasks!$F:$F,$A7)))</f>
        <v>46328</v>
      </c>
      <c r="G7" s="18" t="n">
        <f aca="false">IF($A7="","",IF(INDEX(Tasks!$H:$H,$A7)="","",INDEX(Tasks!$H:$H,$A7)))</f>
        <v>46353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53</v>
      </c>
      <c r="B8" s="17" t="str">
        <f aca="false">IF($A8="","",IF(INDEX(Tasks!$A:$A,$A8)="","",INDEX(Tasks!$A:$A,$A8)))</f>
        <v>G1-GS-3.1</v>
      </c>
      <c r="C8" s="17" t="str">
        <f aca="false">IF($A8="","",IF(ISERROR(FIND(".",INDEX(Tasks!$A:$A,$A8))),"","   ")&amp;INDEX(Tasks!$C:$C,$A8))</f>
        <v>   Dynamic-Object Filter (Pre-Registration)</v>
      </c>
      <c r="D8" s="17" t="str">
        <f aca="false">IF($A8="","",IF(INDEX(Tasks!$B:$B,$A8)="","",INDEX(Tasks!$B:$B,$A8)))</f>
        <v>G1 ED305 live digital twin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46202</v>
      </c>
      <c r="G8" s="18" t="n">
        <f aca="false">IF($A8="","",IF(INDEX(Tasks!$H:$H,$A8)="","",INDEX(Tasks!$H:$H,$A8)))</f>
        <v>46206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54</v>
      </c>
      <c r="B9" s="17" t="str">
        <f aca="false">IF($A9="","",IF(INDEX(Tasks!$A:$A,$A9)="","",INDEX(Tasks!$A:$A,$A9)))</f>
        <v>G1-GS-3.2</v>
      </c>
      <c r="C9" s="17" t="str">
        <f aca="false">IF($A9="","",IF(ISERROR(FIND(".",INDEX(Tasks!$A:$A,$A9))),"","   ")&amp;INDEX(Tasks!$C:$C,$A9))</f>
        <v>   Static Point Cloud Registration</v>
      </c>
      <c r="D9" s="17" t="str">
        <f aca="false">IF($A9="","",IF(INDEX(Tasks!$B:$B,$A9)="","",INDEX(Tasks!$B:$B,$A9)))</f>
        <v>G1 ED305 live digital twin</v>
      </c>
      <c r="E9" s="17" t="str">
        <f aca="false">IF($A9="","",IF(INDEX(Tasks!$E:$E,$A9)="","",INDEX(Tasks!$E:$E,$A9)))</f>
        <v>Not Started</v>
      </c>
      <c r="F9" s="18" t="n">
        <f aca="false">IF($A9="","",IF(INDEX(Tasks!$F:$F,$A9)="","",INDEX(Tasks!$F:$F,$A9)))</f>
        <v>46202</v>
      </c>
      <c r="G9" s="18" t="n">
        <f aca="false">IF($A9="","",IF(INDEX(Tasks!$H:$H,$A9)="","",INDEX(Tasks!$H:$H,$A9)))</f>
        <v>46206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55</v>
      </c>
      <c r="B10" s="17" t="str">
        <f aca="false">IF($A10="","",IF(INDEX(Tasks!$A:$A,$A10)="","",INDEX(Tasks!$A:$A,$A10)))</f>
        <v>G1-GS-4</v>
      </c>
      <c r="C10" s="17" t="str">
        <f aca="false">IF($A10="","",IF(ISERROR(FIND(".",INDEX(Tasks!$A:$A,$A10))),"","   ")&amp;INDEX(Tasks!$C:$C,$A10))</f>
        <v>Real-time budget</v>
      </c>
      <c r="D10" s="17" t="str">
        <f aca="false">IF($A10="","",IF(INDEX(Tasks!$B:$B,$A10)="","",INDEX(Tasks!$B:$B,$A10)))</f>
        <v>G1 ED305 live digital twin</v>
      </c>
      <c r="E10" s="17" t="str">
        <f aca="false">IF($A10="","",IF(INDEX(Tasks!$E:$E,$A10)="","",INDEX(Tasks!$E:$E,$A10)))</f>
        <v>Not Started</v>
      </c>
      <c r="F10" s="18" t="n">
        <f aca="false">IF($A10="","",IF(INDEX(Tasks!$F:$F,$A10)="","",INDEX(Tasks!$F:$F,$A10)))</f>
        <v>46349</v>
      </c>
      <c r="G10" s="18" t="n">
        <f aca="false">IF($A10="","",IF(INDEX(Tasks!$H:$H,$A10)="","",INDEX(Tasks!$H:$H,$A10)))</f>
        <v>46360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IFERROR(MATCH($C$2&amp;"|"&amp;(ROW()-4),Tasks!$J$4:$J$403,0)+3,"")</f>
        <v>56</v>
      </c>
      <c r="B11" s="17" t="str">
        <f aca="false">IF($A11="","",IF(INDEX(Tasks!$A:$A,$A11)="","",INDEX(Tasks!$A:$A,$A11)))</f>
        <v>G1-GS-5</v>
      </c>
      <c r="C11" s="17" t="str">
        <f aca="false">IF($A11="","",IF(ISERROR(FIND(".",INDEX(Tasks!$A:$A,$A11))),"","   ")&amp;INDEX(Tasks!$C:$C,$A11))</f>
        <v>Map fusion (multi-robot)</v>
      </c>
      <c r="D11" s="17" t="str">
        <f aca="false">IF($A11="","",IF(INDEX(Tasks!$B:$B,$A11)="","",INDEX(Tasks!$B:$B,$A11)))</f>
        <v>G1 ED305 live digital twin</v>
      </c>
      <c r="E11" s="17" t="str">
        <f aca="false">IF($A11="","",IF(INDEX(Tasks!$E:$E,$A11)="","",INDEX(Tasks!$E:$E,$A11)))</f>
        <v>Not Started</v>
      </c>
      <c r="F11" s="18" t="n">
        <f aca="false">IF($A11="","",IF(INDEX(Tasks!$F:$F,$A11)="","",INDEX(Tasks!$F:$F,$A11)))</f>
        <v>46356</v>
      </c>
      <c r="G11" s="18" t="n">
        <f aca="false">IF($A11="","",IF(INDEX(Tasks!$H:$H,$A11)="","",INDEX(Tasks!$H:$H,$A11)))</f>
        <v>46381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IFERROR(MATCH($C$2&amp;"|"&amp;(ROW()-4),Tasks!$J$4:$J$403,0)+3,"")</f>
        <v>57</v>
      </c>
      <c r="B12" s="17" t="str">
        <f aca="false">IF($A12="","",IF(INDEX(Tasks!$A:$A,$A12)="","",INDEX(Tasks!$A:$A,$A12)))</f>
        <v>G1-GS-6</v>
      </c>
      <c r="C12" s="17" t="str">
        <f aca="false">IF($A12="","",IF(ISERROR(FIND(".",INDEX(Tasks!$A:$A,$A12))),"","   ")&amp;INDEX(Tasks!$C:$C,$A12))</f>
        <v>Evaluation</v>
      </c>
      <c r="D12" s="17" t="str">
        <f aca="false">IF($A12="","",IF(INDEX(Tasks!$B:$B,$A12)="","",INDEX(Tasks!$B:$B,$A12)))</f>
        <v>G1 ED305 live digital twin</v>
      </c>
      <c r="E12" s="17" t="str">
        <f aca="false">IF($A12="","",IF(INDEX(Tasks!$E:$E,$A12)="","",INDEX(Tasks!$E:$E,$A12)))</f>
        <v>Not Started</v>
      </c>
      <c r="F12" s="18" t="n">
        <f aca="false">IF($A12="","",IF(INDEX(Tasks!$F:$F,$A12)="","",INDEX(Tasks!$F:$F,$A12)))</f>
        <v>46377</v>
      </c>
      <c r="G12" s="18" t="n">
        <f aca="false">IF($A12="","",IF(INDEX(Tasks!$H:$H,$A12)="","",INDEX(Tasks!$H:$H,$A12)))</f>
        <v>46388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str">
        <f aca="false">IFERROR(MATCH($C$2&amp;"|"&amp;(ROW()-4),Tasks!$J$4:$J$403,0)+3,"")</f>
        <v/>
      </c>
      <c r="B13" s="17" t="str">
        <f aca="false">IF($A13="","",IF(INDEX(Tasks!$A:$A,$A13)="","",INDEX(Tasks!$A:$A,$A13)))</f>
        <v/>
      </c>
      <c r="C13" s="17" t="str">
        <f aca="false">IF($A13="","",IF(ISERROR(FIND(".",INDEX(Tasks!$A:$A,$A13))),"","   ")&amp;INDEX(Tasks!$C:$C,$A13))</f>
        <v/>
      </c>
      <c r="D13" s="17" t="str">
        <f aca="false">IF($A13="","",IF(INDEX(Tasks!$B:$B,$A13)="","",INDEX(Tasks!$B:$B,$A13)))</f>
        <v/>
      </c>
      <c r="E13" s="17" t="str">
        <f aca="false">IF($A13="","",IF(INDEX(Tasks!$E:$E,$A13)="","",INDEX(Tasks!$E:$E,$A13)))</f>
        <v/>
      </c>
      <c r="F13" s="18" t="str">
        <f aca="false">IF($A13="","",IF(INDEX(Tasks!$F:$F,$A13)="","",INDEX(Tasks!$F:$F,$A13)))</f>
        <v/>
      </c>
      <c r="G13" s="18" t="str">
        <f aca="false">IF($A13="","",IF(INDEX(Tasks!$H:$H,$A13)="","",INDEX(Tasks!$H:$H,$A13)))</f>
        <v/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str">
        <f aca="false">IFERROR(MATCH($C$2&amp;"|"&amp;(ROW()-4),Tasks!$J$4:$J$403,0)+3,"")</f>
        <v/>
      </c>
      <c r="B14" s="17" t="str">
        <f aca="false">IF($A14="","",IF(INDEX(Tasks!$A:$A,$A14)="","",INDEX(Tasks!$A:$A,$A14)))</f>
        <v/>
      </c>
      <c r="C14" s="17" t="str">
        <f aca="false">IF($A14="","",IF(ISERROR(FIND(".",INDEX(Tasks!$A:$A,$A14))),"","   ")&amp;INDEX(Tasks!$C:$C,$A14))</f>
        <v/>
      </c>
      <c r="D14" s="17" t="str">
        <f aca="false">IF($A14="","",IF(INDEX(Tasks!$B:$B,$A14)="","",INDEX(Tasks!$B:$B,$A14)))</f>
        <v/>
      </c>
      <c r="E14" s="17" t="str">
        <f aca="false">IF($A14="","",IF(INDEX(Tasks!$E:$E,$A14)="","",INDEX(Tasks!$E:$E,$A14)))</f>
        <v/>
      </c>
      <c r="F14" s="18" t="str">
        <f aca="false">IF($A14="","",IF(INDEX(Tasks!$F:$F,$A14)="","",INDEX(Tasks!$F:$F,$A14)))</f>
        <v/>
      </c>
      <c r="G14" s="18" t="str">
        <f aca="false">IF($A14="","",IF(INDEX(Tasks!$H:$H,$A14)="","",INDEX(Tasks!$H:$H,$A14)))</f>
        <v/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str">
        <f aca="false">IFERROR(MATCH($C$2&amp;"|"&amp;(ROW()-4),Tasks!$J$4:$J$403,0)+3,"")</f>
        <v/>
      </c>
      <c r="B15" s="17" t="str">
        <f aca="false">IF($A15="","",IF(INDEX(Tasks!$A:$A,$A15)="","",INDEX(Tasks!$A:$A,$A15)))</f>
        <v/>
      </c>
      <c r="C15" s="17" t="str">
        <f aca="false">IF($A15="","",IF(ISERROR(FIND(".",INDEX(Tasks!$A:$A,$A15))),"","   ")&amp;INDEX(Tasks!$C:$C,$A15))</f>
        <v/>
      </c>
      <c r="D15" s="17" t="str">
        <f aca="false">IF($A15="","",IF(INDEX(Tasks!$B:$B,$A15)="","",INDEX(Tasks!$B:$B,$A15)))</f>
        <v/>
      </c>
      <c r="E15" s="17" t="str">
        <f aca="false">IF($A15="","",IF(INDEX(Tasks!$E:$E,$A15)="","",INDEX(Tasks!$E:$E,$A15)))</f>
        <v/>
      </c>
      <c r="F15" s="18" t="str">
        <f aca="false">IF($A15="","",IF(INDEX(Tasks!$F:$F,$A15)="","",INDEX(Tasks!$F:$F,$A15)))</f>
        <v/>
      </c>
      <c r="G15" s="18" t="str">
        <f aca="false">IF($A15="","",IF(INDEX(Tasks!$H:$H,$A15)="","",INDEX(Tasks!$H:$H,$A15)))</f>
        <v/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str">
        <f aca="false">IFERROR(MATCH($C$2&amp;"|"&amp;(ROW()-4),Tasks!$J$4:$J$403,0)+3,"")</f>
        <v/>
      </c>
      <c r="B16" s="17" t="str">
        <f aca="false">IF($A16="","",IF(INDEX(Tasks!$A:$A,$A16)="","",INDEX(Tasks!$A:$A,$A16)))</f>
        <v/>
      </c>
      <c r="C16" s="17" t="str">
        <f aca="false">IF($A16="","",IF(ISERROR(FIND(".",INDEX(Tasks!$A:$A,$A16))),"","   ")&amp;INDEX(Tasks!$C:$C,$A16))</f>
        <v/>
      </c>
      <c r="D16" s="17" t="str">
        <f aca="false">IF($A16="","",IF(INDEX(Tasks!$B:$B,$A16)="","",INDEX(Tasks!$B:$B,$A16)))</f>
        <v/>
      </c>
      <c r="E16" s="17" t="str">
        <f aca="false">IF($A16="","",IF(INDEX(Tasks!$E:$E,$A16)="","",INDEX(Tasks!$E:$E,$A16)))</f>
        <v/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str">
        <f aca="false">IFERROR(MATCH($C$2&amp;"|"&amp;(ROW()-4),Tasks!$J$4:$J$403,0)+3,"")</f>
        <v/>
      </c>
      <c r="B17" s="17" t="str">
        <f aca="false">IF($A17="","",IF(INDEX(Tasks!$A:$A,$A17)="","",INDEX(Tasks!$A:$A,$A17)))</f>
        <v/>
      </c>
      <c r="C17" s="17" t="str">
        <f aca="false">IF($A17="","",IF(ISERROR(FIND(".",INDEX(Tasks!$A:$A,$A17))),"","   ")&amp;INDEX(Tasks!$C:$C,$A17))</f>
        <v/>
      </c>
      <c r="D17" s="17" t="str">
        <f aca="false">IF($A17="","",IF(INDEX(Tasks!$B:$B,$A17)="","",INDEX(Tasks!$B:$B,$A17)))</f>
        <v/>
      </c>
      <c r="E17" s="17" t="str">
        <f aca="false">IF($A17="","",IF(INDEX(Tasks!$E:$E,$A17)="","",INDEX(Tasks!$E:$E,$A17)))</f>
        <v/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str">
        <f aca="false">IFERROR(MATCH($C$2&amp;"|"&amp;(ROW()-4),Tasks!$J$4:$J$403,0)+3,"")</f>
        <v/>
      </c>
      <c r="B18" s="17" t="str">
        <f aca="false">IF($A18="","",IF(INDEX(Tasks!$A:$A,$A18)="","",INDEX(Tasks!$A:$A,$A18)))</f>
        <v/>
      </c>
      <c r="C18" s="17" t="str">
        <f aca="false">IF($A18="","",IF(ISERROR(FIND(".",INDEX(Tasks!$A:$A,$A18))),"","   ")&amp;INDEX(Tasks!$C:$C,$A18))</f>
        <v/>
      </c>
      <c r="D18" s="17" t="str">
        <f aca="false">IF($A18="","",IF(INDEX(Tasks!$B:$B,$A18)="","",INDEX(Tasks!$B:$B,$A18)))</f>
        <v/>
      </c>
      <c r="E18" s="17" t="str">
        <f aca="false">IF($A18="","",IF(INDEX(Tasks!$E:$E,$A18)="","",INDEX(Tasks!$E:$E,$A18)))</f>
        <v/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IFERROR(MATCH($C$2&amp;"|"&amp;(ROW()-4),Tasks!$J$4:$J$403,0)+3,"")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IF($A19="","",IF(INDEX(Tasks!$B:$B,$A19)="","",INDEX(Tasks!$B:$B,$A19)))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IFERROR(MATCH($C$2&amp;"|"&amp;(ROW()-4),Tasks!$J$4:$J$403,0)+3,"")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IF($A20="","",IF(INDEX(Tasks!$B:$B,$A20)="","",INDEX(Tasks!$B:$B,$A20)))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IFERROR(MATCH($C$2&amp;"|"&amp;(ROW()-4),Tasks!$J$4:$J$403,0)+3,"")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IF($A21="","",IF(INDEX(Tasks!$B:$B,$A21)="","",INDEX(Tasks!$B:$B,$A21)))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IFERROR(MATCH($C$2&amp;"|"&amp;(ROW()-4),Tasks!$J$4:$J$403,0)+3,"")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IF($A22="","",IF(INDEX(Tasks!$B:$B,$A22)="","",INDEX(Tasks!$B:$B,$A22)))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IFERROR(MATCH($C$2&amp;"|"&amp;(ROW()-4),Tasks!$J$4:$J$403,0)+3,"")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IF($A23="","",IF(INDEX(Tasks!$B:$B,$A23)="","",INDEX(Tasks!$B:$B,$A23)))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IFERROR(MATCH($C$2&amp;"|"&amp;(ROW()-4),Tasks!$J$4:$J$403,0)+3,"")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IF($A24="","",IF(INDEX(Tasks!$B:$B,$A24)="","",INDEX(Tasks!$B:$B,$A24)))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IFERROR(MATCH($C$2&amp;"|"&amp;(ROW()-4),Tasks!$J$4:$J$403,0)+3,"")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IF($A25="","",IF(INDEX(Tasks!$B:$B,$A25)="","",INDEX(Tasks!$B:$B,$A25)))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IFERROR(MATCH($C$2&amp;"|"&amp;(ROW()-4),Tasks!$J$4:$J$403,0)+3,"")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IF($A26="","",IF(INDEX(Tasks!$B:$B,$A26)="","",INDEX(Tasks!$B:$B,$A26)))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People!$A$5</f>
        <v>Isaac Sim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8 tasks   ·   0 in progress   ·   0 blocked   ·   0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69</v>
      </c>
      <c r="B5" s="17" t="str">
        <f aca="false">IF($A5="","",IF(INDEX(Tasks!$A:$A,$A5)="","",INDEX(Tasks!$A:$A,$A5)))</f>
        <v>G1-IS-1</v>
      </c>
      <c r="C5" s="17" t="str">
        <f aca="false">IF($A5="","",IF(ISERROR(FIND(".",INDEX(Tasks!$A:$A,$A5))),"","   ")&amp;INDEX(Tasks!$C:$C,$A5))</f>
        <v>ED305 USD stage in the room frame</v>
      </c>
      <c r="D5" s="17" t="str">
        <f aca="false">IF($A5="","",IF(INDEX(Tasks!$B:$B,$A5)="","",INDEX(Tasks!$B:$B,$A5)))</f>
        <v>G1 ED305 live digital twin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46307</v>
      </c>
      <c r="G5" s="18" t="n">
        <f aca="false">IF($A5="","",IF(INDEX(Tasks!$H:$H,$A5)="","",INDEX(Tasks!$H:$H,$A5)))</f>
        <v>46325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70</v>
      </c>
      <c r="B6" s="17" t="str">
        <f aca="false">IF($A6="","",IF(INDEX(Tasks!$A:$A,$A6)="","",INDEX(Tasks!$A:$A,$A6)))</f>
        <v>G1-IS-2</v>
      </c>
      <c r="C6" s="17" t="str">
        <f aca="false">IF($A6="","",IF(ISERROR(FIND(".",INDEX(Tasks!$A:$A,$A6))),"","   ")&amp;INDEX(Tasks!$C:$C,$A6))</f>
        <v>Robot + antenna prims, live pose</v>
      </c>
      <c r="D6" s="17" t="str">
        <f aca="false">IF($A6="","",IF(INDEX(Tasks!$B:$B,$A6)="","",INDEX(Tasks!$B:$B,$A6)))</f>
        <v>G1 ED305 live digital twin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46321</v>
      </c>
      <c r="G6" s="18" t="n">
        <f aca="false">IF($A6="","",IF(INDEX(Tasks!$H:$H,$A6)="","",INDEX(Tasks!$H:$H,$A6)))</f>
        <v>46339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71</v>
      </c>
      <c r="B7" s="17" t="str">
        <f aca="false">IF($A7="","",IF(INDEX(Tasks!$A:$A,$A7)="","",INDEX(Tasks!$A:$A,$A7)))</f>
        <v>G1-IS-3</v>
      </c>
      <c r="C7" s="17" t="str">
        <f aca="false">IF($A7="","",IF(ISERROR(FIND(".",INDEX(Tasks!$A:$A,$A7))),"","   ")&amp;INDEX(Tasks!$C:$C,$A7))</f>
        <v>Gaussian layer</v>
      </c>
      <c r="D7" s="17" t="str">
        <f aca="false">IF($A7="","",IF(INDEX(Tasks!$B:$B,$A7)="","",INDEX(Tasks!$B:$B,$A7)))</f>
        <v>G1 ED305 live digital twin</v>
      </c>
      <c r="E7" s="17" t="str">
        <f aca="false">IF($A7="","",IF(INDEX(Tasks!$E:$E,$A7)="","",INDEX(Tasks!$E:$E,$A7)))</f>
        <v>Not Started</v>
      </c>
      <c r="F7" s="18" t="n">
        <f aca="false">IF($A7="","",IF(INDEX(Tasks!$F:$F,$A7)="","",INDEX(Tasks!$F:$F,$A7)))</f>
        <v>46335</v>
      </c>
      <c r="G7" s="18" t="n">
        <f aca="false">IF($A7="","",IF(INDEX(Tasks!$H:$H,$A7)="","",INDEX(Tasks!$H:$H,$A7)))</f>
        <v>46353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72</v>
      </c>
      <c r="B8" s="17" t="str">
        <f aca="false">IF($A8="","",IF(INDEX(Tasks!$A:$A,$A8)="","",INDEX(Tasks!$A:$A,$A8)))</f>
        <v>G1-IS-4</v>
      </c>
      <c r="C8" s="17" t="str">
        <f aca="false">IF($A8="","",IF(ISERROR(FIND(".",INDEX(Tasks!$A:$A,$A8))),"","   ")&amp;INDEX(Tasks!$C:$C,$A8))</f>
        <v>Mesh layer</v>
      </c>
      <c r="D8" s="17" t="str">
        <f aca="false">IF($A8="","",IF(INDEX(Tasks!$B:$B,$A8)="","",INDEX(Tasks!$B:$B,$A8)))</f>
        <v>G1 ED305 live digital twin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46328</v>
      </c>
      <c r="G8" s="18" t="n">
        <f aca="false">IF($A8="","",IF(INDEX(Tasks!$H:$H,$A8)="","",INDEX(Tasks!$H:$H,$A8)))</f>
        <v>46346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73</v>
      </c>
      <c r="B9" s="17" t="str">
        <f aca="false">IF($A9="","",IF(INDEX(Tasks!$A:$A,$A9)="","",INDEX(Tasks!$A:$A,$A9)))</f>
        <v>G1-IS-5</v>
      </c>
      <c r="C9" s="17" t="str">
        <f aca="false">IF($A9="","",IF(ISERROR(FIND(".",INDEX(Tasks!$A:$A,$A9))),"","   ")&amp;INDEX(Tasks!$C:$C,$A9))</f>
        <v>Expected-view render</v>
      </c>
      <c r="D9" s="17" t="str">
        <f aca="false">IF($A9="","",IF(INDEX(Tasks!$B:$B,$A9)="","",INDEX(Tasks!$B:$B,$A9)))</f>
        <v>G1 ED305 live digital twin</v>
      </c>
      <c r="E9" s="17" t="str">
        <f aca="false">IF($A9="","",IF(INDEX(Tasks!$E:$E,$A9)="","",INDEX(Tasks!$E:$E,$A9)))</f>
        <v>Not Started</v>
      </c>
      <c r="F9" s="18" t="n">
        <f aca="false">IF($A9="","",IF(INDEX(Tasks!$F:$F,$A9)="","",INDEX(Tasks!$F:$F,$A9)))</f>
        <v>46349</v>
      </c>
      <c r="G9" s="18" t="n">
        <f aca="false">IF($A9="","",IF(INDEX(Tasks!$H:$H,$A9)="","",INDEX(Tasks!$H:$H,$A9)))</f>
        <v>46367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74</v>
      </c>
      <c r="B10" s="17" t="str">
        <f aca="false">IF($A10="","",IF(INDEX(Tasks!$A:$A,$A10)="","",INDEX(Tasks!$A:$A,$A10)))</f>
        <v>G1-IS-6</v>
      </c>
      <c r="C10" s="17" t="str">
        <f aca="false">IF($A10="","",IF(ISERROR(FIND(".",INDEX(Tasks!$A:$A,$A10))),"","   ")&amp;INDEX(Tasks!$C:$C,$A10))</f>
        <v>Apply live USD edits</v>
      </c>
      <c r="D10" s="17" t="str">
        <f aca="false">IF($A10="","",IF(INDEX(Tasks!$B:$B,$A10)="","",INDEX(Tasks!$B:$B,$A10)))</f>
        <v>G1 ED305 live digital twin</v>
      </c>
      <c r="E10" s="17" t="str">
        <f aca="false">IF($A10="","",IF(INDEX(Tasks!$E:$E,$A10)="","",INDEX(Tasks!$E:$E,$A10)))</f>
        <v>Not Started</v>
      </c>
      <c r="F10" s="18" t="n">
        <f aca="false">IF($A10="","",IF(INDEX(Tasks!$F:$F,$A10)="","",INDEX(Tasks!$F:$F,$A10)))</f>
        <v>46370</v>
      </c>
      <c r="G10" s="18" t="n">
        <f aca="false">IF($A10="","",IF(INDEX(Tasks!$H:$H,$A10)="","",INDEX(Tasks!$H:$H,$A10)))</f>
        <v>46388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IFERROR(MATCH($C$2&amp;"|"&amp;(ROW()-4),Tasks!$J$4:$J$403,0)+3,"")</f>
        <v>75</v>
      </c>
      <c r="B11" s="17" t="str">
        <f aca="false">IF($A11="","",IF(INDEX(Tasks!$A:$A,$A11)="","",INDEX(Tasks!$A:$A,$A11)))</f>
        <v>G1-IS-7</v>
      </c>
      <c r="C11" s="17" t="str">
        <f aca="false">IF($A11="","",IF(ISERROR(FIND(".",INDEX(Tasks!$A:$A,$A11))),"","   ")&amp;INDEX(Tasks!$C:$C,$A11))</f>
        <v>Control commands to robots</v>
      </c>
      <c r="D11" s="17" t="str">
        <f aca="false">IF($A11="","",IF(INDEX(Tasks!$B:$B,$A11)="","",INDEX(Tasks!$B:$B,$A11)))</f>
        <v>G1 ED305 live digital twin</v>
      </c>
      <c r="E11" s="17" t="str">
        <f aca="false">IF($A11="","",IF(INDEX(Tasks!$E:$E,$A11)="","",INDEX(Tasks!$E:$E,$A11)))</f>
        <v>Not Started</v>
      </c>
      <c r="F11" s="18" t="n">
        <f aca="false">IF($A11="","",IF(INDEX(Tasks!$F:$F,$A11)="","",INDEX(Tasks!$F:$F,$A11)))</f>
        <v>46391</v>
      </c>
      <c r="G11" s="18" t="n">
        <f aca="false">IF($A11="","",IF(INDEX(Tasks!$H:$H,$A11)="","",INDEX(Tasks!$H:$H,$A11)))</f>
        <v>46402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IFERROR(MATCH($C$2&amp;"|"&amp;(ROW()-4),Tasks!$J$4:$J$403,0)+3,"")</f>
        <v>76</v>
      </c>
      <c r="B12" s="17" t="str">
        <f aca="false">IF($A12="","",IF(INDEX(Tasks!$A:$A,$A12)="","",INDEX(Tasks!$A:$A,$A12)))</f>
        <v>G1-IS-8</v>
      </c>
      <c r="C12" s="17" t="str">
        <f aca="false">IF($A12="","",IF(ISERROR(FIND(".",INDEX(Tasks!$A:$A,$A12))),"","   ")&amp;INDEX(Tasks!$C:$C,$A12))</f>
        <v>Export to Sionna</v>
      </c>
      <c r="D12" s="17" t="str">
        <f aca="false">IF($A12="","",IF(INDEX(Tasks!$B:$B,$A12)="","",INDEX(Tasks!$B:$B,$A12)))</f>
        <v>G1 ED305 live digital twin</v>
      </c>
      <c r="E12" s="17" t="str">
        <f aca="false">IF($A12="","",IF(INDEX(Tasks!$E:$E,$A12)="","",INDEX(Tasks!$E:$E,$A12)))</f>
        <v>Not Started</v>
      </c>
      <c r="F12" s="18" t="n">
        <f aca="false">IF($A12="","",IF(INDEX(Tasks!$F:$F,$A12)="","",INDEX(Tasks!$F:$F,$A12)))</f>
        <v>46356</v>
      </c>
      <c r="G12" s="18" t="n">
        <f aca="false">IF($A12="","",IF(INDEX(Tasks!$H:$H,$A12)="","",INDEX(Tasks!$H:$H,$A12)))</f>
        <v>46367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str">
        <f aca="false">IFERROR(MATCH($C$2&amp;"|"&amp;(ROW()-4),Tasks!$J$4:$J$403,0)+3,"")</f>
        <v/>
      </c>
      <c r="B13" s="17" t="str">
        <f aca="false">IF($A13="","",IF(INDEX(Tasks!$A:$A,$A13)="","",INDEX(Tasks!$A:$A,$A13)))</f>
        <v/>
      </c>
      <c r="C13" s="17" t="str">
        <f aca="false">IF($A13="","",IF(ISERROR(FIND(".",INDEX(Tasks!$A:$A,$A13))),"","   ")&amp;INDEX(Tasks!$C:$C,$A13))</f>
        <v/>
      </c>
      <c r="D13" s="17" t="str">
        <f aca="false">IF($A13="","",IF(INDEX(Tasks!$B:$B,$A13)="","",INDEX(Tasks!$B:$B,$A13)))</f>
        <v/>
      </c>
      <c r="E13" s="17" t="str">
        <f aca="false">IF($A13="","",IF(INDEX(Tasks!$E:$E,$A13)="","",INDEX(Tasks!$E:$E,$A13)))</f>
        <v/>
      </c>
      <c r="F13" s="18" t="str">
        <f aca="false">IF($A13="","",IF(INDEX(Tasks!$F:$F,$A13)="","",INDEX(Tasks!$F:$F,$A13)))</f>
        <v/>
      </c>
      <c r="G13" s="18" t="str">
        <f aca="false">IF($A13="","",IF(INDEX(Tasks!$H:$H,$A13)="","",INDEX(Tasks!$H:$H,$A13)))</f>
        <v/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str">
        <f aca="false">IFERROR(MATCH($C$2&amp;"|"&amp;(ROW()-4),Tasks!$J$4:$J$403,0)+3,"")</f>
        <v/>
      </c>
      <c r="B14" s="17" t="str">
        <f aca="false">IF($A14="","",IF(INDEX(Tasks!$A:$A,$A14)="","",INDEX(Tasks!$A:$A,$A14)))</f>
        <v/>
      </c>
      <c r="C14" s="17" t="str">
        <f aca="false">IF($A14="","",IF(ISERROR(FIND(".",INDEX(Tasks!$A:$A,$A14))),"","   ")&amp;INDEX(Tasks!$C:$C,$A14))</f>
        <v/>
      </c>
      <c r="D14" s="17" t="str">
        <f aca="false">IF($A14="","",IF(INDEX(Tasks!$B:$B,$A14)="","",INDEX(Tasks!$B:$B,$A14)))</f>
        <v/>
      </c>
      <c r="E14" s="17" t="str">
        <f aca="false">IF($A14="","",IF(INDEX(Tasks!$E:$E,$A14)="","",INDEX(Tasks!$E:$E,$A14)))</f>
        <v/>
      </c>
      <c r="F14" s="18" t="str">
        <f aca="false">IF($A14="","",IF(INDEX(Tasks!$F:$F,$A14)="","",INDEX(Tasks!$F:$F,$A14)))</f>
        <v/>
      </c>
      <c r="G14" s="18" t="str">
        <f aca="false">IF($A14="","",IF(INDEX(Tasks!$H:$H,$A14)="","",INDEX(Tasks!$H:$H,$A14)))</f>
        <v/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str">
        <f aca="false">IFERROR(MATCH($C$2&amp;"|"&amp;(ROW()-4),Tasks!$J$4:$J$403,0)+3,"")</f>
        <v/>
      </c>
      <c r="B15" s="17" t="str">
        <f aca="false">IF($A15="","",IF(INDEX(Tasks!$A:$A,$A15)="","",INDEX(Tasks!$A:$A,$A15)))</f>
        <v/>
      </c>
      <c r="C15" s="17" t="str">
        <f aca="false">IF($A15="","",IF(ISERROR(FIND(".",INDEX(Tasks!$A:$A,$A15))),"","   ")&amp;INDEX(Tasks!$C:$C,$A15))</f>
        <v/>
      </c>
      <c r="D15" s="17" t="str">
        <f aca="false">IF($A15="","",IF(INDEX(Tasks!$B:$B,$A15)="","",INDEX(Tasks!$B:$B,$A15)))</f>
        <v/>
      </c>
      <c r="E15" s="17" t="str">
        <f aca="false">IF($A15="","",IF(INDEX(Tasks!$E:$E,$A15)="","",INDEX(Tasks!$E:$E,$A15)))</f>
        <v/>
      </c>
      <c r="F15" s="18" t="str">
        <f aca="false">IF($A15="","",IF(INDEX(Tasks!$F:$F,$A15)="","",INDEX(Tasks!$F:$F,$A15)))</f>
        <v/>
      </c>
      <c r="G15" s="18" t="str">
        <f aca="false">IF($A15="","",IF(INDEX(Tasks!$H:$H,$A15)="","",INDEX(Tasks!$H:$H,$A15)))</f>
        <v/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str">
        <f aca="false">IFERROR(MATCH($C$2&amp;"|"&amp;(ROW()-4),Tasks!$J$4:$J$403,0)+3,"")</f>
        <v/>
      </c>
      <c r="B16" s="17" t="str">
        <f aca="false">IF($A16="","",IF(INDEX(Tasks!$A:$A,$A16)="","",INDEX(Tasks!$A:$A,$A16)))</f>
        <v/>
      </c>
      <c r="C16" s="17" t="str">
        <f aca="false">IF($A16="","",IF(ISERROR(FIND(".",INDEX(Tasks!$A:$A,$A16))),"","   ")&amp;INDEX(Tasks!$C:$C,$A16))</f>
        <v/>
      </c>
      <c r="D16" s="17" t="str">
        <f aca="false">IF($A16="","",IF(INDEX(Tasks!$B:$B,$A16)="","",INDEX(Tasks!$B:$B,$A16)))</f>
        <v/>
      </c>
      <c r="E16" s="17" t="str">
        <f aca="false">IF($A16="","",IF(INDEX(Tasks!$E:$E,$A16)="","",INDEX(Tasks!$E:$E,$A16)))</f>
        <v/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str">
        <f aca="false">IFERROR(MATCH($C$2&amp;"|"&amp;(ROW()-4),Tasks!$J$4:$J$403,0)+3,"")</f>
        <v/>
      </c>
      <c r="B17" s="17" t="str">
        <f aca="false">IF($A17="","",IF(INDEX(Tasks!$A:$A,$A17)="","",INDEX(Tasks!$A:$A,$A17)))</f>
        <v/>
      </c>
      <c r="C17" s="17" t="str">
        <f aca="false">IF($A17="","",IF(ISERROR(FIND(".",INDEX(Tasks!$A:$A,$A17))),"","   ")&amp;INDEX(Tasks!$C:$C,$A17))</f>
        <v/>
      </c>
      <c r="D17" s="17" t="str">
        <f aca="false">IF($A17="","",IF(INDEX(Tasks!$B:$B,$A17)="","",INDEX(Tasks!$B:$B,$A17)))</f>
        <v/>
      </c>
      <c r="E17" s="17" t="str">
        <f aca="false">IF($A17="","",IF(INDEX(Tasks!$E:$E,$A17)="","",INDEX(Tasks!$E:$E,$A17)))</f>
        <v/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str">
        <f aca="false">IFERROR(MATCH($C$2&amp;"|"&amp;(ROW()-4),Tasks!$J$4:$J$403,0)+3,"")</f>
        <v/>
      </c>
      <c r="B18" s="17" t="str">
        <f aca="false">IF($A18="","",IF(INDEX(Tasks!$A:$A,$A18)="","",INDEX(Tasks!$A:$A,$A18)))</f>
        <v/>
      </c>
      <c r="C18" s="17" t="str">
        <f aca="false">IF($A18="","",IF(ISERROR(FIND(".",INDEX(Tasks!$A:$A,$A18))),"","   ")&amp;INDEX(Tasks!$C:$C,$A18))</f>
        <v/>
      </c>
      <c r="D18" s="17" t="str">
        <f aca="false">IF($A18="","",IF(INDEX(Tasks!$B:$B,$A18)="","",INDEX(Tasks!$B:$B,$A18)))</f>
        <v/>
      </c>
      <c r="E18" s="17" t="str">
        <f aca="false">IF($A18="","",IF(INDEX(Tasks!$E:$E,$A18)="","",INDEX(Tasks!$E:$E,$A18)))</f>
        <v/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IFERROR(MATCH($C$2&amp;"|"&amp;(ROW()-4),Tasks!$J$4:$J$403,0)+3,"")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IF($A19="","",IF(INDEX(Tasks!$B:$B,$A19)="","",INDEX(Tasks!$B:$B,$A19)))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IFERROR(MATCH($C$2&amp;"|"&amp;(ROW()-4),Tasks!$J$4:$J$403,0)+3,"")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IF($A20="","",IF(INDEX(Tasks!$B:$B,$A20)="","",INDEX(Tasks!$B:$B,$A20)))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IFERROR(MATCH($C$2&amp;"|"&amp;(ROW()-4),Tasks!$J$4:$J$403,0)+3,"")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IF($A21="","",IF(INDEX(Tasks!$B:$B,$A21)="","",INDEX(Tasks!$B:$B,$A21)))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IFERROR(MATCH($C$2&amp;"|"&amp;(ROW()-4),Tasks!$J$4:$J$403,0)+3,"")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IF($A22="","",IF(INDEX(Tasks!$B:$B,$A22)="","",INDEX(Tasks!$B:$B,$A22)))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IFERROR(MATCH($C$2&amp;"|"&amp;(ROW()-4),Tasks!$J$4:$J$403,0)+3,"")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IF($A23="","",IF(INDEX(Tasks!$B:$B,$A23)="","",INDEX(Tasks!$B:$B,$A23)))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IFERROR(MATCH($C$2&amp;"|"&amp;(ROW()-4),Tasks!$J$4:$J$403,0)+3,"")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IF($A24="","",IF(INDEX(Tasks!$B:$B,$A24)="","",INDEX(Tasks!$B:$B,$A24)))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IFERROR(MATCH($C$2&amp;"|"&amp;(ROW()-4),Tasks!$J$4:$J$403,0)+3,"")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IF($A25="","",IF(INDEX(Tasks!$B:$B,$A25)="","",INDEX(Tasks!$B:$B,$A25)))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IFERROR(MATCH($C$2&amp;"|"&amp;(ROW()-4),Tasks!$J$4:$J$403,0)+3,"")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IF($A26="","",IF(INDEX(Tasks!$B:$B,$A26)="","",INDEX(Tasks!$B:$B,$A26)))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People!$A$6</f>
        <v>Sensors &amp; platform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17 tasks   ·   5 in progress   ·   1 blocked   ·   3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4</v>
      </c>
      <c r="B5" s="17" t="str">
        <f aca="false">IF($A5="","",IF(INDEX(Tasks!$A:$A,$A5)="","",INDEX(Tasks!$A:$A,$A5)))</f>
        <v>TB-1</v>
      </c>
      <c r="C5" s="17" t="str">
        <f aca="false">IF($A5="","",IF(ISERROR(FIND(".",INDEX(Tasks!$A:$A,$A5))),"","   ")&amp;INDEX(Tasks!$C:$C,$A5))</f>
        <v>Hardware inventory &amp; specs</v>
      </c>
      <c r="D5" s="17" t="str">
        <f aca="false">IF($A5="","",IF(INDEX(Tasks!$B:$B,$A5)="","",INDEX(Tasks!$B:$B,$A5)))</f>
        <v>Shared SCooP testbed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46307</v>
      </c>
      <c r="G5" s="18" t="n">
        <f aca="false">IF($A5="","",IF(INDEX(Tasks!$H:$H,$A5)="","",INDEX(Tasks!$H:$H,$A5)))</f>
        <v>46318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5</v>
      </c>
      <c r="B6" s="17" t="str">
        <f aca="false">IF($A6="","",IF(INDEX(Tasks!$A:$A,$A6)="","",INDEX(Tasks!$A:$A,$A6)))</f>
        <v>TB-2</v>
      </c>
      <c r="C6" s="17" t="str">
        <f aca="false">IF($A6="","",IF(ISERROR(FIND(".",INDEX(Tasks!$A:$A,$A6))),"","   ")&amp;INDEX(Tasks!$C:$C,$A6))</f>
        <v>Sensor calibration (all units)</v>
      </c>
      <c r="D6" s="17" t="str">
        <f aca="false">IF($A6="","",IF(INDEX(Tasks!$B:$B,$A6)="","",INDEX(Tasks!$B:$B,$A6)))</f>
        <v>Shared SCooP testbed</v>
      </c>
      <c r="E6" s="17" t="str">
        <f aca="false">IF($A6="","",IF(INDEX(Tasks!$E:$E,$A6)="","",INDEX(Tasks!$E:$E,$A6)))</f>
        <v>In Progress</v>
      </c>
      <c r="F6" s="18" t="n">
        <f aca="false">IF($A6="","",IF(INDEX(Tasks!$F:$F,$A6)="","",INDEX(Tasks!$F:$F,$A6)))</f>
        <v>46195</v>
      </c>
      <c r="G6" s="18" t="n">
        <f aca="false">IF($A6="","",IF(INDEX(Tasks!$H:$H,$A6)="","",INDEX(Tasks!$H:$H,$A6)))</f>
        <v>46206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6</v>
      </c>
      <c r="B7" s="17" t="str">
        <f aca="false">IF($A7="","",IF(INDEX(Tasks!$A:$A,$A7)="","",INDEX(Tasks!$A:$A,$A7)))</f>
        <v>TB-2.1</v>
      </c>
      <c r="C7" s="17" t="str">
        <f aca="false">IF($A7="","",IF(ISERROR(FIND(".",INDEX(Tasks!$A:$A,$A7))),"","   ")&amp;INDEX(Tasks!$C:$C,$A7))</f>
        <v>   Sensor Calibration (LiDAR-Camera, LiDAR-IMU, Camera-Radar, Intrinsics, Realsense-Zed, Mobile-Infra Extrinsics)</v>
      </c>
      <c r="D7" s="17" t="str">
        <f aca="false">IF($A7="","",IF(INDEX(Tasks!$B:$B,$A7)="","",INDEX(Tasks!$B:$B,$A7)))</f>
        <v>Shared SCooP testbed</v>
      </c>
      <c r="E7" s="17" t="str">
        <f aca="false">IF($A7="","",IF(INDEX(Tasks!$E:$E,$A7)="","",INDEX(Tasks!$E:$E,$A7)))</f>
        <v>In Progress</v>
      </c>
      <c r="F7" s="18" t="n">
        <f aca="false">IF($A7="","",IF(INDEX(Tasks!$F:$F,$A7)="","",INDEX(Tasks!$F:$F,$A7)))</f>
        <v>46195</v>
      </c>
      <c r="G7" s="18" t="n">
        <f aca="false">IF($A7="","",IF(INDEX(Tasks!$H:$H,$A7)="","",INDEX(Tasks!$H:$H,$A7)))</f>
        <v>46206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7</v>
      </c>
      <c r="B8" s="17" t="str">
        <f aca="false">IF($A8="","",IF(INDEX(Tasks!$A:$A,$A8)="","",INDEX(Tasks!$A:$A,$A8)))</f>
        <v>TB-2.2</v>
      </c>
      <c r="C8" s="17" t="str">
        <f aca="false">IF($A8="","",IF(ISERROR(FIND(".",INDEX(Tasks!$A:$A,$A8))),"","   ")&amp;INDEX(Tasks!$C:$C,$A8))</f>
        <v>   Calibration: LiDAR - Camera</v>
      </c>
      <c r="D8" s="17" t="str">
        <f aca="false">IF($A8="","",IF(INDEX(Tasks!$B:$B,$A8)="","",INDEX(Tasks!$B:$B,$A8)))</f>
        <v>Shared SCooP testbed</v>
      </c>
      <c r="E8" s="17" t="str">
        <f aca="false">IF($A8="","",IF(INDEX(Tasks!$E:$E,$A8)="","",INDEX(Tasks!$E:$E,$A8)))</f>
        <v/>
      </c>
      <c r="F8" s="18" t="str">
        <f aca="false">IF($A8="","",IF(INDEX(Tasks!$F:$F,$A8)="","",INDEX(Tasks!$F:$F,$A8)))</f>
        <v/>
      </c>
      <c r="G8" s="18" t="str">
        <f aca="false">IF($A8="","",IF(INDEX(Tasks!$H:$H,$A8)="","",INDEX(Tasks!$H:$H,$A8)))</f>
        <v/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8</v>
      </c>
      <c r="B9" s="17" t="str">
        <f aca="false">IF($A9="","",IF(INDEX(Tasks!$A:$A,$A9)="","",INDEX(Tasks!$A:$A,$A9)))</f>
        <v>TB-2.3</v>
      </c>
      <c r="C9" s="17" t="str">
        <f aca="false">IF($A9="","",IF(ISERROR(FIND(".",INDEX(Tasks!$A:$A,$A9))),"","   ")&amp;INDEX(Tasks!$C:$C,$A9))</f>
        <v>   Calibration: LiDAR - IMU</v>
      </c>
      <c r="D9" s="17" t="str">
        <f aca="false">IF($A9="","",IF(INDEX(Tasks!$B:$B,$A9)="","",INDEX(Tasks!$B:$B,$A9)))</f>
        <v>Shared SCooP testbed</v>
      </c>
      <c r="E9" s="17" t="str">
        <f aca="false">IF($A9="","",IF(INDEX(Tasks!$E:$E,$A9)="","",INDEX(Tasks!$E:$E,$A9)))</f>
        <v/>
      </c>
      <c r="F9" s="18" t="str">
        <f aca="false">IF($A9="","",IF(INDEX(Tasks!$F:$F,$A9)="","",INDEX(Tasks!$F:$F,$A9)))</f>
        <v/>
      </c>
      <c r="G9" s="18" t="str">
        <f aca="false">IF($A9="","",IF(INDEX(Tasks!$H:$H,$A9)="","",INDEX(Tasks!$H:$H,$A9)))</f>
        <v/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9</v>
      </c>
      <c r="B10" s="17" t="str">
        <f aca="false">IF($A10="","",IF(INDEX(Tasks!$A:$A,$A10)="","",INDEX(Tasks!$A:$A,$A10)))</f>
        <v>TB-2.4</v>
      </c>
      <c r="C10" s="17" t="str">
        <f aca="false">IF($A10="","",IF(ISERROR(FIND(".",INDEX(Tasks!$A:$A,$A10))),"","   ")&amp;INDEX(Tasks!$C:$C,$A10))</f>
        <v>   Calibration: RealSense - ZED</v>
      </c>
      <c r="D10" s="17" t="str">
        <f aca="false">IF($A10="","",IF(INDEX(Tasks!$B:$B,$A10)="","",INDEX(Tasks!$B:$B,$A10)))</f>
        <v>Shared SCooP testbed</v>
      </c>
      <c r="E10" s="17" t="str">
        <f aca="false">IF($A10="","",IF(INDEX(Tasks!$E:$E,$A10)="","",INDEX(Tasks!$E:$E,$A10)))</f>
        <v/>
      </c>
      <c r="F10" s="18" t="str">
        <f aca="false">IF($A10="","",IF(INDEX(Tasks!$F:$F,$A10)="","",INDEX(Tasks!$F:$F,$A10)))</f>
        <v/>
      </c>
      <c r="G10" s="18" t="str">
        <f aca="false">IF($A10="","",IF(INDEX(Tasks!$H:$H,$A10)="","",INDEX(Tasks!$H:$H,$A10)))</f>
        <v/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IFERROR(MATCH($C$2&amp;"|"&amp;(ROW()-4),Tasks!$J$4:$J$403,0)+3,"")</f>
        <v>10</v>
      </c>
      <c r="B11" s="17" t="str">
        <f aca="false">IF($A11="","",IF(INDEX(Tasks!$A:$A,$A11)="","",INDEX(Tasks!$A:$A,$A11)))</f>
        <v>TB-2.5</v>
      </c>
      <c r="C11" s="17" t="str">
        <f aca="false">IF($A11="","",IF(ISERROR(FIND(".",INDEX(Tasks!$A:$A,$A11))),"","   ")&amp;INDEX(Tasks!$C:$C,$A11))</f>
        <v>   Calibration: ZED - Arducam</v>
      </c>
      <c r="D11" s="17" t="str">
        <f aca="false">IF($A11="","",IF(INDEX(Tasks!$B:$B,$A11)="","",INDEX(Tasks!$B:$B,$A11)))</f>
        <v>Shared SCooP testbed</v>
      </c>
      <c r="E11" s="17" t="str">
        <f aca="false">IF($A11="","",IF(INDEX(Tasks!$E:$E,$A11)="","",INDEX(Tasks!$E:$E,$A11)))</f>
        <v/>
      </c>
      <c r="F11" s="18" t="str">
        <f aca="false">IF($A11="","",IF(INDEX(Tasks!$F:$F,$A11)="","",INDEX(Tasks!$F:$F,$A11)))</f>
        <v/>
      </c>
      <c r="G11" s="18" t="str">
        <f aca="false">IF($A11="","",IF(INDEX(Tasks!$H:$H,$A11)="","",INDEX(Tasks!$H:$H,$A11)))</f>
        <v/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IFERROR(MATCH($C$2&amp;"|"&amp;(ROW()-4),Tasks!$J$4:$J$403,0)+3,"")</f>
        <v>11</v>
      </c>
      <c r="B12" s="17" t="str">
        <f aca="false">IF($A12="","",IF(INDEX(Tasks!$A:$A,$A12)="","",INDEX(Tasks!$A:$A,$A12)))</f>
        <v>TB-2.6</v>
      </c>
      <c r="C12" s="17" t="str">
        <f aca="false">IF($A12="","",IF(ISERROR(FIND(".",INDEX(Tasks!$A:$A,$A12))),"","   ")&amp;INDEX(Tasks!$C:$C,$A12))</f>
        <v>   Calibration: Radars - ZED</v>
      </c>
      <c r="D12" s="17" t="str">
        <f aca="false">IF($A12="","",IF(INDEX(Tasks!$B:$B,$A12)="","",INDEX(Tasks!$B:$B,$A12)))</f>
        <v>Shared SCooP testbed</v>
      </c>
      <c r="E12" s="17" t="str">
        <f aca="false">IF($A12="","",IF(INDEX(Tasks!$E:$E,$A12)="","",INDEX(Tasks!$E:$E,$A12)))</f>
        <v/>
      </c>
      <c r="F12" s="18" t="str">
        <f aca="false">IF($A12="","",IF(INDEX(Tasks!$F:$F,$A12)="","",INDEX(Tasks!$F:$F,$A12)))</f>
        <v/>
      </c>
      <c r="G12" s="18" t="str">
        <f aca="false">IF($A12="","",IF(INDEX(Tasks!$H:$H,$A12)="","",INDEX(Tasks!$H:$H,$A12)))</f>
        <v/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IFERROR(MATCH($C$2&amp;"|"&amp;(ROW()-4),Tasks!$J$4:$J$403,0)+3,"")</f>
        <v>12</v>
      </c>
      <c r="B13" s="17" t="str">
        <f aca="false">IF($A13="","",IF(INDEX(Tasks!$A:$A,$A13)="","",INDEX(Tasks!$A:$A,$A13)))</f>
        <v>TB-3</v>
      </c>
      <c r="C13" s="17" t="str">
        <f aca="false">IF($A13="","",IF(ISERROR(FIND(".",INDEX(Tasks!$A:$A,$A13))),"","   ")&amp;INDEX(Tasks!$C:$C,$A13))</f>
        <v>Time sync &amp; TF chain</v>
      </c>
      <c r="D13" s="17" t="str">
        <f aca="false">IF($A13="","",IF(INDEX(Tasks!$B:$B,$A13)="","",INDEX(Tasks!$B:$B,$A13)))</f>
        <v>Shared SCooP testbed</v>
      </c>
      <c r="E13" s="17" t="str">
        <f aca="false">IF($A13="","",IF(INDEX(Tasks!$E:$E,$A13)="","",INDEX(Tasks!$E:$E,$A13)))</f>
        <v>In Progress</v>
      </c>
      <c r="F13" s="18" t="n">
        <f aca="false">IF($A13="","",IF(INDEX(Tasks!$F:$F,$A13)="","",INDEX(Tasks!$F:$F,$A13)))</f>
        <v>46202</v>
      </c>
      <c r="G13" s="18" t="n">
        <f aca="false">IF($A13="","",IF(INDEX(Tasks!$H:$H,$A13)="","",INDEX(Tasks!$H:$H,$A13)))</f>
        <v>46206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IFERROR(MATCH($C$2&amp;"|"&amp;(ROW()-4),Tasks!$J$4:$J$403,0)+3,"")</f>
        <v>13</v>
      </c>
      <c r="B14" s="17" t="str">
        <f aca="false">IF($A14="","",IF(INDEX(Tasks!$A:$A,$A14)="","",INDEX(Tasks!$A:$A,$A14)))</f>
        <v>TB-4</v>
      </c>
      <c r="C14" s="17" t="str">
        <f aca="false">IF($A14="","",IF(ISERROR(FIND(".",INDEX(Tasks!$A:$A,$A14))),"","   ")&amp;INDEX(Tasks!$C:$C,$A14))</f>
        <v>Wi-Fi &amp; comms logging</v>
      </c>
      <c r="D14" s="17" t="str">
        <f aca="false">IF($A14="","",IF(INDEX(Tasks!$B:$B,$A14)="","",INDEX(Tasks!$B:$B,$A14)))</f>
        <v>Shared SCooP testbed</v>
      </c>
      <c r="E14" s="17" t="str">
        <f aca="false">IF($A14="","",IF(INDEX(Tasks!$E:$E,$A14)="","",INDEX(Tasks!$E:$E,$A14)))</f>
        <v>In Progress</v>
      </c>
      <c r="F14" s="18" t="n">
        <f aca="false">IF($A14="","",IF(INDEX(Tasks!$F:$F,$A14)="","",INDEX(Tasks!$F:$F,$A14)))</f>
        <v>46307</v>
      </c>
      <c r="G14" s="18" t="n">
        <f aca="false">IF($A14="","",IF(INDEX(Tasks!$H:$H,$A14)="","",INDEX(Tasks!$H:$H,$A14)))</f>
        <v>46318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IFERROR(MATCH($C$2&amp;"|"&amp;(ROW()-4),Tasks!$J$4:$J$403,0)+3,"")</f>
        <v>14</v>
      </c>
      <c r="B15" s="17" t="str">
        <f aca="false">IF($A15="","",IF(INDEX(Tasks!$A:$A,$A15)="","",INDEX(Tasks!$A:$A,$A15)))</f>
        <v>TB-5</v>
      </c>
      <c r="C15" s="17" t="str">
        <f aca="false">IF($A15="","",IF(ISERROR(FIND(".",INDEX(Tasks!$A:$A,$A15))),"","   ")&amp;INDEX(Tasks!$C:$C,$A15))</f>
        <v>Recording tooling fixes</v>
      </c>
      <c r="D15" s="17" t="str">
        <f aca="false">IF($A15="","",IF(INDEX(Tasks!$B:$B,$A15)="","",INDEX(Tasks!$B:$B,$A15)))</f>
        <v>Shared SCooP testbed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46307</v>
      </c>
      <c r="G15" s="18" t="n">
        <f aca="false">IF($A15="","",IF(INDEX(Tasks!$H:$H,$A15)="","",INDEX(Tasks!$H:$H,$A15)))</f>
        <v>46318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IFERROR(MATCH($C$2&amp;"|"&amp;(ROW()-4),Tasks!$J$4:$J$403,0)+3,"")</f>
        <v>44</v>
      </c>
      <c r="B16" s="17" t="str">
        <f aca="false">IF($A16="","",IF(INDEX(Tasks!$A:$A,$A16)="","",INDEX(Tasks!$A:$A,$A16)))</f>
        <v>G1-SP-1</v>
      </c>
      <c r="C16" s="17" t="str">
        <f aca="false">IF($A16="","",IF(ISERROR(FIND(".",INDEX(Tasks!$A:$A,$A16))),"","   ")&amp;INDEX(Tasks!$C:$C,$A16))</f>
        <v>Sensor rig &amp; TF tree per robot</v>
      </c>
      <c r="D16" s="17" t="str">
        <f aca="false">IF($A16="","",IF(INDEX(Tasks!$B:$B,$A16)="","",INDEX(Tasks!$B:$B,$A16)))</f>
        <v>G1 ED305 live digital twin</v>
      </c>
      <c r="E16" s="17" t="str">
        <f aca="false">IF($A16="","",IF(INDEX(Tasks!$E:$E,$A16)="","",INDEX(Tasks!$E:$E,$A16)))</f>
        <v>Not Started</v>
      </c>
      <c r="F16" s="18" t="n">
        <f aca="false">IF($A16="","",IF(INDEX(Tasks!$F:$F,$A16)="","",INDEX(Tasks!$F:$F,$A16)))</f>
        <v>46307</v>
      </c>
      <c r="G16" s="18" t="n">
        <f aca="false">IF($A16="","",IF(INDEX(Tasks!$H:$H,$A16)="","",INDEX(Tasks!$H:$H,$A16)))</f>
        <v>46318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IFERROR(MATCH($C$2&amp;"|"&amp;(ROW()-4),Tasks!$J$4:$J$403,0)+3,"")</f>
        <v>45</v>
      </c>
      <c r="B17" s="17" t="str">
        <f aca="false">IF($A17="","",IF(INDEX(Tasks!$A:$A,$A17)="","",INDEX(Tasks!$A:$A,$A17)))</f>
        <v>G1-SP-2</v>
      </c>
      <c r="C17" s="17" t="str">
        <f aca="false">IF($A17="","",IF(ISERROR(FIND(".",INDEX(Tasks!$A:$A,$A17))),"","   ")&amp;INDEX(Tasks!$C:$C,$A17))</f>
        <v>Odometry: front end + fusion filter</v>
      </c>
      <c r="D17" s="17" t="str">
        <f aca="false">IF($A17="","",IF(INDEX(Tasks!$B:$B,$A17)="","",INDEX(Tasks!$B:$B,$A17)))</f>
        <v>G1 ED305 live digital twin</v>
      </c>
      <c r="E17" s="17" t="str">
        <f aca="false">IF($A17="","",IF(INDEX(Tasks!$E:$E,$A17)="","",INDEX(Tasks!$E:$E,$A17)))</f>
        <v>Not Started</v>
      </c>
      <c r="F17" s="18" t="n">
        <f aca="false">IF($A17="","",IF(INDEX(Tasks!$F:$F,$A17)="","",INDEX(Tasks!$F:$F,$A17)))</f>
        <v>46314</v>
      </c>
      <c r="G17" s="18" t="n">
        <f aca="false">IF($A17="","",IF(INDEX(Tasks!$H:$H,$A17)="","",INDEX(Tasks!$H:$H,$A17)))</f>
        <v>46339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IFERROR(MATCH($C$2&amp;"|"&amp;(ROW()-4),Tasks!$J$4:$J$403,0)+3,"")</f>
        <v>46</v>
      </c>
      <c r="B18" s="17" t="str">
        <f aca="false">IF($A18="","",IF(INDEX(Tasks!$A:$A,$A18)="","",INDEX(Tasks!$A:$A,$A18)))</f>
        <v>G1-SP-3</v>
      </c>
      <c r="C18" s="17" t="str">
        <f aca="false">IF($A18="","",IF(ISERROR(FIND(".",INDEX(Tasks!$A:$A,$A18))),"","   ")&amp;INDEX(Tasks!$C:$C,$A18))</f>
        <v>ED305 camera calibration in the room frame</v>
      </c>
      <c r="D18" s="17" t="str">
        <f aca="false">IF($A18="","",IF(INDEX(Tasks!$B:$B,$A18)="","",INDEX(Tasks!$B:$B,$A18)))</f>
        <v>G1 ED305 live digital twin</v>
      </c>
      <c r="E18" s="17" t="str">
        <f aca="false">IF($A18="","",IF(INDEX(Tasks!$E:$E,$A18)="","",INDEX(Tasks!$E:$E,$A18)))</f>
        <v>Blocked</v>
      </c>
      <c r="F18" s="18" t="n">
        <f aca="false">IF($A18="","",IF(INDEX(Tasks!$F:$F,$A18)="","",INDEX(Tasks!$F:$F,$A18)))</f>
        <v>46307</v>
      </c>
      <c r="G18" s="18" t="n">
        <f aca="false">IF($A18="","",IF(INDEX(Tasks!$H:$H,$A18)="","",INDEX(Tasks!$H:$H,$A18)))</f>
        <v>46318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n">
        <f aca="false">IFERROR(MATCH($C$2&amp;"|"&amp;(ROW()-4),Tasks!$J$4:$J$403,0)+3,"")</f>
        <v>47</v>
      </c>
      <c r="B19" s="17" t="str">
        <f aca="false">IF($A19="","",IF(INDEX(Tasks!$A:$A,$A19)="","",INDEX(Tasks!$A:$A,$A19)))</f>
        <v>G1-SP-4</v>
      </c>
      <c r="C19" s="17" t="str">
        <f aca="false">IF($A19="","",IF(ISERROR(FIND(".",INDEX(Tasks!$A:$A,$A19))),"","   ")&amp;INDEX(Tasks!$C:$C,$A19))</f>
        <v>ED305 coverage &amp; camera placement</v>
      </c>
      <c r="D19" s="17" t="str">
        <f aca="false">IF($A19="","",IF(INDEX(Tasks!$B:$B,$A19)="","",INDEX(Tasks!$B:$B,$A19)))</f>
        <v>G1 ED305 live digital twin</v>
      </c>
      <c r="E19" s="17" t="str">
        <f aca="false">IF($A19="","",IF(INDEX(Tasks!$E:$E,$A19)="","",INDEX(Tasks!$E:$E,$A19)))</f>
        <v>In Progress</v>
      </c>
      <c r="F19" s="18" t="n">
        <f aca="false">IF($A19="","",IF(INDEX(Tasks!$F:$F,$A19)="","",INDEX(Tasks!$F:$F,$A19)))</f>
        <v>46321</v>
      </c>
      <c r="G19" s="18" t="n">
        <f aca="false">IF($A19="","",IF(INDEX(Tasks!$H:$H,$A19)="","",INDEX(Tasks!$H:$H,$A19)))</f>
        <v>46339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n">
        <f aca="false">IFERROR(MATCH($C$2&amp;"|"&amp;(ROW()-4),Tasks!$J$4:$J$403,0)+3,"")</f>
        <v>48</v>
      </c>
      <c r="B20" s="17" t="str">
        <f aca="false">IF($A20="","",IF(INDEX(Tasks!$A:$A,$A20)="","",INDEX(Tasks!$A:$A,$A20)))</f>
        <v>G1-SP-5</v>
      </c>
      <c r="C20" s="17" t="str">
        <f aca="false">IF($A20="","",IF(ISERROR(FIND(".",INDEX(Tasks!$A:$A,$A20))),"","   ")&amp;INDEX(Tasks!$C:$C,$A20))</f>
        <v>Printed pan-tilt heads</v>
      </c>
      <c r="D20" s="17" t="str">
        <f aca="false">IF($A20="","",IF(INDEX(Tasks!$B:$B,$A20)="","",INDEX(Tasks!$B:$B,$A20)))</f>
        <v>G1 ED305 live digital twin</v>
      </c>
      <c r="E20" s="17" t="str">
        <f aca="false">IF($A20="","",IF(INDEX(Tasks!$E:$E,$A20)="","",INDEX(Tasks!$E:$E,$A20)))</f>
        <v>Not Started</v>
      </c>
      <c r="F20" s="18" t="n">
        <f aca="false">IF($A20="","",IF(INDEX(Tasks!$F:$F,$A20)="","",INDEX(Tasks!$F:$F,$A20)))</f>
        <v>46314</v>
      </c>
      <c r="G20" s="18" t="n">
        <f aca="false">IF($A20="","",IF(INDEX(Tasks!$H:$H,$A20)="","",INDEX(Tasks!$H:$H,$A20)))</f>
        <v>46332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n">
        <f aca="false">IFERROR(MATCH($C$2&amp;"|"&amp;(ROW()-4),Tasks!$J$4:$J$403,0)+3,"")</f>
        <v>49</v>
      </c>
      <c r="B21" s="17" t="str">
        <f aca="false">IF($A21="","",IF(INDEX(Tasks!$A:$A,$A21)="","",INDEX(Tasks!$A:$A,$A21)))</f>
        <v>G1-SP-6</v>
      </c>
      <c r="C21" s="17" t="str">
        <f aca="false">IF($A21="","",IF(ISERROR(FIND(".",INDEX(Tasks!$A:$A,$A21))),"","   ")&amp;INDEX(Tasks!$C:$C,$A21))</f>
        <v>ED305 camera time sync</v>
      </c>
      <c r="D21" s="17" t="str">
        <f aca="false">IF($A21="","",IF(INDEX(Tasks!$B:$B,$A21)="","",INDEX(Tasks!$B:$B,$A21)))</f>
        <v>G1 ED305 live digital twin</v>
      </c>
      <c r="E21" s="17" t="str">
        <f aca="false">IF($A21="","",IF(INDEX(Tasks!$E:$E,$A21)="","",INDEX(Tasks!$E:$E,$A21)))</f>
        <v>Not Started</v>
      </c>
      <c r="F21" s="18" t="n">
        <f aca="false">IF($A21="","",IF(INDEX(Tasks!$F:$F,$A21)="","",INDEX(Tasks!$F:$F,$A21)))</f>
        <v>46321</v>
      </c>
      <c r="G21" s="18" t="n">
        <f aca="false">IF($A21="","",IF(INDEX(Tasks!$H:$H,$A21)="","",INDEX(Tasks!$H:$H,$A21)))</f>
        <v>46332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IFERROR(MATCH($C$2&amp;"|"&amp;(ROW()-4),Tasks!$J$4:$J$403,0)+3,"")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IF($A22="","",IF(INDEX(Tasks!$B:$B,$A22)="","",INDEX(Tasks!$B:$B,$A22)))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IFERROR(MATCH($C$2&amp;"|"&amp;(ROW()-4),Tasks!$J$4:$J$403,0)+3,"")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IF($A23="","",IF(INDEX(Tasks!$B:$B,$A23)="","",INDEX(Tasks!$B:$B,$A23)))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IFERROR(MATCH($C$2&amp;"|"&amp;(ROW()-4),Tasks!$J$4:$J$403,0)+3,"")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IF($A24="","",IF(INDEX(Tasks!$B:$B,$A24)="","",INDEX(Tasks!$B:$B,$A24)))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IFERROR(MATCH($C$2&amp;"|"&amp;(ROW()-4),Tasks!$J$4:$J$403,0)+3,"")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IF($A25="","",IF(INDEX(Tasks!$B:$B,$A25)="","",INDEX(Tasks!$B:$B,$A25)))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IFERROR(MATCH($C$2&amp;"|"&amp;(ROW()-4),Tasks!$J$4:$J$403,0)+3,"")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IF($A26="","",IF(INDEX(Tasks!$B:$B,$A26)="","",INDEX(Tasks!$B:$B,$A26)))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People!$A$7</f>
        <v>Scene detection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11 tasks   ·   0 in progress   ·   0 blocked   ·   4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58</v>
      </c>
      <c r="B5" s="17" t="str">
        <f aca="false">IF($A5="","",IF(INDEX(Tasks!$A:$A,$A5)="","",INDEX(Tasks!$A:$A,$A5)))</f>
        <v>G1-SD-1</v>
      </c>
      <c r="C5" s="17" t="str">
        <f aca="false">IF($A5="","",IF(ISERROR(FIND(".",INDEX(Tasks!$A:$A,$A5))),"","   ")&amp;INDEX(Tasks!$C:$C,$A5))</f>
        <v>Object asset library</v>
      </c>
      <c r="D5" s="17" t="str">
        <f aca="false">IF($A5="","",IF(INDEX(Tasks!$B:$B,$A5)="","",INDEX(Tasks!$B:$B,$A5)))</f>
        <v>G1 ED305 live digital twin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46307</v>
      </c>
      <c r="G5" s="18" t="n">
        <f aca="false">IF($A5="","",IF(INDEX(Tasks!$H:$H,$A5)="","",INDEX(Tasks!$H:$H,$A5)))</f>
        <v>46325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59</v>
      </c>
      <c r="B6" s="17" t="str">
        <f aca="false">IF($A6="","",IF(INDEX(Tasks!$A:$A,$A6)="","",INDEX(Tasks!$A:$A,$A6)))</f>
        <v>G1-SD-2</v>
      </c>
      <c r="C6" s="17" t="str">
        <f aca="false">IF($A6="","",IF(ISERROR(FIND(".",INDEX(Tasks!$A:$A,$A6))),"","   ")&amp;INDEX(Tasks!$C:$C,$A6))</f>
        <v>Object retrieval from G*</v>
      </c>
      <c r="D6" s="17" t="str">
        <f aca="false">IF($A6="","",IF(INDEX(Tasks!$B:$B,$A6)="","",INDEX(Tasks!$B:$B,$A6)))</f>
        <v>G1 ED305 live digital twin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46328</v>
      </c>
      <c r="G6" s="18" t="n">
        <f aca="false">IF($A6="","",IF(INDEX(Tasks!$H:$H,$A6)="","",INDEX(Tasks!$H:$H,$A6)))</f>
        <v>46353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60</v>
      </c>
      <c r="B7" s="17" t="str">
        <f aca="false">IF($A7="","",IF(INDEX(Tasks!$A:$A,$A7)="","",INDEX(Tasks!$A:$A,$A7)))</f>
        <v>G1-SD-2.1</v>
      </c>
      <c r="C7" s="17" t="str">
        <f aca="false">IF($A7="","",IF(ISERROR(FIND(".",INDEX(Tasks!$A:$A,$A7))),"","   ")&amp;INDEX(Tasks!$C:$C,$A7))</f>
        <v>   Object Detection &amp; Instance Identification (RGB / RGBD / LiDAR / Radar)</v>
      </c>
      <c r="D7" s="17" t="str">
        <f aca="false">IF($A7="","",IF(INDEX(Tasks!$B:$B,$A7)="","",INDEX(Tasks!$B:$B,$A7)))</f>
        <v>G1 ED305 live digital twin</v>
      </c>
      <c r="E7" s="17" t="str">
        <f aca="false">IF($A7="","",IF(INDEX(Tasks!$E:$E,$A7)="","",INDEX(Tasks!$E:$E,$A7)))</f>
        <v>Not Started</v>
      </c>
      <c r="F7" s="18" t="n">
        <f aca="false">IF($A7="","",IF(INDEX(Tasks!$F:$F,$A7)="","",INDEX(Tasks!$F:$F,$A7)))</f>
        <v>46209</v>
      </c>
      <c r="G7" s="18" t="n">
        <f aca="false">IF($A7="","",IF(INDEX(Tasks!$H:$H,$A7)="","",INDEX(Tasks!$H:$H,$A7)))</f>
        <v>46220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61</v>
      </c>
      <c r="B8" s="17" t="str">
        <f aca="false">IF($A8="","",IF(INDEX(Tasks!$A:$A,$A8)="","",INDEX(Tasks!$A:$A,$A8)))</f>
        <v>G1-SD-2.2</v>
      </c>
      <c r="C8" s="17" t="str">
        <f aca="false">IF($A8="","",IF(ISERROR(FIND(".",INDEX(Tasks!$A:$A,$A8))),"","   ")&amp;INDEX(Tasks!$C:$C,$A8))</f>
        <v>   Radar + Panoptic Fusion Tracking</v>
      </c>
      <c r="D8" s="17" t="str">
        <f aca="false">IF($A8="","",IF(INDEX(Tasks!$B:$B,$A8)="","",INDEX(Tasks!$B:$B,$A8)))</f>
        <v>G1 ED305 live digital twin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46209</v>
      </c>
      <c r="G8" s="18" t="n">
        <f aca="false">IF($A8="","",IF(INDEX(Tasks!$H:$H,$A8)="","",INDEX(Tasks!$H:$H,$A8)))</f>
        <v>46220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62</v>
      </c>
      <c r="B9" s="17" t="str">
        <f aca="false">IF($A9="","",IF(INDEX(Tasks!$A:$A,$A9)="","",INDEX(Tasks!$A:$A,$A9)))</f>
        <v>G1-SD-3</v>
      </c>
      <c r="C9" s="17" t="str">
        <f aca="false">IF($A9="","",IF(ISERROR(FIND(".",INDEX(Tasks!$A:$A,$A9))),"","   ")&amp;INDEX(Tasks!$C:$C,$A9))</f>
        <v>Decomposition: segments &amp; materials</v>
      </c>
      <c r="D9" s="17" t="str">
        <f aca="false">IF($A9="","",IF(INDEX(Tasks!$B:$B,$A9)="","",INDEX(Tasks!$B:$B,$A9)))</f>
        <v>G1 ED305 live digital twin</v>
      </c>
      <c r="E9" s="17" t="str">
        <f aca="false">IF($A9="","",IF(INDEX(Tasks!$E:$E,$A9)="","",INDEX(Tasks!$E:$E,$A9)))</f>
        <v>Not Started</v>
      </c>
      <c r="F9" s="18" t="n">
        <f aca="false">IF($A9="","",IF(INDEX(Tasks!$F:$F,$A9)="","",INDEX(Tasks!$F:$F,$A9)))</f>
        <v>46335</v>
      </c>
      <c r="G9" s="18" t="n">
        <f aca="false">IF($A9="","",IF(INDEX(Tasks!$H:$H,$A9)="","",INDEX(Tasks!$H:$H,$A9)))</f>
        <v>46360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63</v>
      </c>
      <c r="B10" s="17" t="str">
        <f aca="false">IF($A10="","",IF(INDEX(Tasks!$A:$A,$A10)="","",INDEX(Tasks!$A:$A,$A10)))</f>
        <v>G1-SD-4</v>
      </c>
      <c r="C10" s="17" t="str">
        <f aca="false">IF($A10="","",IF(ISERROR(FIND(".",INDEX(Tasks!$A:$A,$A10))),"","   ")&amp;INDEX(Tasks!$C:$C,$A10))</f>
        <v>Change detection</v>
      </c>
      <c r="D10" s="17" t="str">
        <f aca="false">IF($A10="","",IF(INDEX(Tasks!$B:$B,$A10)="","",INDEX(Tasks!$B:$B,$A10)))</f>
        <v>G1 ED305 live digital twin</v>
      </c>
      <c r="E10" s="17" t="str">
        <f aca="false">IF($A10="","",IF(INDEX(Tasks!$E:$E,$A10)="","",INDEX(Tasks!$E:$E,$A10)))</f>
        <v>Not Started</v>
      </c>
      <c r="F10" s="18" t="n">
        <f aca="false">IF($A10="","",IF(INDEX(Tasks!$F:$F,$A10)="","",INDEX(Tasks!$F:$F,$A10)))</f>
        <v>46356</v>
      </c>
      <c r="G10" s="18" t="n">
        <f aca="false">IF($A10="","",IF(INDEX(Tasks!$H:$H,$A10)="","",INDEX(Tasks!$H:$H,$A10)))</f>
        <v>46381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IFERROR(MATCH($C$2&amp;"|"&amp;(ROW()-4),Tasks!$J$4:$J$403,0)+3,"")</f>
        <v>64</v>
      </c>
      <c r="B11" s="17" t="str">
        <f aca="false">IF($A11="","",IF(INDEX(Tasks!$A:$A,$A11)="","",INDEX(Tasks!$A:$A,$A11)))</f>
        <v>G1-SD-4.1</v>
      </c>
      <c r="C11" s="17" t="str">
        <f aca="false">IF($A11="","",IF(ISERROR(FIND(".",INDEX(Tasks!$A:$A,$A11))),"","   ")&amp;INDEX(Tasks!$C:$C,$A11))</f>
        <v>   Change Detection (Object Moved / Appeared / Disappeared)</v>
      </c>
      <c r="D11" s="17" t="str">
        <f aca="false">IF($A11="","",IF(INDEX(Tasks!$B:$B,$A11)="","",INDEX(Tasks!$B:$B,$A11)))</f>
        <v>G1 ED305 live digital twin</v>
      </c>
      <c r="E11" s="17" t="str">
        <f aca="false">IF($A11="","",IF(INDEX(Tasks!$E:$E,$A11)="","",INDEX(Tasks!$E:$E,$A11)))</f>
        <v>Not Started</v>
      </c>
      <c r="F11" s="18" t="n">
        <f aca="false">IF($A11="","",IF(INDEX(Tasks!$F:$F,$A11)="","",INDEX(Tasks!$F:$F,$A11)))</f>
        <v>46223</v>
      </c>
      <c r="G11" s="18" t="n">
        <f aca="false">IF($A11="","",IF(INDEX(Tasks!$H:$H,$A11)="","",INDEX(Tasks!$H:$H,$A11)))</f>
        <v>46227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IFERROR(MATCH($C$2&amp;"|"&amp;(ROW()-4),Tasks!$J$4:$J$403,0)+3,"")</f>
        <v>65</v>
      </c>
      <c r="B12" s="17" t="str">
        <f aca="false">IF($A12="","",IF(INDEX(Tasks!$A:$A,$A12)="","",INDEX(Tasks!$A:$A,$A12)))</f>
        <v>G1-SD-5</v>
      </c>
      <c r="C12" s="17" t="str">
        <f aca="false">IF($A12="","",IF(ISERROR(FIND(".",INDEX(Tasks!$A:$A,$A12))),"","   ")&amp;INDEX(Tasks!$C:$C,$A12))</f>
        <v>Maintenance with change history</v>
      </c>
      <c r="D12" s="17" t="str">
        <f aca="false">IF($A12="","",IF(INDEX(Tasks!$B:$B,$A12)="","",INDEX(Tasks!$B:$B,$A12)))</f>
        <v>G1 ED305 live digital twin</v>
      </c>
      <c r="E12" s="17" t="str">
        <f aca="false">IF($A12="","",IF(INDEX(Tasks!$E:$E,$A12)="","",INDEX(Tasks!$E:$E,$A12)))</f>
        <v>Not Started</v>
      </c>
      <c r="F12" s="18" t="n">
        <f aca="false">IF($A12="","",IF(INDEX(Tasks!$F:$F,$A12)="","",INDEX(Tasks!$F:$F,$A12)))</f>
        <v>46370</v>
      </c>
      <c r="G12" s="18" t="n">
        <f aca="false">IF($A12="","",IF(INDEX(Tasks!$H:$H,$A12)="","",INDEX(Tasks!$H:$H,$A12)))</f>
        <v>46388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IFERROR(MATCH($C$2&amp;"|"&amp;(ROW()-4),Tasks!$J$4:$J$403,0)+3,"")</f>
        <v>66</v>
      </c>
      <c r="B13" s="17" t="str">
        <f aca="false">IF($A13="","",IF(INDEX(Tasks!$A:$A,$A13)="","",INDEX(Tasks!$A:$A,$A13)))</f>
        <v>G1-SD-5.1</v>
      </c>
      <c r="C13" s="17" t="str">
        <f aca="false">IF($A13="","",IF(ISERROR(FIND(".",INDEX(Tasks!$A:$A,$A13))),"","   ")&amp;INDEX(Tasks!$C:$C,$A13))</f>
        <v>   Scene Graph &amp; Map Update on Change (with Change History)</v>
      </c>
      <c r="D13" s="17" t="str">
        <f aca="false">IF($A13="","",IF(INDEX(Tasks!$B:$B,$A13)="","",INDEX(Tasks!$B:$B,$A13)))</f>
        <v>G1 ED305 live digital twin</v>
      </c>
      <c r="E13" s="17" t="str">
        <f aca="false">IF($A13="","",IF(INDEX(Tasks!$E:$E,$A13)="","",INDEX(Tasks!$E:$E,$A13)))</f>
        <v>Not Started</v>
      </c>
      <c r="F13" s="18" t="n">
        <f aca="false">IF($A13="","",IF(INDEX(Tasks!$F:$F,$A13)="","",INDEX(Tasks!$F:$F,$A13)))</f>
        <v>46223</v>
      </c>
      <c r="G13" s="18" t="n">
        <f aca="false">IF($A13="","",IF(INDEX(Tasks!$H:$H,$A13)="","",INDEX(Tasks!$H:$H,$A13)))</f>
        <v>46234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IFERROR(MATCH($C$2&amp;"|"&amp;(ROW()-4),Tasks!$J$4:$J$403,0)+3,"")</f>
        <v>67</v>
      </c>
      <c r="B14" s="17" t="str">
        <f aca="false">IF($A14="","",IF(INDEX(Tasks!$A:$A,$A14)="","",INDEX(Tasks!$A:$A,$A14)))</f>
        <v>G1-SD-6</v>
      </c>
      <c r="C14" s="17" t="str">
        <f aca="false">IF($A14="","",IF(ISERROR(FIND(".",INDEX(Tasks!$A:$A,$A14))),"","   ")&amp;INDEX(Tasks!$C:$C,$A14))</f>
        <v>USD edits to Isaac</v>
      </c>
      <c r="D14" s="17" t="str">
        <f aca="false">IF($A14="","",IF(INDEX(Tasks!$B:$B,$A14)="","",INDEX(Tasks!$B:$B,$A14)))</f>
        <v>G1 ED305 live digital twin</v>
      </c>
      <c r="E14" s="17" t="str">
        <f aca="false">IF($A14="","",IF(INDEX(Tasks!$E:$E,$A14)="","",INDEX(Tasks!$E:$E,$A14)))</f>
        <v>Not Started</v>
      </c>
      <c r="F14" s="18" t="n">
        <f aca="false">IF($A14="","",IF(INDEX(Tasks!$F:$F,$A14)="","",INDEX(Tasks!$F:$F,$A14)))</f>
        <v>46370</v>
      </c>
      <c r="G14" s="18" t="n">
        <f aca="false">IF($A14="","",IF(INDEX(Tasks!$H:$H,$A14)="","",INDEX(Tasks!$H:$H,$A14)))</f>
        <v>46388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IFERROR(MATCH($C$2&amp;"|"&amp;(ROW()-4),Tasks!$J$4:$J$403,0)+3,"")</f>
        <v>68</v>
      </c>
      <c r="B15" s="17" t="str">
        <f aca="false">IF($A15="","",IF(INDEX(Tasks!$A:$A,$A15)="","",INDEX(Tasks!$A:$A,$A15)))</f>
        <v>G1-SD-7</v>
      </c>
      <c r="C15" s="17" t="str">
        <f aca="false">IF($A15="","",IF(ISERROR(FIND(".",INDEX(Tasks!$A:$A,$A15))),"","   ")&amp;INDEX(Tasks!$C:$C,$A15))</f>
        <v>Live targets from the ED305 cameras</v>
      </c>
      <c r="D15" s="17" t="str">
        <f aca="false">IF($A15="","",IF(INDEX(Tasks!$B:$B,$A15)="","",INDEX(Tasks!$B:$B,$A15)))</f>
        <v>G1 ED305 live digital twin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46349</v>
      </c>
      <c r="G15" s="18" t="n">
        <f aca="false">IF($A15="","",IF(INDEX(Tasks!$H:$H,$A15)="","",INDEX(Tasks!$H:$H,$A15)))</f>
        <v>46374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str">
        <f aca="false">IFERROR(MATCH($C$2&amp;"|"&amp;(ROW()-4),Tasks!$J$4:$J$403,0)+3,"")</f>
        <v/>
      </c>
      <c r="B16" s="17" t="str">
        <f aca="false">IF($A16="","",IF(INDEX(Tasks!$A:$A,$A16)="","",INDEX(Tasks!$A:$A,$A16)))</f>
        <v/>
      </c>
      <c r="C16" s="17" t="str">
        <f aca="false">IF($A16="","",IF(ISERROR(FIND(".",INDEX(Tasks!$A:$A,$A16))),"","   ")&amp;INDEX(Tasks!$C:$C,$A16))</f>
        <v/>
      </c>
      <c r="D16" s="17" t="str">
        <f aca="false">IF($A16="","",IF(INDEX(Tasks!$B:$B,$A16)="","",INDEX(Tasks!$B:$B,$A16)))</f>
        <v/>
      </c>
      <c r="E16" s="17" t="str">
        <f aca="false">IF($A16="","",IF(INDEX(Tasks!$E:$E,$A16)="","",INDEX(Tasks!$E:$E,$A16)))</f>
        <v/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str">
        <f aca="false">IFERROR(MATCH($C$2&amp;"|"&amp;(ROW()-4),Tasks!$J$4:$J$403,0)+3,"")</f>
        <v/>
      </c>
      <c r="B17" s="17" t="str">
        <f aca="false">IF($A17="","",IF(INDEX(Tasks!$A:$A,$A17)="","",INDEX(Tasks!$A:$A,$A17)))</f>
        <v/>
      </c>
      <c r="C17" s="17" t="str">
        <f aca="false">IF($A17="","",IF(ISERROR(FIND(".",INDEX(Tasks!$A:$A,$A17))),"","   ")&amp;INDEX(Tasks!$C:$C,$A17))</f>
        <v/>
      </c>
      <c r="D17" s="17" t="str">
        <f aca="false">IF($A17="","",IF(INDEX(Tasks!$B:$B,$A17)="","",INDEX(Tasks!$B:$B,$A17)))</f>
        <v/>
      </c>
      <c r="E17" s="17" t="str">
        <f aca="false">IF($A17="","",IF(INDEX(Tasks!$E:$E,$A17)="","",INDEX(Tasks!$E:$E,$A17)))</f>
        <v/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str">
        <f aca="false">IFERROR(MATCH($C$2&amp;"|"&amp;(ROW()-4),Tasks!$J$4:$J$403,0)+3,"")</f>
        <v/>
      </c>
      <c r="B18" s="17" t="str">
        <f aca="false">IF($A18="","",IF(INDEX(Tasks!$A:$A,$A18)="","",INDEX(Tasks!$A:$A,$A18)))</f>
        <v/>
      </c>
      <c r="C18" s="17" t="str">
        <f aca="false">IF($A18="","",IF(ISERROR(FIND(".",INDEX(Tasks!$A:$A,$A18))),"","   ")&amp;INDEX(Tasks!$C:$C,$A18))</f>
        <v/>
      </c>
      <c r="D18" s="17" t="str">
        <f aca="false">IF($A18="","",IF(INDEX(Tasks!$B:$B,$A18)="","",INDEX(Tasks!$B:$B,$A18)))</f>
        <v/>
      </c>
      <c r="E18" s="17" t="str">
        <f aca="false">IF($A18="","",IF(INDEX(Tasks!$E:$E,$A18)="","",INDEX(Tasks!$E:$E,$A18)))</f>
        <v/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IFERROR(MATCH($C$2&amp;"|"&amp;(ROW()-4),Tasks!$J$4:$J$403,0)+3,"")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IF($A19="","",IF(INDEX(Tasks!$B:$B,$A19)="","",INDEX(Tasks!$B:$B,$A19)))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IFERROR(MATCH($C$2&amp;"|"&amp;(ROW()-4),Tasks!$J$4:$J$403,0)+3,"")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IF($A20="","",IF(INDEX(Tasks!$B:$B,$A20)="","",INDEX(Tasks!$B:$B,$A20)))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IFERROR(MATCH($C$2&amp;"|"&amp;(ROW()-4),Tasks!$J$4:$J$403,0)+3,"")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IF($A21="","",IF(INDEX(Tasks!$B:$B,$A21)="","",INDEX(Tasks!$B:$B,$A21)))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IFERROR(MATCH($C$2&amp;"|"&amp;(ROW()-4),Tasks!$J$4:$J$403,0)+3,"")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IF($A22="","",IF(INDEX(Tasks!$B:$B,$A22)="","",INDEX(Tasks!$B:$B,$A22)))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IFERROR(MATCH($C$2&amp;"|"&amp;(ROW()-4),Tasks!$J$4:$J$403,0)+3,"")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IF($A23="","",IF(INDEX(Tasks!$B:$B,$A23)="","",INDEX(Tasks!$B:$B,$A23)))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IFERROR(MATCH($C$2&amp;"|"&amp;(ROW()-4),Tasks!$J$4:$J$403,0)+3,"")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IF($A24="","",IF(INDEX(Tasks!$B:$B,$A24)="","",INDEX(Tasks!$B:$B,$A24)))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IFERROR(MATCH($C$2&amp;"|"&amp;(ROW()-4),Tasks!$J$4:$J$403,0)+3,"")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IF($A25="","",IF(INDEX(Tasks!$B:$B,$A25)="","",INDEX(Tasks!$B:$B,$A25)))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IFERROR(MATCH($C$2&amp;"|"&amp;(ROW()-4),Tasks!$J$4:$J$403,0)+3,"")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IF($A26="","",IF(INDEX(Tasks!$B:$B,$A26)="","",INDEX(Tasks!$B:$B,$A26)))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People!$A$8</f>
        <v>Sionna RT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4 tasks   ·   0 in progress   ·   0 blocked   ·   0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77</v>
      </c>
      <c r="B5" s="17" t="str">
        <f aca="false">IF($A5="","",IF(INDEX(Tasks!$A:$A,$A5)="","",INDEX(Tasks!$A:$A,$A5)))</f>
        <v>G1-SR-1</v>
      </c>
      <c r="C5" s="17" t="str">
        <f aca="false">IF($A5="","",IF(ISERROR(FIND(".",INDEX(Tasks!$A:$A,$A5))),"","   ")&amp;INDEX(Tasks!$C:$C,$A5))</f>
        <v>Scene export USD -&gt; Mitsuba</v>
      </c>
      <c r="D5" s="17" t="str">
        <f aca="false">IF($A5="","",IF(INDEX(Tasks!$B:$B,$A5)="","",INDEX(Tasks!$B:$B,$A5)))</f>
        <v>G1 ED305 live digital twin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46363</v>
      </c>
      <c r="G5" s="18" t="n">
        <f aca="false">IF($A5="","",IF(INDEX(Tasks!$H:$H,$A5)="","",INDEX(Tasks!$H:$H,$A5)))</f>
        <v>46374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78</v>
      </c>
      <c r="B6" s="17" t="str">
        <f aca="false">IF($A6="","",IF(INDEX(Tasks!$A:$A,$A6)="","",INDEX(Tasks!$A:$A,$A6)))</f>
        <v>G1-SR-2</v>
      </c>
      <c r="C6" s="17" t="str">
        <f aca="false">IF($A6="","",IF(ISERROR(FIND(".",INDEX(Tasks!$A:$A,$A6))),"","   ")&amp;INDEX(Tasks!$C:$C,$A6))</f>
        <v>Path solver, all Tx/Rx links</v>
      </c>
      <c r="D6" s="17" t="str">
        <f aca="false">IF($A6="","",IF(INDEX(Tasks!$B:$B,$A6)="","",INDEX(Tasks!$B:$B,$A6)))</f>
        <v>G1 ED305 live digital twin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46370</v>
      </c>
      <c r="G6" s="18" t="n">
        <f aca="false">IF($A6="","",IF(INDEX(Tasks!$H:$H,$A6)="","",INDEX(Tasks!$H:$H,$A6)))</f>
        <v>46388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79</v>
      </c>
      <c r="B7" s="17" t="str">
        <f aca="false">IF($A7="","",IF(INDEX(Tasks!$A:$A,$A7)="","",INDEX(Tasks!$A:$A,$A7)))</f>
        <v>G1-SR-3</v>
      </c>
      <c r="C7" s="17" t="str">
        <f aca="false">IF($A7="","",IF(ISERROR(FIND(".",INDEX(Tasks!$A:$A,$A7))),"","   ")&amp;INDEX(Tasks!$C:$C,$A7))</f>
        <v>Channel output</v>
      </c>
      <c r="D7" s="17" t="str">
        <f aca="false">IF($A7="","",IF(INDEX(Tasks!$B:$B,$A7)="","",INDEX(Tasks!$B:$B,$A7)))</f>
        <v>G1 ED305 live digital twin</v>
      </c>
      <c r="E7" s="17" t="str">
        <f aca="false">IF($A7="","",IF(INDEX(Tasks!$E:$E,$A7)="","",INDEX(Tasks!$E:$E,$A7)))</f>
        <v>Not Started</v>
      </c>
      <c r="F7" s="18" t="n">
        <f aca="false">IF($A7="","",IF(INDEX(Tasks!$F:$F,$A7)="","",INDEX(Tasks!$F:$F,$A7)))</f>
        <v>46384</v>
      </c>
      <c r="G7" s="18" t="n">
        <f aca="false">IF($A7="","",IF(INDEX(Tasks!$H:$H,$A7)="","",INDEX(Tasks!$H:$H,$A7)))</f>
        <v>46395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80</v>
      </c>
      <c r="B8" s="17" t="str">
        <f aca="false">IF($A8="","",IF(INDEX(Tasks!$A:$A,$A8)="","",INDEX(Tasks!$A:$A,$A8)))</f>
        <v>G1-SR-4</v>
      </c>
      <c r="C8" s="17" t="str">
        <f aca="false">IF($A8="","",IF(ISERROR(FIND(".",INDEX(Tasks!$A:$A,$A8))),"","   ")&amp;INDEX(Tasks!$C:$C,$A8))</f>
        <v>Validate against measured channels</v>
      </c>
      <c r="D8" s="17" t="str">
        <f aca="false">IF($A8="","",IF(INDEX(Tasks!$B:$B,$A8)="","",INDEX(Tasks!$B:$B,$A8)))</f>
        <v>G1 ED305 live digital twin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46391</v>
      </c>
      <c r="G8" s="18" t="n">
        <f aca="false">IF($A8="","",IF(INDEX(Tasks!$H:$H,$A8)="","",INDEX(Tasks!$H:$H,$A8)))</f>
        <v>46409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str">
        <f aca="false">IFERROR(MATCH($C$2&amp;"|"&amp;(ROW()-4),Tasks!$J$4:$J$403,0)+3,"")</f>
        <v/>
      </c>
      <c r="B9" s="17" t="str">
        <f aca="false">IF($A9="","",IF(INDEX(Tasks!$A:$A,$A9)="","",INDEX(Tasks!$A:$A,$A9)))</f>
        <v/>
      </c>
      <c r="C9" s="17" t="str">
        <f aca="false">IF($A9="","",IF(ISERROR(FIND(".",INDEX(Tasks!$A:$A,$A9))),"","   ")&amp;INDEX(Tasks!$C:$C,$A9))</f>
        <v/>
      </c>
      <c r="D9" s="17" t="str">
        <f aca="false">IF($A9="","",IF(INDEX(Tasks!$B:$B,$A9)="","",INDEX(Tasks!$B:$B,$A9)))</f>
        <v/>
      </c>
      <c r="E9" s="17" t="str">
        <f aca="false">IF($A9="","",IF(INDEX(Tasks!$E:$E,$A9)="","",INDEX(Tasks!$E:$E,$A9)))</f>
        <v/>
      </c>
      <c r="F9" s="18" t="str">
        <f aca="false">IF($A9="","",IF(INDEX(Tasks!$F:$F,$A9)="","",INDEX(Tasks!$F:$F,$A9)))</f>
        <v/>
      </c>
      <c r="G9" s="18" t="str">
        <f aca="false">IF($A9="","",IF(INDEX(Tasks!$H:$H,$A9)="","",INDEX(Tasks!$H:$H,$A9)))</f>
        <v/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str">
        <f aca="false">IFERROR(MATCH($C$2&amp;"|"&amp;(ROW()-4),Tasks!$J$4:$J$403,0)+3,"")</f>
        <v/>
      </c>
      <c r="B10" s="17" t="str">
        <f aca="false">IF($A10="","",IF(INDEX(Tasks!$A:$A,$A10)="","",INDEX(Tasks!$A:$A,$A10)))</f>
        <v/>
      </c>
      <c r="C10" s="17" t="str">
        <f aca="false">IF($A10="","",IF(ISERROR(FIND(".",INDEX(Tasks!$A:$A,$A10))),"","   ")&amp;INDEX(Tasks!$C:$C,$A10))</f>
        <v/>
      </c>
      <c r="D10" s="17" t="str">
        <f aca="false">IF($A10="","",IF(INDEX(Tasks!$B:$B,$A10)="","",INDEX(Tasks!$B:$B,$A10)))</f>
        <v/>
      </c>
      <c r="E10" s="17" t="str">
        <f aca="false">IF($A10="","",IF(INDEX(Tasks!$E:$E,$A10)="","",INDEX(Tasks!$E:$E,$A10)))</f>
        <v/>
      </c>
      <c r="F10" s="18" t="str">
        <f aca="false">IF($A10="","",IF(INDEX(Tasks!$F:$F,$A10)="","",INDEX(Tasks!$F:$F,$A10)))</f>
        <v/>
      </c>
      <c r="G10" s="18" t="str">
        <f aca="false">IF($A10="","",IF(INDEX(Tasks!$H:$H,$A10)="","",INDEX(Tasks!$H:$H,$A10)))</f>
        <v/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str">
        <f aca="false">IFERROR(MATCH($C$2&amp;"|"&amp;(ROW()-4),Tasks!$J$4:$J$403,0)+3,"")</f>
        <v/>
      </c>
      <c r="B11" s="17" t="str">
        <f aca="false">IF($A11="","",IF(INDEX(Tasks!$A:$A,$A11)="","",INDEX(Tasks!$A:$A,$A11)))</f>
        <v/>
      </c>
      <c r="C11" s="17" t="str">
        <f aca="false">IF($A11="","",IF(ISERROR(FIND(".",INDEX(Tasks!$A:$A,$A11))),"","   ")&amp;INDEX(Tasks!$C:$C,$A11))</f>
        <v/>
      </c>
      <c r="D11" s="17" t="str">
        <f aca="false">IF($A11="","",IF(INDEX(Tasks!$B:$B,$A11)="","",INDEX(Tasks!$B:$B,$A11)))</f>
        <v/>
      </c>
      <c r="E11" s="17" t="str">
        <f aca="false">IF($A11="","",IF(INDEX(Tasks!$E:$E,$A11)="","",INDEX(Tasks!$E:$E,$A11)))</f>
        <v/>
      </c>
      <c r="F11" s="18" t="str">
        <f aca="false">IF($A11="","",IF(INDEX(Tasks!$F:$F,$A11)="","",INDEX(Tasks!$F:$F,$A11)))</f>
        <v/>
      </c>
      <c r="G11" s="18" t="str">
        <f aca="false">IF($A11="","",IF(INDEX(Tasks!$H:$H,$A11)="","",INDEX(Tasks!$H:$H,$A11)))</f>
        <v/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str">
        <f aca="false">IFERROR(MATCH($C$2&amp;"|"&amp;(ROW()-4),Tasks!$J$4:$J$403,0)+3,"")</f>
        <v/>
      </c>
      <c r="B12" s="17" t="str">
        <f aca="false">IF($A12="","",IF(INDEX(Tasks!$A:$A,$A12)="","",INDEX(Tasks!$A:$A,$A12)))</f>
        <v/>
      </c>
      <c r="C12" s="17" t="str">
        <f aca="false">IF($A12="","",IF(ISERROR(FIND(".",INDEX(Tasks!$A:$A,$A12))),"","   ")&amp;INDEX(Tasks!$C:$C,$A12))</f>
        <v/>
      </c>
      <c r="D12" s="17" t="str">
        <f aca="false">IF($A12="","",IF(INDEX(Tasks!$B:$B,$A12)="","",INDEX(Tasks!$B:$B,$A12)))</f>
        <v/>
      </c>
      <c r="E12" s="17" t="str">
        <f aca="false">IF($A12="","",IF(INDEX(Tasks!$E:$E,$A12)="","",INDEX(Tasks!$E:$E,$A12)))</f>
        <v/>
      </c>
      <c r="F12" s="18" t="str">
        <f aca="false">IF($A12="","",IF(INDEX(Tasks!$F:$F,$A12)="","",INDEX(Tasks!$F:$F,$A12)))</f>
        <v/>
      </c>
      <c r="G12" s="18" t="str">
        <f aca="false">IF($A12="","",IF(INDEX(Tasks!$H:$H,$A12)="","",INDEX(Tasks!$H:$H,$A12)))</f>
        <v/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str">
        <f aca="false">IFERROR(MATCH($C$2&amp;"|"&amp;(ROW()-4),Tasks!$J$4:$J$403,0)+3,"")</f>
        <v/>
      </c>
      <c r="B13" s="17" t="str">
        <f aca="false">IF($A13="","",IF(INDEX(Tasks!$A:$A,$A13)="","",INDEX(Tasks!$A:$A,$A13)))</f>
        <v/>
      </c>
      <c r="C13" s="17" t="str">
        <f aca="false">IF($A13="","",IF(ISERROR(FIND(".",INDEX(Tasks!$A:$A,$A13))),"","   ")&amp;INDEX(Tasks!$C:$C,$A13))</f>
        <v/>
      </c>
      <c r="D13" s="17" t="str">
        <f aca="false">IF($A13="","",IF(INDEX(Tasks!$B:$B,$A13)="","",INDEX(Tasks!$B:$B,$A13)))</f>
        <v/>
      </c>
      <c r="E13" s="17" t="str">
        <f aca="false">IF($A13="","",IF(INDEX(Tasks!$E:$E,$A13)="","",INDEX(Tasks!$E:$E,$A13)))</f>
        <v/>
      </c>
      <c r="F13" s="18" t="str">
        <f aca="false">IF($A13="","",IF(INDEX(Tasks!$F:$F,$A13)="","",INDEX(Tasks!$F:$F,$A13)))</f>
        <v/>
      </c>
      <c r="G13" s="18" t="str">
        <f aca="false">IF($A13="","",IF(INDEX(Tasks!$H:$H,$A13)="","",INDEX(Tasks!$H:$H,$A13)))</f>
        <v/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str">
        <f aca="false">IFERROR(MATCH($C$2&amp;"|"&amp;(ROW()-4),Tasks!$J$4:$J$403,0)+3,"")</f>
        <v/>
      </c>
      <c r="B14" s="17" t="str">
        <f aca="false">IF($A14="","",IF(INDEX(Tasks!$A:$A,$A14)="","",INDEX(Tasks!$A:$A,$A14)))</f>
        <v/>
      </c>
      <c r="C14" s="17" t="str">
        <f aca="false">IF($A14="","",IF(ISERROR(FIND(".",INDEX(Tasks!$A:$A,$A14))),"","   ")&amp;INDEX(Tasks!$C:$C,$A14))</f>
        <v/>
      </c>
      <c r="D14" s="17" t="str">
        <f aca="false">IF($A14="","",IF(INDEX(Tasks!$B:$B,$A14)="","",INDEX(Tasks!$B:$B,$A14)))</f>
        <v/>
      </c>
      <c r="E14" s="17" t="str">
        <f aca="false">IF($A14="","",IF(INDEX(Tasks!$E:$E,$A14)="","",INDEX(Tasks!$E:$E,$A14)))</f>
        <v/>
      </c>
      <c r="F14" s="18" t="str">
        <f aca="false">IF($A14="","",IF(INDEX(Tasks!$F:$F,$A14)="","",INDEX(Tasks!$F:$F,$A14)))</f>
        <v/>
      </c>
      <c r="G14" s="18" t="str">
        <f aca="false">IF($A14="","",IF(INDEX(Tasks!$H:$H,$A14)="","",INDEX(Tasks!$H:$H,$A14)))</f>
        <v/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str">
        <f aca="false">IFERROR(MATCH($C$2&amp;"|"&amp;(ROW()-4),Tasks!$J$4:$J$403,0)+3,"")</f>
        <v/>
      </c>
      <c r="B15" s="17" t="str">
        <f aca="false">IF($A15="","",IF(INDEX(Tasks!$A:$A,$A15)="","",INDEX(Tasks!$A:$A,$A15)))</f>
        <v/>
      </c>
      <c r="C15" s="17" t="str">
        <f aca="false">IF($A15="","",IF(ISERROR(FIND(".",INDEX(Tasks!$A:$A,$A15))),"","   ")&amp;INDEX(Tasks!$C:$C,$A15))</f>
        <v/>
      </c>
      <c r="D15" s="17" t="str">
        <f aca="false">IF($A15="","",IF(INDEX(Tasks!$B:$B,$A15)="","",INDEX(Tasks!$B:$B,$A15)))</f>
        <v/>
      </c>
      <c r="E15" s="17" t="str">
        <f aca="false">IF($A15="","",IF(INDEX(Tasks!$E:$E,$A15)="","",INDEX(Tasks!$E:$E,$A15)))</f>
        <v/>
      </c>
      <c r="F15" s="18" t="str">
        <f aca="false">IF($A15="","",IF(INDEX(Tasks!$F:$F,$A15)="","",INDEX(Tasks!$F:$F,$A15)))</f>
        <v/>
      </c>
      <c r="G15" s="18" t="str">
        <f aca="false">IF($A15="","",IF(INDEX(Tasks!$H:$H,$A15)="","",INDEX(Tasks!$H:$H,$A15)))</f>
        <v/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str">
        <f aca="false">IFERROR(MATCH($C$2&amp;"|"&amp;(ROW()-4),Tasks!$J$4:$J$403,0)+3,"")</f>
        <v/>
      </c>
      <c r="B16" s="17" t="str">
        <f aca="false">IF($A16="","",IF(INDEX(Tasks!$A:$A,$A16)="","",INDEX(Tasks!$A:$A,$A16)))</f>
        <v/>
      </c>
      <c r="C16" s="17" t="str">
        <f aca="false">IF($A16="","",IF(ISERROR(FIND(".",INDEX(Tasks!$A:$A,$A16))),"","   ")&amp;INDEX(Tasks!$C:$C,$A16))</f>
        <v/>
      </c>
      <c r="D16" s="17" t="str">
        <f aca="false">IF($A16="","",IF(INDEX(Tasks!$B:$B,$A16)="","",INDEX(Tasks!$B:$B,$A16)))</f>
        <v/>
      </c>
      <c r="E16" s="17" t="str">
        <f aca="false">IF($A16="","",IF(INDEX(Tasks!$E:$E,$A16)="","",INDEX(Tasks!$E:$E,$A16)))</f>
        <v/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str">
        <f aca="false">IFERROR(MATCH($C$2&amp;"|"&amp;(ROW()-4),Tasks!$J$4:$J$403,0)+3,"")</f>
        <v/>
      </c>
      <c r="B17" s="17" t="str">
        <f aca="false">IF($A17="","",IF(INDEX(Tasks!$A:$A,$A17)="","",INDEX(Tasks!$A:$A,$A17)))</f>
        <v/>
      </c>
      <c r="C17" s="17" t="str">
        <f aca="false">IF($A17="","",IF(ISERROR(FIND(".",INDEX(Tasks!$A:$A,$A17))),"","   ")&amp;INDEX(Tasks!$C:$C,$A17))</f>
        <v/>
      </c>
      <c r="D17" s="17" t="str">
        <f aca="false">IF($A17="","",IF(INDEX(Tasks!$B:$B,$A17)="","",INDEX(Tasks!$B:$B,$A17)))</f>
        <v/>
      </c>
      <c r="E17" s="17" t="str">
        <f aca="false">IF($A17="","",IF(INDEX(Tasks!$E:$E,$A17)="","",INDEX(Tasks!$E:$E,$A17)))</f>
        <v/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str">
        <f aca="false">IFERROR(MATCH($C$2&amp;"|"&amp;(ROW()-4),Tasks!$J$4:$J$403,0)+3,"")</f>
        <v/>
      </c>
      <c r="B18" s="17" t="str">
        <f aca="false">IF($A18="","",IF(INDEX(Tasks!$A:$A,$A18)="","",INDEX(Tasks!$A:$A,$A18)))</f>
        <v/>
      </c>
      <c r="C18" s="17" t="str">
        <f aca="false">IF($A18="","",IF(ISERROR(FIND(".",INDEX(Tasks!$A:$A,$A18))),"","   ")&amp;INDEX(Tasks!$C:$C,$A18))</f>
        <v/>
      </c>
      <c r="D18" s="17" t="str">
        <f aca="false">IF($A18="","",IF(INDEX(Tasks!$B:$B,$A18)="","",INDEX(Tasks!$B:$B,$A18)))</f>
        <v/>
      </c>
      <c r="E18" s="17" t="str">
        <f aca="false">IF($A18="","",IF(INDEX(Tasks!$E:$E,$A18)="","",INDEX(Tasks!$E:$E,$A18)))</f>
        <v/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IFERROR(MATCH($C$2&amp;"|"&amp;(ROW()-4),Tasks!$J$4:$J$403,0)+3,"")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IF($A19="","",IF(INDEX(Tasks!$B:$B,$A19)="","",INDEX(Tasks!$B:$B,$A19)))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IFERROR(MATCH($C$2&amp;"|"&amp;(ROW()-4),Tasks!$J$4:$J$403,0)+3,"")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IF($A20="","",IF(INDEX(Tasks!$B:$B,$A20)="","",INDEX(Tasks!$B:$B,$A20)))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IFERROR(MATCH($C$2&amp;"|"&amp;(ROW()-4),Tasks!$J$4:$J$403,0)+3,"")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IF($A21="","",IF(INDEX(Tasks!$B:$B,$A21)="","",INDEX(Tasks!$B:$B,$A21)))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IFERROR(MATCH($C$2&amp;"|"&amp;(ROW()-4),Tasks!$J$4:$J$403,0)+3,"")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IF($A22="","",IF(INDEX(Tasks!$B:$B,$A22)="","",INDEX(Tasks!$B:$B,$A22)))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IFERROR(MATCH($C$2&amp;"|"&amp;(ROW()-4),Tasks!$J$4:$J$403,0)+3,"")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IF($A23="","",IF(INDEX(Tasks!$B:$B,$A23)="","",INDEX(Tasks!$B:$B,$A23)))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IFERROR(MATCH($C$2&amp;"|"&amp;(ROW()-4),Tasks!$J$4:$J$403,0)+3,"")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IF($A24="","",IF(INDEX(Tasks!$B:$B,$A24)="","",INDEX(Tasks!$B:$B,$A24)))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IFERROR(MATCH($C$2&amp;"|"&amp;(ROW()-4),Tasks!$J$4:$J$403,0)+3,"")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IF($A25="","",IF(INDEX(Tasks!$B:$B,$A25)="","",INDEX(Tasks!$B:$B,$A25)))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IFERROR(MATCH($C$2&amp;"|"&amp;(ROW()-4),Tasks!$J$4:$J$403,0)+3,"")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IF($A26="","",IF(INDEX(Tasks!$B:$B,$A26)="","",INDEX(Tasks!$B:$B,$A26)))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People!$A$9</f>
        <v>SCooP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29 tasks   ·   4 in progress   ·   0 blocked   ·   5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15</v>
      </c>
      <c r="B5" s="17" t="str">
        <f aca="false">IF($A5="","",IF(INDEX(Tasks!$A:$A,$A5)="","",INDEX(Tasks!$A:$A,$A5)))</f>
        <v>G2-DS-1</v>
      </c>
      <c r="C5" s="17" t="str">
        <f aca="false">IF($A5="","",IF(ISERROR(FIND(".",INDEX(Tasks!$A:$A,$A5))),"","   ")&amp;INDEX(Tasks!$C:$C,$A5))</f>
        <v>Recording campaign</v>
      </c>
      <c r="D5" s="17" t="str">
        <f aca="false">IF($A5="","",IF(INDEX(Tasks!$B:$B,$A5)="","",INDEX(Tasks!$B:$B,$A5)))</f>
        <v>G2 SCooP dataset &amp; paper</v>
      </c>
      <c r="E5" s="17" t="str">
        <f aca="false">IF($A5="","",IF(INDEX(Tasks!$E:$E,$A5)="","",INDEX(Tasks!$E:$E,$A5)))</f>
        <v>Partially Completed</v>
      </c>
      <c r="F5" s="18" t="n">
        <f aca="false">IF($A5="","",IF(INDEX(Tasks!$F:$F,$A5)="","",INDEX(Tasks!$F:$F,$A5)))</f>
        <v>46314</v>
      </c>
      <c r="G5" s="18" t="n">
        <f aca="false">IF($A5="","",IF(INDEX(Tasks!$H:$H,$A5)="","",INDEX(Tasks!$H:$H,$A5)))</f>
        <v>46353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16</v>
      </c>
      <c r="B6" s="17" t="str">
        <f aca="false">IF($A6="","",IF(INDEX(Tasks!$A:$A,$A6)="","",INDEX(Tasks!$A:$A,$A6)))</f>
        <v>G2-DS-1.1</v>
      </c>
      <c r="C6" s="17" t="str">
        <f aca="false">IF($A6="","",IF(ISERROR(FIND(".",INDEX(Tasks!$A:$A,$A6))),"","   ")&amp;INDEX(Tasks!$C:$C,$A6))</f>
        <v>   Indoor Trajectory Sessions</v>
      </c>
      <c r="D6" s="17" t="str">
        <f aca="false">IF($A6="","",IF(INDEX(Tasks!$B:$B,$A6)="","",INDEX(Tasks!$B:$B,$A6)))</f>
        <v>G2 SCooP dataset &amp; paper</v>
      </c>
      <c r="E6" s="17" t="str">
        <f aca="false">IF($A6="","",IF(INDEX(Tasks!$E:$E,$A6)="","",INDEX(Tasks!$E:$E,$A6)))</f>
        <v>Partially Completed</v>
      </c>
      <c r="F6" s="18" t="n">
        <f aca="false">IF($A6="","",IF(INDEX(Tasks!$F:$F,$A6)="","",INDEX(Tasks!$F:$F,$A6)))</f>
        <v>46202</v>
      </c>
      <c r="G6" s="18" t="n">
        <f aca="false">IF($A6="","",IF(INDEX(Tasks!$H:$H,$A6)="","",INDEX(Tasks!$H:$H,$A6)))</f>
        <v>46206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17</v>
      </c>
      <c r="B7" s="17" t="str">
        <f aca="false">IF($A7="","",IF(INDEX(Tasks!$A:$A,$A7)="","",INDEX(Tasks!$A:$A,$A7)))</f>
        <v>G2-DS-1.2</v>
      </c>
      <c r="C7" s="17" t="str">
        <f aca="false">IF($A7="","",IF(ISERROR(FIND(".",INDEX(Tasks!$A:$A,$A7))),"","   ")&amp;INDEX(Tasks!$C:$C,$A7))</f>
        <v>   Outdoor Trajectory Sessions</v>
      </c>
      <c r="D7" s="17" t="str">
        <f aca="false">IF($A7="","",IF(INDEX(Tasks!$B:$B,$A7)="","",INDEX(Tasks!$B:$B,$A7)))</f>
        <v>G2 SCooP dataset &amp; paper</v>
      </c>
      <c r="E7" s="17" t="str">
        <f aca="false">IF($A7="","",IF(INDEX(Tasks!$E:$E,$A7)="","",INDEX(Tasks!$E:$E,$A7)))</f>
        <v>Not Started</v>
      </c>
      <c r="F7" s="18" t="str">
        <f aca="false">IF($A7="","",IF(INDEX(Tasks!$F:$F,$A7)="","",INDEX(Tasks!$F:$F,$A7)))</f>
        <v/>
      </c>
      <c r="G7" s="18" t="str">
        <f aca="false">IF($A7="","",IF(INDEX(Tasks!$H:$H,$A7)="","",INDEX(Tasks!$H:$H,$A7)))</f>
        <v/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18</v>
      </c>
      <c r="B8" s="17" t="str">
        <f aca="false">IF($A8="","",IF(INDEX(Tasks!$A:$A,$A8)="","",INDEX(Tasks!$A:$A,$A8)))</f>
        <v>G2-DS-1.3</v>
      </c>
      <c r="C8" s="17" t="str">
        <f aca="false">IF($A8="","",IF(ISERROR(FIND(".",INDEX(Tasks!$A:$A,$A8))),"","   ")&amp;INDEX(Tasks!$C:$C,$A8))</f>
        <v>   Record sites 2 and 3</v>
      </c>
      <c r="D8" s="17" t="str">
        <f aca="false">IF($A8="","",IF(INDEX(Tasks!$B:$B,$A8)="","",INDEX(Tasks!$B:$B,$A8)))</f>
        <v>G2 SCooP dataset &amp; paper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46321</v>
      </c>
      <c r="G8" s="18" t="n">
        <f aca="false">IF($A8="","",IF(INDEX(Tasks!$H:$H,$A8)="","",INDEX(Tasks!$H:$H,$A8)))</f>
        <v>46346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19</v>
      </c>
      <c r="B9" s="17" t="str">
        <f aca="false">IF($A9="","",IF(INDEX(Tasks!$A:$A,$A9)="","",INDEX(Tasks!$A:$A,$A9)))</f>
        <v>G2-DS-1.4</v>
      </c>
      <c r="C9" s="17" t="str">
        <f aca="false">IF($A9="","",IF(ISERROR(FIND(".",INDEX(Tasks!$A:$A,$A9))),"","   ")&amp;INDEX(Tasks!$C:$C,$A9))</f>
        <v>   Calibration rosbag</v>
      </c>
      <c r="D9" s="17" t="str">
        <f aca="false">IF($A9="","",IF(INDEX(Tasks!$B:$B,$A9)="","",INDEX(Tasks!$B:$B,$A9)))</f>
        <v>G2 SCooP dataset &amp; paper</v>
      </c>
      <c r="E9" s="17" t="str">
        <f aca="false">IF($A9="","",IF(INDEX(Tasks!$E:$E,$A9)="","",INDEX(Tasks!$E:$E,$A9)))</f>
        <v/>
      </c>
      <c r="F9" s="18" t="n">
        <f aca="false">IF($A9="","",IF(INDEX(Tasks!$F:$F,$A9)="","",INDEX(Tasks!$F:$F,$A9)))</f>
        <v>46314</v>
      </c>
      <c r="G9" s="18" t="n">
        <f aca="false">IF($A9="","",IF(INDEX(Tasks!$H:$H,$A9)="","",INDEX(Tasks!$H:$H,$A9)))</f>
        <v>46318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20</v>
      </c>
      <c r="B10" s="17" t="str">
        <f aca="false">IF($A10="","",IF(INDEX(Tasks!$A:$A,$A10)="","",INDEX(Tasks!$A:$A,$A10)))</f>
        <v>G2-DS-1.5</v>
      </c>
      <c r="C10" s="17" t="str">
        <f aca="false">IF($A10="","",IF(ISERROR(FIND(".",INDEX(Tasks!$A:$A,$A10))),"","   ")&amp;INDEX(Tasks!$C:$C,$A10))</f>
        <v>   Short test recordings</v>
      </c>
      <c r="D10" s="17" t="str">
        <f aca="false">IF($A10="","",IF(INDEX(Tasks!$B:$B,$A10)="","",INDEX(Tasks!$B:$B,$A10)))</f>
        <v>G2 SCooP dataset &amp; paper</v>
      </c>
      <c r="E10" s="17" t="str">
        <f aca="false">IF($A10="","",IF(INDEX(Tasks!$E:$E,$A10)="","",INDEX(Tasks!$E:$E,$A10)))</f>
        <v/>
      </c>
      <c r="F10" s="18" t="n">
        <f aca="false">IF($A10="","",IF(INDEX(Tasks!$F:$F,$A10)="","",INDEX(Tasks!$F:$F,$A10)))</f>
        <v>46314</v>
      </c>
      <c r="G10" s="18" t="n">
        <f aca="false">IF($A10="","",IF(INDEX(Tasks!$H:$H,$A10)="","",INDEX(Tasks!$H:$H,$A10)))</f>
        <v>46318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IFERROR(MATCH($C$2&amp;"|"&amp;(ROW()-4),Tasks!$J$4:$J$403,0)+3,"")</f>
        <v>21</v>
      </c>
      <c r="B11" s="17" t="str">
        <f aca="false">IF($A11="","",IF(INDEX(Tasks!$A:$A,$A11)="","",INDEX(Tasks!$A:$A,$A11)))</f>
        <v>G2-DS-2</v>
      </c>
      <c r="C11" s="17" t="str">
        <f aca="false">IF($A11="","",IF(ISERROR(FIND(".",INDEX(Tasks!$A:$A,$A11))),"","   ")&amp;INDEX(Tasks!$C:$C,$A11))</f>
        <v>Per-pass processing</v>
      </c>
      <c r="D11" s="17" t="str">
        <f aca="false">IF($A11="","",IF(INDEX(Tasks!$B:$B,$A11)="","",INDEX(Tasks!$B:$B,$A11)))</f>
        <v>G2 SCooP dataset &amp; paper</v>
      </c>
      <c r="E11" s="17" t="str">
        <f aca="false">IF($A11="","",IF(INDEX(Tasks!$E:$E,$A11)="","",INDEX(Tasks!$E:$E,$A11)))</f>
        <v>In Progress</v>
      </c>
      <c r="F11" s="18" t="n">
        <f aca="false">IF($A11="","",IF(INDEX(Tasks!$F:$F,$A11)="","",INDEX(Tasks!$F:$F,$A11)))</f>
        <v>46307</v>
      </c>
      <c r="G11" s="18" t="n">
        <f aca="false">IF($A11="","",IF(INDEX(Tasks!$H:$H,$A11)="","",INDEX(Tasks!$H:$H,$A11)))</f>
        <v>46374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IFERROR(MATCH($C$2&amp;"|"&amp;(ROW()-4),Tasks!$J$4:$J$403,0)+3,"")</f>
        <v>22</v>
      </c>
      <c r="B12" s="17" t="str">
        <f aca="false">IF($A12="","",IF(INDEX(Tasks!$A:$A,$A12)="","",INDEX(Tasks!$A:$A,$A12)))</f>
        <v>G2-DS-2.1</v>
      </c>
      <c r="C12" s="17" t="str">
        <f aca="false">IF($A12="","",IF(ISERROR(FIND(".",INDEX(Tasks!$A:$A,$A12))),"","   ")&amp;INDEX(Tasks!$C:$C,$A12))</f>
        <v>   Merging Sensor Data</v>
      </c>
      <c r="D12" s="17" t="str">
        <f aca="false">IF($A12="","",IF(INDEX(Tasks!$B:$B,$A12)="","",INDEX(Tasks!$B:$B,$A12)))</f>
        <v>G2 SCooP dataset &amp; paper</v>
      </c>
      <c r="E12" s="17" t="str">
        <f aca="false">IF($A12="","",IF(INDEX(Tasks!$E:$E,$A12)="","",INDEX(Tasks!$E:$E,$A12)))</f>
        <v>In Progress</v>
      </c>
      <c r="F12" s="18" t="n">
        <f aca="false">IF($A12="","",IF(INDEX(Tasks!$F:$F,$A12)="","",INDEX(Tasks!$F:$F,$A12)))</f>
        <v>46202</v>
      </c>
      <c r="G12" s="18" t="n">
        <f aca="false">IF($A12="","",IF(INDEX(Tasks!$H:$H,$A12)="","",INDEX(Tasks!$H:$H,$A12)))</f>
        <v>46206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IFERROR(MATCH($C$2&amp;"|"&amp;(ROW()-4),Tasks!$J$4:$J$403,0)+3,"")</f>
        <v>23</v>
      </c>
      <c r="B13" s="17" t="str">
        <f aca="false">IF($A13="","",IF(INDEX(Tasks!$A:$A,$A13)="","",INDEX(Tasks!$A:$A,$A13)))</f>
        <v>G2-DS-2.2</v>
      </c>
      <c r="C13" s="17" t="str">
        <f aca="false">IF($A13="","",IF(ISERROR(FIND(".",INDEX(Tasks!$A:$A,$A13))),"","   ")&amp;INDEX(Tasks!$C:$C,$A13))</f>
        <v>   Timestamp Alignment Post-Processing</v>
      </c>
      <c r="D13" s="17" t="str">
        <f aca="false">IF($A13="","",IF(INDEX(Tasks!$B:$B,$A13)="","",INDEX(Tasks!$B:$B,$A13)))</f>
        <v>G2 SCooP dataset &amp; paper</v>
      </c>
      <c r="E13" s="17" t="str">
        <f aca="false">IF($A13="","",IF(INDEX(Tasks!$E:$E,$A13)="","",INDEX(Tasks!$E:$E,$A13)))</f>
        <v>Not Started</v>
      </c>
      <c r="F13" s="18" t="n">
        <f aca="false">IF($A13="","",IF(INDEX(Tasks!$F:$F,$A13)="","",INDEX(Tasks!$F:$F,$A13)))</f>
        <v>46202</v>
      </c>
      <c r="G13" s="18" t="n">
        <f aca="false">IF($A13="","",IF(INDEX(Tasks!$H:$H,$A13)="","",INDEX(Tasks!$H:$H,$A13)))</f>
        <v>46206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IFERROR(MATCH($C$2&amp;"|"&amp;(ROW()-4),Tasks!$J$4:$J$403,0)+3,"")</f>
        <v>24</v>
      </c>
      <c r="B14" s="17" t="str">
        <f aca="false">IF($A14="","",IF(INDEX(Tasks!$A:$A,$A14)="","",INDEX(Tasks!$A:$A,$A14)))</f>
        <v>G2-DS-3</v>
      </c>
      <c r="C14" s="17" t="str">
        <f aca="false">IF($A14="","",IF(ISERROR(FIND(".",INDEX(Tasks!$A:$A,$A14))),"","   ")&amp;INDEX(Tasks!$C:$C,$A14))</f>
        <v>Reference maps &amp; board networks per site</v>
      </c>
      <c r="D14" s="17" t="str">
        <f aca="false">IF($A14="","",IF(INDEX(Tasks!$B:$B,$A14)="","",INDEX(Tasks!$B:$B,$A14)))</f>
        <v>G2 SCooP dataset &amp; paper</v>
      </c>
      <c r="E14" s="17" t="str">
        <f aca="false">IF($A14="","",IF(INDEX(Tasks!$E:$E,$A14)="","",INDEX(Tasks!$E:$E,$A14)))</f>
        <v>In Progress</v>
      </c>
      <c r="F14" s="18" t="n">
        <f aca="false">IF($A14="","",IF(INDEX(Tasks!$F:$F,$A14)="","",INDEX(Tasks!$F:$F,$A14)))</f>
        <v>46307</v>
      </c>
      <c r="G14" s="18" t="n">
        <f aca="false">IF($A14="","",IF(INDEX(Tasks!$H:$H,$A14)="","",INDEX(Tasks!$H:$H,$A14)))</f>
        <v>46360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IFERROR(MATCH($C$2&amp;"|"&amp;(ROW()-4),Tasks!$J$4:$J$403,0)+3,"")</f>
        <v>25</v>
      </c>
      <c r="B15" s="17" t="str">
        <f aca="false">IF($A15="","",IF(INDEX(Tasks!$A:$A,$A15)="","",INDEX(Tasks!$A:$A,$A15)))</f>
        <v>G2-DS-3.1</v>
      </c>
      <c r="C15" s="17" t="str">
        <f aca="false">IF($A15="","",IF(ISERROR(FIND(".",INDEX(Tasks!$A:$A,$A15))),"","   ")&amp;INDEX(Tasks!$C:$C,$A15))</f>
        <v>   Localization and Mapping</v>
      </c>
      <c r="D15" s="17" t="str">
        <f aca="false">IF($A15="","",IF(INDEX(Tasks!$B:$B,$A15)="","",INDEX(Tasks!$B:$B,$A15)))</f>
        <v>G2 SCooP dataset &amp; paper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46202</v>
      </c>
      <c r="G15" s="18" t="n">
        <f aca="false">IF($A15="","",IF(INDEX(Tasks!$H:$H,$A15)="","",INDEX(Tasks!$H:$H,$A15)))</f>
        <v>46206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IFERROR(MATCH($C$2&amp;"|"&amp;(ROW()-4),Tasks!$J$4:$J$403,0)+3,"")</f>
        <v>26</v>
      </c>
      <c r="B16" s="17" t="str">
        <f aca="false">IF($A16="","",IF(INDEX(Tasks!$A:$A,$A16)="","",INDEX(Tasks!$A:$A,$A16)))</f>
        <v>G2-DS-3.2</v>
      </c>
      <c r="C16" s="17" t="str">
        <f aca="false">IF($A16="","",IF(ISERROR(FIND(".",INDEX(Tasks!$A:$A,$A16))),"","   ")&amp;INDEX(Tasks!$C:$C,$A16))</f>
        <v>   Mesh Conversion</v>
      </c>
      <c r="D16" s="17" t="str">
        <f aca="false">IF($A16="","",IF(INDEX(Tasks!$B:$B,$A16)="","",INDEX(Tasks!$B:$B,$A16)))</f>
        <v>G2 SCooP dataset &amp; paper</v>
      </c>
      <c r="E16" s="17" t="str">
        <f aca="false">IF($A16="","",IF(INDEX(Tasks!$E:$E,$A16)="","",INDEX(Tasks!$E:$E,$A16)))</f>
        <v>Not Started</v>
      </c>
      <c r="F16" s="18" t="n">
        <f aca="false">IF($A16="","",IF(INDEX(Tasks!$F:$F,$A16)="","",INDEX(Tasks!$F:$F,$A16)))</f>
        <v>46209</v>
      </c>
      <c r="G16" s="18" t="n">
        <f aca="false">IF($A16="","",IF(INDEX(Tasks!$H:$H,$A16)="","",INDEX(Tasks!$H:$H,$A16)))</f>
        <v>46220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IFERROR(MATCH($C$2&amp;"|"&amp;(ROW()-4),Tasks!$J$4:$J$403,0)+3,"")</f>
        <v>27</v>
      </c>
      <c r="B17" s="17" t="str">
        <f aca="false">IF($A17="","",IF(INDEX(Tasks!$A:$A,$A17)="","",INDEX(Tasks!$A:$A,$A17)))</f>
        <v>G2-DS-4</v>
      </c>
      <c r="C17" s="17" t="str">
        <f aca="false">IF($A17="","",IF(ISERROR(FIND(".",INDEX(Tasks!$A:$A,$A17))),"","   ")&amp;INDEX(Tasks!$C:$C,$A17))</f>
        <v>Reference poses (map stages 03-10)</v>
      </c>
      <c r="D17" s="17" t="str">
        <f aca="false">IF($A17="","",IF(INDEX(Tasks!$B:$B,$A17)="","",INDEX(Tasks!$B:$B,$A17)))</f>
        <v>G2 SCooP dataset &amp; paper</v>
      </c>
      <c r="E17" s="17" t="str">
        <f aca="false">IF($A17="","",IF(INDEX(Tasks!$E:$E,$A17)="","",INDEX(Tasks!$E:$E,$A17)))</f>
        <v>In Progress</v>
      </c>
      <c r="F17" s="18" t="n">
        <f aca="false">IF($A17="","",IF(INDEX(Tasks!$F:$F,$A17)="","",INDEX(Tasks!$F:$F,$A17)))</f>
        <v>46307</v>
      </c>
      <c r="G17" s="18" t="n">
        <f aca="false">IF($A17="","",IF(INDEX(Tasks!$H:$H,$A17)="","",INDEX(Tasks!$H:$H,$A17)))</f>
        <v>46346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IFERROR(MATCH($C$2&amp;"|"&amp;(ROW()-4),Tasks!$J$4:$J$403,0)+3,"")</f>
        <v>28</v>
      </c>
      <c r="B18" s="17" t="str">
        <f aca="false">IF($A18="","",IF(INDEX(Tasks!$A:$A,$A18)="","",INDEX(Tasks!$A:$A,$A18)))</f>
        <v>G2-DS-5</v>
      </c>
      <c r="C18" s="17" t="str">
        <f aca="false">IF($A18="","",IF(ISERROR(FIND(".",INDEX(Tasks!$A:$A,$A18))),"","   ")&amp;INDEX(Tasks!$C:$C,$A18))</f>
        <v>Ground-truth validation</v>
      </c>
      <c r="D18" s="17" t="str">
        <f aca="false">IF($A18="","",IF(INDEX(Tasks!$B:$B,$A18)="","",INDEX(Tasks!$B:$B,$A18)))</f>
        <v>G2 SCooP dataset &amp; paper</v>
      </c>
      <c r="E18" s="17" t="str">
        <f aca="false">IF($A18="","",IF(INDEX(Tasks!$E:$E,$A18)="","",INDEX(Tasks!$E:$E,$A18)))</f>
        <v>Not Started</v>
      </c>
      <c r="F18" s="18" t="n">
        <f aca="false">IF($A18="","",IF(INDEX(Tasks!$F:$F,$A18)="","",INDEX(Tasks!$F:$F,$A18)))</f>
        <v>46342</v>
      </c>
      <c r="G18" s="18" t="n">
        <f aca="false">IF($A18="","",IF(INDEX(Tasks!$H:$H,$A18)="","",INDEX(Tasks!$H:$H,$A18)))</f>
        <v>46360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n">
        <f aca="false">IFERROR(MATCH($C$2&amp;"|"&amp;(ROW()-4),Tasks!$J$4:$J$403,0)+3,"")</f>
        <v>29</v>
      </c>
      <c r="B19" s="17" t="str">
        <f aca="false">IF($A19="","",IF(INDEX(Tasks!$A:$A,$A19)="","",INDEX(Tasks!$A:$A,$A19)))</f>
        <v>G2-DS-6</v>
      </c>
      <c r="C19" s="17" t="str">
        <f aca="false">IF($A19="","",IF(ISERROR(FIND(".",INDEX(Tasks!$A:$A,$A19))),"","   ")&amp;INDEX(Tasks!$C:$C,$A19))</f>
        <v>Annotations</v>
      </c>
      <c r="D19" s="17" t="str">
        <f aca="false">IF($A19="","",IF(INDEX(Tasks!$B:$B,$A19)="","",INDEX(Tasks!$B:$B,$A19)))</f>
        <v>G2 SCooP dataset &amp; paper</v>
      </c>
      <c r="E19" s="17" t="str">
        <f aca="false">IF($A19="","",IF(INDEX(Tasks!$E:$E,$A19)="","",INDEX(Tasks!$E:$E,$A19)))</f>
        <v>Not Started</v>
      </c>
      <c r="F19" s="18" t="n">
        <f aca="false">IF($A19="","",IF(INDEX(Tasks!$F:$F,$A19)="","",INDEX(Tasks!$F:$F,$A19)))</f>
        <v>46335</v>
      </c>
      <c r="G19" s="18" t="n">
        <f aca="false">IF($A19="","",IF(INDEX(Tasks!$H:$H,$A19)="","",INDEX(Tasks!$H:$H,$A19)))</f>
        <v>46381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n">
        <f aca="false">IFERROR(MATCH($C$2&amp;"|"&amp;(ROW()-4),Tasks!$J$4:$J$403,0)+3,"")</f>
        <v>30</v>
      </c>
      <c r="B20" s="17" t="str">
        <f aca="false">IF($A20="","",IF(INDEX(Tasks!$A:$A,$A20)="","",INDEX(Tasks!$A:$A,$A20)))</f>
        <v>G2-DS-6.1</v>
      </c>
      <c r="C20" s="17" t="str">
        <f aca="false">IF($A20="","",IF(ISERROR(FIND(".",INDEX(Tasks!$A:$A,$A20))),"","   ")&amp;INDEX(Tasks!$C:$C,$A20))</f>
        <v>   Label QA (Coverage &amp; Class Balance)</v>
      </c>
      <c r="D20" s="17" t="str">
        <f aca="false">IF($A20="","",IF(INDEX(Tasks!$B:$B,$A20)="","",INDEX(Tasks!$B:$B,$A20)))</f>
        <v>G2 SCooP dataset &amp; paper</v>
      </c>
      <c r="E20" s="17" t="str">
        <f aca="false">IF($A20="","",IF(INDEX(Tasks!$E:$E,$A20)="","",INDEX(Tasks!$E:$E,$A20)))</f>
        <v>Not Started</v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n">
        <f aca="false">IFERROR(MATCH($C$2&amp;"|"&amp;(ROW()-4),Tasks!$J$4:$J$403,0)+3,"")</f>
        <v>31</v>
      </c>
      <c r="B21" s="17" t="str">
        <f aca="false">IF($A21="","",IF(INDEX(Tasks!$A:$A,$A21)="","",INDEX(Tasks!$A:$A,$A21)))</f>
        <v>G2-DS-7</v>
      </c>
      <c r="C21" s="17" t="str">
        <f aca="false">IF($A21="","",IF(ISERROR(FIND(".",INDEX(Tasks!$A:$A,$A21))),"","   ")&amp;INDEX(Tasks!$C:$C,$A21))</f>
        <v>Collaboration geometry &amp; comm ground truth</v>
      </c>
      <c r="D21" s="17" t="str">
        <f aca="false">IF($A21="","",IF(INDEX(Tasks!$B:$B,$A21)="","",INDEX(Tasks!$B:$B,$A21)))</f>
        <v>G2 SCooP dataset &amp; paper</v>
      </c>
      <c r="E21" s="17" t="str">
        <f aca="false">IF($A21="","",IF(INDEX(Tasks!$E:$E,$A21)="","",INDEX(Tasks!$E:$E,$A21)))</f>
        <v>Not Started</v>
      </c>
      <c r="F21" s="18" t="n">
        <f aca="false">IF($A21="","",IF(INDEX(Tasks!$F:$F,$A21)="","",INDEX(Tasks!$F:$F,$A21)))</f>
        <v>46349</v>
      </c>
      <c r="G21" s="18" t="n">
        <f aca="false">IF($A21="","",IF(INDEX(Tasks!$H:$H,$A21)="","",INDEX(Tasks!$H:$H,$A21)))</f>
        <v>46381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n">
        <f aca="false">IFERROR(MATCH($C$2&amp;"|"&amp;(ROW()-4),Tasks!$J$4:$J$403,0)+3,"")</f>
        <v>32</v>
      </c>
      <c r="B22" s="17" t="str">
        <f aca="false">IF($A22="","",IF(INDEX(Tasks!$A:$A,$A22)="","",INDEX(Tasks!$A:$A,$A22)))</f>
        <v>G2-DS-8</v>
      </c>
      <c r="C22" s="17" t="str">
        <f aca="false">IF($A22="","",IF(ISERROR(FIND(".",INDEX(Tasks!$A:$A,$A22))),"","   ")&amp;INDEX(Tasks!$C:$C,$A22))</f>
        <v>Release</v>
      </c>
      <c r="D22" s="17" t="str">
        <f aca="false">IF($A22="","",IF(INDEX(Tasks!$B:$B,$A22)="","",INDEX(Tasks!$B:$B,$A22)))</f>
        <v>G2 SCooP dataset &amp; paper</v>
      </c>
      <c r="E22" s="17" t="str">
        <f aca="false">IF($A22="","",IF(INDEX(Tasks!$E:$E,$A22)="","",INDEX(Tasks!$E:$E,$A22)))</f>
        <v>Not Started</v>
      </c>
      <c r="F22" s="18" t="n">
        <f aca="false">IF($A22="","",IF(INDEX(Tasks!$F:$F,$A22)="","",INDEX(Tasks!$F:$F,$A22)))</f>
        <v>46384</v>
      </c>
      <c r="G22" s="18" t="n">
        <f aca="false">IF($A22="","",IF(INDEX(Tasks!$H:$H,$A22)="","",INDEX(Tasks!$H:$H,$A22)))</f>
        <v>46416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n">
        <f aca="false">IFERROR(MATCH($C$2&amp;"|"&amp;(ROW()-4),Tasks!$J$4:$J$403,0)+3,"")</f>
        <v>33</v>
      </c>
      <c r="B23" s="17" t="str">
        <f aca="false">IF($A23="","",IF(INDEX(Tasks!$A:$A,$A23)="","",INDEX(Tasks!$A:$A,$A23)))</f>
        <v>G2-DS-8.1</v>
      </c>
      <c r="C23" s="17" t="str">
        <f aca="false">IF($A23="","",IF(ISERROR(FIND(".",INDEX(Tasks!$A:$A,$A23))),"","   ")&amp;INDEX(Tasks!$C:$C,$A23))</f>
        <v>   Dataset Packaging &amp; Documentation</v>
      </c>
      <c r="D23" s="17" t="str">
        <f aca="false">IF($A23="","",IF(INDEX(Tasks!$B:$B,$A23)="","",INDEX(Tasks!$B:$B,$A23)))</f>
        <v>G2 SCooP dataset &amp; paper</v>
      </c>
      <c r="E23" s="17" t="str">
        <f aca="false">IF($A23="","",IF(INDEX(Tasks!$E:$E,$A23)="","",INDEX(Tasks!$E:$E,$A23)))</f>
        <v>Not Started</v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n">
        <f aca="false">IFERROR(MATCH($C$2&amp;"|"&amp;(ROW()-4),Tasks!$J$4:$J$403,0)+3,"")</f>
        <v>34</v>
      </c>
      <c r="B24" s="17" t="str">
        <f aca="false">IF($A24="","",IF(INDEX(Tasks!$A:$A,$A24)="","",INDEX(Tasks!$A:$A,$A24)))</f>
        <v>G2-DS-8.2</v>
      </c>
      <c r="C24" s="17" t="str">
        <f aca="false">IF($A24="","",IF(ISERROR(FIND(".",INDEX(Tasks!$A:$A,$A24))),"","   ")&amp;INDEX(Tasks!$C:$C,$A24))</f>
        <v>   Devkit</v>
      </c>
      <c r="D24" s="17" t="str">
        <f aca="false">IF($A24="","",IF(INDEX(Tasks!$B:$B,$A24)="","",INDEX(Tasks!$B:$B,$A24)))</f>
        <v>G2 SCooP dataset &amp; paper</v>
      </c>
      <c r="E24" s="17" t="str">
        <f aca="false">IF($A24="","",IF(INDEX(Tasks!$E:$E,$A24)="","",INDEX(Tasks!$E:$E,$A24)))</f>
        <v>Not Started</v>
      </c>
      <c r="F24" s="18" t="n">
        <f aca="false">IF($A24="","",IF(INDEX(Tasks!$F:$F,$A24)="","",INDEX(Tasks!$F:$F,$A24)))</f>
        <v>46384</v>
      </c>
      <c r="G24" s="18" t="n">
        <f aca="false">IF($A24="","",IF(INDEX(Tasks!$H:$H,$A24)="","",INDEX(Tasks!$H:$H,$A24)))</f>
        <v>46409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n">
        <f aca="false">IFERROR(MATCH($C$2&amp;"|"&amp;(ROW()-4),Tasks!$J$4:$J$403,0)+3,"")</f>
        <v>35</v>
      </c>
      <c r="B25" s="17" t="str">
        <f aca="false">IF($A25="","",IF(INDEX(Tasks!$A:$A,$A25)="","",INDEX(Tasks!$A:$A,$A25)))</f>
        <v>G2-DS-8.3</v>
      </c>
      <c r="C25" s="17" t="str">
        <f aca="false">IF($A25="","",IF(ISERROR(FIND(".",INDEX(Tasks!$A:$A,$A25))),"","   ")&amp;INDEX(Tasks!$C:$C,$A25))</f>
        <v>   License, DOI, hosting</v>
      </c>
      <c r="D25" s="17" t="str">
        <f aca="false">IF($A25="","",IF(INDEX(Tasks!$B:$B,$A25)="","",INDEX(Tasks!$B:$B,$A25)))</f>
        <v>G2 SCooP dataset &amp; paper</v>
      </c>
      <c r="E25" s="17" t="str">
        <f aca="false">IF($A25="","",IF(INDEX(Tasks!$E:$E,$A25)="","",INDEX(Tasks!$E:$E,$A25)))</f>
        <v>Not Started</v>
      </c>
      <c r="F25" s="18" t="n">
        <f aca="false">IF($A25="","",IF(INDEX(Tasks!$F:$F,$A25)="","",INDEX(Tasks!$F:$F,$A25)))</f>
        <v>46398</v>
      </c>
      <c r="G25" s="18" t="n">
        <f aca="false">IF($A25="","",IF(INDEX(Tasks!$H:$H,$A25)="","",INDEX(Tasks!$H:$H,$A25)))</f>
        <v>46409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n">
        <f aca="false">IFERROR(MATCH($C$2&amp;"|"&amp;(ROW()-4),Tasks!$J$4:$J$403,0)+3,"")</f>
        <v>36</v>
      </c>
      <c r="B26" s="17" t="str">
        <f aca="false">IF($A26="","",IF(INDEX(Tasks!$A:$A,$A26)="","",INDEX(Tasks!$A:$A,$A26)))</f>
        <v>G2-BP-A</v>
      </c>
      <c r="C26" s="17" t="str">
        <f aca="false">IF($A26="","",IF(ISERROR(FIND(".",INDEX(Tasks!$A:$A,$A26))),"","   ")&amp;INDEX(Tasks!$C:$C,$A26))</f>
        <v>Ground-truth numbers (RESULTS_PLAN A0)</v>
      </c>
      <c r="D26" s="17" t="str">
        <f aca="false">IF($A26="","",IF(INDEX(Tasks!$B:$B,$A26)="","",INDEX(Tasks!$B:$B,$A26)))</f>
        <v>G2 SCooP dataset &amp; paper</v>
      </c>
      <c r="E26" s="17" t="str">
        <f aca="false">IF($A26="","",IF(INDEX(Tasks!$E:$E,$A26)="","",INDEX(Tasks!$E:$E,$A26)))</f>
        <v>Not Started</v>
      </c>
      <c r="F26" s="18" t="n">
        <f aca="false">IF($A26="","",IF(INDEX(Tasks!$F:$F,$A26)="","",INDEX(Tasks!$F:$F,$A26)))</f>
        <v>46314</v>
      </c>
      <c r="G26" s="18" t="n">
        <f aca="false">IF($A26="","",IF(INDEX(Tasks!$H:$H,$A26)="","",INDEX(Tasks!$H:$H,$A26)))</f>
        <v>46332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n">
        <f aca="false">IFERROR(MATCH($C$2&amp;"|"&amp;(ROW()-4),Tasks!$J$4:$J$403,0)+3,"")</f>
        <v>37</v>
      </c>
      <c r="B27" s="17" t="str">
        <f aca="false">IF($A27="","",IF(INDEX(Tasks!$A:$A,$A27)="","",INDEX(Tasks!$A:$A,$A27)))</f>
        <v>G2-BP-B</v>
      </c>
      <c r="C27" s="17" t="str">
        <f aca="false">IF($A27="","",IF(ISERROR(FIND(".",INDEX(Tasks!$A:$A,$A27))),"","   ")&amp;INDEX(Tasks!$C:$C,$A27))</f>
        <v>Inventory &amp; statistics tables (B)</v>
      </c>
      <c r="D27" s="17" t="str">
        <f aca="false">IF($A27="","",IF(INDEX(Tasks!$B:$B,$A27)="","",INDEX(Tasks!$B:$B,$A27)))</f>
        <v>G2 SCooP dataset &amp; paper</v>
      </c>
      <c r="E27" s="17" t="str">
        <f aca="false">IF($A27="","",IF(INDEX(Tasks!$E:$E,$A27)="","",INDEX(Tasks!$E:$E,$A27)))</f>
        <v>Not Started</v>
      </c>
      <c r="F27" s="18" t="n">
        <f aca="false">IF($A27="","",IF(INDEX(Tasks!$F:$F,$A27)="","",INDEX(Tasks!$F:$F,$A27)))</f>
        <v>46342</v>
      </c>
      <c r="G27" s="18" t="n">
        <f aca="false">IF($A27="","",IF(INDEX(Tasks!$H:$H,$A27)="","",INDEX(Tasks!$H:$H,$A27)))</f>
        <v>46360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n">
        <f aca="false">IFERROR(MATCH($C$2&amp;"|"&amp;(ROW()-4),Tasks!$J$4:$J$403,0)+3,"")</f>
        <v>38</v>
      </c>
      <c r="B28" s="17" t="str">
        <f aca="false">IF($A28="","",IF(INDEX(Tasks!$A:$A,$A28)="","",INDEX(Tasks!$A:$A,$A28)))</f>
        <v>G2-BP-C</v>
      </c>
      <c r="C28" s="17" t="str">
        <f aca="false">IF($A28="","",IF(ISERROR(FIND(".",INDEX(Tasks!$A:$A,$A28))),"","   ")&amp;INDEX(Tasks!$C:$C,$A28))</f>
        <v>Geometry validation (C)</v>
      </c>
      <c r="D28" s="17" t="str">
        <f aca="false">IF($A28="","",IF(INDEX(Tasks!$B:$B,$A28)="","",INDEX(Tasks!$B:$B,$A28)))</f>
        <v>G2 SCooP dataset &amp; paper</v>
      </c>
      <c r="E28" s="17" t="str">
        <f aca="false">IF($A28="","",IF(INDEX(Tasks!$E:$E,$A28)="","",INDEX(Tasks!$E:$E,$A28)))</f>
        <v>Not Started</v>
      </c>
      <c r="F28" s="18" t="n">
        <f aca="false">IF($A28="","",IF(INDEX(Tasks!$F:$F,$A28)="","",INDEX(Tasks!$F:$F,$A28)))</f>
        <v>46363</v>
      </c>
      <c r="G28" s="18" t="n">
        <f aca="false">IF($A28="","",IF(INDEX(Tasks!$H:$H,$A28)="","",INDEX(Tasks!$H:$H,$A28)))</f>
        <v>46381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n">
        <f aca="false">IFERROR(MATCH($C$2&amp;"|"&amp;(ROW()-4),Tasks!$J$4:$J$403,0)+3,"")</f>
        <v>39</v>
      </c>
      <c r="B29" s="17" t="str">
        <f aca="false">IF($A29="","",IF(INDEX(Tasks!$A:$A,$A29)="","",INDEX(Tasks!$A:$A,$A29)))</f>
        <v>G2-BP-D</v>
      </c>
      <c r="C29" s="17" t="str">
        <f aca="false">IF($A29="","",IF(ISERROR(FIND(".",INDEX(Tasks!$A:$A,$A29))),"","   ")&amp;INDEX(Tasks!$C:$C,$A29))</f>
        <v>T2 collaborative perception under 3 channels (D)</v>
      </c>
      <c r="D29" s="17" t="str">
        <f aca="false">IF($A29="","",IF(INDEX(Tasks!$B:$B,$A29)="","",INDEX(Tasks!$B:$B,$A29)))</f>
        <v>G2 SCooP dataset &amp; paper</v>
      </c>
      <c r="E29" s="17" t="str">
        <f aca="false">IF($A29="","",IF(INDEX(Tasks!$E:$E,$A29)="","",INDEX(Tasks!$E:$E,$A29)))</f>
        <v>Not Started</v>
      </c>
      <c r="F29" s="18" t="n">
        <f aca="false">IF($A29="","",IF(INDEX(Tasks!$F:$F,$A29)="","",INDEX(Tasks!$F:$F,$A29)))</f>
        <v>46363</v>
      </c>
      <c r="G29" s="18" t="n">
        <f aca="false">IF($A29="","",IF(INDEX(Tasks!$H:$H,$A29)="","",INDEX(Tasks!$H:$H,$A29)))</f>
        <v>46395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n">
        <f aca="false">IFERROR(MATCH($C$2&amp;"|"&amp;(ROW()-4),Tasks!$J$4:$J$403,0)+3,"")</f>
        <v>40</v>
      </c>
      <c r="B30" s="17" t="str">
        <f aca="false">IF($A30="","",IF(INDEX(Tasks!$A:$A,$A30)="","",INDEX(Tasks!$A:$A,$A30)))</f>
        <v>G2-BP-E</v>
      </c>
      <c r="C30" s="17" t="str">
        <f aca="false">IF($A30="","",IF(ISERROR(FIND(".",INDEX(Tasks!$A:$A,$A30))),"","   ")&amp;INDEX(Tasks!$C:$C,$A30))</f>
        <v>T1 collaborative SLAM (E)</v>
      </c>
      <c r="D30" s="17" t="str">
        <f aca="false">IF($A30="","",IF(INDEX(Tasks!$B:$B,$A30)="","",INDEX(Tasks!$B:$B,$A30)))</f>
        <v>G2 SCooP dataset &amp; paper</v>
      </c>
      <c r="E30" s="17" t="str">
        <f aca="false">IF($A30="","",IF(INDEX(Tasks!$E:$E,$A30)="","",INDEX(Tasks!$E:$E,$A30)))</f>
        <v>Not Started</v>
      </c>
      <c r="F30" s="18" t="n">
        <f aca="false">IF($A30="","",IF(INDEX(Tasks!$F:$F,$A30)="","",INDEX(Tasks!$F:$F,$A30)))</f>
        <v>46363</v>
      </c>
      <c r="G30" s="18" t="n">
        <f aca="false">IF($A30="","",IF(INDEX(Tasks!$H:$H,$A30)="","",INDEX(Tasks!$H:$H,$A30)))</f>
        <v>46395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n">
        <f aca="false">IFERROR(MATCH($C$2&amp;"|"&amp;(ROW()-4),Tasks!$J$4:$J$403,0)+3,"")</f>
        <v>41</v>
      </c>
      <c r="B31" s="17" t="str">
        <f aca="false">IF($A31="","",IF(INDEX(Tasks!$A:$A,$A31)="","",INDEX(Tasks!$A:$A,$A31)))</f>
        <v>G2-BP-F</v>
      </c>
      <c r="C31" s="17" t="str">
        <f aca="false">IF($A31="","",IF(ISERROR(FIND(".",INDEX(Tasks!$A:$A,$A31))),"","   ")&amp;INDEX(Tasks!$C:$C,$A31))</f>
        <v>Q2 regression (F)</v>
      </c>
      <c r="D31" s="17" t="str">
        <f aca="false">IF($A31="","",IF(INDEX(Tasks!$B:$B,$A31)="","",INDEX(Tasks!$B:$B,$A31)))</f>
        <v>G2 SCooP dataset &amp; paper</v>
      </c>
      <c r="E31" s="17" t="str">
        <f aca="false">IF($A31="","",IF(INDEX(Tasks!$E:$E,$A31)="","",INDEX(Tasks!$E:$E,$A31)))</f>
        <v>Not Started</v>
      </c>
      <c r="F31" s="18" t="n">
        <f aca="false">IF($A31="","",IF(INDEX(Tasks!$F:$F,$A31)="","",INDEX(Tasks!$F:$F,$A31)))</f>
        <v>46398</v>
      </c>
      <c r="G31" s="18" t="n">
        <f aca="false">IF($A31="","",IF(INDEX(Tasks!$H:$H,$A31)="","",INDEX(Tasks!$H:$H,$A31)))</f>
        <v>46409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n">
        <f aca="false">IFERROR(MATCH($C$2&amp;"|"&amp;(ROW()-4),Tasks!$J$4:$J$403,0)+3,"")</f>
        <v>42</v>
      </c>
      <c r="B32" s="17" t="str">
        <f aca="false">IF($A32="","",IF(INDEX(Tasks!$A:$A,$A32)="","",INDEX(Tasks!$A:$A,$A32)))</f>
        <v>G2-BP-G</v>
      </c>
      <c r="C32" s="17" t="str">
        <f aca="false">IF($A32="","",IF(ISERROR(FIND(".",INDEX(Tasks!$A:$A,$A32))),"","   ")&amp;INDEX(Tasks!$C:$C,$A32))</f>
        <v>Write-up (G)</v>
      </c>
      <c r="D32" s="17" t="str">
        <f aca="false">IF($A32="","",IF(INDEX(Tasks!$B:$B,$A32)="","",INDEX(Tasks!$B:$B,$A32)))</f>
        <v>G2 SCooP dataset &amp; paper</v>
      </c>
      <c r="E32" s="17" t="str">
        <f aca="false">IF($A32="","",IF(INDEX(Tasks!$E:$E,$A32)="","",INDEX(Tasks!$E:$E,$A32)))</f>
        <v>Not Started</v>
      </c>
      <c r="F32" s="18" t="n">
        <f aca="false">IF($A32="","",IF(INDEX(Tasks!$F:$F,$A32)="","",INDEX(Tasks!$F:$F,$A32)))</f>
        <v>46398</v>
      </c>
      <c r="G32" s="18" t="n">
        <f aca="false">IF($A32="","",IF(INDEX(Tasks!$H:$H,$A32)="","",INDEX(Tasks!$H:$H,$A32)))</f>
        <v>46423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n">
        <f aca="false">IFERROR(MATCH($C$2&amp;"|"&amp;(ROW()-4),Tasks!$J$4:$J$403,0)+3,"")</f>
        <v>43</v>
      </c>
      <c r="B33" s="17" t="str">
        <f aca="false">IF($A33="","",IF(INDEX(Tasks!$A:$A,$A33)="","",INDEX(Tasks!$A:$A,$A33)))</f>
        <v>G2-M1</v>
      </c>
      <c r="C33" s="17" t="str">
        <f aca="false">IF($A33="","",IF(ISERROR(FIND(".",INDEX(Tasks!$A:$A,$A33))),"","   ")&amp;INDEX(Tasks!$C:$C,$A33))</f>
        <v>Paper submitted (IJRR)</v>
      </c>
      <c r="D33" s="17" t="str">
        <f aca="false">IF($A33="","",IF(INDEX(Tasks!$B:$B,$A33)="","",INDEX(Tasks!$B:$B,$A33)))</f>
        <v>G2 SCooP dataset &amp; paper</v>
      </c>
      <c r="E33" s="17" t="str">
        <f aca="false">IF($A33="","",IF(INDEX(Tasks!$E:$E,$A33)="","",INDEX(Tasks!$E:$E,$A33)))</f>
        <v>Not Started</v>
      </c>
      <c r="F33" s="18" t="n">
        <f aca="false">IF($A33="","",IF(INDEX(Tasks!$F:$F,$A33)="","",INDEX(Tasks!$F:$F,$A33)))</f>
        <v>46426</v>
      </c>
      <c r="G33" s="18" t="n">
        <f aca="false">IF($A33="","",IF(INDEX(Tasks!$H:$H,$A33)="","",INDEX(Tasks!$H:$H,$A33)))</f>
        <v>46430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People!$A$10</f>
        <v>Dual-link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22 tasks   ·   2 in progress   ·   0 blocked   ·   22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87</v>
      </c>
      <c r="B5" s="17" t="str">
        <f aca="false">IF($A5="","",IF(INDEX(Tasks!$A:$A,$A5)="","",INDEX(Tasks!$A:$A,$A5)))</f>
        <v>DL-1</v>
      </c>
      <c r="C5" s="17" t="str">
        <f aca="false">IF($A5="","",IF(ISERROR(FIND(".",INDEX(Tasks!$A:$A,$A5))),"","   ")&amp;INDEX(Tasks!$C:$C,$A5))</f>
        <v>Define dual-link architecture</v>
      </c>
      <c r="D5" s="17" t="str">
        <f aca="false">IF($A5="","",IF(INDEX(Tasks!$B:$B,$A5)="","",INDEX(Tasks!$B:$B,$A5)))</f>
        <v>Dual-Link Communication</v>
      </c>
      <c r="E5" s="17" t="str">
        <f aca="false">IF($A5="","",IF(INDEX(Tasks!$E:$E,$A5)="","",INDEX(Tasks!$E:$E,$A5)))</f>
        <v>Partially Completed</v>
      </c>
      <c r="F5" s="18" t="n">
        <f aca="false">IF($A5="","",IF(INDEX(Tasks!$F:$F,$A5)="","",INDEX(Tasks!$F:$F,$A5)))</f>
        <v>46195</v>
      </c>
      <c r="G5" s="18" t="n">
        <f aca="false">IF($A5="","",IF(INDEX(Tasks!$H:$H,$A5)="","",INDEX(Tasks!$H:$H,$A5)))</f>
        <v>46199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88</v>
      </c>
      <c r="B6" s="17" t="str">
        <f aca="false">IF($A6="","",IF(INDEX(Tasks!$A:$A,$A6)="","",INDEX(Tasks!$A:$A,$A6)))</f>
        <v>DL-1.1</v>
      </c>
      <c r="C6" s="17" t="str">
        <f aca="false">IF($A6="","",IF(ISERROR(FIND(".",INDEX(Tasks!$A:$A,$A6))),"","   ")&amp;INDEX(Tasks!$C:$C,$A6))</f>
        <v>   Link Pairing Selection (WiFi + WiFi)</v>
      </c>
      <c r="D6" s="17" t="str">
        <f aca="false">IF($A6="","",IF(INDEX(Tasks!$B:$B,$A6)="","",INDEX(Tasks!$B:$B,$A6)))</f>
        <v>Dual-Link Communication</v>
      </c>
      <c r="E6" s="17" t="str">
        <f aca="false">IF($A6="","",IF(INDEX(Tasks!$E:$E,$A6)="","",INDEX(Tasks!$E:$E,$A6)))</f>
        <v>Partially Completed</v>
      </c>
      <c r="F6" s="18" t="n">
        <f aca="false">IF($A6="","",IF(INDEX(Tasks!$F:$F,$A6)="","",INDEX(Tasks!$F:$F,$A6)))</f>
        <v>46195</v>
      </c>
      <c r="G6" s="18" t="n">
        <f aca="false">IF($A6="","",IF(INDEX(Tasks!$H:$H,$A6)="","",INDEX(Tasks!$H:$H,$A6)))</f>
        <v>46199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89</v>
      </c>
      <c r="B7" s="17" t="str">
        <f aca="false">IF($A7="","",IF(INDEX(Tasks!$A:$A,$A7)="","",INDEX(Tasks!$A:$A,$A7)))</f>
        <v>DL-1.2</v>
      </c>
      <c r="C7" s="17" t="str">
        <f aca="false">IF($A7="","",IF(ISERROR(FIND(".",INDEX(Tasks!$A:$A,$A7))),"","   ")&amp;INDEX(Tasks!$C:$C,$A7))</f>
        <v>   QoS-Tiered Traffic-Steering Policy</v>
      </c>
      <c r="D7" s="17" t="str">
        <f aca="false">IF($A7="","",IF(INDEX(Tasks!$B:$B,$A7)="","",INDEX(Tasks!$B:$B,$A7)))</f>
        <v>Dual-Link Communication</v>
      </c>
      <c r="E7" s="17" t="str">
        <f aca="false">IF($A7="","",IF(INDEX(Tasks!$E:$E,$A7)="","",INDEX(Tasks!$E:$E,$A7)))</f>
        <v>Partially Completed</v>
      </c>
      <c r="F7" s="18" t="n">
        <f aca="false">IF($A7="","",IF(INDEX(Tasks!$F:$F,$A7)="","",INDEX(Tasks!$F:$F,$A7)))</f>
        <v>46195</v>
      </c>
      <c r="G7" s="18" t="n">
        <f aca="false">IF($A7="","",IF(INDEX(Tasks!$H:$H,$A7)="","",INDEX(Tasks!$H:$H,$A7)))</f>
        <v>46199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90</v>
      </c>
      <c r="B8" s="17" t="str">
        <f aca="false">IF($A8="","",IF(INDEX(Tasks!$A:$A,$A8)="","",INDEX(Tasks!$A:$A,$A8)))</f>
        <v>DL-2</v>
      </c>
      <c r="C8" s="17" t="str">
        <f aca="false">IF($A8="","",IF(ISERROR(FIND(".",INDEX(Tasks!$A:$A,$A8))),"","   ")&amp;INDEX(Tasks!$C:$C,$A8))</f>
        <v>Build link monitor</v>
      </c>
      <c r="D8" s="17" t="str">
        <f aca="false">IF($A8="","",IF(INDEX(Tasks!$B:$B,$A8)="","",INDEX(Tasks!$B:$B,$A8)))</f>
        <v>Dual-Link Communication</v>
      </c>
      <c r="E8" s="17" t="str">
        <f aca="false">IF($A8="","",IF(INDEX(Tasks!$E:$E,$A8)="","",INDEX(Tasks!$E:$E,$A8)))</f>
        <v>Partially Completed</v>
      </c>
      <c r="F8" s="18" t="n">
        <f aca="false">IF($A8="","",IF(INDEX(Tasks!$F:$F,$A8)="","",INDEX(Tasks!$F:$F,$A8)))</f>
        <v>46195</v>
      </c>
      <c r="G8" s="18" t="n">
        <f aca="false">IF($A8="","",IF(INDEX(Tasks!$H:$H,$A8)="","",INDEX(Tasks!$H:$H,$A8)))</f>
        <v>46199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91</v>
      </c>
      <c r="B9" s="17" t="str">
        <f aca="false">IF($A9="","",IF(INDEX(Tasks!$A:$A,$A9)="","",INDEX(Tasks!$A:$A,$A9)))</f>
        <v>DL-2.1</v>
      </c>
      <c r="C9" s="17" t="str">
        <f aca="false">IF($A9="","",IF(ISERROR(FIND(".",INDEX(Tasks!$A:$A,$A9))),"","   ")&amp;INDEX(Tasks!$C:$C,$A9))</f>
        <v>   PER / MTU Tracking</v>
      </c>
      <c r="D9" s="17" t="str">
        <f aca="false">IF($A9="","",IF(INDEX(Tasks!$B:$B,$A9)="","",INDEX(Tasks!$B:$B,$A9)))</f>
        <v>Dual-Link Communication</v>
      </c>
      <c r="E9" s="17" t="str">
        <f aca="false">IF($A9="","",IF(INDEX(Tasks!$E:$E,$A9)="","",INDEX(Tasks!$E:$E,$A9)))</f>
        <v>Partially Completed</v>
      </c>
      <c r="F9" s="18" t="n">
        <f aca="false">IF($A9="","",IF(INDEX(Tasks!$F:$F,$A9)="","",INDEX(Tasks!$F:$F,$A9)))</f>
        <v>46195</v>
      </c>
      <c r="G9" s="18" t="n">
        <f aca="false">IF($A9="","",IF(INDEX(Tasks!$H:$H,$A9)="","",INDEX(Tasks!$H:$H,$A9)))</f>
        <v>46199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92</v>
      </c>
      <c r="B10" s="17" t="str">
        <f aca="false">IF($A10="","",IF(INDEX(Tasks!$A:$A,$A10)="","",INDEX(Tasks!$A:$A,$A10)))</f>
        <v>DL-2.2</v>
      </c>
      <c r="C10" s="17" t="str">
        <f aca="false">IF($A10="","",IF(ISERROR(FIND(".",INDEX(Tasks!$A:$A,$A10))),"","   ")&amp;INDEX(Tasks!$C:$C,$A10))</f>
        <v>   Throughput / RTT / Queue-Health Tracking</v>
      </c>
      <c r="D10" s="17" t="str">
        <f aca="false">IF($A10="","",IF(INDEX(Tasks!$B:$B,$A10)="","",INDEX(Tasks!$B:$B,$A10)))</f>
        <v>Dual-Link Communication</v>
      </c>
      <c r="E10" s="17" t="str">
        <f aca="false">IF($A10="","",IF(INDEX(Tasks!$E:$E,$A10)="","",INDEX(Tasks!$E:$E,$A10)))</f>
        <v>Partially Completed</v>
      </c>
      <c r="F10" s="18" t="n">
        <f aca="false">IF($A10="","",IF(INDEX(Tasks!$F:$F,$A10)="","",INDEX(Tasks!$F:$F,$A10)))</f>
        <v>46195</v>
      </c>
      <c r="G10" s="18" t="n">
        <f aca="false">IF($A10="","",IF(INDEX(Tasks!$H:$H,$A10)="","",INDEX(Tasks!$H:$H,$A10)))</f>
        <v>46199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IFERROR(MATCH($C$2&amp;"|"&amp;(ROW()-4),Tasks!$J$4:$J$403,0)+3,"")</f>
        <v>93</v>
      </c>
      <c r="B11" s="17" t="str">
        <f aca="false">IF($A11="","",IF(INDEX(Tasks!$A:$A,$A11)="","",INDEX(Tasks!$A:$A,$A11)))</f>
        <v>DL-3</v>
      </c>
      <c r="C11" s="17" t="str">
        <f aca="false">IF($A11="","",IF(ISERROR(FIND(".",INDEX(Tasks!$A:$A,$A11))),"","   ")&amp;INDEX(Tasks!$C:$C,$A11))</f>
        <v>Implement link compression</v>
      </c>
      <c r="D11" s="17" t="str">
        <f aca="false">IF($A11="","",IF(INDEX(Tasks!$B:$B,$A11)="","",INDEX(Tasks!$B:$B,$A11)))</f>
        <v>Dual-Link Communication</v>
      </c>
      <c r="E11" s="17" t="str">
        <f aca="false">IF($A11="","",IF(INDEX(Tasks!$E:$E,$A11)="","",INDEX(Tasks!$E:$E,$A11)))</f>
        <v>In Progress</v>
      </c>
      <c r="F11" s="18" t="n">
        <f aca="false">IF($A11="","",IF(INDEX(Tasks!$F:$F,$A11)="","",INDEX(Tasks!$F:$F,$A11)))</f>
        <v>46195</v>
      </c>
      <c r="G11" s="18" t="n">
        <f aca="false">IF($A11="","",IF(INDEX(Tasks!$H:$H,$A11)="","",INDEX(Tasks!$H:$H,$A11)))</f>
        <v>46199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IFERROR(MATCH($C$2&amp;"|"&amp;(ROW()-4),Tasks!$J$4:$J$403,0)+3,"")</f>
        <v>94</v>
      </c>
      <c r="B12" s="17" t="str">
        <f aca="false">IF($A12="","",IF(INDEX(Tasks!$A:$A,$A12)="","",INDEX(Tasks!$A:$A,$A12)))</f>
        <v>DL-3.1</v>
      </c>
      <c r="C12" s="17" t="str">
        <f aca="false">IF($A12="","",IF(ISERROR(FIND(".",INDEX(Tasks!$A:$A,$A12))),"","   ")&amp;INDEX(Tasks!$C:$C,$A12))</f>
        <v>   Compression Module (Link-Monitor Reactive)</v>
      </c>
      <c r="D12" s="17" t="str">
        <f aca="false">IF($A12="","",IF(INDEX(Tasks!$B:$B,$A12)="","",INDEX(Tasks!$B:$B,$A12)))</f>
        <v>Dual-Link Communication</v>
      </c>
      <c r="E12" s="17" t="str">
        <f aca="false">IF($A12="","",IF(INDEX(Tasks!$E:$E,$A12)="","",INDEX(Tasks!$E:$E,$A12)))</f>
        <v>Partially Completed</v>
      </c>
      <c r="F12" s="18" t="n">
        <f aca="false">IF($A12="","",IF(INDEX(Tasks!$F:$F,$A12)="","",INDEX(Tasks!$F:$F,$A12)))</f>
        <v>46195</v>
      </c>
      <c r="G12" s="18" t="n">
        <f aca="false">IF($A12="","",IF(INDEX(Tasks!$H:$H,$A12)="","",INDEX(Tasks!$H:$H,$A12)))</f>
        <v>46199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IFERROR(MATCH($C$2&amp;"|"&amp;(ROW()-4),Tasks!$J$4:$J$403,0)+3,"")</f>
        <v>95</v>
      </c>
      <c r="B13" s="17" t="str">
        <f aca="false">IF($A13="","",IF(INDEX(Tasks!$A:$A,$A13)="","",INDEX(Tasks!$A:$A,$A13)))</f>
        <v>DL-3.2</v>
      </c>
      <c r="C13" s="17" t="str">
        <f aca="false">IF($A13="","",IF(ISERROR(FIND(".",INDEX(Tasks!$A:$A,$A13))),"","   ")&amp;INDEX(Tasks!$C:$C,$A13))</f>
        <v>   Compression Threshold Tuning</v>
      </c>
      <c r="D13" s="17" t="str">
        <f aca="false">IF($A13="","",IF(INDEX(Tasks!$B:$B,$A13)="","",INDEX(Tasks!$B:$B,$A13)))</f>
        <v>Dual-Link Communication</v>
      </c>
      <c r="E13" s="17" t="str">
        <f aca="false">IF($A13="","",IF(INDEX(Tasks!$E:$E,$A13)="","",INDEX(Tasks!$E:$E,$A13)))</f>
        <v>In Progress</v>
      </c>
      <c r="F13" s="18" t="n">
        <f aca="false">IF($A13="","",IF(INDEX(Tasks!$F:$F,$A13)="","",INDEX(Tasks!$F:$F,$A13)))</f>
        <v>46195</v>
      </c>
      <c r="G13" s="18" t="n">
        <f aca="false">IF($A13="","",IF(INDEX(Tasks!$H:$H,$A13)="","",INDEX(Tasks!$H:$H,$A13)))</f>
        <v>46199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IFERROR(MATCH($C$2&amp;"|"&amp;(ROW()-4),Tasks!$J$4:$J$403,0)+3,"")</f>
        <v>96</v>
      </c>
      <c r="B14" s="17" t="str">
        <f aca="false">IF($A14="","",IF(INDEX(Tasks!$A:$A,$A14)="","",INDEX(Tasks!$A:$A,$A14)))</f>
        <v>DL-4</v>
      </c>
      <c r="C14" s="17" t="str">
        <f aca="false">IF($A14="","",IF(ISERROR(FIND(".",INDEX(Tasks!$A:$A,$A14))),"","   ")&amp;INDEX(Tasks!$C:$C,$A14))</f>
        <v>Validate Switching Strategies — WiFi1 + WiFi2</v>
      </c>
      <c r="D14" s="17" t="str">
        <f aca="false">IF($A14="","",IF(INDEX(Tasks!$B:$B,$A14)="","",INDEX(Tasks!$B:$B,$A14)))</f>
        <v>Dual-Link Communication</v>
      </c>
      <c r="E14" s="17" t="str">
        <f aca="false">IF($A14="","",IF(INDEX(Tasks!$E:$E,$A14)="","",INDEX(Tasks!$E:$E,$A14)))</f>
        <v>Not Started</v>
      </c>
      <c r="F14" s="18" t="n">
        <f aca="false">IF($A14="","",IF(INDEX(Tasks!$F:$F,$A14)="","",INDEX(Tasks!$F:$F,$A14)))</f>
        <v>46195</v>
      </c>
      <c r="G14" s="18" t="n">
        <f aca="false">IF($A14="","",IF(INDEX(Tasks!$H:$H,$A14)="","",INDEX(Tasks!$H:$H,$A14)))</f>
        <v>46199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IFERROR(MATCH($C$2&amp;"|"&amp;(ROW()-4),Tasks!$J$4:$J$403,0)+3,"")</f>
        <v>97</v>
      </c>
      <c r="B15" s="17" t="str">
        <f aca="false">IF($A15="","",IF(INDEX(Tasks!$A:$A,$A15)="","",INDEX(Tasks!$A:$A,$A15)))</f>
        <v>DL-4.1</v>
      </c>
      <c r="C15" s="17" t="str">
        <f aca="false">IF($A15="","",IF(ISERROR(FIND(".",INDEX(Tasks!$A:$A,$A15))),"","   ")&amp;INDEX(Tasks!$C:$C,$A15))</f>
        <v>   Single-Link Baseline</v>
      </c>
      <c r="D15" s="17" t="str">
        <f aca="false">IF($A15="","",IF(INDEX(Tasks!$B:$B,$A15)="","",INDEX(Tasks!$B:$B,$A15)))</f>
        <v>Dual-Link Communication</v>
      </c>
      <c r="E15" s="17" t="str">
        <f aca="false">IF($A15="","",IF(INDEX(Tasks!$E:$E,$A15)="","",INDEX(Tasks!$E:$E,$A15)))</f>
        <v>Not Started</v>
      </c>
      <c r="F15" s="18" t="n">
        <f aca="false">IF($A15="","",IF(INDEX(Tasks!$F:$F,$A15)="","",INDEX(Tasks!$F:$F,$A15)))</f>
        <v>46195</v>
      </c>
      <c r="G15" s="18" t="n">
        <f aca="false">IF($A15="","",IF(INDEX(Tasks!$H:$H,$A15)="","",INDEX(Tasks!$H:$H,$A15)))</f>
        <v>46199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IFERROR(MATCH($C$2&amp;"|"&amp;(ROW()-4),Tasks!$J$4:$J$403,0)+3,"")</f>
        <v>98</v>
      </c>
      <c r="B16" s="17" t="str">
        <f aca="false">IF($A16="","",IF(INDEX(Tasks!$A:$A,$A16)="","",INDEX(Tasks!$A:$A,$A16)))</f>
        <v>DL-4.2</v>
      </c>
      <c r="C16" s="17" t="str">
        <f aca="false">IF($A16="","",IF(ISERROR(FIND(".",INDEX(Tasks!$A:$A,$A16))),"","   ")&amp;INDEX(Tasks!$C:$C,$A16))</f>
        <v>   Full Topic Switchover</v>
      </c>
      <c r="D16" s="17" t="str">
        <f aca="false">IF($A16="","",IF(INDEX(Tasks!$B:$B,$A16)="","",INDEX(Tasks!$B:$B,$A16)))</f>
        <v>Dual-Link Communication</v>
      </c>
      <c r="E16" s="17" t="str">
        <f aca="false">IF($A16="","",IF(INDEX(Tasks!$E:$E,$A16)="","",INDEX(Tasks!$E:$E,$A16)))</f>
        <v>Not Started</v>
      </c>
      <c r="F16" s="18" t="n">
        <f aca="false">IF($A16="","",IF(INDEX(Tasks!$F:$F,$A16)="","",INDEX(Tasks!$F:$F,$A16)))</f>
        <v>46195</v>
      </c>
      <c r="G16" s="18" t="n">
        <f aca="false">IF($A16="","",IF(INDEX(Tasks!$H:$H,$A16)="","",INDEX(Tasks!$H:$H,$A16)))</f>
        <v>46199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IFERROR(MATCH($C$2&amp;"|"&amp;(ROW()-4),Tasks!$J$4:$J$403,0)+3,"")</f>
        <v>99</v>
      </c>
      <c r="B17" s="17" t="str">
        <f aca="false">IF($A17="","",IF(INDEX(Tasks!$A:$A,$A17)="","",INDEX(Tasks!$A:$A,$A17)))</f>
        <v>DL-4.3</v>
      </c>
      <c r="C17" s="17" t="str">
        <f aca="false">IF($A17="","",IF(ISERROR(FIND(".",INDEX(Tasks!$A:$A,$A17))),"","   ")&amp;INDEX(Tasks!$C:$C,$A17))</f>
        <v>   True Dual-Link (QoS-Tiered Per-Topic)</v>
      </c>
      <c r="D17" s="17" t="str">
        <f aca="false">IF($A17="","",IF(INDEX(Tasks!$B:$B,$A17)="","",INDEX(Tasks!$B:$B,$A17)))</f>
        <v>Dual-Link Communication</v>
      </c>
      <c r="E17" s="17" t="str">
        <f aca="false">IF($A17="","",IF(INDEX(Tasks!$E:$E,$A17)="","",INDEX(Tasks!$E:$E,$A17)))</f>
        <v>Not Started</v>
      </c>
      <c r="F17" s="18" t="n">
        <f aca="false">IF($A17="","",IF(INDEX(Tasks!$F:$F,$A17)="","",INDEX(Tasks!$F:$F,$A17)))</f>
        <v>46202</v>
      </c>
      <c r="G17" s="18" t="n">
        <f aca="false">IF($A17="","",IF(INDEX(Tasks!$H:$H,$A17)="","",INDEX(Tasks!$H:$H,$A17)))</f>
        <v>46206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IFERROR(MATCH($C$2&amp;"|"&amp;(ROW()-4),Tasks!$J$4:$J$403,0)+3,"")</f>
        <v>100</v>
      </c>
      <c r="B18" s="17" t="str">
        <f aca="false">IF($A18="","",IF(INDEX(Tasks!$A:$A,$A18)="","",INDEX(Tasks!$A:$A,$A18)))</f>
        <v>DL-5</v>
      </c>
      <c r="C18" s="17" t="str">
        <f aca="false">IF($A18="","",IF(ISERROR(FIND(".",INDEX(Tasks!$A:$A,$A18))),"","   ")&amp;INDEX(Tasks!$C:$C,$A18))</f>
        <v>Extend to WiFi + 5G</v>
      </c>
      <c r="D18" s="17" t="str">
        <f aca="false">IF($A18="","",IF(INDEX(Tasks!$B:$B,$A18)="","",INDEX(Tasks!$B:$B,$A18)))</f>
        <v>Dual-Link Communication</v>
      </c>
      <c r="E18" s="17" t="str">
        <f aca="false">IF($A18="","",IF(INDEX(Tasks!$E:$E,$A18)="","",INDEX(Tasks!$E:$E,$A18)))</f>
        <v>Not Started</v>
      </c>
      <c r="F18" s="18" t="n">
        <f aca="false">IF($A18="","",IF(INDEX(Tasks!$F:$F,$A18)="","",INDEX(Tasks!$F:$F,$A18)))</f>
        <v>46202</v>
      </c>
      <c r="G18" s="18" t="n">
        <f aca="false">IF($A18="","",IF(INDEX(Tasks!$H:$H,$A18)="","",INDEX(Tasks!$H:$H,$A18)))</f>
        <v>46213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n">
        <f aca="false">IFERROR(MATCH($C$2&amp;"|"&amp;(ROW()-4),Tasks!$J$4:$J$403,0)+3,"")</f>
        <v>101</v>
      </c>
      <c r="B19" s="17" t="str">
        <f aca="false">IF($A19="","",IF(INDEX(Tasks!$A:$A,$A19)="","",INDEX(Tasks!$A:$A,$A19)))</f>
        <v>DL-5.1</v>
      </c>
      <c r="C19" s="17" t="str">
        <f aca="false">IF($A19="","",IF(ISERROR(FIND(".",INDEX(Tasks!$A:$A,$A19))),"","   ")&amp;INDEX(Tasks!$C:$C,$A19))</f>
        <v>   WiFi + 5G Link Pairing &amp; Switching Validation</v>
      </c>
      <c r="D19" s="17" t="str">
        <f aca="false">IF($A19="","",IF(INDEX(Tasks!$B:$B,$A19)="","",INDEX(Tasks!$B:$B,$A19)))</f>
        <v>Dual-Link Communication</v>
      </c>
      <c r="E19" s="17" t="str">
        <f aca="false">IF($A19="","",IF(INDEX(Tasks!$E:$E,$A19)="","",INDEX(Tasks!$E:$E,$A19)))</f>
        <v>Not Started</v>
      </c>
      <c r="F19" s="18" t="n">
        <f aca="false">IF($A19="","",IF(INDEX(Tasks!$F:$F,$A19)="","",INDEX(Tasks!$F:$F,$A19)))</f>
        <v>46202</v>
      </c>
      <c r="G19" s="18" t="n">
        <f aca="false">IF($A19="","",IF(INDEX(Tasks!$H:$H,$A19)="","",INDEX(Tasks!$H:$H,$A19)))</f>
        <v>46206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n">
        <f aca="false">IFERROR(MATCH($C$2&amp;"|"&amp;(ROW()-4),Tasks!$J$4:$J$403,0)+3,"")</f>
        <v>102</v>
      </c>
      <c r="B20" s="17" t="str">
        <f aca="false">IF($A20="","",IF(INDEX(Tasks!$A:$A,$A20)="","",INDEX(Tasks!$A:$A,$A20)))</f>
        <v>DL-5.2</v>
      </c>
      <c r="C20" s="17" t="str">
        <f aca="false">IF($A20="","",IF(ISERROR(FIND(".",INDEX(Tasks!$A:$A,$A20))),"","   ")&amp;INDEX(Tasks!$C:$C,$A20))</f>
        <v>   Application-Level Testing on WiFi + 5G</v>
      </c>
      <c r="D20" s="17" t="str">
        <f aca="false">IF($A20="","",IF(INDEX(Tasks!$B:$B,$A20)="","",INDEX(Tasks!$B:$B,$A20)))</f>
        <v>Dual-Link Communication</v>
      </c>
      <c r="E20" s="17" t="str">
        <f aca="false">IF($A20="","",IF(INDEX(Tasks!$E:$E,$A20)="","",INDEX(Tasks!$E:$E,$A20)))</f>
        <v>Not Started</v>
      </c>
      <c r="F20" s="18" t="n">
        <f aca="false">IF($A20="","",IF(INDEX(Tasks!$F:$F,$A20)="","",INDEX(Tasks!$F:$F,$A20)))</f>
        <v>46209</v>
      </c>
      <c r="G20" s="18" t="n">
        <f aca="false">IF($A20="","",IF(INDEX(Tasks!$H:$H,$A20)="","",INDEX(Tasks!$H:$H,$A20)))</f>
        <v>46213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n">
        <f aca="false">IFERROR(MATCH($C$2&amp;"|"&amp;(ROW()-4),Tasks!$J$4:$J$403,0)+3,"")</f>
        <v>103</v>
      </c>
      <c r="B21" s="17" t="str">
        <f aca="false">IF($A21="","",IF(INDEX(Tasks!$A:$A,$A21)="","",INDEX(Tasks!$A:$A,$A21)))</f>
        <v>DL-6</v>
      </c>
      <c r="C21" s="17" t="str">
        <f aca="false">IF($A21="","",IF(ISERROR(FIND(".",INDEX(Tasks!$A:$A,$A21))),"","   ")&amp;INDEX(Tasks!$C:$C,$A21))</f>
        <v>Test failover &amp; reliability</v>
      </c>
      <c r="D21" s="17" t="str">
        <f aca="false">IF($A21="","",IF(INDEX(Tasks!$B:$B,$A21)="","",INDEX(Tasks!$B:$B,$A21)))</f>
        <v>Dual-Link Communication</v>
      </c>
      <c r="E21" s="17" t="str">
        <f aca="false">IF($A21="","",IF(INDEX(Tasks!$E:$E,$A21)="","",INDEX(Tasks!$E:$E,$A21)))</f>
        <v>Not Started</v>
      </c>
      <c r="F21" s="18" t="n">
        <f aca="false">IF($A21="","",IF(INDEX(Tasks!$F:$F,$A21)="","",INDEX(Tasks!$F:$F,$A21)))</f>
        <v>46216</v>
      </c>
      <c r="G21" s="18" t="n">
        <f aca="false">IF($A21="","",IF(INDEX(Tasks!$H:$H,$A21)="","",INDEX(Tasks!$H:$H,$A21)))</f>
        <v>46220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n">
        <f aca="false">IFERROR(MATCH($C$2&amp;"|"&amp;(ROW()-4),Tasks!$J$4:$J$403,0)+3,"")</f>
        <v>104</v>
      </c>
      <c r="B22" s="17" t="str">
        <f aca="false">IF($A22="","",IF(INDEX(Tasks!$A:$A,$A22)="","",INDEX(Tasks!$A:$A,$A22)))</f>
        <v>DL-6.1</v>
      </c>
      <c r="C22" s="17" t="str">
        <f aca="false">IF($A22="","",IF(ISERROR(FIND(".",INDEX(Tasks!$A:$A,$A22))),"","   ")&amp;INDEX(Tasks!$C:$C,$A22))</f>
        <v>   Failover Test Scenarios</v>
      </c>
      <c r="D22" s="17" t="str">
        <f aca="false">IF($A22="","",IF(INDEX(Tasks!$B:$B,$A22)="","",INDEX(Tasks!$B:$B,$A22)))</f>
        <v>Dual-Link Communication</v>
      </c>
      <c r="E22" s="17" t="str">
        <f aca="false">IF($A22="","",IF(INDEX(Tasks!$E:$E,$A22)="","",INDEX(Tasks!$E:$E,$A22)))</f>
        <v>Not Started</v>
      </c>
      <c r="F22" s="18" t="n">
        <f aca="false">IF($A22="","",IF(INDEX(Tasks!$F:$F,$A22)="","",INDEX(Tasks!$F:$F,$A22)))</f>
        <v>46216</v>
      </c>
      <c r="G22" s="18" t="n">
        <f aca="false">IF($A22="","",IF(INDEX(Tasks!$H:$H,$A22)="","",INDEX(Tasks!$H:$H,$A22)))</f>
        <v>46220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n">
        <f aca="false">IFERROR(MATCH($C$2&amp;"|"&amp;(ROW()-4),Tasks!$J$4:$J$403,0)+3,"")</f>
        <v>105</v>
      </c>
      <c r="B23" s="17" t="str">
        <f aca="false">IF($A23="","",IF(INDEX(Tasks!$A:$A,$A23)="","",INDEX(Tasks!$A:$A,$A23)))</f>
        <v>DL-6.2</v>
      </c>
      <c r="C23" s="17" t="str">
        <f aca="false">IF($A23="","",IF(ISERROR(FIND(".",INDEX(Tasks!$A:$A,$A23))),"","   ")&amp;INDEX(Tasks!$C:$C,$A23))</f>
        <v>   Availability / Latency Target Validation</v>
      </c>
      <c r="D23" s="17" t="str">
        <f aca="false">IF($A23="","",IF(INDEX(Tasks!$B:$B,$A23)="","",INDEX(Tasks!$B:$B,$A23)))</f>
        <v>Dual-Link Communication</v>
      </c>
      <c r="E23" s="17" t="str">
        <f aca="false">IF($A23="","",IF(INDEX(Tasks!$E:$E,$A23)="","",INDEX(Tasks!$E:$E,$A23)))</f>
        <v>Not Started</v>
      </c>
      <c r="F23" s="18" t="n">
        <f aca="false">IF($A23="","",IF(INDEX(Tasks!$F:$F,$A23)="","",INDEX(Tasks!$F:$F,$A23)))</f>
        <v>46216</v>
      </c>
      <c r="G23" s="18" t="n">
        <f aca="false">IF($A23="","",IF(INDEX(Tasks!$H:$H,$A23)="","",INDEX(Tasks!$H:$H,$A23)))</f>
        <v>46220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n">
        <f aca="false">IFERROR(MATCH($C$2&amp;"|"&amp;(ROW()-4),Tasks!$J$4:$J$403,0)+3,"")</f>
        <v>106</v>
      </c>
      <c r="B24" s="17" t="str">
        <f aca="false">IF($A24="","",IF(INDEX(Tasks!$A:$A,$A24)="","",INDEX(Tasks!$A:$A,$A24)))</f>
        <v>DL-7</v>
      </c>
      <c r="C24" s="17" t="str">
        <f aca="false">IF($A24="","",IF(ISERROR(FIND(".",INDEX(Tasks!$A:$A,$A24))),"","   ")&amp;INDEX(Tasks!$C:$C,$A24))</f>
        <v>Integrate with digital twin</v>
      </c>
      <c r="D24" s="17" t="str">
        <f aca="false">IF($A24="","",IF(INDEX(Tasks!$B:$B,$A24)="","",INDEX(Tasks!$B:$B,$A24)))</f>
        <v>Dual-Link Communication</v>
      </c>
      <c r="E24" s="17" t="str">
        <f aca="false">IF($A24="","",IF(INDEX(Tasks!$E:$E,$A24)="","",INDEX(Tasks!$E:$E,$A24)))</f>
        <v>Not Started</v>
      </c>
      <c r="F24" s="18" t="n">
        <f aca="false">IF($A24="","",IF(INDEX(Tasks!$F:$F,$A24)="","",INDEX(Tasks!$F:$F,$A24)))</f>
        <v>46223</v>
      </c>
      <c r="G24" s="18" t="n">
        <f aca="false">IF($A24="","",IF(INDEX(Tasks!$H:$H,$A24)="","",INDEX(Tasks!$H:$H,$A24)))</f>
        <v>46234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n">
        <f aca="false">IFERROR(MATCH($C$2&amp;"|"&amp;(ROW()-4),Tasks!$J$4:$J$403,0)+3,"")</f>
        <v>107</v>
      </c>
      <c r="B25" s="17" t="str">
        <f aca="false">IF($A25="","",IF(INDEX(Tasks!$A:$A,$A25)="","",INDEX(Tasks!$A:$A,$A25)))</f>
        <v>DL-7.1</v>
      </c>
      <c r="C25" s="17" t="str">
        <f aca="false">IF($A25="","",IF(ISERROR(FIND(".",INDEX(Tasks!$A:$A,$A25))),"","   ")&amp;INDEX(Tasks!$C:$C,$A25))</f>
        <v>   Predictive Handover &lt;-&gt; Twin Tracking Wiring</v>
      </c>
      <c r="D25" s="17" t="str">
        <f aca="false">IF($A25="","",IF(INDEX(Tasks!$B:$B,$A25)="","",INDEX(Tasks!$B:$B,$A25)))</f>
        <v>Dual-Link Communication</v>
      </c>
      <c r="E25" s="17" t="str">
        <f aca="false">IF($A25="","",IF(INDEX(Tasks!$E:$E,$A25)="","",INDEX(Tasks!$E:$E,$A25)))</f>
        <v>Not Started</v>
      </c>
      <c r="F25" s="18" t="n">
        <f aca="false">IF($A25="","",IF(INDEX(Tasks!$F:$F,$A25)="","",INDEX(Tasks!$F:$F,$A25)))</f>
        <v>46223</v>
      </c>
      <c r="G25" s="18" t="n">
        <f aca="false">IF($A25="","",IF(INDEX(Tasks!$H:$H,$A25)="","",INDEX(Tasks!$H:$H,$A25)))</f>
        <v>46227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n">
        <f aca="false">IFERROR(MATCH($C$2&amp;"|"&amp;(ROW()-4),Tasks!$J$4:$J$403,0)+3,"")</f>
        <v>108</v>
      </c>
      <c r="B26" s="17" t="str">
        <f aca="false">IF($A26="","",IF(INDEX(Tasks!$A:$A,$A26)="","",INDEX(Tasks!$A:$A,$A26)))</f>
        <v>DL-7.2</v>
      </c>
      <c r="C26" s="17" t="str">
        <f aca="false">IF($A26="","",IF(ISERROR(FIND(".",INDEX(Tasks!$A:$A,$A26))),"","   ")&amp;INDEX(Tasks!$C:$C,$A26))</f>
        <v>   End-to-End Integration Test</v>
      </c>
      <c r="D26" s="17" t="str">
        <f aca="false">IF($A26="","",IF(INDEX(Tasks!$B:$B,$A26)="","",INDEX(Tasks!$B:$B,$A26)))</f>
        <v>Dual-Link Communication</v>
      </c>
      <c r="E26" s="17" t="str">
        <f aca="false">IF($A26="","",IF(INDEX(Tasks!$E:$E,$A26)="","",INDEX(Tasks!$E:$E,$A26)))</f>
        <v>Not Started</v>
      </c>
      <c r="F26" s="18" t="n">
        <f aca="false">IF($A26="","",IF(INDEX(Tasks!$F:$F,$A26)="","",INDEX(Tasks!$F:$F,$A26)))</f>
        <v>46230</v>
      </c>
      <c r="G26" s="18" t="n">
        <f aca="false">IF($A26="","",IF(INDEX(Tasks!$H:$H,$A26)="","",INDEX(Tasks!$H:$H,$A26)))</f>
        <v>46234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People!$A$11</f>
        <v>Semantic comm owner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14 tasks   ·   0 in progress   ·   0 blocked   ·   6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109</v>
      </c>
      <c r="B5" s="17" t="str">
        <f aca="false">IF($A5="","",IF(INDEX(Tasks!$A:$A,$A5)="","",INDEX(Tasks!$A:$A,$A5)))</f>
        <v>SC-1</v>
      </c>
      <c r="C5" s="17" t="str">
        <f aca="false">IF($A5="","",IF(ISERROR(FIND(".",INDEX(Tasks!$A:$A,$A5))),"","   ")&amp;INDEX(Tasks!$C:$C,$A5))</f>
        <v>Object Recognition (Camera Encoder/Decoder)</v>
      </c>
      <c r="D5" s="17" t="str">
        <f aca="false">IF($A5="","",IF(INDEX(Tasks!$B:$B,$A5)="","",INDEX(Tasks!$B:$B,$A5)))</f>
        <v>Semantic Communication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46195</v>
      </c>
      <c r="G5" s="18" t="n">
        <f aca="false">IF($A5="","",IF(INDEX(Tasks!$H:$H,$A5)="","",INDEX(Tasks!$H:$H,$A5)))</f>
        <v>46206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110</v>
      </c>
      <c r="B6" s="17" t="str">
        <f aca="false">IF($A6="","",IF(INDEX(Tasks!$A:$A,$A6)="","",INDEX(Tasks!$A:$A,$A6)))</f>
        <v>SC-1.1</v>
      </c>
      <c r="C6" s="17" t="str">
        <f aca="false">IF($A6="","",IF(ISERROR(FIND(".",INDEX(Tasks!$A:$A,$A6))),"","   ")&amp;INDEX(Tasks!$C:$C,$A6))</f>
        <v>   Encoder + Decoder</v>
      </c>
      <c r="D6" s="17" t="str">
        <f aca="false">IF($A6="","",IF(INDEX(Tasks!$B:$B,$A6)="","",INDEX(Tasks!$B:$B,$A6)))</f>
        <v>Semantic Communication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46195</v>
      </c>
      <c r="G6" s="18" t="n">
        <f aca="false">IF($A6="","",IF(INDEX(Tasks!$H:$H,$A6)="","",INDEX(Tasks!$H:$H,$A6)))</f>
        <v>46206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111</v>
      </c>
      <c r="B7" s="17" t="str">
        <f aca="false">IF($A7="","",IF(INDEX(Tasks!$A:$A,$A7)="","",INDEX(Tasks!$A:$A,$A7)))</f>
        <v>SC-1.2</v>
      </c>
      <c r="C7" s="17" t="str">
        <f aca="false">IF($A7="","",IF(ISERROR(FIND(".",INDEX(Tasks!$A:$A,$A7))),"","   ")&amp;INDEX(Tasks!$C:$C,$A7))</f>
        <v>   Accuracy Validation</v>
      </c>
      <c r="D7" s="17" t="str">
        <f aca="false">IF($A7="","",IF(INDEX(Tasks!$B:$B,$A7)="","",INDEX(Tasks!$B:$B,$A7)))</f>
        <v>Semantic Communication</v>
      </c>
      <c r="E7" s="17" t="str">
        <f aca="false">IF($A7="","",IF(INDEX(Tasks!$E:$E,$A7)="","",INDEX(Tasks!$E:$E,$A7)))</f>
        <v>Not Started</v>
      </c>
      <c r="F7" s="18" t="n">
        <f aca="false">IF($A7="","",IF(INDEX(Tasks!$F:$F,$A7)="","",INDEX(Tasks!$F:$F,$A7)))</f>
        <v>46202</v>
      </c>
      <c r="G7" s="18" t="n">
        <f aca="false">IF($A7="","",IF(INDEX(Tasks!$H:$H,$A7)="","",INDEX(Tasks!$H:$H,$A7)))</f>
        <v>46206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112</v>
      </c>
      <c r="B8" s="17" t="str">
        <f aca="false">IF($A8="","",IF(INDEX(Tasks!$A:$A,$A8)="","",INDEX(Tasks!$A:$A,$A8)))</f>
        <v>SC-2</v>
      </c>
      <c r="C8" s="17" t="str">
        <f aca="false">IF($A8="","",IF(ISERROR(FIND(".",INDEX(Tasks!$A:$A,$A8))),"","   ")&amp;INDEX(Tasks!$C:$C,$A8))</f>
        <v>Build Core Framework</v>
      </c>
      <c r="D8" s="17" t="str">
        <f aca="false">IF($A8="","",IF(INDEX(Tasks!$B:$B,$A8)="","",INDEX(Tasks!$B:$B,$A8)))</f>
        <v>Semantic Communication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46209</v>
      </c>
      <c r="G8" s="18" t="n">
        <f aca="false">IF($A8="","",IF(INDEX(Tasks!$H:$H,$A8)="","",INDEX(Tasks!$H:$H,$A8)))</f>
        <v>46220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113</v>
      </c>
      <c r="B9" s="17" t="str">
        <f aca="false">IF($A9="","",IF(INDEX(Tasks!$A:$A,$A9)="","",INDEX(Tasks!$A:$A,$A9)))</f>
        <v>SC-2.1</v>
      </c>
      <c r="C9" s="17" t="str">
        <f aca="false">IF($A9="","",IF(ISERROR(FIND(".",INDEX(Tasks!$A:$A,$A9))),"","   ")&amp;INDEX(Tasks!$C:$C,$A9))</f>
        <v>   Baseline 3-Stage Framework</v>
      </c>
      <c r="D9" s="17" t="str">
        <f aca="false">IF($A9="","",IF(INDEX(Tasks!$B:$B,$A9)="","",INDEX(Tasks!$B:$B,$A9)))</f>
        <v>Semantic Communication</v>
      </c>
      <c r="E9" s="17" t="str">
        <f aca="false">IF($A9="","",IF(INDEX(Tasks!$E:$E,$A9)="","",INDEX(Tasks!$E:$E,$A9)))</f>
        <v>Not Started</v>
      </c>
      <c r="F9" s="18" t="n">
        <f aca="false">IF($A9="","",IF(INDEX(Tasks!$F:$F,$A9)="","",INDEX(Tasks!$F:$F,$A9)))</f>
        <v>46209</v>
      </c>
      <c r="G9" s="18" t="n">
        <f aca="false">IF($A9="","",IF(INDEX(Tasks!$H:$H,$A9)="","",INDEX(Tasks!$H:$H,$A9)))</f>
        <v>46220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114</v>
      </c>
      <c r="B10" s="17" t="str">
        <f aca="false">IF($A10="","",IF(INDEX(Tasks!$A:$A,$A10)="","",INDEX(Tasks!$A:$A,$A10)))</f>
        <v>SC-2.2</v>
      </c>
      <c r="C10" s="17" t="str">
        <f aca="false">IF($A10="","",IF(ISERROR(FIND(".",INDEX(Tasks!$A:$A,$A10))),"","   ")&amp;INDEX(Tasks!$C:$C,$A10))</f>
        <v>   Realistic Channel Model</v>
      </c>
      <c r="D10" s="17" t="str">
        <f aca="false">IF($A10="","",IF(INDEX(Tasks!$B:$B,$A10)="","",INDEX(Tasks!$B:$B,$A10)))</f>
        <v>Semantic Communication</v>
      </c>
      <c r="E10" s="17" t="str">
        <f aca="false">IF($A10="","",IF(INDEX(Tasks!$E:$E,$A10)="","",INDEX(Tasks!$E:$E,$A10)))</f>
        <v>Not Started</v>
      </c>
      <c r="F10" s="18" t="n">
        <f aca="false">IF($A10="","",IF(INDEX(Tasks!$F:$F,$A10)="","",INDEX(Tasks!$F:$F,$A10)))</f>
        <v>46216</v>
      </c>
      <c r="G10" s="18" t="n">
        <f aca="false">IF($A10="","",IF(INDEX(Tasks!$H:$H,$A10)="","",INDEX(Tasks!$H:$H,$A10)))</f>
        <v>46220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n">
        <f aca="false">IFERROR(MATCH($C$2&amp;"|"&amp;(ROW()-4),Tasks!$J$4:$J$403,0)+3,"")</f>
        <v>115</v>
      </c>
      <c r="B11" s="17" t="str">
        <f aca="false">IF($A11="","",IF(INDEX(Tasks!$A:$A,$A11)="","",INDEX(Tasks!$A:$A,$A11)))</f>
        <v>SC-3</v>
      </c>
      <c r="C11" s="17" t="str">
        <f aca="false">IF($A11="","",IF(ISERROR(FIND(".",INDEX(Tasks!$A:$A,$A11))),"","   ")&amp;INDEX(Tasks!$C:$C,$A11))</f>
        <v>Dynamic Bandwidth Management</v>
      </c>
      <c r="D11" s="17" t="str">
        <f aca="false">IF($A11="","",IF(INDEX(Tasks!$B:$B,$A11)="","",INDEX(Tasks!$B:$B,$A11)))</f>
        <v>Semantic Communication</v>
      </c>
      <c r="E11" s="17" t="str">
        <f aca="false">IF($A11="","",IF(INDEX(Tasks!$E:$E,$A11)="","",INDEX(Tasks!$E:$E,$A11)))</f>
        <v>Not Started</v>
      </c>
      <c r="F11" s="18" t="str">
        <f aca="false">IF($A11="","",IF(INDEX(Tasks!$F:$F,$A11)="","",INDEX(Tasks!$F:$F,$A11)))</f>
        <v/>
      </c>
      <c r="G11" s="18" t="str">
        <f aca="false">IF($A11="","",IF(INDEX(Tasks!$H:$H,$A11)="","",INDEX(Tasks!$H:$H,$A11)))</f>
        <v/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n">
        <f aca="false">IFERROR(MATCH($C$2&amp;"|"&amp;(ROW()-4),Tasks!$J$4:$J$403,0)+3,"")</f>
        <v>116</v>
      </c>
      <c r="B12" s="17" t="str">
        <f aca="false">IF($A12="","",IF(INDEX(Tasks!$A:$A,$A12)="","",INDEX(Tasks!$A:$A,$A12)))</f>
        <v>SC-3.1</v>
      </c>
      <c r="C12" s="17" t="str">
        <f aca="false">IF($A12="","",IF(ISERROR(FIND(".",INDEX(Tasks!$A:$A,$A12))),"","   ")&amp;INDEX(Tasks!$C:$C,$A12))</f>
        <v>   Semantic Allocation</v>
      </c>
      <c r="D12" s="17" t="str">
        <f aca="false">IF($A12="","",IF(INDEX(Tasks!$B:$B,$A12)="","",INDEX(Tasks!$B:$B,$A12)))</f>
        <v>Semantic Communication</v>
      </c>
      <c r="E12" s="17" t="str">
        <f aca="false">IF($A12="","",IF(INDEX(Tasks!$E:$E,$A12)="","",INDEX(Tasks!$E:$E,$A12)))</f>
        <v>Not Started</v>
      </c>
      <c r="F12" s="18" t="str">
        <f aca="false">IF($A12="","",IF(INDEX(Tasks!$F:$F,$A12)="","",INDEX(Tasks!$F:$F,$A12)))</f>
        <v/>
      </c>
      <c r="G12" s="18" t="str">
        <f aca="false">IF($A12="","",IF(INDEX(Tasks!$H:$H,$A12)="","",INDEX(Tasks!$H:$H,$A12)))</f>
        <v/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n">
        <f aca="false">IFERROR(MATCH($C$2&amp;"|"&amp;(ROW()-4),Tasks!$J$4:$J$403,0)+3,"")</f>
        <v>117</v>
      </c>
      <c r="B13" s="17" t="str">
        <f aca="false">IF($A13="","",IF(INDEX(Tasks!$A:$A,$A13)="","",INDEX(Tasks!$A:$A,$A13)))</f>
        <v>SC-3.2</v>
      </c>
      <c r="C13" s="17" t="str">
        <f aca="false">IF($A13="","",IF(ISERROR(FIND(".",INDEX(Tasks!$A:$A,$A13))),"","   ")&amp;INDEX(Tasks!$C:$C,$A13))</f>
        <v>   Physical Constraint Bounds</v>
      </c>
      <c r="D13" s="17" t="str">
        <f aca="false">IF($A13="","",IF(INDEX(Tasks!$B:$B,$A13)="","",INDEX(Tasks!$B:$B,$A13)))</f>
        <v>Semantic Communication</v>
      </c>
      <c r="E13" s="17" t="str">
        <f aca="false">IF($A13="","",IF(INDEX(Tasks!$E:$E,$A13)="","",INDEX(Tasks!$E:$E,$A13)))</f>
        <v>Not Started</v>
      </c>
      <c r="F13" s="18" t="str">
        <f aca="false">IF($A13="","",IF(INDEX(Tasks!$F:$F,$A13)="","",INDEX(Tasks!$F:$F,$A13)))</f>
        <v/>
      </c>
      <c r="G13" s="18" t="str">
        <f aca="false">IF($A13="","",IF(INDEX(Tasks!$H:$H,$A13)="","",INDEX(Tasks!$H:$H,$A13)))</f>
        <v/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n">
        <f aca="false">IFERROR(MATCH($C$2&amp;"|"&amp;(ROW()-4),Tasks!$J$4:$J$403,0)+3,"")</f>
        <v>118</v>
      </c>
      <c r="B14" s="17" t="str">
        <f aca="false">IF($A14="","",IF(INDEX(Tasks!$A:$A,$A14)="","",INDEX(Tasks!$A:$A,$A14)))</f>
        <v>SC-3.3</v>
      </c>
      <c r="C14" s="17" t="str">
        <f aca="false">IF($A14="","",IF(ISERROR(FIND(".",INDEX(Tasks!$A:$A,$A14))),"","   ")&amp;INDEX(Tasks!$C:$C,$A14))</f>
        <v>   Per-Modality Truncation</v>
      </c>
      <c r="D14" s="17" t="str">
        <f aca="false">IF($A14="","",IF(INDEX(Tasks!$B:$B,$A14)="","",INDEX(Tasks!$B:$B,$A14)))</f>
        <v>Semantic Communication</v>
      </c>
      <c r="E14" s="17" t="str">
        <f aca="false">IF($A14="","",IF(INDEX(Tasks!$E:$E,$A14)="","",INDEX(Tasks!$E:$E,$A14)))</f>
        <v>Not Started</v>
      </c>
      <c r="F14" s="18" t="str">
        <f aca="false">IF($A14="","",IF(INDEX(Tasks!$F:$F,$A14)="","",INDEX(Tasks!$F:$F,$A14)))</f>
        <v/>
      </c>
      <c r="G14" s="18" t="str">
        <f aca="false">IF($A14="","",IF(INDEX(Tasks!$H:$H,$A14)="","",INDEX(Tasks!$H:$H,$A14)))</f>
        <v/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n">
        <f aca="false">IFERROR(MATCH($C$2&amp;"|"&amp;(ROW()-4),Tasks!$J$4:$J$403,0)+3,"")</f>
        <v>119</v>
      </c>
      <c r="B15" s="17" t="str">
        <f aca="false">IF($A15="","",IF(INDEX(Tasks!$A:$A,$A15)="","",INDEX(Tasks!$A:$A,$A15)))</f>
        <v>SC-3.4</v>
      </c>
      <c r="C15" s="17" t="str">
        <f aca="false">IF($A15="","",IF(ISERROR(FIND(".",INDEX(Tasks!$A:$A,$A15))),"","   ")&amp;INDEX(Tasks!$C:$C,$A15))</f>
        <v>   Cost-Aware Feedback Loop</v>
      </c>
      <c r="D15" s="17" t="str">
        <f aca="false">IF($A15="","",IF(INDEX(Tasks!$B:$B,$A15)="","",INDEX(Tasks!$B:$B,$A15)))</f>
        <v>Semantic Communication</v>
      </c>
      <c r="E15" s="17" t="str">
        <f aca="false">IF($A15="","",IF(INDEX(Tasks!$E:$E,$A15)="","",INDEX(Tasks!$E:$E,$A15)))</f>
        <v>Not Started</v>
      </c>
      <c r="F15" s="18" t="str">
        <f aca="false">IF($A15="","",IF(INDEX(Tasks!$F:$F,$A15)="","",INDEX(Tasks!$F:$F,$A15)))</f>
        <v/>
      </c>
      <c r="G15" s="18" t="str">
        <f aca="false">IF($A15="","",IF(INDEX(Tasks!$H:$H,$A15)="","",INDEX(Tasks!$H:$H,$A15)))</f>
        <v/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n">
        <f aca="false">IFERROR(MATCH($C$2&amp;"|"&amp;(ROW()-4),Tasks!$J$4:$J$403,0)+3,"")</f>
        <v>120</v>
      </c>
      <c r="B16" s="17" t="str">
        <f aca="false">IF($A16="","",IF(INDEX(Tasks!$A:$A,$A16)="","",INDEX(Tasks!$A:$A,$A16)))</f>
        <v>SC-4</v>
      </c>
      <c r="C16" s="17" t="str">
        <f aca="false">IF($A16="","",IF(ISERROR(FIND(".",INDEX(Tasks!$A:$A,$A16))),"","   ")&amp;INDEX(Tasks!$C:$C,$A16))</f>
        <v>Multi-Task Transmission</v>
      </c>
      <c r="D16" s="17" t="str">
        <f aca="false">IF($A16="","",IF(INDEX(Tasks!$B:$B,$A16)="","",INDEX(Tasks!$B:$B,$A16)))</f>
        <v>Semantic Communication</v>
      </c>
      <c r="E16" s="17" t="str">
        <f aca="false">IF($A16="","",IF(INDEX(Tasks!$E:$E,$A16)="","",INDEX(Tasks!$E:$E,$A16)))</f>
        <v>Not Started</v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n">
        <f aca="false">IFERROR(MATCH($C$2&amp;"|"&amp;(ROW()-4),Tasks!$J$4:$J$403,0)+3,"")</f>
        <v>121</v>
      </c>
      <c r="B17" s="17" t="str">
        <f aca="false">IF($A17="","",IF(INDEX(Tasks!$A:$A,$A17)="","",INDEX(Tasks!$A:$A,$A17)))</f>
        <v>SC-5</v>
      </c>
      <c r="C17" s="17" t="str">
        <f aca="false">IF($A17="","",IF(ISERROR(FIND(".",INDEX(Tasks!$A:$A,$A17))),"","   ")&amp;INDEX(Tasks!$C:$C,$A17))</f>
        <v>Train &amp; Evaluate on Dataset</v>
      </c>
      <c r="D17" s="17" t="str">
        <f aca="false">IF($A17="","",IF(INDEX(Tasks!$B:$B,$A17)="","",INDEX(Tasks!$B:$B,$A17)))</f>
        <v>Semantic Communication</v>
      </c>
      <c r="E17" s="17" t="str">
        <f aca="false">IF($A17="","",IF(INDEX(Tasks!$E:$E,$A17)="","",INDEX(Tasks!$E:$E,$A17)))</f>
        <v>Not Started</v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n">
        <f aca="false">IFERROR(MATCH($C$2&amp;"|"&amp;(ROW()-4),Tasks!$J$4:$J$403,0)+3,"")</f>
        <v>122</v>
      </c>
      <c r="B18" s="17" t="str">
        <f aca="false">IF($A18="","",IF(INDEX(Tasks!$A:$A,$A18)="","",INDEX(Tasks!$A:$A,$A18)))</f>
        <v>SC-6</v>
      </c>
      <c r="C18" s="17" t="str">
        <f aca="false">IF($A18="","",IF(ISERROR(FIND(".",INDEX(Tasks!$A:$A,$A18))),"","   ")&amp;INDEX(Tasks!$C:$C,$A18))</f>
        <v>Integrate with Dual-Link</v>
      </c>
      <c r="D18" s="17" t="str">
        <f aca="false">IF($A18="","",IF(INDEX(Tasks!$B:$B,$A18)="","",INDEX(Tasks!$B:$B,$A18)))</f>
        <v>Semantic Communication</v>
      </c>
      <c r="E18" s="17" t="str">
        <f aca="false">IF($A18="","",IF(INDEX(Tasks!$E:$E,$A18)="","",INDEX(Tasks!$E:$E,$A18)))</f>
        <v>Not Started</v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IFERROR(MATCH($C$2&amp;"|"&amp;(ROW()-4),Tasks!$J$4:$J$403,0)+3,"")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IF($A19="","",IF(INDEX(Tasks!$B:$B,$A19)="","",INDEX(Tasks!$B:$B,$A19)))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IFERROR(MATCH($C$2&amp;"|"&amp;(ROW()-4),Tasks!$J$4:$J$403,0)+3,"")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IF($A20="","",IF(INDEX(Tasks!$B:$B,$A20)="","",INDEX(Tasks!$B:$B,$A20)))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IFERROR(MATCH($C$2&amp;"|"&amp;(ROW()-4),Tasks!$J$4:$J$403,0)+3,"")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IF($A21="","",IF(INDEX(Tasks!$B:$B,$A21)="","",INDEX(Tasks!$B:$B,$A21)))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IFERROR(MATCH($C$2&amp;"|"&amp;(ROW()-4),Tasks!$J$4:$J$403,0)+3,"")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IF($A22="","",IF(INDEX(Tasks!$B:$B,$A22)="","",INDEX(Tasks!$B:$B,$A22)))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IFERROR(MATCH($C$2&amp;"|"&amp;(ROW()-4),Tasks!$J$4:$J$403,0)+3,"")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IF($A23="","",IF(INDEX(Tasks!$B:$B,$A23)="","",INDEX(Tasks!$B:$B,$A23)))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IFERROR(MATCH($C$2&amp;"|"&amp;(ROW()-4),Tasks!$J$4:$J$403,0)+3,"")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IF($A24="","",IF(INDEX(Tasks!$B:$B,$A24)="","",INDEX(Tasks!$B:$B,$A24)))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IFERROR(MATCH($C$2&amp;"|"&amp;(ROW()-4),Tasks!$J$4:$J$403,0)+3,"")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IF($A25="","",IF(INDEX(Tasks!$B:$B,$A25)="","",INDEX(Tasks!$B:$B,$A25)))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IFERROR(MATCH($C$2&amp;"|"&amp;(ROW()-4),Tasks!$J$4:$J$403,0)+3,"")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IF($A26="","",IF(INDEX(Tasks!$B:$B,$A26)="","",INDEX(Tasks!$B:$B,$A26)))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27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51" min="8" style="0" width="3.61"/>
    <col collapsed="false" customWidth="true" hidden="false" outlineLevel="0" max="53" min="53" style="0" width="3"/>
    <col collapsed="false" customWidth="true" hidden="false" outlineLevel="0" max="54" min="54" style="0" width="20"/>
  </cols>
  <sheetData>
    <row r="1" customFormat="false" ht="17.35" hidden="false" customHeight="false" outlineLevel="0" collapsed="false">
      <c r="B1" s="1" t="s">
        <v>308</v>
      </c>
    </row>
    <row r="2" customFormat="false" ht="15" hidden="false" customHeight="false" outlineLevel="0" collapsed="false">
      <c r="B2" s="2" t="s">
        <v>323</v>
      </c>
      <c r="C2" s="28" t="str">
        <f aca="false">People!$A$12</f>
        <v>Team</v>
      </c>
      <c r="E2" s="13" t="str">
        <f aca="true">COUNTIFS(Tasks!$D$4:$D$403,$C$2,Tasks!$C$4:$C$403,"?*")&amp;" tasks   ·   "&amp;COUNTIFS(Tasks!$D$4:$D$403,$C$2,Tasks!$C$4:$C$403,"?*",Tasks!$E$4:$E$403,"In Progress")&amp;" in progress   ·   "&amp;COUNTIFS(Tasks!$D$4:$D$403,$C$2,Tasks!$C$4:$C$403,"?*",Tasks!$E$4:$E$403,"Blocked")&amp;" blocked   ·   "&amp;COUNTIFS(Tasks!$D$4:$D$403,$C$2,Tasks!$C$4:$C$403,"?*",Tasks!$H$4:$H$403,"&lt;"&amp;TODAY(),Tasks!$E$4:$E$403,"&lt;&gt;Complete")&amp;" overdue"</f>
        <v>6 tasks   ·   0 in progress   ·   0 blocked   ·   0 overdue</v>
      </c>
    </row>
    <row r="4" customFormat="false" ht="43.5" hidden="false" customHeight="true" outlineLevel="0" collapsed="false">
      <c r="A4" s="5" t="s">
        <v>312</v>
      </c>
      <c r="B4" s="5" t="s">
        <v>29</v>
      </c>
      <c r="C4" s="5" t="s">
        <v>31</v>
      </c>
      <c r="D4" s="5" t="s">
        <v>30</v>
      </c>
      <c r="E4" s="5" t="s">
        <v>33</v>
      </c>
      <c r="F4" s="5" t="s">
        <v>34</v>
      </c>
      <c r="G4" s="5" t="s">
        <v>36</v>
      </c>
      <c r="H4" s="15" t="n">
        <f aca="false">Gantt!$C$3+7*0</f>
        <v>46195</v>
      </c>
      <c r="I4" s="15" t="n">
        <f aca="false">Gantt!$C$3+7*1</f>
        <v>46202</v>
      </c>
      <c r="J4" s="15" t="n">
        <f aca="false">Gantt!$C$3+7*2</f>
        <v>46209</v>
      </c>
      <c r="K4" s="15" t="n">
        <f aca="false">Gantt!$C$3+7*3</f>
        <v>46216</v>
      </c>
      <c r="L4" s="15" t="n">
        <f aca="false">Gantt!$C$3+7*4</f>
        <v>46223</v>
      </c>
      <c r="M4" s="15" t="n">
        <f aca="false">Gantt!$C$3+7*5</f>
        <v>46230</v>
      </c>
      <c r="N4" s="15" t="n">
        <f aca="false">Gantt!$C$3+7*6</f>
        <v>46237</v>
      </c>
      <c r="O4" s="15" t="n">
        <f aca="false">Gantt!$C$3+7*7</f>
        <v>46244</v>
      </c>
      <c r="P4" s="15" t="n">
        <f aca="false">Gantt!$C$3+7*8</f>
        <v>46251</v>
      </c>
      <c r="Q4" s="15" t="n">
        <f aca="false">Gantt!$C$3+7*9</f>
        <v>46258</v>
      </c>
      <c r="R4" s="15" t="n">
        <f aca="false">Gantt!$C$3+7*10</f>
        <v>46265</v>
      </c>
      <c r="S4" s="15" t="n">
        <f aca="false">Gantt!$C$3+7*11</f>
        <v>46272</v>
      </c>
      <c r="T4" s="15" t="n">
        <f aca="false">Gantt!$C$3+7*12</f>
        <v>46279</v>
      </c>
      <c r="U4" s="15" t="n">
        <f aca="false">Gantt!$C$3+7*13</f>
        <v>46286</v>
      </c>
      <c r="V4" s="15" t="n">
        <f aca="false">Gantt!$C$3+7*14</f>
        <v>46293</v>
      </c>
      <c r="W4" s="15" t="n">
        <f aca="false">Gantt!$C$3+7*15</f>
        <v>46300</v>
      </c>
      <c r="X4" s="15" t="n">
        <f aca="false">Gantt!$C$3+7*16</f>
        <v>46307</v>
      </c>
      <c r="Y4" s="15" t="n">
        <f aca="false">Gantt!$C$3+7*17</f>
        <v>46314</v>
      </c>
      <c r="Z4" s="15" t="n">
        <f aca="false">Gantt!$C$3+7*18</f>
        <v>46321</v>
      </c>
      <c r="AA4" s="15" t="n">
        <f aca="false">Gantt!$C$3+7*19</f>
        <v>46328</v>
      </c>
      <c r="AB4" s="15" t="n">
        <f aca="false">Gantt!$C$3+7*20</f>
        <v>46335</v>
      </c>
      <c r="AC4" s="15" t="n">
        <f aca="false">Gantt!$C$3+7*21</f>
        <v>46342</v>
      </c>
      <c r="AD4" s="15" t="n">
        <f aca="false">Gantt!$C$3+7*22</f>
        <v>46349</v>
      </c>
      <c r="AE4" s="15" t="n">
        <f aca="false">Gantt!$C$3+7*23</f>
        <v>46356</v>
      </c>
      <c r="AF4" s="15" t="n">
        <f aca="false">Gantt!$C$3+7*24</f>
        <v>46363</v>
      </c>
      <c r="AG4" s="15" t="n">
        <f aca="false">Gantt!$C$3+7*25</f>
        <v>46370</v>
      </c>
      <c r="AH4" s="15" t="n">
        <f aca="false">Gantt!$C$3+7*26</f>
        <v>46377</v>
      </c>
      <c r="AI4" s="15" t="n">
        <f aca="false">Gantt!$C$3+7*27</f>
        <v>46384</v>
      </c>
      <c r="AJ4" s="15" t="n">
        <f aca="false">Gantt!$C$3+7*28</f>
        <v>46391</v>
      </c>
      <c r="AK4" s="15" t="n">
        <f aca="false">Gantt!$C$3+7*29</f>
        <v>46398</v>
      </c>
      <c r="AL4" s="15" t="n">
        <f aca="false">Gantt!$C$3+7*30</f>
        <v>46405</v>
      </c>
      <c r="AM4" s="15" t="n">
        <f aca="false">Gantt!$C$3+7*31</f>
        <v>46412</v>
      </c>
      <c r="AN4" s="15" t="n">
        <f aca="false">Gantt!$C$3+7*32</f>
        <v>46419</v>
      </c>
      <c r="AO4" s="15" t="n">
        <f aca="false">Gantt!$C$3+7*33</f>
        <v>46426</v>
      </c>
      <c r="AP4" s="15" t="n">
        <f aca="false">Gantt!$C$3+7*34</f>
        <v>46433</v>
      </c>
      <c r="AQ4" s="15" t="n">
        <f aca="false">Gantt!$C$3+7*35</f>
        <v>46440</v>
      </c>
      <c r="AR4" s="15" t="n">
        <f aca="false">Gantt!$C$3+7*36</f>
        <v>46447</v>
      </c>
      <c r="AS4" s="15" t="n">
        <f aca="false">Gantt!$C$3+7*37</f>
        <v>46454</v>
      </c>
      <c r="AT4" s="15" t="n">
        <f aca="false">Gantt!$C$3+7*38</f>
        <v>46461</v>
      </c>
      <c r="AU4" s="15" t="n">
        <f aca="false">Gantt!$C$3+7*39</f>
        <v>46468</v>
      </c>
      <c r="AV4" s="15" t="n">
        <f aca="false">Gantt!$C$3+7*40</f>
        <v>46475</v>
      </c>
      <c r="AW4" s="15" t="n">
        <f aca="false">Gantt!$C$3+7*41</f>
        <v>46482</v>
      </c>
      <c r="AX4" s="15" t="n">
        <f aca="false">Gantt!$C$3+7*42</f>
        <v>46489</v>
      </c>
      <c r="AY4" s="15" t="n">
        <f aca="false">Gantt!$C$3+7*43</f>
        <v>46496</v>
      </c>
      <c r="BB4" s="2" t="s">
        <v>313</v>
      </c>
    </row>
    <row r="5" customFormat="false" ht="15" hidden="false" customHeight="false" outlineLevel="0" collapsed="false">
      <c r="A5" s="16" t="n">
        <f aca="false">IFERROR(MATCH($C$2&amp;"|"&amp;(ROW()-4),Tasks!$J$4:$J$403,0)+3,"")</f>
        <v>81</v>
      </c>
      <c r="B5" s="17" t="str">
        <f aca="false">IF($A5="","",IF(INDEX(Tasks!$A:$A,$A5)="","",INDEX(Tasks!$A:$A,$A5)))</f>
        <v>G1-M1</v>
      </c>
      <c r="C5" s="17" t="str">
        <f aca="false">IF($A5="","",IF(ISERROR(FIND(".",INDEX(Tasks!$A:$A,$A5))),"","   ")&amp;INDEX(Tasks!$C:$C,$A5))</f>
        <v>M1 Offline map in Isaac</v>
      </c>
      <c r="D5" s="17" t="str">
        <f aca="false">IF($A5="","",IF(INDEX(Tasks!$B:$B,$A5)="","",INDEX(Tasks!$B:$B,$A5)))</f>
        <v>G1 ED305 live digital twin</v>
      </c>
      <c r="E5" s="17" t="str">
        <f aca="false">IF($A5="","",IF(INDEX(Tasks!$E:$E,$A5)="","",INDEX(Tasks!$E:$E,$A5)))</f>
        <v>Not Started</v>
      </c>
      <c r="F5" s="18" t="n">
        <f aca="false">IF($A5="","",IF(INDEX(Tasks!$F:$F,$A5)="","",INDEX(Tasks!$F:$F,$A5)))</f>
        <v>46349</v>
      </c>
      <c r="G5" s="18" t="n">
        <f aca="false">IF($A5="","",IF(INDEX(Tasks!$H:$H,$A5)="","",INDEX(Tasks!$H:$H,$A5)))</f>
        <v>46353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BA5" s="20"/>
      <c r="BB5" s="17" t="s">
        <v>304</v>
      </c>
    </row>
    <row r="6" customFormat="false" ht="15" hidden="false" customHeight="false" outlineLevel="0" collapsed="false">
      <c r="A6" s="16" t="n">
        <f aca="false">IFERROR(MATCH($C$2&amp;"|"&amp;(ROW()-4),Tasks!$J$4:$J$403,0)+3,"")</f>
        <v>82</v>
      </c>
      <c r="B6" s="17" t="str">
        <f aca="false">IF($A6="","",IF(INDEX(Tasks!$A:$A,$A6)="","",INDEX(Tasks!$A:$A,$A6)))</f>
        <v>G1-M2</v>
      </c>
      <c r="C6" s="17" t="str">
        <f aca="false">IF($A6="","",IF(ISERROR(FIND(".",INDEX(Tasks!$A:$A,$A6))),"","   ")&amp;INDEX(Tasks!$C:$C,$A6))</f>
        <v>M2 Live robot pose in Isaac</v>
      </c>
      <c r="D6" s="17" t="str">
        <f aca="false">IF($A6="","",IF(INDEX(Tasks!$B:$B,$A6)="","",INDEX(Tasks!$B:$B,$A6)))</f>
        <v>G1 ED305 live digital twin</v>
      </c>
      <c r="E6" s="17" t="str">
        <f aca="false">IF($A6="","",IF(INDEX(Tasks!$E:$E,$A6)="","",INDEX(Tasks!$E:$E,$A6)))</f>
        <v>Not Started</v>
      </c>
      <c r="F6" s="18" t="n">
        <f aca="false">IF($A6="","",IF(INDEX(Tasks!$F:$F,$A6)="","",INDEX(Tasks!$F:$F,$A6)))</f>
        <v>46363</v>
      </c>
      <c r="G6" s="18" t="n">
        <f aca="false">IF($A6="","",IF(INDEX(Tasks!$H:$H,$A6)="","",INDEX(Tasks!$H:$H,$A6)))</f>
        <v>46367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BA6" s="21"/>
      <c r="BB6" s="17" t="s">
        <v>48</v>
      </c>
    </row>
    <row r="7" customFormat="false" ht="15" hidden="false" customHeight="false" outlineLevel="0" collapsed="false">
      <c r="A7" s="16" t="n">
        <f aca="false">IFERROR(MATCH($C$2&amp;"|"&amp;(ROW()-4),Tasks!$J$4:$J$403,0)+3,"")</f>
        <v>83</v>
      </c>
      <c r="B7" s="17" t="str">
        <f aca="false">IF($A7="","",IF(INDEX(Tasks!$A:$A,$A7)="","",INDEX(Tasks!$A:$A,$A7)))</f>
        <v>G1-M3</v>
      </c>
      <c r="C7" s="17" t="str">
        <f aca="false">IF($A7="","",IF(ISERROR(FIND(".",INDEX(Tasks!$A:$A,$A7))),"","   ")&amp;INDEX(Tasks!$C:$C,$A7))</f>
        <v>M3 Change loop</v>
      </c>
      <c r="D7" s="17" t="str">
        <f aca="false">IF($A7="","",IF(INDEX(Tasks!$B:$B,$A7)="","",INDEX(Tasks!$B:$B,$A7)))</f>
        <v>G1 ED305 live digital twin</v>
      </c>
      <c r="E7" s="17" t="str">
        <f aca="false">IF($A7="","",IF(INDEX(Tasks!$E:$E,$A7)="","",INDEX(Tasks!$E:$E,$A7)))</f>
        <v>Not Started</v>
      </c>
      <c r="F7" s="18" t="n">
        <f aca="false">IF($A7="","",IF(INDEX(Tasks!$F:$F,$A7)="","",INDEX(Tasks!$F:$F,$A7)))</f>
        <v>46391</v>
      </c>
      <c r="G7" s="18" t="n">
        <f aca="false">IF($A7="","",IF(INDEX(Tasks!$H:$H,$A7)="","",INDEX(Tasks!$H:$H,$A7)))</f>
        <v>46395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BA7" s="22"/>
      <c r="BB7" s="17" t="s">
        <v>71</v>
      </c>
    </row>
    <row r="8" customFormat="false" ht="15" hidden="false" customHeight="false" outlineLevel="0" collapsed="false">
      <c r="A8" s="16" t="n">
        <f aca="false">IFERROR(MATCH($C$2&amp;"|"&amp;(ROW()-4),Tasks!$J$4:$J$403,0)+3,"")</f>
        <v>84</v>
      </c>
      <c r="B8" s="17" t="str">
        <f aca="false">IF($A8="","",IF(INDEX(Tasks!$A:$A,$A8)="","",INDEX(Tasks!$A:$A,$A8)))</f>
        <v>G1-M4</v>
      </c>
      <c r="C8" s="17" t="str">
        <f aca="false">IF($A8="","",IF(ISERROR(FIND(".",INDEX(Tasks!$A:$A,$A8))),"","   ")&amp;INDEX(Tasks!$C:$C,$A8))</f>
        <v>M4 Two robots, fused map</v>
      </c>
      <c r="D8" s="17" t="str">
        <f aca="false">IF($A8="","",IF(INDEX(Tasks!$B:$B,$A8)="","",INDEX(Tasks!$B:$B,$A8)))</f>
        <v>G1 ED305 live digital twin</v>
      </c>
      <c r="E8" s="17" t="str">
        <f aca="false">IF($A8="","",IF(INDEX(Tasks!$E:$E,$A8)="","",INDEX(Tasks!$E:$E,$A8)))</f>
        <v>Not Started</v>
      </c>
      <c r="F8" s="18" t="n">
        <f aca="false">IF($A8="","",IF(INDEX(Tasks!$F:$F,$A8)="","",INDEX(Tasks!$F:$F,$A8)))</f>
        <v>46391</v>
      </c>
      <c r="G8" s="18" t="n">
        <f aca="false">IF($A8="","",IF(INDEX(Tasks!$H:$H,$A8)="","",INDEX(Tasks!$H:$H,$A8)))</f>
        <v>46395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BA8" s="23"/>
      <c r="BB8" s="17" t="s">
        <v>139</v>
      </c>
    </row>
    <row r="9" customFormat="false" ht="15" hidden="false" customHeight="false" outlineLevel="0" collapsed="false">
      <c r="A9" s="16" t="n">
        <f aca="false">IFERROR(MATCH($C$2&amp;"|"&amp;(ROW()-4),Tasks!$J$4:$J$403,0)+3,"")</f>
        <v>85</v>
      </c>
      <c r="B9" s="17" t="str">
        <f aca="false">IF($A9="","",IF(INDEX(Tasks!$A:$A,$A9)="","",INDEX(Tasks!$A:$A,$A9)))</f>
        <v>G1-M5</v>
      </c>
      <c r="C9" s="17" t="str">
        <f aca="false">IF($A9="","",IF(ISERROR(FIND(".",INDEX(Tasks!$A:$A,$A9))),"","   ")&amp;INDEX(Tasks!$C:$C,$A9))</f>
        <v>M5 ED305 targets live in the twin</v>
      </c>
      <c r="D9" s="17" t="str">
        <f aca="false">IF($A9="","",IF(INDEX(Tasks!$B:$B,$A9)="","",INDEX(Tasks!$B:$B,$A9)))</f>
        <v>G1 ED305 live digital twin</v>
      </c>
      <c r="E9" s="17" t="str">
        <f aca="false">IF($A9="","",IF(INDEX(Tasks!$E:$E,$A9)="","",INDEX(Tasks!$E:$E,$A9)))</f>
        <v>Not Started</v>
      </c>
      <c r="F9" s="18" t="n">
        <f aca="false">IF($A9="","",IF(INDEX(Tasks!$F:$F,$A9)="","",INDEX(Tasks!$F:$F,$A9)))</f>
        <v>46398</v>
      </c>
      <c r="G9" s="18" t="n">
        <f aca="false">IF($A9="","",IF(INDEX(Tasks!$H:$H,$A9)="","",INDEX(Tasks!$H:$H,$A9)))</f>
        <v>46402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BA9" s="24"/>
      <c r="BB9" s="17" t="s">
        <v>45</v>
      </c>
    </row>
    <row r="10" customFormat="false" ht="15" hidden="false" customHeight="false" outlineLevel="0" collapsed="false">
      <c r="A10" s="16" t="n">
        <f aca="false">IFERROR(MATCH($C$2&amp;"|"&amp;(ROW()-4),Tasks!$J$4:$J$403,0)+3,"")</f>
        <v>86</v>
      </c>
      <c r="B10" s="17" t="str">
        <f aca="false">IF($A10="","",IF(INDEX(Tasks!$A:$A,$A10)="","",INDEX(Tasks!$A:$A,$A10)))</f>
        <v>G1-M6</v>
      </c>
      <c r="C10" s="17" t="str">
        <f aca="false">IF($A10="","",IF(ISERROR(FIND(".",INDEX(Tasks!$A:$A,$A10))),"","   ")&amp;INDEX(Tasks!$C:$C,$A10))</f>
        <v>M6 Radio channels from the live twin</v>
      </c>
      <c r="D10" s="17" t="str">
        <f aca="false">IF($A10="","",IF(INDEX(Tasks!$B:$B,$A10)="","",INDEX(Tasks!$B:$B,$A10)))</f>
        <v>G1 ED305 live digital twin</v>
      </c>
      <c r="E10" s="17" t="str">
        <f aca="false">IF($A10="","",IF(INDEX(Tasks!$E:$E,$A10)="","",INDEX(Tasks!$E:$E,$A10)))</f>
        <v>Not Started</v>
      </c>
      <c r="F10" s="18" t="n">
        <f aca="false">IF($A10="","",IF(INDEX(Tasks!$F:$F,$A10)="","",INDEX(Tasks!$F:$F,$A10)))</f>
        <v>46405</v>
      </c>
      <c r="G10" s="18" t="n">
        <f aca="false">IF($A10="","",IF(INDEX(Tasks!$H:$H,$A10)="","",INDEX(Tasks!$H:$H,$A10)))</f>
        <v>46409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BA10" s="25"/>
      <c r="BB10" s="17" t="s">
        <v>314</v>
      </c>
    </row>
    <row r="11" customFormat="false" ht="15" hidden="false" customHeight="false" outlineLevel="0" collapsed="false">
      <c r="A11" s="16" t="str">
        <f aca="false">IFERROR(MATCH($C$2&amp;"|"&amp;(ROW()-4),Tasks!$J$4:$J$403,0)+3,"")</f>
        <v/>
      </c>
      <c r="B11" s="17" t="str">
        <f aca="false">IF($A11="","",IF(INDEX(Tasks!$A:$A,$A11)="","",INDEX(Tasks!$A:$A,$A11)))</f>
        <v/>
      </c>
      <c r="C11" s="17" t="str">
        <f aca="false">IF($A11="","",IF(ISERROR(FIND(".",INDEX(Tasks!$A:$A,$A11))),"","   ")&amp;INDEX(Tasks!$C:$C,$A11))</f>
        <v/>
      </c>
      <c r="D11" s="17" t="str">
        <f aca="false">IF($A11="","",IF(INDEX(Tasks!$B:$B,$A11)="","",INDEX(Tasks!$B:$B,$A11)))</f>
        <v/>
      </c>
      <c r="E11" s="17" t="str">
        <f aca="false">IF($A11="","",IF(INDEX(Tasks!$E:$E,$A11)="","",INDEX(Tasks!$E:$E,$A11)))</f>
        <v/>
      </c>
      <c r="F11" s="18" t="str">
        <f aca="false">IF($A11="","",IF(INDEX(Tasks!$F:$F,$A11)="","",INDEX(Tasks!$F:$F,$A11)))</f>
        <v/>
      </c>
      <c r="G11" s="18" t="str">
        <f aca="false">IF($A11="","",IF(INDEX(Tasks!$H:$H,$A11)="","",INDEX(Tasks!$H:$H,$A11)))</f>
        <v/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BA11" s="26"/>
      <c r="BB11" s="17" t="s">
        <v>315</v>
      </c>
    </row>
    <row r="12" customFormat="false" ht="15" hidden="false" customHeight="false" outlineLevel="0" collapsed="false">
      <c r="A12" s="16" t="str">
        <f aca="false">IFERROR(MATCH($C$2&amp;"|"&amp;(ROW()-4),Tasks!$J$4:$J$403,0)+3,"")</f>
        <v/>
      </c>
      <c r="B12" s="17" t="str">
        <f aca="false">IF($A12="","",IF(INDEX(Tasks!$A:$A,$A12)="","",INDEX(Tasks!$A:$A,$A12)))</f>
        <v/>
      </c>
      <c r="C12" s="17" t="str">
        <f aca="false">IF($A12="","",IF(ISERROR(FIND(".",INDEX(Tasks!$A:$A,$A12))),"","   ")&amp;INDEX(Tasks!$C:$C,$A12))</f>
        <v/>
      </c>
      <c r="D12" s="17" t="str">
        <f aca="false">IF($A12="","",IF(INDEX(Tasks!$B:$B,$A12)="","",INDEX(Tasks!$B:$B,$A12)))</f>
        <v/>
      </c>
      <c r="E12" s="17" t="str">
        <f aca="false">IF($A12="","",IF(INDEX(Tasks!$E:$E,$A12)="","",INDEX(Tasks!$E:$E,$A12)))</f>
        <v/>
      </c>
      <c r="F12" s="18" t="str">
        <f aca="false">IF($A12="","",IF(INDEX(Tasks!$F:$F,$A12)="","",INDEX(Tasks!$F:$F,$A12)))</f>
        <v/>
      </c>
      <c r="G12" s="18" t="str">
        <f aca="false">IF($A12="","",IF(INDEX(Tasks!$H:$H,$A12)="","",INDEX(Tasks!$H:$H,$A12)))</f>
        <v/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customFormat="false" ht="15" hidden="false" customHeight="false" outlineLevel="0" collapsed="false">
      <c r="A13" s="16" t="str">
        <f aca="false">IFERROR(MATCH($C$2&amp;"|"&amp;(ROW()-4),Tasks!$J$4:$J$403,0)+3,"")</f>
        <v/>
      </c>
      <c r="B13" s="17" t="str">
        <f aca="false">IF($A13="","",IF(INDEX(Tasks!$A:$A,$A13)="","",INDEX(Tasks!$A:$A,$A13)))</f>
        <v/>
      </c>
      <c r="C13" s="17" t="str">
        <f aca="false">IF($A13="","",IF(ISERROR(FIND(".",INDEX(Tasks!$A:$A,$A13))),"","   ")&amp;INDEX(Tasks!$C:$C,$A13))</f>
        <v/>
      </c>
      <c r="D13" s="17" t="str">
        <f aca="false">IF($A13="","",IF(INDEX(Tasks!$B:$B,$A13)="","",INDEX(Tasks!$B:$B,$A13)))</f>
        <v/>
      </c>
      <c r="E13" s="17" t="str">
        <f aca="false">IF($A13="","",IF(INDEX(Tasks!$E:$E,$A13)="","",INDEX(Tasks!$E:$E,$A13)))</f>
        <v/>
      </c>
      <c r="F13" s="18" t="str">
        <f aca="false">IF($A13="","",IF(INDEX(Tasks!$F:$F,$A13)="","",INDEX(Tasks!$F:$F,$A13)))</f>
        <v/>
      </c>
      <c r="G13" s="18" t="str">
        <f aca="false">IF($A13="","",IF(INDEX(Tasks!$H:$H,$A13)="","",INDEX(Tasks!$H:$H,$A13)))</f>
        <v/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BB13" s="27" t="s">
        <v>316</v>
      </c>
    </row>
    <row r="14" customFormat="false" ht="15" hidden="false" customHeight="false" outlineLevel="0" collapsed="false">
      <c r="A14" s="16" t="str">
        <f aca="false">IFERROR(MATCH($C$2&amp;"|"&amp;(ROW()-4),Tasks!$J$4:$J$403,0)+3,"")</f>
        <v/>
      </c>
      <c r="B14" s="17" t="str">
        <f aca="false">IF($A14="","",IF(INDEX(Tasks!$A:$A,$A14)="","",INDEX(Tasks!$A:$A,$A14)))</f>
        <v/>
      </c>
      <c r="C14" s="17" t="str">
        <f aca="false">IF($A14="","",IF(ISERROR(FIND(".",INDEX(Tasks!$A:$A,$A14))),"","   ")&amp;INDEX(Tasks!$C:$C,$A14))</f>
        <v/>
      </c>
      <c r="D14" s="17" t="str">
        <f aca="false">IF($A14="","",IF(INDEX(Tasks!$B:$B,$A14)="","",INDEX(Tasks!$B:$B,$A14)))</f>
        <v/>
      </c>
      <c r="E14" s="17" t="str">
        <f aca="false">IF($A14="","",IF(INDEX(Tasks!$E:$E,$A14)="","",INDEX(Tasks!$E:$E,$A14)))</f>
        <v/>
      </c>
      <c r="F14" s="18" t="str">
        <f aca="false">IF($A14="","",IF(INDEX(Tasks!$F:$F,$A14)="","",INDEX(Tasks!$F:$F,$A14)))</f>
        <v/>
      </c>
      <c r="G14" s="18" t="str">
        <f aca="false">IF($A14="","",IF(INDEX(Tasks!$H:$H,$A14)="","",INDEX(Tasks!$H:$H,$A14)))</f>
        <v/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customFormat="false" ht="15" hidden="false" customHeight="false" outlineLevel="0" collapsed="false">
      <c r="A15" s="16" t="str">
        <f aca="false">IFERROR(MATCH($C$2&amp;"|"&amp;(ROW()-4),Tasks!$J$4:$J$403,0)+3,"")</f>
        <v/>
      </c>
      <c r="B15" s="17" t="str">
        <f aca="false">IF($A15="","",IF(INDEX(Tasks!$A:$A,$A15)="","",INDEX(Tasks!$A:$A,$A15)))</f>
        <v/>
      </c>
      <c r="C15" s="17" t="str">
        <f aca="false">IF($A15="","",IF(ISERROR(FIND(".",INDEX(Tasks!$A:$A,$A15))),"","   ")&amp;INDEX(Tasks!$C:$C,$A15))</f>
        <v/>
      </c>
      <c r="D15" s="17" t="str">
        <f aca="false">IF($A15="","",IF(INDEX(Tasks!$B:$B,$A15)="","",INDEX(Tasks!$B:$B,$A15)))</f>
        <v/>
      </c>
      <c r="E15" s="17" t="str">
        <f aca="false">IF($A15="","",IF(INDEX(Tasks!$E:$E,$A15)="","",INDEX(Tasks!$E:$E,$A15)))</f>
        <v/>
      </c>
      <c r="F15" s="18" t="str">
        <f aca="false">IF($A15="","",IF(INDEX(Tasks!$F:$F,$A15)="","",INDEX(Tasks!$F:$F,$A15)))</f>
        <v/>
      </c>
      <c r="G15" s="18" t="str">
        <f aca="false">IF($A15="","",IF(INDEX(Tasks!$H:$H,$A15)="","",INDEX(Tasks!$H:$H,$A15)))</f>
        <v/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customFormat="false" ht="15" hidden="false" customHeight="false" outlineLevel="0" collapsed="false">
      <c r="A16" s="16" t="str">
        <f aca="false">IFERROR(MATCH($C$2&amp;"|"&amp;(ROW()-4),Tasks!$J$4:$J$403,0)+3,"")</f>
        <v/>
      </c>
      <c r="B16" s="17" t="str">
        <f aca="false">IF($A16="","",IF(INDEX(Tasks!$A:$A,$A16)="","",INDEX(Tasks!$A:$A,$A16)))</f>
        <v/>
      </c>
      <c r="C16" s="17" t="str">
        <f aca="false">IF($A16="","",IF(ISERROR(FIND(".",INDEX(Tasks!$A:$A,$A16))),"","   ")&amp;INDEX(Tasks!$C:$C,$A16))</f>
        <v/>
      </c>
      <c r="D16" s="17" t="str">
        <f aca="false">IF($A16="","",IF(INDEX(Tasks!$B:$B,$A16)="","",INDEX(Tasks!$B:$B,$A16)))</f>
        <v/>
      </c>
      <c r="E16" s="17" t="str">
        <f aca="false">IF($A16="","",IF(INDEX(Tasks!$E:$E,$A16)="","",INDEX(Tasks!$E:$E,$A16)))</f>
        <v/>
      </c>
      <c r="F16" s="18" t="str">
        <f aca="false">IF($A16="","",IF(INDEX(Tasks!$F:$F,$A16)="","",INDEX(Tasks!$F:$F,$A16)))</f>
        <v/>
      </c>
      <c r="G16" s="18" t="str">
        <f aca="false">IF($A16="","",IF(INDEX(Tasks!$H:$H,$A16)="","",INDEX(Tasks!$H:$H,$A16)))</f>
        <v/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customFormat="false" ht="15" hidden="false" customHeight="false" outlineLevel="0" collapsed="false">
      <c r="A17" s="16" t="str">
        <f aca="false">IFERROR(MATCH($C$2&amp;"|"&amp;(ROW()-4),Tasks!$J$4:$J$403,0)+3,"")</f>
        <v/>
      </c>
      <c r="B17" s="17" t="str">
        <f aca="false">IF($A17="","",IF(INDEX(Tasks!$A:$A,$A17)="","",INDEX(Tasks!$A:$A,$A17)))</f>
        <v/>
      </c>
      <c r="C17" s="17" t="str">
        <f aca="false">IF($A17="","",IF(ISERROR(FIND(".",INDEX(Tasks!$A:$A,$A17))),"","   ")&amp;INDEX(Tasks!$C:$C,$A17))</f>
        <v/>
      </c>
      <c r="D17" s="17" t="str">
        <f aca="false">IF($A17="","",IF(INDEX(Tasks!$B:$B,$A17)="","",INDEX(Tasks!$B:$B,$A17)))</f>
        <v/>
      </c>
      <c r="E17" s="17" t="str">
        <f aca="false">IF($A17="","",IF(INDEX(Tasks!$E:$E,$A17)="","",INDEX(Tasks!$E:$E,$A17)))</f>
        <v/>
      </c>
      <c r="F17" s="18" t="str">
        <f aca="false">IF($A17="","",IF(INDEX(Tasks!$F:$F,$A17)="","",INDEX(Tasks!$F:$F,$A17)))</f>
        <v/>
      </c>
      <c r="G17" s="18" t="str">
        <f aca="false">IF($A17="","",IF(INDEX(Tasks!$H:$H,$A17)="","",INDEX(Tasks!$H:$H,$A17)))</f>
        <v/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customFormat="false" ht="15" hidden="false" customHeight="false" outlineLevel="0" collapsed="false">
      <c r="A18" s="16" t="str">
        <f aca="false">IFERROR(MATCH($C$2&amp;"|"&amp;(ROW()-4),Tasks!$J$4:$J$403,0)+3,"")</f>
        <v/>
      </c>
      <c r="B18" s="17" t="str">
        <f aca="false">IF($A18="","",IF(INDEX(Tasks!$A:$A,$A18)="","",INDEX(Tasks!$A:$A,$A18)))</f>
        <v/>
      </c>
      <c r="C18" s="17" t="str">
        <f aca="false">IF($A18="","",IF(ISERROR(FIND(".",INDEX(Tasks!$A:$A,$A18))),"","   ")&amp;INDEX(Tasks!$C:$C,$A18))</f>
        <v/>
      </c>
      <c r="D18" s="17" t="str">
        <f aca="false">IF($A18="","",IF(INDEX(Tasks!$B:$B,$A18)="","",INDEX(Tasks!$B:$B,$A18)))</f>
        <v/>
      </c>
      <c r="E18" s="17" t="str">
        <f aca="false">IF($A18="","",IF(INDEX(Tasks!$E:$E,$A18)="","",INDEX(Tasks!$E:$E,$A18)))</f>
        <v/>
      </c>
      <c r="F18" s="18" t="str">
        <f aca="false">IF($A18="","",IF(INDEX(Tasks!$F:$F,$A18)="","",INDEX(Tasks!$F:$F,$A18)))</f>
        <v/>
      </c>
      <c r="G18" s="18" t="str">
        <f aca="false">IF($A18="","",IF(INDEX(Tasks!$H:$H,$A18)="","",INDEX(Tasks!$H:$H,$A18)))</f>
        <v/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customFormat="false" ht="15" hidden="false" customHeight="false" outlineLevel="0" collapsed="false">
      <c r="A19" s="16" t="str">
        <f aca="false">IFERROR(MATCH($C$2&amp;"|"&amp;(ROW()-4),Tasks!$J$4:$J$403,0)+3,"")</f>
        <v/>
      </c>
      <c r="B19" s="17" t="str">
        <f aca="false">IF($A19="","",IF(INDEX(Tasks!$A:$A,$A19)="","",INDEX(Tasks!$A:$A,$A19)))</f>
        <v/>
      </c>
      <c r="C19" s="17" t="str">
        <f aca="false">IF($A19="","",IF(ISERROR(FIND(".",INDEX(Tasks!$A:$A,$A19))),"","   ")&amp;INDEX(Tasks!$C:$C,$A19))</f>
        <v/>
      </c>
      <c r="D19" s="17" t="str">
        <f aca="false">IF($A19="","",IF(INDEX(Tasks!$B:$B,$A19)="","",INDEX(Tasks!$B:$B,$A19)))</f>
        <v/>
      </c>
      <c r="E19" s="17" t="str">
        <f aca="false">IF($A19="","",IF(INDEX(Tasks!$E:$E,$A19)="","",INDEX(Tasks!$E:$E,$A19)))</f>
        <v/>
      </c>
      <c r="F19" s="18" t="str">
        <f aca="false">IF($A19="","",IF(INDEX(Tasks!$F:$F,$A19)="","",INDEX(Tasks!$F:$F,$A19)))</f>
        <v/>
      </c>
      <c r="G19" s="18" t="str">
        <f aca="false">IF($A19="","",IF(INDEX(Tasks!$H:$H,$A19)="","",INDEX(Tasks!$H:$H,$A19)))</f>
        <v/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</row>
    <row r="20" customFormat="false" ht="15" hidden="false" customHeight="false" outlineLevel="0" collapsed="false">
      <c r="A20" s="16" t="str">
        <f aca="false">IFERROR(MATCH($C$2&amp;"|"&amp;(ROW()-4),Tasks!$J$4:$J$403,0)+3,"")</f>
        <v/>
      </c>
      <c r="B20" s="17" t="str">
        <f aca="false">IF($A20="","",IF(INDEX(Tasks!$A:$A,$A20)="","",INDEX(Tasks!$A:$A,$A20)))</f>
        <v/>
      </c>
      <c r="C20" s="17" t="str">
        <f aca="false">IF($A20="","",IF(ISERROR(FIND(".",INDEX(Tasks!$A:$A,$A20))),"","   ")&amp;INDEX(Tasks!$C:$C,$A20))</f>
        <v/>
      </c>
      <c r="D20" s="17" t="str">
        <f aca="false">IF($A20="","",IF(INDEX(Tasks!$B:$B,$A20)="","",INDEX(Tasks!$B:$B,$A20)))</f>
        <v/>
      </c>
      <c r="E20" s="17" t="str">
        <f aca="false">IF($A20="","",IF(INDEX(Tasks!$E:$E,$A20)="","",INDEX(Tasks!$E:$E,$A20)))</f>
        <v/>
      </c>
      <c r="F20" s="18" t="str">
        <f aca="false">IF($A20="","",IF(INDEX(Tasks!$F:$F,$A20)="","",INDEX(Tasks!$F:$F,$A20)))</f>
        <v/>
      </c>
      <c r="G20" s="18" t="str">
        <f aca="false">IF($A20="","",IF(INDEX(Tasks!$H:$H,$A20)="","",INDEX(Tasks!$H:$H,$A20)))</f>
        <v/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</row>
    <row r="21" customFormat="false" ht="15" hidden="false" customHeight="false" outlineLevel="0" collapsed="false">
      <c r="A21" s="16" t="str">
        <f aca="false">IFERROR(MATCH($C$2&amp;"|"&amp;(ROW()-4),Tasks!$J$4:$J$403,0)+3,"")</f>
        <v/>
      </c>
      <c r="B21" s="17" t="str">
        <f aca="false">IF($A21="","",IF(INDEX(Tasks!$A:$A,$A21)="","",INDEX(Tasks!$A:$A,$A21)))</f>
        <v/>
      </c>
      <c r="C21" s="17" t="str">
        <f aca="false">IF($A21="","",IF(ISERROR(FIND(".",INDEX(Tasks!$A:$A,$A21))),"","   ")&amp;INDEX(Tasks!$C:$C,$A21))</f>
        <v/>
      </c>
      <c r="D21" s="17" t="str">
        <f aca="false">IF($A21="","",IF(INDEX(Tasks!$B:$B,$A21)="","",INDEX(Tasks!$B:$B,$A21)))</f>
        <v/>
      </c>
      <c r="E21" s="17" t="str">
        <f aca="false">IF($A21="","",IF(INDEX(Tasks!$E:$E,$A21)="","",INDEX(Tasks!$E:$E,$A21)))</f>
        <v/>
      </c>
      <c r="F21" s="18" t="str">
        <f aca="false">IF($A21="","",IF(INDEX(Tasks!$F:$F,$A21)="","",INDEX(Tasks!$F:$F,$A21)))</f>
        <v/>
      </c>
      <c r="G21" s="18" t="str">
        <f aca="false">IF($A21="","",IF(INDEX(Tasks!$H:$H,$A21)="","",INDEX(Tasks!$H:$H,$A21)))</f>
        <v/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</row>
    <row r="22" customFormat="false" ht="15" hidden="false" customHeight="false" outlineLevel="0" collapsed="false">
      <c r="A22" s="16" t="str">
        <f aca="false">IFERROR(MATCH($C$2&amp;"|"&amp;(ROW()-4),Tasks!$J$4:$J$403,0)+3,"")</f>
        <v/>
      </c>
      <c r="B22" s="17" t="str">
        <f aca="false">IF($A22="","",IF(INDEX(Tasks!$A:$A,$A22)="","",INDEX(Tasks!$A:$A,$A22)))</f>
        <v/>
      </c>
      <c r="C22" s="17" t="str">
        <f aca="false">IF($A22="","",IF(ISERROR(FIND(".",INDEX(Tasks!$A:$A,$A22))),"","   ")&amp;INDEX(Tasks!$C:$C,$A22))</f>
        <v/>
      </c>
      <c r="D22" s="17" t="str">
        <f aca="false">IF($A22="","",IF(INDEX(Tasks!$B:$B,$A22)="","",INDEX(Tasks!$B:$B,$A22)))</f>
        <v/>
      </c>
      <c r="E22" s="17" t="str">
        <f aca="false">IF($A22="","",IF(INDEX(Tasks!$E:$E,$A22)="","",INDEX(Tasks!$E:$E,$A22)))</f>
        <v/>
      </c>
      <c r="F22" s="18" t="str">
        <f aca="false">IF($A22="","",IF(INDEX(Tasks!$F:$F,$A22)="","",INDEX(Tasks!$F:$F,$A22)))</f>
        <v/>
      </c>
      <c r="G22" s="18" t="str">
        <f aca="false">IF($A22="","",IF(INDEX(Tasks!$H:$H,$A22)="","",INDEX(Tasks!$H:$H,$A22)))</f>
        <v/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</row>
    <row r="23" customFormat="false" ht="15" hidden="false" customHeight="false" outlineLevel="0" collapsed="false">
      <c r="A23" s="16" t="str">
        <f aca="false">IFERROR(MATCH($C$2&amp;"|"&amp;(ROW()-4),Tasks!$J$4:$J$403,0)+3,"")</f>
        <v/>
      </c>
      <c r="B23" s="17" t="str">
        <f aca="false">IF($A23="","",IF(INDEX(Tasks!$A:$A,$A23)="","",INDEX(Tasks!$A:$A,$A23)))</f>
        <v/>
      </c>
      <c r="C23" s="17" t="str">
        <f aca="false">IF($A23="","",IF(ISERROR(FIND(".",INDEX(Tasks!$A:$A,$A23))),"","   ")&amp;INDEX(Tasks!$C:$C,$A23))</f>
        <v/>
      </c>
      <c r="D23" s="17" t="str">
        <f aca="false">IF($A23="","",IF(INDEX(Tasks!$B:$B,$A23)="","",INDEX(Tasks!$B:$B,$A23)))</f>
        <v/>
      </c>
      <c r="E23" s="17" t="str">
        <f aca="false">IF($A23="","",IF(INDEX(Tasks!$E:$E,$A23)="","",INDEX(Tasks!$E:$E,$A23)))</f>
        <v/>
      </c>
      <c r="F23" s="18" t="str">
        <f aca="false">IF($A23="","",IF(INDEX(Tasks!$F:$F,$A23)="","",INDEX(Tasks!$F:$F,$A23)))</f>
        <v/>
      </c>
      <c r="G23" s="18" t="str">
        <f aca="false">IF($A23="","",IF(INDEX(Tasks!$H:$H,$A23)="","",INDEX(Tasks!$H:$H,$A23)))</f>
        <v/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customFormat="false" ht="15" hidden="false" customHeight="false" outlineLevel="0" collapsed="false">
      <c r="A24" s="16" t="str">
        <f aca="false">IFERROR(MATCH($C$2&amp;"|"&amp;(ROW()-4),Tasks!$J$4:$J$403,0)+3,"")</f>
        <v/>
      </c>
      <c r="B24" s="17" t="str">
        <f aca="false">IF($A24="","",IF(INDEX(Tasks!$A:$A,$A24)="","",INDEX(Tasks!$A:$A,$A24)))</f>
        <v/>
      </c>
      <c r="C24" s="17" t="str">
        <f aca="false">IF($A24="","",IF(ISERROR(FIND(".",INDEX(Tasks!$A:$A,$A24))),"","   ")&amp;INDEX(Tasks!$C:$C,$A24))</f>
        <v/>
      </c>
      <c r="D24" s="17" t="str">
        <f aca="false">IF($A24="","",IF(INDEX(Tasks!$B:$B,$A24)="","",INDEX(Tasks!$B:$B,$A24)))</f>
        <v/>
      </c>
      <c r="E24" s="17" t="str">
        <f aca="false">IF($A24="","",IF(INDEX(Tasks!$E:$E,$A24)="","",INDEX(Tasks!$E:$E,$A24)))</f>
        <v/>
      </c>
      <c r="F24" s="18" t="str">
        <f aca="false">IF($A24="","",IF(INDEX(Tasks!$F:$F,$A24)="","",INDEX(Tasks!$F:$F,$A24)))</f>
        <v/>
      </c>
      <c r="G24" s="18" t="str">
        <f aca="false">IF($A24="","",IF(INDEX(Tasks!$H:$H,$A24)="","",INDEX(Tasks!$H:$H,$A24)))</f>
        <v/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customFormat="false" ht="15" hidden="false" customHeight="false" outlineLevel="0" collapsed="false">
      <c r="A25" s="16" t="str">
        <f aca="false">IFERROR(MATCH($C$2&amp;"|"&amp;(ROW()-4),Tasks!$J$4:$J$403,0)+3,"")</f>
        <v/>
      </c>
      <c r="B25" s="17" t="str">
        <f aca="false">IF($A25="","",IF(INDEX(Tasks!$A:$A,$A25)="","",INDEX(Tasks!$A:$A,$A25)))</f>
        <v/>
      </c>
      <c r="C25" s="17" t="str">
        <f aca="false">IF($A25="","",IF(ISERROR(FIND(".",INDEX(Tasks!$A:$A,$A25))),"","   ")&amp;INDEX(Tasks!$C:$C,$A25))</f>
        <v/>
      </c>
      <c r="D25" s="17" t="str">
        <f aca="false">IF($A25="","",IF(INDEX(Tasks!$B:$B,$A25)="","",INDEX(Tasks!$B:$B,$A25)))</f>
        <v/>
      </c>
      <c r="E25" s="17" t="str">
        <f aca="false">IF($A25="","",IF(INDEX(Tasks!$E:$E,$A25)="","",INDEX(Tasks!$E:$E,$A25)))</f>
        <v/>
      </c>
      <c r="F25" s="18" t="str">
        <f aca="false">IF($A25="","",IF(INDEX(Tasks!$F:$F,$A25)="","",INDEX(Tasks!$F:$F,$A25)))</f>
        <v/>
      </c>
      <c r="G25" s="18" t="str">
        <f aca="false">IF($A25="","",IF(INDEX(Tasks!$H:$H,$A25)="","",INDEX(Tasks!$H:$H,$A25)))</f>
        <v/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</row>
    <row r="26" customFormat="false" ht="15" hidden="false" customHeight="false" outlineLevel="0" collapsed="false">
      <c r="A26" s="16" t="str">
        <f aca="false">IFERROR(MATCH($C$2&amp;"|"&amp;(ROW()-4),Tasks!$J$4:$J$403,0)+3,"")</f>
        <v/>
      </c>
      <c r="B26" s="17" t="str">
        <f aca="false">IF($A26="","",IF(INDEX(Tasks!$A:$A,$A26)="","",INDEX(Tasks!$A:$A,$A26)))</f>
        <v/>
      </c>
      <c r="C26" s="17" t="str">
        <f aca="false">IF($A26="","",IF(ISERROR(FIND(".",INDEX(Tasks!$A:$A,$A26))),"","   ")&amp;INDEX(Tasks!$C:$C,$A26))</f>
        <v/>
      </c>
      <c r="D26" s="17" t="str">
        <f aca="false">IF($A26="","",IF(INDEX(Tasks!$B:$B,$A26)="","",INDEX(Tasks!$B:$B,$A26)))</f>
        <v/>
      </c>
      <c r="E26" s="17" t="str">
        <f aca="false">IF($A26="","",IF(INDEX(Tasks!$E:$E,$A26)="","",INDEX(Tasks!$E:$E,$A26)))</f>
        <v/>
      </c>
      <c r="F26" s="18" t="str">
        <f aca="false">IF($A26="","",IF(INDEX(Tasks!$F:$F,$A26)="","",INDEX(Tasks!$F:$F,$A26)))</f>
        <v/>
      </c>
      <c r="G26" s="18" t="str">
        <f aca="false">IF($A26="","",IF(INDEX(Tasks!$H:$H,$A26)="","",INDEX(Tasks!$H:$H,$A26)))</f>
        <v/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</row>
    <row r="27" customFormat="false" ht="15" hidden="false" customHeight="false" outlineLevel="0" collapsed="false">
      <c r="A27" s="16" t="str">
        <f aca="false">IFERROR(MATCH($C$2&amp;"|"&amp;(ROW()-4),Tasks!$J$4:$J$403,0)+3,"")</f>
        <v/>
      </c>
      <c r="B27" s="17" t="str">
        <f aca="false">IF($A27="","",IF(INDEX(Tasks!$A:$A,$A27)="","",INDEX(Tasks!$A:$A,$A27)))</f>
        <v/>
      </c>
      <c r="C27" s="17" t="str">
        <f aca="false">IF($A27="","",IF(ISERROR(FIND(".",INDEX(Tasks!$A:$A,$A27))),"","   ")&amp;INDEX(Tasks!$C:$C,$A27))</f>
        <v/>
      </c>
      <c r="D27" s="17" t="str">
        <f aca="false">IF($A27="","",IF(INDEX(Tasks!$B:$B,$A27)="","",INDEX(Tasks!$B:$B,$A27)))</f>
        <v/>
      </c>
      <c r="E27" s="17" t="str">
        <f aca="false">IF($A27="","",IF(INDEX(Tasks!$E:$E,$A27)="","",INDEX(Tasks!$E:$E,$A27)))</f>
        <v/>
      </c>
      <c r="F27" s="18" t="str">
        <f aca="false">IF($A27="","",IF(INDEX(Tasks!$F:$F,$A27)="","",INDEX(Tasks!$F:$F,$A27)))</f>
        <v/>
      </c>
      <c r="G27" s="18" t="str">
        <f aca="false">IF($A27="","",IF(INDEX(Tasks!$H:$H,$A27)="","",INDEX(Tasks!$H:$H,$A27)))</f>
        <v/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</row>
    <row r="28" customFormat="false" ht="15" hidden="false" customHeight="false" outlineLevel="0" collapsed="false">
      <c r="A28" s="16" t="str">
        <f aca="false">IFERROR(MATCH($C$2&amp;"|"&amp;(ROW()-4),Tasks!$J$4:$J$403,0)+3,"")</f>
        <v/>
      </c>
      <c r="B28" s="17" t="str">
        <f aca="false">IF($A28="","",IF(INDEX(Tasks!$A:$A,$A28)="","",INDEX(Tasks!$A:$A,$A28)))</f>
        <v/>
      </c>
      <c r="C28" s="17" t="str">
        <f aca="false">IF($A28="","",IF(ISERROR(FIND(".",INDEX(Tasks!$A:$A,$A28))),"","   ")&amp;INDEX(Tasks!$C:$C,$A28))</f>
        <v/>
      </c>
      <c r="D28" s="17" t="str">
        <f aca="false">IF($A28="","",IF(INDEX(Tasks!$B:$B,$A28)="","",INDEX(Tasks!$B:$B,$A28)))</f>
        <v/>
      </c>
      <c r="E28" s="17" t="str">
        <f aca="false">IF($A28="","",IF(INDEX(Tasks!$E:$E,$A28)="","",INDEX(Tasks!$E:$E,$A28)))</f>
        <v/>
      </c>
      <c r="F28" s="18" t="str">
        <f aca="false">IF($A28="","",IF(INDEX(Tasks!$F:$F,$A28)="","",INDEX(Tasks!$F:$F,$A28)))</f>
        <v/>
      </c>
      <c r="G28" s="18" t="str">
        <f aca="false">IF($A28="","",IF(INDEX(Tasks!$H:$H,$A28)="","",INDEX(Tasks!$H:$H,$A28)))</f>
        <v/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</row>
    <row r="29" customFormat="false" ht="15" hidden="false" customHeight="false" outlineLevel="0" collapsed="false">
      <c r="A29" s="16" t="str">
        <f aca="false">IFERROR(MATCH($C$2&amp;"|"&amp;(ROW()-4),Tasks!$J$4:$J$403,0)+3,"")</f>
        <v/>
      </c>
      <c r="B29" s="17" t="str">
        <f aca="false">IF($A29="","",IF(INDEX(Tasks!$A:$A,$A29)="","",INDEX(Tasks!$A:$A,$A29)))</f>
        <v/>
      </c>
      <c r="C29" s="17" t="str">
        <f aca="false">IF($A29="","",IF(ISERROR(FIND(".",INDEX(Tasks!$A:$A,$A29))),"","   ")&amp;INDEX(Tasks!$C:$C,$A29))</f>
        <v/>
      </c>
      <c r="D29" s="17" t="str">
        <f aca="false">IF($A29="","",IF(INDEX(Tasks!$B:$B,$A29)="","",INDEX(Tasks!$B:$B,$A29)))</f>
        <v/>
      </c>
      <c r="E29" s="17" t="str">
        <f aca="false">IF($A29="","",IF(INDEX(Tasks!$E:$E,$A29)="","",INDEX(Tasks!$E:$E,$A29)))</f>
        <v/>
      </c>
      <c r="F29" s="18" t="str">
        <f aca="false">IF($A29="","",IF(INDEX(Tasks!$F:$F,$A29)="","",INDEX(Tasks!$F:$F,$A29)))</f>
        <v/>
      </c>
      <c r="G29" s="18" t="str">
        <f aca="false">IF($A29="","",IF(INDEX(Tasks!$H:$H,$A29)="","",INDEX(Tasks!$H:$H,$A29)))</f>
        <v/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</row>
    <row r="30" customFormat="false" ht="15" hidden="false" customHeight="false" outlineLevel="0" collapsed="false">
      <c r="A30" s="16" t="str">
        <f aca="false">IFERROR(MATCH($C$2&amp;"|"&amp;(ROW()-4),Tasks!$J$4:$J$403,0)+3,"")</f>
        <v/>
      </c>
      <c r="B30" s="17" t="str">
        <f aca="false">IF($A30="","",IF(INDEX(Tasks!$A:$A,$A30)="","",INDEX(Tasks!$A:$A,$A30)))</f>
        <v/>
      </c>
      <c r="C30" s="17" t="str">
        <f aca="false">IF($A30="","",IF(ISERROR(FIND(".",INDEX(Tasks!$A:$A,$A30))),"","   ")&amp;INDEX(Tasks!$C:$C,$A30))</f>
        <v/>
      </c>
      <c r="D30" s="17" t="str">
        <f aca="false">IF($A30="","",IF(INDEX(Tasks!$B:$B,$A30)="","",INDEX(Tasks!$B:$B,$A30)))</f>
        <v/>
      </c>
      <c r="E30" s="17" t="str">
        <f aca="false">IF($A30="","",IF(INDEX(Tasks!$E:$E,$A30)="","",INDEX(Tasks!$E:$E,$A30)))</f>
        <v/>
      </c>
      <c r="F30" s="18" t="str">
        <f aca="false">IF($A30="","",IF(INDEX(Tasks!$F:$F,$A30)="","",INDEX(Tasks!$F:$F,$A30)))</f>
        <v/>
      </c>
      <c r="G30" s="18" t="str">
        <f aca="false">IF($A30="","",IF(INDEX(Tasks!$H:$H,$A30)="","",INDEX(Tasks!$H:$H,$A30)))</f>
        <v/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customFormat="false" ht="15" hidden="false" customHeight="false" outlineLevel="0" collapsed="false">
      <c r="A31" s="16" t="str">
        <f aca="false">IFERROR(MATCH($C$2&amp;"|"&amp;(ROW()-4),Tasks!$J$4:$J$403,0)+3,"")</f>
        <v/>
      </c>
      <c r="B31" s="17" t="str">
        <f aca="false">IF($A31="","",IF(INDEX(Tasks!$A:$A,$A31)="","",INDEX(Tasks!$A:$A,$A31)))</f>
        <v/>
      </c>
      <c r="C31" s="17" t="str">
        <f aca="false">IF($A31="","",IF(ISERROR(FIND(".",INDEX(Tasks!$A:$A,$A31))),"","   ")&amp;INDEX(Tasks!$C:$C,$A31))</f>
        <v/>
      </c>
      <c r="D31" s="17" t="str">
        <f aca="false">IF($A31="","",IF(INDEX(Tasks!$B:$B,$A31)="","",INDEX(Tasks!$B:$B,$A31)))</f>
        <v/>
      </c>
      <c r="E31" s="17" t="str">
        <f aca="false">IF($A31="","",IF(INDEX(Tasks!$E:$E,$A31)="","",INDEX(Tasks!$E:$E,$A31)))</f>
        <v/>
      </c>
      <c r="F31" s="18" t="str">
        <f aca="false">IF($A31="","",IF(INDEX(Tasks!$F:$F,$A31)="","",INDEX(Tasks!$F:$F,$A31)))</f>
        <v/>
      </c>
      <c r="G31" s="18" t="str">
        <f aca="false">IF($A31="","",IF(INDEX(Tasks!$H:$H,$A31)="","",INDEX(Tasks!$H:$H,$A31)))</f>
        <v/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</row>
    <row r="32" customFormat="false" ht="15" hidden="false" customHeight="false" outlineLevel="0" collapsed="false">
      <c r="A32" s="16" t="str">
        <f aca="false">IFERROR(MATCH($C$2&amp;"|"&amp;(ROW()-4),Tasks!$J$4:$J$403,0)+3,"")</f>
        <v/>
      </c>
      <c r="B32" s="17" t="str">
        <f aca="false">IF($A32="","",IF(INDEX(Tasks!$A:$A,$A32)="","",INDEX(Tasks!$A:$A,$A32)))</f>
        <v/>
      </c>
      <c r="C32" s="17" t="str">
        <f aca="false">IF($A32="","",IF(ISERROR(FIND(".",INDEX(Tasks!$A:$A,$A32))),"","   ")&amp;INDEX(Tasks!$C:$C,$A32))</f>
        <v/>
      </c>
      <c r="D32" s="17" t="str">
        <f aca="false">IF($A32="","",IF(INDEX(Tasks!$B:$B,$A32)="","",INDEX(Tasks!$B:$B,$A32)))</f>
        <v/>
      </c>
      <c r="E32" s="17" t="str">
        <f aca="false">IF($A32="","",IF(INDEX(Tasks!$E:$E,$A32)="","",INDEX(Tasks!$E:$E,$A32)))</f>
        <v/>
      </c>
      <c r="F32" s="18" t="str">
        <f aca="false">IF($A32="","",IF(INDEX(Tasks!$F:$F,$A32)="","",INDEX(Tasks!$F:$F,$A32)))</f>
        <v/>
      </c>
      <c r="G32" s="18" t="str">
        <f aca="false">IF($A32="","",IF(INDEX(Tasks!$H:$H,$A32)="","",INDEX(Tasks!$H:$H,$A32)))</f>
        <v/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</row>
    <row r="33" customFormat="false" ht="15" hidden="false" customHeight="false" outlineLevel="0" collapsed="false">
      <c r="A33" s="16" t="str">
        <f aca="false">IFERROR(MATCH($C$2&amp;"|"&amp;(ROW()-4),Tasks!$J$4:$J$403,0)+3,"")</f>
        <v/>
      </c>
      <c r="B33" s="17" t="str">
        <f aca="false">IF($A33="","",IF(INDEX(Tasks!$A:$A,$A33)="","",INDEX(Tasks!$A:$A,$A33)))</f>
        <v/>
      </c>
      <c r="C33" s="17" t="str">
        <f aca="false">IF($A33="","",IF(ISERROR(FIND(".",INDEX(Tasks!$A:$A,$A33))),"","   ")&amp;INDEX(Tasks!$C:$C,$A33))</f>
        <v/>
      </c>
      <c r="D33" s="17" t="str">
        <f aca="false">IF($A33="","",IF(INDEX(Tasks!$B:$B,$A33)="","",INDEX(Tasks!$B:$B,$A33)))</f>
        <v/>
      </c>
      <c r="E33" s="17" t="str">
        <f aca="false">IF($A33="","",IF(INDEX(Tasks!$E:$E,$A33)="","",INDEX(Tasks!$E:$E,$A33)))</f>
        <v/>
      </c>
      <c r="F33" s="18" t="str">
        <f aca="false">IF($A33="","",IF(INDEX(Tasks!$F:$F,$A33)="","",INDEX(Tasks!$F:$F,$A33)))</f>
        <v/>
      </c>
      <c r="G33" s="18" t="str">
        <f aca="false">IF($A33="","",IF(INDEX(Tasks!$H:$H,$A33)="","",INDEX(Tasks!$H:$H,$A33)))</f>
        <v/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</row>
    <row r="34" customFormat="false" ht="15" hidden="false" customHeight="false" outlineLevel="0" collapsed="false">
      <c r="A34" s="16" t="str">
        <f aca="false">IFERROR(MATCH($C$2&amp;"|"&amp;(ROW()-4),Tasks!$J$4:$J$403,0)+3,"")</f>
        <v/>
      </c>
      <c r="B34" s="17" t="str">
        <f aca="false">IF($A34="","",IF(INDEX(Tasks!$A:$A,$A34)="","",INDEX(Tasks!$A:$A,$A34)))</f>
        <v/>
      </c>
      <c r="C34" s="17" t="str">
        <f aca="false">IF($A34="","",IF(ISERROR(FIND(".",INDEX(Tasks!$A:$A,$A34))),"","   ")&amp;INDEX(Tasks!$C:$C,$A34))</f>
        <v/>
      </c>
      <c r="D34" s="17" t="str">
        <f aca="false">IF($A34="","",IF(INDEX(Tasks!$B:$B,$A34)="","",INDEX(Tasks!$B:$B,$A34)))</f>
        <v/>
      </c>
      <c r="E34" s="17" t="str">
        <f aca="false">IF($A34="","",IF(INDEX(Tasks!$E:$E,$A34)="","",INDEX(Tasks!$E:$E,$A34)))</f>
        <v/>
      </c>
      <c r="F34" s="18" t="str">
        <f aca="false">IF($A34="","",IF(INDEX(Tasks!$F:$F,$A34)="","",INDEX(Tasks!$F:$F,$A34)))</f>
        <v/>
      </c>
      <c r="G34" s="18" t="str">
        <f aca="false">IF($A34="","",IF(INDEX(Tasks!$H:$H,$A34)="","",INDEX(Tasks!$H:$H,$A34)))</f>
        <v/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</row>
    <row r="35" customFormat="false" ht="15" hidden="false" customHeight="false" outlineLevel="0" collapsed="false">
      <c r="A35" s="16" t="str">
        <f aca="false">IFERROR(MATCH($C$2&amp;"|"&amp;(ROW()-4),Tasks!$J$4:$J$403,0)+3,"")</f>
        <v/>
      </c>
      <c r="B35" s="17" t="str">
        <f aca="false">IF($A35="","",IF(INDEX(Tasks!$A:$A,$A35)="","",INDEX(Tasks!$A:$A,$A35)))</f>
        <v/>
      </c>
      <c r="C35" s="17" t="str">
        <f aca="false">IF($A35="","",IF(ISERROR(FIND(".",INDEX(Tasks!$A:$A,$A35))),"","   ")&amp;INDEX(Tasks!$C:$C,$A35))</f>
        <v/>
      </c>
      <c r="D35" s="17" t="str">
        <f aca="false">IF($A35="","",IF(INDEX(Tasks!$B:$B,$A35)="","",INDEX(Tasks!$B:$B,$A35)))</f>
        <v/>
      </c>
      <c r="E35" s="17" t="str">
        <f aca="false">IF($A35="","",IF(INDEX(Tasks!$E:$E,$A35)="","",INDEX(Tasks!$E:$E,$A35)))</f>
        <v/>
      </c>
      <c r="F35" s="18" t="str">
        <f aca="false">IF($A35="","",IF(INDEX(Tasks!$F:$F,$A35)="","",INDEX(Tasks!$F:$F,$A35)))</f>
        <v/>
      </c>
      <c r="G35" s="18" t="str">
        <f aca="false">IF($A35="","",IF(INDEX(Tasks!$H:$H,$A35)="","",INDEX(Tasks!$H:$H,$A35)))</f>
        <v/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</row>
    <row r="36" customFormat="false" ht="15" hidden="false" customHeight="false" outlineLevel="0" collapsed="false">
      <c r="A36" s="16" t="str">
        <f aca="false">IFERROR(MATCH($C$2&amp;"|"&amp;(ROW()-4),Tasks!$J$4:$J$403,0)+3,"")</f>
        <v/>
      </c>
      <c r="B36" s="17" t="str">
        <f aca="false">IF($A36="","",IF(INDEX(Tasks!$A:$A,$A36)="","",INDEX(Tasks!$A:$A,$A36)))</f>
        <v/>
      </c>
      <c r="C36" s="17" t="str">
        <f aca="false">IF($A36="","",IF(ISERROR(FIND(".",INDEX(Tasks!$A:$A,$A36))),"","   ")&amp;INDEX(Tasks!$C:$C,$A36))</f>
        <v/>
      </c>
      <c r="D36" s="17" t="str">
        <f aca="false">IF($A36="","",IF(INDEX(Tasks!$B:$B,$A36)="","",INDEX(Tasks!$B:$B,$A36)))</f>
        <v/>
      </c>
      <c r="E36" s="17" t="str">
        <f aca="false">IF($A36="","",IF(INDEX(Tasks!$E:$E,$A36)="","",INDEX(Tasks!$E:$E,$A36)))</f>
        <v/>
      </c>
      <c r="F36" s="18" t="str">
        <f aca="false">IF($A36="","",IF(INDEX(Tasks!$F:$F,$A36)="","",INDEX(Tasks!$F:$F,$A36)))</f>
        <v/>
      </c>
      <c r="G36" s="18" t="str">
        <f aca="false">IF($A36="","",IF(INDEX(Tasks!$H:$H,$A36)="","",INDEX(Tasks!$H:$H,$A36)))</f>
        <v/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</row>
    <row r="37" customFormat="false" ht="15" hidden="false" customHeight="false" outlineLevel="0" collapsed="false">
      <c r="A37" s="16" t="str">
        <f aca="false">IFERROR(MATCH($C$2&amp;"|"&amp;(ROW()-4),Tasks!$J$4:$J$403,0)+3,"")</f>
        <v/>
      </c>
      <c r="B37" s="17" t="str">
        <f aca="false">IF($A37="","",IF(INDEX(Tasks!$A:$A,$A37)="","",INDEX(Tasks!$A:$A,$A37)))</f>
        <v/>
      </c>
      <c r="C37" s="17" t="str">
        <f aca="false">IF($A37="","",IF(ISERROR(FIND(".",INDEX(Tasks!$A:$A,$A37))),"","   ")&amp;INDEX(Tasks!$C:$C,$A37))</f>
        <v/>
      </c>
      <c r="D37" s="17" t="str">
        <f aca="false">IF($A37="","",IF(INDEX(Tasks!$B:$B,$A37)="","",INDEX(Tasks!$B:$B,$A37)))</f>
        <v/>
      </c>
      <c r="E37" s="17" t="str">
        <f aca="false">IF($A37="","",IF(INDEX(Tasks!$E:$E,$A37)="","",INDEX(Tasks!$E:$E,$A37)))</f>
        <v/>
      </c>
      <c r="F37" s="18" t="str">
        <f aca="false">IF($A37="","",IF(INDEX(Tasks!$F:$F,$A37)="","",INDEX(Tasks!$F:$F,$A37)))</f>
        <v/>
      </c>
      <c r="G37" s="18" t="str">
        <f aca="false">IF($A37="","",IF(INDEX(Tasks!$H:$H,$A37)="","",INDEX(Tasks!$H:$H,$A37)))</f>
        <v/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customFormat="false" ht="15" hidden="false" customHeight="false" outlineLevel="0" collapsed="false">
      <c r="A38" s="16" t="str">
        <f aca="false">IFERROR(MATCH($C$2&amp;"|"&amp;(ROW()-4),Tasks!$J$4:$J$403,0)+3,"")</f>
        <v/>
      </c>
      <c r="B38" s="17" t="str">
        <f aca="false">IF($A38="","",IF(INDEX(Tasks!$A:$A,$A38)="","",INDEX(Tasks!$A:$A,$A38)))</f>
        <v/>
      </c>
      <c r="C38" s="17" t="str">
        <f aca="false">IF($A38="","",IF(ISERROR(FIND(".",INDEX(Tasks!$A:$A,$A38))),"","   ")&amp;INDEX(Tasks!$C:$C,$A38))</f>
        <v/>
      </c>
      <c r="D38" s="17" t="str">
        <f aca="false">IF($A38="","",IF(INDEX(Tasks!$B:$B,$A38)="","",INDEX(Tasks!$B:$B,$A38)))</f>
        <v/>
      </c>
      <c r="E38" s="17" t="str">
        <f aca="false">IF($A38="","",IF(INDEX(Tasks!$E:$E,$A38)="","",INDEX(Tasks!$E:$E,$A38)))</f>
        <v/>
      </c>
      <c r="F38" s="18" t="str">
        <f aca="false">IF($A38="","",IF(INDEX(Tasks!$F:$F,$A38)="","",INDEX(Tasks!$F:$F,$A38)))</f>
        <v/>
      </c>
      <c r="G38" s="18" t="str">
        <f aca="false">IF($A38="","",IF(INDEX(Tasks!$H:$H,$A38)="","",INDEX(Tasks!$H:$H,$A38)))</f>
        <v/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</row>
    <row r="39" customFormat="false" ht="15" hidden="false" customHeight="false" outlineLevel="0" collapsed="false">
      <c r="A39" s="16" t="str">
        <f aca="false">IFERROR(MATCH($C$2&amp;"|"&amp;(ROW()-4),Tasks!$J$4:$J$403,0)+3,"")</f>
        <v/>
      </c>
      <c r="B39" s="17" t="str">
        <f aca="false">IF($A39="","",IF(INDEX(Tasks!$A:$A,$A39)="","",INDEX(Tasks!$A:$A,$A39)))</f>
        <v/>
      </c>
      <c r="C39" s="17" t="str">
        <f aca="false">IF($A39="","",IF(ISERROR(FIND(".",INDEX(Tasks!$A:$A,$A39))),"","   ")&amp;INDEX(Tasks!$C:$C,$A39))</f>
        <v/>
      </c>
      <c r="D39" s="17" t="str">
        <f aca="false">IF($A39="","",IF(INDEX(Tasks!$B:$B,$A39)="","",INDEX(Tasks!$B:$B,$A39)))</f>
        <v/>
      </c>
      <c r="E39" s="17" t="str">
        <f aca="false">IF($A39="","",IF(INDEX(Tasks!$E:$E,$A39)="","",INDEX(Tasks!$E:$E,$A39)))</f>
        <v/>
      </c>
      <c r="F39" s="18" t="str">
        <f aca="false">IF($A39="","",IF(INDEX(Tasks!$F:$F,$A39)="","",INDEX(Tasks!$F:$F,$A39)))</f>
        <v/>
      </c>
      <c r="G39" s="18" t="str">
        <f aca="false">IF($A39="","",IF(INDEX(Tasks!$H:$H,$A39)="","",INDEX(Tasks!$H:$H,$A39)))</f>
        <v/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customFormat="false" ht="15" hidden="false" customHeight="false" outlineLevel="0" collapsed="false">
      <c r="A40" s="16" t="str">
        <f aca="false">IFERROR(MATCH($C$2&amp;"|"&amp;(ROW()-4),Tasks!$J$4:$J$403,0)+3,"")</f>
        <v/>
      </c>
      <c r="B40" s="17" t="str">
        <f aca="false">IF($A40="","",IF(INDEX(Tasks!$A:$A,$A40)="","",INDEX(Tasks!$A:$A,$A40)))</f>
        <v/>
      </c>
      <c r="C40" s="17" t="str">
        <f aca="false">IF($A40="","",IF(ISERROR(FIND(".",INDEX(Tasks!$A:$A,$A40))),"","   ")&amp;INDEX(Tasks!$C:$C,$A40))</f>
        <v/>
      </c>
      <c r="D40" s="17" t="str">
        <f aca="false">IF($A40="","",IF(INDEX(Tasks!$B:$B,$A40)="","",INDEX(Tasks!$B:$B,$A40)))</f>
        <v/>
      </c>
      <c r="E40" s="17" t="str">
        <f aca="false">IF($A40="","",IF(INDEX(Tasks!$E:$E,$A40)="","",INDEX(Tasks!$E:$E,$A40)))</f>
        <v/>
      </c>
      <c r="F40" s="18" t="str">
        <f aca="false">IF($A40="","",IF(INDEX(Tasks!$F:$F,$A40)="","",INDEX(Tasks!$F:$F,$A40)))</f>
        <v/>
      </c>
      <c r="G40" s="18" t="str">
        <f aca="false">IF($A40="","",IF(INDEX(Tasks!$H:$H,$A40)="","",INDEX(Tasks!$H:$H,$A40)))</f>
        <v/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customFormat="false" ht="15" hidden="false" customHeight="false" outlineLevel="0" collapsed="false">
      <c r="A41" s="16" t="str">
        <f aca="false">IFERROR(MATCH($C$2&amp;"|"&amp;(ROW()-4),Tasks!$J$4:$J$403,0)+3,"")</f>
        <v/>
      </c>
      <c r="B41" s="17" t="str">
        <f aca="false">IF($A41="","",IF(INDEX(Tasks!$A:$A,$A41)="","",INDEX(Tasks!$A:$A,$A41)))</f>
        <v/>
      </c>
      <c r="C41" s="17" t="str">
        <f aca="false">IF($A41="","",IF(ISERROR(FIND(".",INDEX(Tasks!$A:$A,$A41))),"","   ")&amp;INDEX(Tasks!$C:$C,$A41))</f>
        <v/>
      </c>
      <c r="D41" s="17" t="str">
        <f aca="false">IF($A41="","",IF(INDEX(Tasks!$B:$B,$A41)="","",INDEX(Tasks!$B:$B,$A41)))</f>
        <v/>
      </c>
      <c r="E41" s="17" t="str">
        <f aca="false">IF($A41="","",IF(INDEX(Tasks!$E:$E,$A41)="","",INDEX(Tasks!$E:$E,$A41)))</f>
        <v/>
      </c>
      <c r="F41" s="18" t="str">
        <f aca="false">IF($A41="","",IF(INDEX(Tasks!$F:$F,$A41)="","",INDEX(Tasks!$F:$F,$A41)))</f>
        <v/>
      </c>
      <c r="G41" s="18" t="str">
        <f aca="false">IF($A41="","",IF(INDEX(Tasks!$H:$H,$A41)="","",INDEX(Tasks!$H:$H,$A41)))</f>
        <v/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</row>
    <row r="42" customFormat="false" ht="15" hidden="false" customHeight="false" outlineLevel="0" collapsed="false">
      <c r="A42" s="16" t="str">
        <f aca="false">IFERROR(MATCH($C$2&amp;"|"&amp;(ROW()-4),Tasks!$J$4:$J$403,0)+3,"")</f>
        <v/>
      </c>
      <c r="B42" s="17" t="str">
        <f aca="false">IF($A42="","",IF(INDEX(Tasks!$A:$A,$A42)="","",INDEX(Tasks!$A:$A,$A42)))</f>
        <v/>
      </c>
      <c r="C42" s="17" t="str">
        <f aca="false">IF($A42="","",IF(ISERROR(FIND(".",INDEX(Tasks!$A:$A,$A42))),"","   ")&amp;INDEX(Tasks!$C:$C,$A42))</f>
        <v/>
      </c>
      <c r="D42" s="17" t="str">
        <f aca="false">IF($A42="","",IF(INDEX(Tasks!$B:$B,$A42)="","",INDEX(Tasks!$B:$B,$A42)))</f>
        <v/>
      </c>
      <c r="E42" s="17" t="str">
        <f aca="false">IF($A42="","",IF(INDEX(Tasks!$E:$E,$A42)="","",INDEX(Tasks!$E:$E,$A42)))</f>
        <v/>
      </c>
      <c r="F42" s="18" t="str">
        <f aca="false">IF($A42="","",IF(INDEX(Tasks!$F:$F,$A42)="","",INDEX(Tasks!$F:$F,$A42)))</f>
        <v/>
      </c>
      <c r="G42" s="18" t="str">
        <f aca="false">IF($A42="","",IF(INDEX(Tasks!$H:$H,$A42)="","",INDEX(Tasks!$H:$H,$A42)))</f>
        <v/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</row>
    <row r="43" customFormat="false" ht="15" hidden="false" customHeight="false" outlineLevel="0" collapsed="false">
      <c r="A43" s="16" t="str">
        <f aca="false">IFERROR(MATCH($C$2&amp;"|"&amp;(ROW()-4),Tasks!$J$4:$J$403,0)+3,"")</f>
        <v/>
      </c>
      <c r="B43" s="17" t="str">
        <f aca="false">IF($A43="","",IF(INDEX(Tasks!$A:$A,$A43)="","",INDEX(Tasks!$A:$A,$A43)))</f>
        <v/>
      </c>
      <c r="C43" s="17" t="str">
        <f aca="false">IF($A43="","",IF(ISERROR(FIND(".",INDEX(Tasks!$A:$A,$A43))),"","   ")&amp;INDEX(Tasks!$C:$C,$A43))</f>
        <v/>
      </c>
      <c r="D43" s="17" t="str">
        <f aca="false">IF($A43="","",IF(INDEX(Tasks!$B:$B,$A43)="","",INDEX(Tasks!$B:$B,$A43)))</f>
        <v/>
      </c>
      <c r="E43" s="17" t="str">
        <f aca="false">IF($A43="","",IF(INDEX(Tasks!$E:$E,$A43)="","",INDEX(Tasks!$E:$E,$A43)))</f>
        <v/>
      </c>
      <c r="F43" s="18" t="str">
        <f aca="false">IF($A43="","",IF(INDEX(Tasks!$F:$F,$A43)="","",INDEX(Tasks!$F:$F,$A43)))</f>
        <v/>
      </c>
      <c r="G43" s="18" t="str">
        <f aca="false">IF($A43="","",IF(INDEX(Tasks!$H:$H,$A43)="","",INDEX(Tasks!$H:$H,$A43)))</f>
        <v/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</row>
    <row r="44" customFormat="false" ht="15" hidden="false" customHeight="false" outlineLevel="0" collapsed="false">
      <c r="A44" s="16" t="str">
        <f aca="false">IFERROR(MATCH($C$2&amp;"|"&amp;(ROW()-4),Tasks!$J$4:$J$403,0)+3,"")</f>
        <v/>
      </c>
      <c r="B44" s="17" t="str">
        <f aca="false">IF($A44="","",IF(INDEX(Tasks!$A:$A,$A44)="","",INDEX(Tasks!$A:$A,$A44)))</f>
        <v/>
      </c>
      <c r="C44" s="17" t="str">
        <f aca="false">IF($A44="","",IF(ISERROR(FIND(".",INDEX(Tasks!$A:$A,$A44))),"","   ")&amp;INDEX(Tasks!$C:$C,$A44))</f>
        <v/>
      </c>
      <c r="D44" s="17" t="str">
        <f aca="false">IF($A44="","",IF(INDEX(Tasks!$B:$B,$A44)="","",INDEX(Tasks!$B:$B,$A44)))</f>
        <v/>
      </c>
      <c r="E44" s="17" t="str">
        <f aca="false">IF($A44="","",IF(INDEX(Tasks!$E:$E,$A44)="","",INDEX(Tasks!$E:$E,$A44)))</f>
        <v/>
      </c>
      <c r="F44" s="18" t="str">
        <f aca="false">IF($A44="","",IF(INDEX(Tasks!$F:$F,$A44)="","",INDEX(Tasks!$F:$F,$A44)))</f>
        <v/>
      </c>
      <c r="G44" s="18" t="str">
        <f aca="false">IF($A44="","",IF(INDEX(Tasks!$H:$H,$A44)="","",INDEX(Tasks!$H:$H,$A44)))</f>
        <v/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</row>
    <row r="45" customFormat="false" ht="15" hidden="false" customHeight="false" outlineLevel="0" collapsed="false">
      <c r="A45" s="16" t="str">
        <f aca="false">IFERROR(MATCH($C$2&amp;"|"&amp;(ROW()-4),Tasks!$J$4:$J$403,0)+3,"")</f>
        <v/>
      </c>
      <c r="B45" s="17" t="str">
        <f aca="false">IF($A45="","",IF(INDEX(Tasks!$A:$A,$A45)="","",INDEX(Tasks!$A:$A,$A45)))</f>
        <v/>
      </c>
      <c r="C45" s="17" t="str">
        <f aca="false">IF($A45="","",IF(ISERROR(FIND(".",INDEX(Tasks!$A:$A,$A45))),"","   ")&amp;INDEX(Tasks!$C:$C,$A45))</f>
        <v/>
      </c>
      <c r="D45" s="17" t="str">
        <f aca="false">IF($A45="","",IF(INDEX(Tasks!$B:$B,$A45)="","",INDEX(Tasks!$B:$B,$A45)))</f>
        <v/>
      </c>
      <c r="E45" s="17" t="str">
        <f aca="false">IF($A45="","",IF(INDEX(Tasks!$E:$E,$A45)="","",INDEX(Tasks!$E:$E,$A45)))</f>
        <v/>
      </c>
      <c r="F45" s="18" t="str">
        <f aca="false">IF($A45="","",IF(INDEX(Tasks!$F:$F,$A45)="","",INDEX(Tasks!$F:$F,$A45)))</f>
        <v/>
      </c>
      <c r="G45" s="18" t="str">
        <f aca="false">IF($A45="","",IF(INDEX(Tasks!$H:$H,$A45)="","",INDEX(Tasks!$H:$H,$A45)))</f>
        <v/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</row>
    <row r="46" customFormat="false" ht="15" hidden="false" customHeight="false" outlineLevel="0" collapsed="false">
      <c r="A46" s="16" t="str">
        <f aca="false">IFERROR(MATCH($C$2&amp;"|"&amp;(ROW()-4),Tasks!$J$4:$J$403,0)+3,"")</f>
        <v/>
      </c>
      <c r="B46" s="17" t="str">
        <f aca="false">IF($A46="","",IF(INDEX(Tasks!$A:$A,$A46)="","",INDEX(Tasks!$A:$A,$A46)))</f>
        <v/>
      </c>
      <c r="C46" s="17" t="str">
        <f aca="false">IF($A46="","",IF(ISERROR(FIND(".",INDEX(Tasks!$A:$A,$A46))),"","   ")&amp;INDEX(Tasks!$C:$C,$A46))</f>
        <v/>
      </c>
      <c r="D46" s="17" t="str">
        <f aca="false">IF($A46="","",IF(INDEX(Tasks!$B:$B,$A46)="","",INDEX(Tasks!$B:$B,$A46)))</f>
        <v/>
      </c>
      <c r="E46" s="17" t="str">
        <f aca="false">IF($A46="","",IF(INDEX(Tasks!$E:$E,$A46)="","",INDEX(Tasks!$E:$E,$A46)))</f>
        <v/>
      </c>
      <c r="F46" s="18" t="str">
        <f aca="false">IF($A46="","",IF(INDEX(Tasks!$F:$F,$A46)="","",INDEX(Tasks!$F:$F,$A46)))</f>
        <v/>
      </c>
      <c r="G46" s="18" t="str">
        <f aca="false">IF($A46="","",IF(INDEX(Tasks!$H:$H,$A46)="","",INDEX(Tasks!$H:$H,$A46)))</f>
        <v/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</row>
    <row r="47" customFormat="false" ht="15" hidden="false" customHeight="false" outlineLevel="0" collapsed="false">
      <c r="A47" s="16" t="str">
        <f aca="false">IFERROR(MATCH($C$2&amp;"|"&amp;(ROW()-4),Tasks!$J$4:$J$403,0)+3,"")</f>
        <v/>
      </c>
      <c r="B47" s="17" t="str">
        <f aca="false">IF($A47="","",IF(INDEX(Tasks!$A:$A,$A47)="","",INDEX(Tasks!$A:$A,$A47)))</f>
        <v/>
      </c>
      <c r="C47" s="17" t="str">
        <f aca="false">IF($A47="","",IF(ISERROR(FIND(".",INDEX(Tasks!$A:$A,$A47))),"","   ")&amp;INDEX(Tasks!$C:$C,$A47))</f>
        <v/>
      </c>
      <c r="D47" s="17" t="str">
        <f aca="false">IF($A47="","",IF(INDEX(Tasks!$B:$B,$A47)="","",INDEX(Tasks!$B:$B,$A47)))</f>
        <v/>
      </c>
      <c r="E47" s="17" t="str">
        <f aca="false">IF($A47="","",IF(INDEX(Tasks!$E:$E,$A47)="","",INDEX(Tasks!$E:$E,$A47)))</f>
        <v/>
      </c>
      <c r="F47" s="18" t="str">
        <f aca="false">IF($A47="","",IF(INDEX(Tasks!$F:$F,$A47)="","",INDEX(Tasks!$F:$F,$A47)))</f>
        <v/>
      </c>
      <c r="G47" s="18" t="str">
        <f aca="false">IF($A47="","",IF(INDEX(Tasks!$H:$H,$A47)="","",INDEX(Tasks!$H:$H,$A47)))</f>
        <v/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</row>
    <row r="48" customFormat="false" ht="15" hidden="false" customHeight="false" outlineLevel="0" collapsed="false">
      <c r="A48" s="16" t="str">
        <f aca="false">IFERROR(MATCH($C$2&amp;"|"&amp;(ROW()-4),Tasks!$J$4:$J$403,0)+3,"")</f>
        <v/>
      </c>
      <c r="B48" s="17" t="str">
        <f aca="false">IF($A48="","",IF(INDEX(Tasks!$A:$A,$A48)="","",INDEX(Tasks!$A:$A,$A48)))</f>
        <v/>
      </c>
      <c r="C48" s="17" t="str">
        <f aca="false">IF($A48="","",IF(ISERROR(FIND(".",INDEX(Tasks!$A:$A,$A48))),"","   ")&amp;INDEX(Tasks!$C:$C,$A48))</f>
        <v/>
      </c>
      <c r="D48" s="17" t="str">
        <f aca="false">IF($A48="","",IF(INDEX(Tasks!$B:$B,$A48)="","",INDEX(Tasks!$B:$B,$A48)))</f>
        <v/>
      </c>
      <c r="E48" s="17" t="str">
        <f aca="false">IF($A48="","",IF(INDEX(Tasks!$E:$E,$A48)="","",INDEX(Tasks!$E:$E,$A48)))</f>
        <v/>
      </c>
      <c r="F48" s="18" t="str">
        <f aca="false">IF($A48="","",IF(INDEX(Tasks!$F:$F,$A48)="","",INDEX(Tasks!$F:$F,$A48)))</f>
        <v/>
      </c>
      <c r="G48" s="18" t="str">
        <f aca="false">IF($A48="","",IF(INDEX(Tasks!$H:$H,$A48)="","",INDEX(Tasks!$H:$H,$A48)))</f>
        <v/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</row>
    <row r="49" customFormat="false" ht="15" hidden="false" customHeight="false" outlineLevel="0" collapsed="false">
      <c r="A49" s="16" t="str">
        <f aca="false">IFERROR(MATCH($C$2&amp;"|"&amp;(ROW()-4),Tasks!$J$4:$J$403,0)+3,"")</f>
        <v/>
      </c>
      <c r="B49" s="17" t="str">
        <f aca="false">IF($A49="","",IF(INDEX(Tasks!$A:$A,$A49)="","",INDEX(Tasks!$A:$A,$A49)))</f>
        <v/>
      </c>
      <c r="C49" s="17" t="str">
        <f aca="false">IF($A49="","",IF(ISERROR(FIND(".",INDEX(Tasks!$A:$A,$A49))),"","   ")&amp;INDEX(Tasks!$C:$C,$A49))</f>
        <v/>
      </c>
      <c r="D49" s="17" t="str">
        <f aca="false">IF($A49="","",IF(INDEX(Tasks!$B:$B,$A49)="","",INDEX(Tasks!$B:$B,$A49)))</f>
        <v/>
      </c>
      <c r="E49" s="17" t="str">
        <f aca="false">IF($A49="","",IF(INDEX(Tasks!$E:$E,$A49)="","",INDEX(Tasks!$E:$E,$A49)))</f>
        <v/>
      </c>
      <c r="F49" s="18" t="str">
        <f aca="false">IF($A49="","",IF(INDEX(Tasks!$F:$F,$A49)="","",INDEX(Tasks!$F:$F,$A49)))</f>
        <v/>
      </c>
      <c r="G49" s="18" t="str">
        <f aca="false">IF($A49="","",IF(INDEX(Tasks!$H:$H,$A49)="","",INDEX(Tasks!$H:$H,$A49)))</f>
        <v/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</row>
    <row r="50" customFormat="false" ht="15" hidden="false" customHeight="false" outlineLevel="0" collapsed="false">
      <c r="A50" s="16" t="str">
        <f aca="false">IFERROR(MATCH($C$2&amp;"|"&amp;(ROW()-4),Tasks!$J$4:$J$403,0)+3,"")</f>
        <v/>
      </c>
      <c r="B50" s="17" t="str">
        <f aca="false">IF($A50="","",IF(INDEX(Tasks!$A:$A,$A50)="","",INDEX(Tasks!$A:$A,$A50)))</f>
        <v/>
      </c>
      <c r="C50" s="17" t="str">
        <f aca="false">IF($A50="","",IF(ISERROR(FIND(".",INDEX(Tasks!$A:$A,$A50))),"","   ")&amp;INDEX(Tasks!$C:$C,$A50))</f>
        <v/>
      </c>
      <c r="D50" s="17" t="str">
        <f aca="false">IF($A50="","",IF(INDEX(Tasks!$B:$B,$A50)="","",INDEX(Tasks!$B:$B,$A50)))</f>
        <v/>
      </c>
      <c r="E50" s="17" t="str">
        <f aca="false">IF($A50="","",IF(INDEX(Tasks!$E:$E,$A50)="","",INDEX(Tasks!$E:$E,$A50)))</f>
        <v/>
      </c>
      <c r="F50" s="18" t="str">
        <f aca="false">IF($A50="","",IF(INDEX(Tasks!$F:$F,$A50)="","",INDEX(Tasks!$F:$F,$A50)))</f>
        <v/>
      </c>
      <c r="G50" s="18" t="str">
        <f aca="false">IF($A50="","",IF(INDEX(Tasks!$H:$H,$A50)="","",INDEX(Tasks!$H:$H,$A50)))</f>
        <v/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</row>
    <row r="51" customFormat="false" ht="15" hidden="false" customHeight="false" outlineLevel="0" collapsed="false">
      <c r="A51" s="16" t="str">
        <f aca="false">IFERROR(MATCH($C$2&amp;"|"&amp;(ROW()-4),Tasks!$J$4:$J$403,0)+3,"")</f>
        <v/>
      </c>
      <c r="B51" s="17" t="str">
        <f aca="false">IF($A51="","",IF(INDEX(Tasks!$A:$A,$A51)="","",INDEX(Tasks!$A:$A,$A51)))</f>
        <v/>
      </c>
      <c r="C51" s="17" t="str">
        <f aca="false">IF($A51="","",IF(ISERROR(FIND(".",INDEX(Tasks!$A:$A,$A51))),"","   ")&amp;INDEX(Tasks!$C:$C,$A51))</f>
        <v/>
      </c>
      <c r="D51" s="17" t="str">
        <f aca="false">IF($A51="","",IF(INDEX(Tasks!$B:$B,$A51)="","",INDEX(Tasks!$B:$B,$A51)))</f>
        <v/>
      </c>
      <c r="E51" s="17" t="str">
        <f aca="false">IF($A51="","",IF(INDEX(Tasks!$E:$E,$A51)="","",INDEX(Tasks!$E:$E,$A51)))</f>
        <v/>
      </c>
      <c r="F51" s="18" t="str">
        <f aca="false">IF($A51="","",IF(INDEX(Tasks!$F:$F,$A51)="","",INDEX(Tasks!$F:$F,$A51)))</f>
        <v/>
      </c>
      <c r="G51" s="18" t="str">
        <f aca="false">IF($A51="","",IF(INDEX(Tasks!$H:$H,$A51)="","",INDEX(Tasks!$H:$H,$A51)))</f>
        <v/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</row>
    <row r="52" customFormat="false" ht="15" hidden="false" customHeight="false" outlineLevel="0" collapsed="false">
      <c r="A52" s="16" t="str">
        <f aca="false">IFERROR(MATCH($C$2&amp;"|"&amp;(ROW()-4),Tasks!$J$4:$J$403,0)+3,"")</f>
        <v/>
      </c>
      <c r="B52" s="17" t="str">
        <f aca="false">IF($A52="","",IF(INDEX(Tasks!$A:$A,$A52)="","",INDEX(Tasks!$A:$A,$A52)))</f>
        <v/>
      </c>
      <c r="C52" s="17" t="str">
        <f aca="false">IF($A52="","",IF(ISERROR(FIND(".",INDEX(Tasks!$A:$A,$A52))),"","   ")&amp;INDEX(Tasks!$C:$C,$A52))</f>
        <v/>
      </c>
      <c r="D52" s="17" t="str">
        <f aca="false">IF($A52="","",IF(INDEX(Tasks!$B:$B,$A52)="","",INDEX(Tasks!$B:$B,$A52)))</f>
        <v/>
      </c>
      <c r="E52" s="17" t="str">
        <f aca="false">IF($A52="","",IF(INDEX(Tasks!$E:$E,$A52)="","",INDEX(Tasks!$E:$E,$A52)))</f>
        <v/>
      </c>
      <c r="F52" s="18" t="str">
        <f aca="false">IF($A52="","",IF(INDEX(Tasks!$F:$F,$A52)="","",INDEX(Tasks!$F:$F,$A52)))</f>
        <v/>
      </c>
      <c r="G52" s="18" t="str">
        <f aca="false">IF($A52="","",IF(INDEX(Tasks!$H:$H,$A52)="","",INDEX(Tasks!$H:$H,$A52)))</f>
        <v/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</row>
    <row r="53" customFormat="false" ht="15" hidden="false" customHeight="false" outlineLevel="0" collapsed="false">
      <c r="A53" s="16" t="str">
        <f aca="false">IFERROR(MATCH($C$2&amp;"|"&amp;(ROW()-4),Tasks!$J$4:$J$403,0)+3,"")</f>
        <v/>
      </c>
      <c r="B53" s="17" t="str">
        <f aca="false">IF($A53="","",IF(INDEX(Tasks!$A:$A,$A53)="","",INDEX(Tasks!$A:$A,$A53)))</f>
        <v/>
      </c>
      <c r="C53" s="17" t="str">
        <f aca="false">IF($A53="","",IF(ISERROR(FIND(".",INDEX(Tasks!$A:$A,$A53))),"","   ")&amp;INDEX(Tasks!$C:$C,$A53))</f>
        <v/>
      </c>
      <c r="D53" s="17" t="str">
        <f aca="false">IF($A53="","",IF(INDEX(Tasks!$B:$B,$A53)="","",INDEX(Tasks!$B:$B,$A53)))</f>
        <v/>
      </c>
      <c r="E53" s="17" t="str">
        <f aca="false">IF($A53="","",IF(INDEX(Tasks!$E:$E,$A53)="","",INDEX(Tasks!$E:$E,$A53)))</f>
        <v/>
      </c>
      <c r="F53" s="18" t="str">
        <f aca="false">IF($A53="","",IF(INDEX(Tasks!$F:$F,$A53)="","",INDEX(Tasks!$F:$F,$A53)))</f>
        <v/>
      </c>
      <c r="G53" s="18" t="str">
        <f aca="false">IF($A53="","",IF(INDEX(Tasks!$H:$H,$A53)="","",INDEX(Tasks!$H:$H,$A53)))</f>
        <v/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customFormat="false" ht="15" hidden="false" customHeight="false" outlineLevel="0" collapsed="false">
      <c r="A54" s="16" t="str">
        <f aca="false">IFERROR(MATCH($C$2&amp;"|"&amp;(ROW()-4),Tasks!$J$4:$J$403,0)+3,"")</f>
        <v/>
      </c>
      <c r="B54" s="17" t="str">
        <f aca="false">IF($A54="","",IF(INDEX(Tasks!$A:$A,$A54)="","",INDEX(Tasks!$A:$A,$A54)))</f>
        <v/>
      </c>
      <c r="C54" s="17" t="str">
        <f aca="false">IF($A54="","",IF(ISERROR(FIND(".",INDEX(Tasks!$A:$A,$A54))),"","   ")&amp;INDEX(Tasks!$C:$C,$A54))</f>
        <v/>
      </c>
      <c r="D54" s="17" t="str">
        <f aca="false">IF($A54="","",IF(INDEX(Tasks!$B:$B,$A54)="","",INDEX(Tasks!$B:$B,$A54)))</f>
        <v/>
      </c>
      <c r="E54" s="17" t="str">
        <f aca="false">IF($A54="","",IF(INDEX(Tasks!$E:$E,$A54)="","",INDEX(Tasks!$E:$E,$A54)))</f>
        <v/>
      </c>
      <c r="F54" s="18" t="str">
        <f aca="false">IF($A54="","",IF(INDEX(Tasks!$F:$F,$A54)="","",INDEX(Tasks!$F:$F,$A54)))</f>
        <v/>
      </c>
      <c r="G54" s="18" t="str">
        <f aca="false">IF($A54="","",IF(INDEX(Tasks!$H:$H,$A54)="","",INDEX(Tasks!$H:$H,$A54)))</f>
        <v/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customFormat="false" ht="15" hidden="false" customHeight="false" outlineLevel="0" collapsed="false">
      <c r="A55" s="16" t="str">
        <f aca="false">IFERROR(MATCH($C$2&amp;"|"&amp;(ROW()-4),Tasks!$J$4:$J$403,0)+3,"")</f>
        <v/>
      </c>
      <c r="B55" s="17" t="str">
        <f aca="false">IF($A55="","",IF(INDEX(Tasks!$A:$A,$A55)="","",INDEX(Tasks!$A:$A,$A55)))</f>
        <v/>
      </c>
      <c r="C55" s="17" t="str">
        <f aca="false">IF($A55="","",IF(ISERROR(FIND(".",INDEX(Tasks!$A:$A,$A55))),"","   ")&amp;INDEX(Tasks!$C:$C,$A55))</f>
        <v/>
      </c>
      <c r="D55" s="17" t="str">
        <f aca="false">IF($A55="","",IF(INDEX(Tasks!$B:$B,$A55)="","",INDEX(Tasks!$B:$B,$A55)))</f>
        <v/>
      </c>
      <c r="E55" s="17" t="str">
        <f aca="false">IF($A55="","",IF(INDEX(Tasks!$E:$E,$A55)="","",INDEX(Tasks!$E:$E,$A55)))</f>
        <v/>
      </c>
      <c r="F55" s="18" t="str">
        <f aca="false">IF($A55="","",IF(INDEX(Tasks!$F:$F,$A55)="","",INDEX(Tasks!$F:$F,$A55)))</f>
        <v/>
      </c>
      <c r="G55" s="18" t="str">
        <f aca="false">IF($A55="","",IF(INDEX(Tasks!$H:$H,$A55)="","",INDEX(Tasks!$H:$H,$A55)))</f>
        <v/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</row>
    <row r="56" customFormat="false" ht="15" hidden="false" customHeight="false" outlineLevel="0" collapsed="false">
      <c r="A56" s="16" t="str">
        <f aca="false">IFERROR(MATCH($C$2&amp;"|"&amp;(ROW()-4),Tasks!$J$4:$J$403,0)+3,"")</f>
        <v/>
      </c>
      <c r="B56" s="17" t="str">
        <f aca="false">IF($A56="","",IF(INDEX(Tasks!$A:$A,$A56)="","",INDEX(Tasks!$A:$A,$A56)))</f>
        <v/>
      </c>
      <c r="C56" s="17" t="str">
        <f aca="false">IF($A56="","",IF(ISERROR(FIND(".",INDEX(Tasks!$A:$A,$A56))),"","   ")&amp;INDEX(Tasks!$C:$C,$A56))</f>
        <v/>
      </c>
      <c r="D56" s="17" t="str">
        <f aca="false">IF($A56="","",IF(INDEX(Tasks!$B:$B,$A56)="","",INDEX(Tasks!$B:$B,$A56)))</f>
        <v/>
      </c>
      <c r="E56" s="17" t="str">
        <f aca="false">IF($A56="","",IF(INDEX(Tasks!$E:$E,$A56)="","",INDEX(Tasks!$E:$E,$A56)))</f>
        <v/>
      </c>
      <c r="F56" s="18" t="str">
        <f aca="false">IF($A56="","",IF(INDEX(Tasks!$F:$F,$A56)="","",INDEX(Tasks!$F:$F,$A56)))</f>
        <v/>
      </c>
      <c r="G56" s="18" t="str">
        <f aca="false">IF($A56="","",IF(INDEX(Tasks!$H:$H,$A56)="","",INDEX(Tasks!$H:$H,$A56)))</f>
        <v/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</row>
    <row r="57" customFormat="false" ht="15" hidden="false" customHeight="false" outlineLevel="0" collapsed="false">
      <c r="A57" s="16" t="str">
        <f aca="false">IFERROR(MATCH($C$2&amp;"|"&amp;(ROW()-4),Tasks!$J$4:$J$403,0)+3,"")</f>
        <v/>
      </c>
      <c r="B57" s="17" t="str">
        <f aca="false">IF($A57="","",IF(INDEX(Tasks!$A:$A,$A57)="","",INDEX(Tasks!$A:$A,$A57)))</f>
        <v/>
      </c>
      <c r="C57" s="17" t="str">
        <f aca="false">IF($A57="","",IF(ISERROR(FIND(".",INDEX(Tasks!$A:$A,$A57))),"","   ")&amp;INDEX(Tasks!$C:$C,$A57))</f>
        <v/>
      </c>
      <c r="D57" s="17" t="str">
        <f aca="false">IF($A57="","",IF(INDEX(Tasks!$B:$B,$A57)="","",INDEX(Tasks!$B:$B,$A57)))</f>
        <v/>
      </c>
      <c r="E57" s="17" t="str">
        <f aca="false">IF($A57="","",IF(INDEX(Tasks!$E:$E,$A57)="","",INDEX(Tasks!$E:$E,$A57)))</f>
        <v/>
      </c>
      <c r="F57" s="18" t="str">
        <f aca="false">IF($A57="","",IF(INDEX(Tasks!$F:$F,$A57)="","",INDEX(Tasks!$F:$F,$A57)))</f>
        <v/>
      </c>
      <c r="G57" s="18" t="str">
        <f aca="false">IF($A57="","",IF(INDEX(Tasks!$H:$H,$A57)="","",INDEX(Tasks!$H:$H,$A57)))</f>
        <v/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</row>
    <row r="58" customFormat="false" ht="15" hidden="false" customHeight="false" outlineLevel="0" collapsed="false">
      <c r="A58" s="16" t="str">
        <f aca="false">IFERROR(MATCH($C$2&amp;"|"&amp;(ROW()-4),Tasks!$J$4:$J$403,0)+3,"")</f>
        <v/>
      </c>
      <c r="B58" s="17" t="str">
        <f aca="false">IF($A58="","",IF(INDEX(Tasks!$A:$A,$A58)="","",INDEX(Tasks!$A:$A,$A58)))</f>
        <v/>
      </c>
      <c r="C58" s="17" t="str">
        <f aca="false">IF($A58="","",IF(ISERROR(FIND(".",INDEX(Tasks!$A:$A,$A58))),"","   ")&amp;INDEX(Tasks!$C:$C,$A58))</f>
        <v/>
      </c>
      <c r="D58" s="17" t="str">
        <f aca="false">IF($A58="","",IF(INDEX(Tasks!$B:$B,$A58)="","",INDEX(Tasks!$B:$B,$A58)))</f>
        <v/>
      </c>
      <c r="E58" s="17" t="str">
        <f aca="false">IF($A58="","",IF(INDEX(Tasks!$E:$E,$A58)="","",INDEX(Tasks!$E:$E,$A58)))</f>
        <v/>
      </c>
      <c r="F58" s="18" t="str">
        <f aca="false">IF($A58="","",IF(INDEX(Tasks!$F:$F,$A58)="","",INDEX(Tasks!$F:$F,$A58)))</f>
        <v/>
      </c>
      <c r="G58" s="18" t="str">
        <f aca="false">IF($A58="","",IF(INDEX(Tasks!$H:$H,$A58)="","",INDEX(Tasks!$H:$H,$A58)))</f>
        <v/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</row>
    <row r="59" customFormat="false" ht="15" hidden="false" customHeight="false" outlineLevel="0" collapsed="false">
      <c r="A59" s="16" t="str">
        <f aca="false">IFERROR(MATCH($C$2&amp;"|"&amp;(ROW()-4),Tasks!$J$4:$J$403,0)+3,"")</f>
        <v/>
      </c>
      <c r="B59" s="17" t="str">
        <f aca="false">IF($A59="","",IF(INDEX(Tasks!$A:$A,$A59)="","",INDEX(Tasks!$A:$A,$A59)))</f>
        <v/>
      </c>
      <c r="C59" s="17" t="str">
        <f aca="false">IF($A59="","",IF(ISERROR(FIND(".",INDEX(Tasks!$A:$A,$A59))),"","   ")&amp;INDEX(Tasks!$C:$C,$A59))</f>
        <v/>
      </c>
      <c r="D59" s="17" t="str">
        <f aca="false">IF($A59="","",IF(INDEX(Tasks!$B:$B,$A59)="","",INDEX(Tasks!$B:$B,$A59)))</f>
        <v/>
      </c>
      <c r="E59" s="17" t="str">
        <f aca="false">IF($A59="","",IF(INDEX(Tasks!$E:$E,$A59)="","",INDEX(Tasks!$E:$E,$A59)))</f>
        <v/>
      </c>
      <c r="F59" s="18" t="str">
        <f aca="false">IF($A59="","",IF(INDEX(Tasks!$F:$F,$A59)="","",INDEX(Tasks!$F:$F,$A59)))</f>
        <v/>
      </c>
      <c r="G59" s="18" t="str">
        <f aca="false">IF($A59="","",IF(INDEX(Tasks!$H:$H,$A59)="","",INDEX(Tasks!$H:$H,$A59)))</f>
        <v/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</row>
    <row r="60" customFormat="false" ht="15" hidden="false" customHeight="false" outlineLevel="0" collapsed="false">
      <c r="A60" s="16" t="str">
        <f aca="false">IFERROR(MATCH($C$2&amp;"|"&amp;(ROW()-4),Tasks!$J$4:$J$403,0)+3,"")</f>
        <v/>
      </c>
      <c r="B60" s="17" t="str">
        <f aca="false">IF($A60="","",IF(INDEX(Tasks!$A:$A,$A60)="","",INDEX(Tasks!$A:$A,$A60)))</f>
        <v/>
      </c>
      <c r="C60" s="17" t="str">
        <f aca="false">IF($A60="","",IF(ISERROR(FIND(".",INDEX(Tasks!$A:$A,$A60))),"","   ")&amp;INDEX(Tasks!$C:$C,$A60))</f>
        <v/>
      </c>
      <c r="D60" s="17" t="str">
        <f aca="false">IF($A60="","",IF(INDEX(Tasks!$B:$B,$A60)="","",INDEX(Tasks!$B:$B,$A60)))</f>
        <v/>
      </c>
      <c r="E60" s="17" t="str">
        <f aca="false">IF($A60="","",IF(INDEX(Tasks!$E:$E,$A60)="","",INDEX(Tasks!$E:$E,$A60)))</f>
        <v/>
      </c>
      <c r="F60" s="18" t="str">
        <f aca="false">IF($A60="","",IF(INDEX(Tasks!$F:$F,$A60)="","",INDEX(Tasks!$F:$F,$A60)))</f>
        <v/>
      </c>
      <c r="G60" s="18" t="str">
        <f aca="false">IF($A60="","",IF(INDEX(Tasks!$H:$H,$A60)="","",INDEX(Tasks!$H:$H,$A60)))</f>
        <v/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customFormat="false" ht="15" hidden="false" customHeight="false" outlineLevel="0" collapsed="false">
      <c r="A61" s="16" t="str">
        <f aca="false">IFERROR(MATCH($C$2&amp;"|"&amp;(ROW()-4),Tasks!$J$4:$J$403,0)+3,"")</f>
        <v/>
      </c>
      <c r="B61" s="17" t="str">
        <f aca="false">IF($A61="","",IF(INDEX(Tasks!$A:$A,$A61)="","",INDEX(Tasks!$A:$A,$A61)))</f>
        <v/>
      </c>
      <c r="C61" s="17" t="str">
        <f aca="false">IF($A61="","",IF(ISERROR(FIND(".",INDEX(Tasks!$A:$A,$A61))),"","   ")&amp;INDEX(Tasks!$C:$C,$A61))</f>
        <v/>
      </c>
      <c r="D61" s="17" t="str">
        <f aca="false">IF($A61="","",IF(INDEX(Tasks!$B:$B,$A61)="","",INDEX(Tasks!$B:$B,$A61)))</f>
        <v/>
      </c>
      <c r="E61" s="17" t="str">
        <f aca="false">IF($A61="","",IF(INDEX(Tasks!$E:$E,$A61)="","",INDEX(Tasks!$E:$E,$A61)))</f>
        <v/>
      </c>
      <c r="F61" s="18" t="str">
        <f aca="false">IF($A61="","",IF(INDEX(Tasks!$F:$F,$A61)="","",INDEX(Tasks!$F:$F,$A61)))</f>
        <v/>
      </c>
      <c r="G61" s="18" t="str">
        <f aca="false">IF($A61="","",IF(INDEX(Tasks!$H:$H,$A61)="","",INDEX(Tasks!$H:$H,$A61)))</f>
        <v/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</row>
    <row r="62" customFormat="false" ht="15" hidden="false" customHeight="false" outlineLevel="0" collapsed="false">
      <c r="A62" s="16" t="str">
        <f aca="false">IFERROR(MATCH($C$2&amp;"|"&amp;(ROW()-4),Tasks!$J$4:$J$403,0)+3,"")</f>
        <v/>
      </c>
      <c r="B62" s="17" t="str">
        <f aca="false">IF($A62="","",IF(INDEX(Tasks!$A:$A,$A62)="","",INDEX(Tasks!$A:$A,$A62)))</f>
        <v/>
      </c>
      <c r="C62" s="17" t="str">
        <f aca="false">IF($A62="","",IF(ISERROR(FIND(".",INDEX(Tasks!$A:$A,$A62))),"","   ")&amp;INDEX(Tasks!$C:$C,$A62))</f>
        <v/>
      </c>
      <c r="D62" s="17" t="str">
        <f aca="false">IF($A62="","",IF(INDEX(Tasks!$B:$B,$A62)="","",INDEX(Tasks!$B:$B,$A62)))</f>
        <v/>
      </c>
      <c r="E62" s="17" t="str">
        <f aca="false">IF($A62="","",IF(INDEX(Tasks!$E:$E,$A62)="","",INDEX(Tasks!$E:$E,$A62)))</f>
        <v/>
      </c>
      <c r="F62" s="18" t="str">
        <f aca="false">IF($A62="","",IF(INDEX(Tasks!$F:$F,$A62)="","",INDEX(Tasks!$F:$F,$A62)))</f>
        <v/>
      </c>
      <c r="G62" s="18" t="str">
        <f aca="false">IF($A62="","",IF(INDEX(Tasks!$H:$H,$A62)="","",INDEX(Tasks!$H:$H,$A62)))</f>
        <v/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</row>
    <row r="63" customFormat="false" ht="15" hidden="false" customHeight="false" outlineLevel="0" collapsed="false">
      <c r="A63" s="16" t="str">
        <f aca="false">IFERROR(MATCH($C$2&amp;"|"&amp;(ROW()-4),Tasks!$J$4:$J$403,0)+3,"")</f>
        <v/>
      </c>
      <c r="B63" s="17" t="str">
        <f aca="false">IF($A63="","",IF(INDEX(Tasks!$A:$A,$A63)="","",INDEX(Tasks!$A:$A,$A63)))</f>
        <v/>
      </c>
      <c r="C63" s="17" t="str">
        <f aca="false">IF($A63="","",IF(ISERROR(FIND(".",INDEX(Tasks!$A:$A,$A63))),"","   ")&amp;INDEX(Tasks!$C:$C,$A63))</f>
        <v/>
      </c>
      <c r="D63" s="17" t="str">
        <f aca="false">IF($A63="","",IF(INDEX(Tasks!$B:$B,$A63)="","",INDEX(Tasks!$B:$B,$A63)))</f>
        <v/>
      </c>
      <c r="E63" s="17" t="str">
        <f aca="false">IF($A63="","",IF(INDEX(Tasks!$E:$E,$A63)="","",INDEX(Tasks!$E:$E,$A63)))</f>
        <v/>
      </c>
      <c r="F63" s="18" t="str">
        <f aca="false">IF($A63="","",IF(INDEX(Tasks!$F:$F,$A63)="","",INDEX(Tasks!$F:$F,$A63)))</f>
        <v/>
      </c>
      <c r="G63" s="18" t="str">
        <f aca="false">IF($A63="","",IF(INDEX(Tasks!$H:$H,$A63)="","",INDEX(Tasks!$H:$H,$A63)))</f>
        <v/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</row>
    <row r="64" customFormat="false" ht="15" hidden="false" customHeight="false" outlineLevel="0" collapsed="false">
      <c r="A64" s="16" t="str">
        <f aca="false">IFERROR(MATCH($C$2&amp;"|"&amp;(ROW()-4),Tasks!$J$4:$J$403,0)+3,"")</f>
        <v/>
      </c>
      <c r="B64" s="17" t="str">
        <f aca="false">IF($A64="","",IF(INDEX(Tasks!$A:$A,$A64)="","",INDEX(Tasks!$A:$A,$A64)))</f>
        <v/>
      </c>
      <c r="C64" s="17" t="str">
        <f aca="false">IF($A64="","",IF(ISERROR(FIND(".",INDEX(Tasks!$A:$A,$A64))),"","   ")&amp;INDEX(Tasks!$C:$C,$A64))</f>
        <v/>
      </c>
      <c r="D64" s="17" t="str">
        <f aca="false">IF($A64="","",IF(INDEX(Tasks!$B:$B,$A64)="","",INDEX(Tasks!$B:$B,$A64)))</f>
        <v/>
      </c>
      <c r="E64" s="17" t="str">
        <f aca="false">IF($A64="","",IF(INDEX(Tasks!$E:$E,$A64)="","",INDEX(Tasks!$E:$E,$A64)))</f>
        <v/>
      </c>
      <c r="F64" s="18" t="str">
        <f aca="false">IF($A64="","",IF(INDEX(Tasks!$F:$F,$A64)="","",INDEX(Tasks!$F:$F,$A64)))</f>
        <v/>
      </c>
      <c r="G64" s="18" t="str">
        <f aca="false">IF($A64="","",IF(INDEX(Tasks!$H:$H,$A64)="","",INDEX(Tasks!$H:$H,$A64)))</f>
        <v/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</row>
    <row r="65" customFormat="false" ht="15" hidden="false" customHeight="false" outlineLevel="0" collapsed="false">
      <c r="A65" s="16" t="str">
        <f aca="false">IFERROR(MATCH($C$2&amp;"|"&amp;(ROW()-4),Tasks!$J$4:$J$403,0)+3,"")</f>
        <v/>
      </c>
      <c r="B65" s="17" t="str">
        <f aca="false">IF($A65="","",IF(INDEX(Tasks!$A:$A,$A65)="","",INDEX(Tasks!$A:$A,$A65)))</f>
        <v/>
      </c>
      <c r="C65" s="17" t="str">
        <f aca="false">IF($A65="","",IF(ISERROR(FIND(".",INDEX(Tasks!$A:$A,$A65))),"","   ")&amp;INDEX(Tasks!$C:$C,$A65))</f>
        <v/>
      </c>
      <c r="D65" s="17" t="str">
        <f aca="false">IF($A65="","",IF(INDEX(Tasks!$B:$B,$A65)="","",INDEX(Tasks!$B:$B,$A65)))</f>
        <v/>
      </c>
      <c r="E65" s="17" t="str">
        <f aca="false">IF($A65="","",IF(INDEX(Tasks!$E:$E,$A65)="","",INDEX(Tasks!$E:$E,$A65)))</f>
        <v/>
      </c>
      <c r="F65" s="18" t="str">
        <f aca="false">IF($A65="","",IF(INDEX(Tasks!$F:$F,$A65)="","",INDEX(Tasks!$F:$F,$A65)))</f>
        <v/>
      </c>
      <c r="G65" s="18" t="str">
        <f aca="false">IF($A65="","",IF(INDEX(Tasks!$H:$H,$A65)="","",INDEX(Tasks!$H:$H,$A65)))</f>
        <v/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</row>
    <row r="66" customFormat="false" ht="15" hidden="false" customHeight="false" outlineLevel="0" collapsed="false">
      <c r="A66" s="16" t="str">
        <f aca="false">IFERROR(MATCH($C$2&amp;"|"&amp;(ROW()-4),Tasks!$J$4:$J$403,0)+3,"")</f>
        <v/>
      </c>
      <c r="B66" s="17" t="str">
        <f aca="false">IF($A66="","",IF(INDEX(Tasks!$A:$A,$A66)="","",INDEX(Tasks!$A:$A,$A66)))</f>
        <v/>
      </c>
      <c r="C66" s="17" t="str">
        <f aca="false">IF($A66="","",IF(ISERROR(FIND(".",INDEX(Tasks!$A:$A,$A66))),"","   ")&amp;INDEX(Tasks!$C:$C,$A66))</f>
        <v/>
      </c>
      <c r="D66" s="17" t="str">
        <f aca="false">IF($A66="","",IF(INDEX(Tasks!$B:$B,$A66)="","",INDEX(Tasks!$B:$B,$A66)))</f>
        <v/>
      </c>
      <c r="E66" s="17" t="str">
        <f aca="false">IF($A66="","",IF(INDEX(Tasks!$E:$E,$A66)="","",INDEX(Tasks!$E:$E,$A66)))</f>
        <v/>
      </c>
      <c r="F66" s="18" t="str">
        <f aca="false">IF($A66="","",IF(INDEX(Tasks!$F:$F,$A66)="","",INDEX(Tasks!$F:$F,$A66)))</f>
        <v/>
      </c>
      <c r="G66" s="18" t="str">
        <f aca="false">IF($A66="","",IF(INDEX(Tasks!$H:$H,$A66)="","",INDEX(Tasks!$H:$H,$A66)))</f>
        <v/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</row>
    <row r="67" customFormat="false" ht="15" hidden="false" customHeight="false" outlineLevel="0" collapsed="false">
      <c r="A67" s="16" t="str">
        <f aca="false">IFERROR(MATCH($C$2&amp;"|"&amp;(ROW()-4),Tasks!$J$4:$J$403,0)+3,"")</f>
        <v/>
      </c>
      <c r="B67" s="17" t="str">
        <f aca="false">IF($A67="","",IF(INDEX(Tasks!$A:$A,$A67)="","",INDEX(Tasks!$A:$A,$A67)))</f>
        <v/>
      </c>
      <c r="C67" s="17" t="str">
        <f aca="false">IF($A67="","",IF(ISERROR(FIND(".",INDEX(Tasks!$A:$A,$A67))),"","   ")&amp;INDEX(Tasks!$C:$C,$A67))</f>
        <v/>
      </c>
      <c r="D67" s="17" t="str">
        <f aca="false">IF($A67="","",IF(INDEX(Tasks!$B:$B,$A67)="","",INDEX(Tasks!$B:$B,$A67)))</f>
        <v/>
      </c>
      <c r="E67" s="17" t="str">
        <f aca="false">IF($A67="","",IF(INDEX(Tasks!$E:$E,$A67)="","",INDEX(Tasks!$E:$E,$A67)))</f>
        <v/>
      </c>
      <c r="F67" s="18" t="str">
        <f aca="false">IF($A67="","",IF(INDEX(Tasks!$F:$F,$A67)="","",INDEX(Tasks!$F:$F,$A67)))</f>
        <v/>
      </c>
      <c r="G67" s="18" t="str">
        <f aca="false">IF($A67="","",IF(INDEX(Tasks!$H:$H,$A67)="","",INDEX(Tasks!$H:$H,$A67)))</f>
        <v/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customFormat="false" ht="15" hidden="false" customHeight="false" outlineLevel="0" collapsed="false">
      <c r="A68" s="16" t="str">
        <f aca="false">IFERROR(MATCH($C$2&amp;"|"&amp;(ROW()-4),Tasks!$J$4:$J$403,0)+3,"")</f>
        <v/>
      </c>
      <c r="B68" s="17" t="str">
        <f aca="false">IF($A68="","",IF(INDEX(Tasks!$A:$A,$A68)="","",INDEX(Tasks!$A:$A,$A68)))</f>
        <v/>
      </c>
      <c r="C68" s="17" t="str">
        <f aca="false">IF($A68="","",IF(ISERROR(FIND(".",INDEX(Tasks!$A:$A,$A68))),"","   ")&amp;INDEX(Tasks!$C:$C,$A68))</f>
        <v/>
      </c>
      <c r="D68" s="17" t="str">
        <f aca="false">IF($A68="","",IF(INDEX(Tasks!$B:$B,$A68)="","",INDEX(Tasks!$B:$B,$A68)))</f>
        <v/>
      </c>
      <c r="E68" s="17" t="str">
        <f aca="false">IF($A68="","",IF(INDEX(Tasks!$E:$E,$A68)="","",INDEX(Tasks!$E:$E,$A68)))</f>
        <v/>
      </c>
      <c r="F68" s="18" t="str">
        <f aca="false">IF($A68="","",IF(INDEX(Tasks!$F:$F,$A68)="","",INDEX(Tasks!$F:$F,$A68)))</f>
        <v/>
      </c>
      <c r="G68" s="18" t="str">
        <f aca="false">IF($A68="","",IF(INDEX(Tasks!$H:$H,$A68)="","",INDEX(Tasks!$H:$H,$A68)))</f>
        <v/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</row>
    <row r="69" customFormat="false" ht="15" hidden="false" customHeight="false" outlineLevel="0" collapsed="false">
      <c r="A69" s="16" t="str">
        <f aca="false">IFERROR(MATCH($C$2&amp;"|"&amp;(ROW()-4),Tasks!$J$4:$J$403,0)+3,"")</f>
        <v/>
      </c>
      <c r="B69" s="17" t="str">
        <f aca="false">IF($A69="","",IF(INDEX(Tasks!$A:$A,$A69)="","",INDEX(Tasks!$A:$A,$A69)))</f>
        <v/>
      </c>
      <c r="C69" s="17" t="str">
        <f aca="false">IF($A69="","",IF(ISERROR(FIND(".",INDEX(Tasks!$A:$A,$A69))),"","   ")&amp;INDEX(Tasks!$C:$C,$A69))</f>
        <v/>
      </c>
      <c r="D69" s="17" t="str">
        <f aca="false">IF($A69="","",IF(INDEX(Tasks!$B:$B,$A69)="","",INDEX(Tasks!$B:$B,$A69)))</f>
        <v/>
      </c>
      <c r="E69" s="17" t="str">
        <f aca="false">IF($A69="","",IF(INDEX(Tasks!$E:$E,$A69)="","",INDEX(Tasks!$E:$E,$A69)))</f>
        <v/>
      </c>
      <c r="F69" s="18" t="str">
        <f aca="false">IF($A69="","",IF(INDEX(Tasks!$F:$F,$A69)="","",INDEX(Tasks!$F:$F,$A69)))</f>
        <v/>
      </c>
      <c r="G69" s="18" t="str">
        <f aca="false">IF($A69="","",IF(INDEX(Tasks!$H:$H,$A69)="","",INDEX(Tasks!$H:$H,$A69)))</f>
        <v/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customFormat="false" ht="15" hidden="false" customHeight="false" outlineLevel="0" collapsed="false">
      <c r="A70" s="16" t="str">
        <f aca="false">IFERROR(MATCH($C$2&amp;"|"&amp;(ROW()-4),Tasks!$J$4:$J$403,0)+3,"")</f>
        <v/>
      </c>
      <c r="B70" s="17" t="str">
        <f aca="false">IF($A70="","",IF(INDEX(Tasks!$A:$A,$A70)="","",INDEX(Tasks!$A:$A,$A70)))</f>
        <v/>
      </c>
      <c r="C70" s="17" t="str">
        <f aca="false">IF($A70="","",IF(ISERROR(FIND(".",INDEX(Tasks!$A:$A,$A70))),"","   ")&amp;INDEX(Tasks!$C:$C,$A70))</f>
        <v/>
      </c>
      <c r="D70" s="17" t="str">
        <f aca="false">IF($A70="","",IF(INDEX(Tasks!$B:$B,$A70)="","",INDEX(Tasks!$B:$B,$A70)))</f>
        <v/>
      </c>
      <c r="E70" s="17" t="str">
        <f aca="false">IF($A70="","",IF(INDEX(Tasks!$E:$E,$A70)="","",INDEX(Tasks!$E:$E,$A70)))</f>
        <v/>
      </c>
      <c r="F70" s="18" t="str">
        <f aca="false">IF($A70="","",IF(INDEX(Tasks!$F:$F,$A70)="","",INDEX(Tasks!$F:$F,$A70)))</f>
        <v/>
      </c>
      <c r="G70" s="18" t="str">
        <f aca="false">IF($A70="","",IF(INDEX(Tasks!$H:$H,$A70)="","",INDEX(Tasks!$H:$H,$A70)))</f>
        <v/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</row>
    <row r="71" customFormat="false" ht="15" hidden="false" customHeight="false" outlineLevel="0" collapsed="false">
      <c r="A71" s="16" t="str">
        <f aca="false">IFERROR(MATCH($C$2&amp;"|"&amp;(ROW()-4),Tasks!$J$4:$J$403,0)+3,"")</f>
        <v/>
      </c>
      <c r="B71" s="17" t="str">
        <f aca="false">IF($A71="","",IF(INDEX(Tasks!$A:$A,$A71)="","",INDEX(Tasks!$A:$A,$A71)))</f>
        <v/>
      </c>
      <c r="C71" s="17" t="str">
        <f aca="false">IF($A71="","",IF(ISERROR(FIND(".",INDEX(Tasks!$A:$A,$A71))),"","   ")&amp;INDEX(Tasks!$C:$C,$A71))</f>
        <v/>
      </c>
      <c r="D71" s="17" t="str">
        <f aca="false">IF($A71="","",IF(INDEX(Tasks!$B:$B,$A71)="","",INDEX(Tasks!$B:$B,$A71)))</f>
        <v/>
      </c>
      <c r="E71" s="17" t="str">
        <f aca="false">IF($A71="","",IF(INDEX(Tasks!$E:$E,$A71)="","",INDEX(Tasks!$E:$E,$A71)))</f>
        <v/>
      </c>
      <c r="F71" s="18" t="str">
        <f aca="false">IF($A71="","",IF(INDEX(Tasks!$F:$F,$A71)="","",INDEX(Tasks!$F:$F,$A71)))</f>
        <v/>
      </c>
      <c r="G71" s="18" t="str">
        <f aca="false">IF($A71="","",IF(INDEX(Tasks!$H:$H,$A71)="","",INDEX(Tasks!$H:$H,$A71)))</f>
        <v/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</row>
    <row r="72" customFormat="false" ht="15" hidden="false" customHeight="false" outlineLevel="0" collapsed="false">
      <c r="A72" s="16" t="str">
        <f aca="false">IFERROR(MATCH($C$2&amp;"|"&amp;(ROW()-4),Tasks!$J$4:$J$403,0)+3,"")</f>
        <v/>
      </c>
      <c r="B72" s="17" t="str">
        <f aca="false">IF($A72="","",IF(INDEX(Tasks!$A:$A,$A72)="","",INDEX(Tasks!$A:$A,$A72)))</f>
        <v/>
      </c>
      <c r="C72" s="17" t="str">
        <f aca="false">IF($A72="","",IF(ISERROR(FIND(".",INDEX(Tasks!$A:$A,$A72))),"","   ")&amp;INDEX(Tasks!$C:$C,$A72))</f>
        <v/>
      </c>
      <c r="D72" s="17" t="str">
        <f aca="false">IF($A72="","",IF(INDEX(Tasks!$B:$B,$A72)="","",INDEX(Tasks!$B:$B,$A72)))</f>
        <v/>
      </c>
      <c r="E72" s="17" t="str">
        <f aca="false">IF($A72="","",IF(INDEX(Tasks!$E:$E,$A72)="","",INDEX(Tasks!$E:$E,$A72)))</f>
        <v/>
      </c>
      <c r="F72" s="18" t="str">
        <f aca="false">IF($A72="","",IF(INDEX(Tasks!$F:$F,$A72)="","",INDEX(Tasks!$F:$F,$A72)))</f>
        <v/>
      </c>
      <c r="G72" s="18" t="str">
        <f aca="false">IF($A72="","",IF(INDEX(Tasks!$H:$H,$A72)="","",INDEX(Tasks!$H:$H,$A72)))</f>
        <v/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</row>
    <row r="73" customFormat="false" ht="15" hidden="false" customHeight="false" outlineLevel="0" collapsed="false">
      <c r="A73" s="16" t="str">
        <f aca="false">IFERROR(MATCH($C$2&amp;"|"&amp;(ROW()-4),Tasks!$J$4:$J$403,0)+3,"")</f>
        <v/>
      </c>
      <c r="B73" s="17" t="str">
        <f aca="false">IF($A73="","",IF(INDEX(Tasks!$A:$A,$A73)="","",INDEX(Tasks!$A:$A,$A73)))</f>
        <v/>
      </c>
      <c r="C73" s="17" t="str">
        <f aca="false">IF($A73="","",IF(ISERROR(FIND(".",INDEX(Tasks!$A:$A,$A73))),"","   ")&amp;INDEX(Tasks!$C:$C,$A73))</f>
        <v/>
      </c>
      <c r="D73" s="17" t="str">
        <f aca="false">IF($A73="","",IF(INDEX(Tasks!$B:$B,$A73)="","",INDEX(Tasks!$B:$B,$A73)))</f>
        <v/>
      </c>
      <c r="E73" s="17" t="str">
        <f aca="false">IF($A73="","",IF(INDEX(Tasks!$E:$E,$A73)="","",INDEX(Tasks!$E:$E,$A73)))</f>
        <v/>
      </c>
      <c r="F73" s="18" t="str">
        <f aca="false">IF($A73="","",IF(INDEX(Tasks!$F:$F,$A73)="","",INDEX(Tasks!$F:$F,$A73)))</f>
        <v/>
      </c>
      <c r="G73" s="18" t="str">
        <f aca="false">IF($A73="","",IF(INDEX(Tasks!$H:$H,$A73)="","",INDEX(Tasks!$H:$H,$A73)))</f>
        <v/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</row>
    <row r="74" customFormat="false" ht="15" hidden="false" customHeight="false" outlineLevel="0" collapsed="false">
      <c r="A74" s="16" t="str">
        <f aca="false">IFERROR(MATCH($C$2&amp;"|"&amp;(ROW()-4),Tasks!$J$4:$J$403,0)+3,"")</f>
        <v/>
      </c>
      <c r="B74" s="17" t="str">
        <f aca="false">IF($A74="","",IF(INDEX(Tasks!$A:$A,$A74)="","",INDEX(Tasks!$A:$A,$A74)))</f>
        <v/>
      </c>
      <c r="C74" s="17" t="str">
        <f aca="false">IF($A74="","",IF(ISERROR(FIND(".",INDEX(Tasks!$A:$A,$A74))),"","   ")&amp;INDEX(Tasks!$C:$C,$A74))</f>
        <v/>
      </c>
      <c r="D74" s="17" t="str">
        <f aca="false">IF($A74="","",IF(INDEX(Tasks!$B:$B,$A74)="","",INDEX(Tasks!$B:$B,$A74)))</f>
        <v/>
      </c>
      <c r="E74" s="17" t="str">
        <f aca="false">IF($A74="","",IF(INDEX(Tasks!$E:$E,$A74)="","",INDEX(Tasks!$E:$E,$A74)))</f>
        <v/>
      </c>
      <c r="F74" s="18" t="str">
        <f aca="false">IF($A74="","",IF(INDEX(Tasks!$F:$F,$A74)="","",INDEX(Tasks!$F:$F,$A74)))</f>
        <v/>
      </c>
      <c r="G74" s="18" t="str">
        <f aca="false">IF($A74="","",IF(INDEX(Tasks!$H:$H,$A74)="","",INDEX(Tasks!$H:$H,$A74)))</f>
        <v/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</row>
    <row r="75" customFormat="false" ht="15" hidden="false" customHeight="false" outlineLevel="0" collapsed="false">
      <c r="A75" s="16" t="str">
        <f aca="false">IFERROR(MATCH($C$2&amp;"|"&amp;(ROW()-4),Tasks!$J$4:$J$403,0)+3,"")</f>
        <v/>
      </c>
      <c r="B75" s="17" t="str">
        <f aca="false">IF($A75="","",IF(INDEX(Tasks!$A:$A,$A75)="","",INDEX(Tasks!$A:$A,$A75)))</f>
        <v/>
      </c>
      <c r="C75" s="17" t="str">
        <f aca="false">IF($A75="","",IF(ISERROR(FIND(".",INDEX(Tasks!$A:$A,$A75))),"","   ")&amp;INDEX(Tasks!$C:$C,$A75))</f>
        <v/>
      </c>
      <c r="D75" s="17" t="str">
        <f aca="false">IF($A75="","",IF(INDEX(Tasks!$B:$B,$A75)="","",INDEX(Tasks!$B:$B,$A75)))</f>
        <v/>
      </c>
      <c r="E75" s="17" t="str">
        <f aca="false">IF($A75="","",IF(INDEX(Tasks!$E:$E,$A75)="","",INDEX(Tasks!$E:$E,$A75)))</f>
        <v/>
      </c>
      <c r="F75" s="18" t="str">
        <f aca="false">IF($A75="","",IF(INDEX(Tasks!$F:$F,$A75)="","",INDEX(Tasks!$F:$F,$A75)))</f>
        <v/>
      </c>
      <c r="G75" s="18" t="str">
        <f aca="false">IF($A75="","",IF(INDEX(Tasks!$H:$H,$A75)="","",INDEX(Tasks!$H:$H,$A75)))</f>
        <v/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</row>
    <row r="76" customFormat="false" ht="15" hidden="false" customHeight="false" outlineLevel="0" collapsed="false">
      <c r="A76" s="16" t="str">
        <f aca="false">IFERROR(MATCH($C$2&amp;"|"&amp;(ROW()-4),Tasks!$J$4:$J$403,0)+3,"")</f>
        <v/>
      </c>
      <c r="B76" s="17" t="str">
        <f aca="false">IF($A76="","",IF(INDEX(Tasks!$A:$A,$A76)="","",INDEX(Tasks!$A:$A,$A76)))</f>
        <v/>
      </c>
      <c r="C76" s="17" t="str">
        <f aca="false">IF($A76="","",IF(ISERROR(FIND(".",INDEX(Tasks!$A:$A,$A76))),"","   ")&amp;INDEX(Tasks!$C:$C,$A76))</f>
        <v/>
      </c>
      <c r="D76" s="17" t="str">
        <f aca="false">IF($A76="","",IF(INDEX(Tasks!$B:$B,$A76)="","",INDEX(Tasks!$B:$B,$A76)))</f>
        <v/>
      </c>
      <c r="E76" s="17" t="str">
        <f aca="false">IF($A76="","",IF(INDEX(Tasks!$E:$E,$A76)="","",INDEX(Tasks!$E:$E,$A76)))</f>
        <v/>
      </c>
      <c r="F76" s="18" t="str">
        <f aca="false">IF($A76="","",IF(INDEX(Tasks!$F:$F,$A76)="","",INDEX(Tasks!$F:$F,$A76)))</f>
        <v/>
      </c>
      <c r="G76" s="18" t="str">
        <f aca="false">IF($A76="","",IF(INDEX(Tasks!$H:$H,$A76)="","",INDEX(Tasks!$H:$H,$A76)))</f>
        <v/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</row>
    <row r="77" customFormat="false" ht="15" hidden="false" customHeight="false" outlineLevel="0" collapsed="false">
      <c r="A77" s="16" t="str">
        <f aca="false">IFERROR(MATCH($C$2&amp;"|"&amp;(ROW()-4),Tasks!$J$4:$J$403,0)+3,"")</f>
        <v/>
      </c>
      <c r="B77" s="17" t="str">
        <f aca="false">IF($A77="","",IF(INDEX(Tasks!$A:$A,$A77)="","",INDEX(Tasks!$A:$A,$A77)))</f>
        <v/>
      </c>
      <c r="C77" s="17" t="str">
        <f aca="false">IF($A77="","",IF(ISERROR(FIND(".",INDEX(Tasks!$A:$A,$A77))),"","   ")&amp;INDEX(Tasks!$C:$C,$A77))</f>
        <v/>
      </c>
      <c r="D77" s="17" t="str">
        <f aca="false">IF($A77="","",IF(INDEX(Tasks!$B:$B,$A77)="","",INDEX(Tasks!$B:$B,$A77)))</f>
        <v/>
      </c>
      <c r="E77" s="17" t="str">
        <f aca="false">IF($A77="","",IF(INDEX(Tasks!$E:$E,$A77)="","",INDEX(Tasks!$E:$E,$A77)))</f>
        <v/>
      </c>
      <c r="F77" s="18" t="str">
        <f aca="false">IF($A77="","",IF(INDEX(Tasks!$F:$F,$A77)="","",INDEX(Tasks!$F:$F,$A77)))</f>
        <v/>
      </c>
      <c r="G77" s="18" t="str">
        <f aca="false">IF($A77="","",IF(INDEX(Tasks!$H:$H,$A77)="","",INDEX(Tasks!$H:$H,$A77)))</f>
        <v/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</row>
    <row r="78" customFormat="false" ht="15" hidden="false" customHeight="false" outlineLevel="0" collapsed="false">
      <c r="A78" s="16" t="str">
        <f aca="false">IFERROR(MATCH($C$2&amp;"|"&amp;(ROW()-4),Tasks!$J$4:$J$403,0)+3,"")</f>
        <v/>
      </c>
      <c r="B78" s="17" t="str">
        <f aca="false">IF($A78="","",IF(INDEX(Tasks!$A:$A,$A78)="","",INDEX(Tasks!$A:$A,$A78)))</f>
        <v/>
      </c>
      <c r="C78" s="17" t="str">
        <f aca="false">IF($A78="","",IF(ISERROR(FIND(".",INDEX(Tasks!$A:$A,$A78))),"","   ")&amp;INDEX(Tasks!$C:$C,$A78))</f>
        <v/>
      </c>
      <c r="D78" s="17" t="str">
        <f aca="false">IF($A78="","",IF(INDEX(Tasks!$B:$B,$A78)="","",INDEX(Tasks!$B:$B,$A78)))</f>
        <v/>
      </c>
      <c r="E78" s="17" t="str">
        <f aca="false">IF($A78="","",IF(INDEX(Tasks!$E:$E,$A78)="","",INDEX(Tasks!$E:$E,$A78)))</f>
        <v/>
      </c>
      <c r="F78" s="18" t="str">
        <f aca="false">IF($A78="","",IF(INDEX(Tasks!$F:$F,$A78)="","",INDEX(Tasks!$F:$F,$A78)))</f>
        <v/>
      </c>
      <c r="G78" s="18" t="str">
        <f aca="false">IF($A78="","",IF(INDEX(Tasks!$H:$H,$A78)="","",INDEX(Tasks!$H:$H,$A78)))</f>
        <v/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</row>
    <row r="79" customFormat="false" ht="15" hidden="false" customHeight="false" outlineLevel="0" collapsed="false">
      <c r="A79" s="16" t="str">
        <f aca="false">IFERROR(MATCH($C$2&amp;"|"&amp;(ROW()-4),Tasks!$J$4:$J$403,0)+3,"")</f>
        <v/>
      </c>
      <c r="B79" s="17" t="str">
        <f aca="false">IF($A79="","",IF(INDEX(Tasks!$A:$A,$A79)="","",INDEX(Tasks!$A:$A,$A79)))</f>
        <v/>
      </c>
      <c r="C79" s="17" t="str">
        <f aca="false">IF($A79="","",IF(ISERROR(FIND(".",INDEX(Tasks!$A:$A,$A79))),"","   ")&amp;INDEX(Tasks!$C:$C,$A79))</f>
        <v/>
      </c>
      <c r="D79" s="17" t="str">
        <f aca="false">IF($A79="","",IF(INDEX(Tasks!$B:$B,$A79)="","",INDEX(Tasks!$B:$B,$A79)))</f>
        <v/>
      </c>
      <c r="E79" s="17" t="str">
        <f aca="false">IF($A79="","",IF(INDEX(Tasks!$E:$E,$A79)="","",INDEX(Tasks!$E:$E,$A79)))</f>
        <v/>
      </c>
      <c r="F79" s="18" t="str">
        <f aca="false">IF($A79="","",IF(INDEX(Tasks!$F:$F,$A79)="","",INDEX(Tasks!$F:$F,$A79)))</f>
        <v/>
      </c>
      <c r="G79" s="18" t="str">
        <f aca="false">IF($A79="","",IF(INDEX(Tasks!$H:$H,$A79)="","",INDEX(Tasks!$H:$H,$A79)))</f>
        <v/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</row>
    <row r="80" customFormat="false" ht="15" hidden="false" customHeight="false" outlineLevel="0" collapsed="false">
      <c r="A80" s="16" t="str">
        <f aca="false">IFERROR(MATCH($C$2&amp;"|"&amp;(ROW()-4),Tasks!$J$4:$J$403,0)+3,"")</f>
        <v/>
      </c>
      <c r="B80" s="17" t="str">
        <f aca="false">IF($A80="","",IF(INDEX(Tasks!$A:$A,$A80)="","",INDEX(Tasks!$A:$A,$A80)))</f>
        <v/>
      </c>
      <c r="C80" s="17" t="str">
        <f aca="false">IF($A80="","",IF(ISERROR(FIND(".",INDEX(Tasks!$A:$A,$A80))),"","   ")&amp;INDEX(Tasks!$C:$C,$A80))</f>
        <v/>
      </c>
      <c r="D80" s="17" t="str">
        <f aca="false">IF($A80="","",IF(INDEX(Tasks!$B:$B,$A80)="","",INDEX(Tasks!$B:$B,$A80)))</f>
        <v/>
      </c>
      <c r="E80" s="17" t="str">
        <f aca="false">IF($A80="","",IF(INDEX(Tasks!$E:$E,$A80)="","",INDEX(Tasks!$E:$E,$A80)))</f>
        <v/>
      </c>
      <c r="F80" s="18" t="str">
        <f aca="false">IF($A80="","",IF(INDEX(Tasks!$F:$F,$A80)="","",INDEX(Tasks!$F:$F,$A80)))</f>
        <v/>
      </c>
      <c r="G80" s="18" t="str">
        <f aca="false">IF($A80="","",IF(INDEX(Tasks!$H:$H,$A80)="","",INDEX(Tasks!$H:$H,$A80)))</f>
        <v/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</row>
    <row r="81" customFormat="false" ht="15" hidden="false" customHeight="false" outlineLevel="0" collapsed="false">
      <c r="A81" s="16" t="str">
        <f aca="false">IFERROR(MATCH($C$2&amp;"|"&amp;(ROW()-4),Tasks!$J$4:$J$403,0)+3,"")</f>
        <v/>
      </c>
      <c r="B81" s="17" t="str">
        <f aca="false">IF($A81="","",IF(INDEX(Tasks!$A:$A,$A81)="","",INDEX(Tasks!$A:$A,$A81)))</f>
        <v/>
      </c>
      <c r="C81" s="17" t="str">
        <f aca="false">IF($A81="","",IF(ISERROR(FIND(".",INDEX(Tasks!$A:$A,$A81))),"","   ")&amp;INDEX(Tasks!$C:$C,$A81))</f>
        <v/>
      </c>
      <c r="D81" s="17" t="str">
        <f aca="false">IF($A81="","",IF(INDEX(Tasks!$B:$B,$A81)="","",INDEX(Tasks!$B:$B,$A81)))</f>
        <v/>
      </c>
      <c r="E81" s="17" t="str">
        <f aca="false">IF($A81="","",IF(INDEX(Tasks!$E:$E,$A81)="","",INDEX(Tasks!$E:$E,$A81)))</f>
        <v/>
      </c>
      <c r="F81" s="18" t="str">
        <f aca="false">IF($A81="","",IF(INDEX(Tasks!$F:$F,$A81)="","",INDEX(Tasks!$F:$F,$A81)))</f>
        <v/>
      </c>
      <c r="G81" s="18" t="str">
        <f aca="false">IF($A81="","",IF(INDEX(Tasks!$H:$H,$A81)="","",INDEX(Tasks!$H:$H,$A81)))</f>
        <v/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</row>
    <row r="82" customFormat="false" ht="15" hidden="false" customHeight="false" outlineLevel="0" collapsed="false">
      <c r="A82" s="16" t="str">
        <f aca="false">IFERROR(MATCH($C$2&amp;"|"&amp;(ROW()-4),Tasks!$J$4:$J$403,0)+3,"")</f>
        <v/>
      </c>
      <c r="B82" s="17" t="str">
        <f aca="false">IF($A82="","",IF(INDEX(Tasks!$A:$A,$A82)="","",INDEX(Tasks!$A:$A,$A82)))</f>
        <v/>
      </c>
      <c r="C82" s="17" t="str">
        <f aca="false">IF($A82="","",IF(ISERROR(FIND(".",INDEX(Tasks!$A:$A,$A82))),"","   ")&amp;INDEX(Tasks!$C:$C,$A82))</f>
        <v/>
      </c>
      <c r="D82" s="17" t="str">
        <f aca="false">IF($A82="","",IF(INDEX(Tasks!$B:$B,$A82)="","",INDEX(Tasks!$B:$B,$A82)))</f>
        <v/>
      </c>
      <c r="E82" s="17" t="str">
        <f aca="false">IF($A82="","",IF(INDEX(Tasks!$E:$E,$A82)="","",INDEX(Tasks!$E:$E,$A82)))</f>
        <v/>
      </c>
      <c r="F82" s="18" t="str">
        <f aca="false">IF($A82="","",IF(INDEX(Tasks!$F:$F,$A82)="","",INDEX(Tasks!$F:$F,$A82)))</f>
        <v/>
      </c>
      <c r="G82" s="18" t="str">
        <f aca="false">IF($A82="","",IF(INDEX(Tasks!$H:$H,$A82)="","",INDEX(Tasks!$H:$H,$A82)))</f>
        <v/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</row>
    <row r="83" customFormat="false" ht="15" hidden="false" customHeight="false" outlineLevel="0" collapsed="false">
      <c r="A83" s="16" t="str">
        <f aca="false">IFERROR(MATCH($C$2&amp;"|"&amp;(ROW()-4),Tasks!$J$4:$J$403,0)+3,"")</f>
        <v/>
      </c>
      <c r="B83" s="17" t="str">
        <f aca="false">IF($A83="","",IF(INDEX(Tasks!$A:$A,$A83)="","",INDEX(Tasks!$A:$A,$A83)))</f>
        <v/>
      </c>
      <c r="C83" s="17" t="str">
        <f aca="false">IF($A83="","",IF(ISERROR(FIND(".",INDEX(Tasks!$A:$A,$A83))),"","   ")&amp;INDEX(Tasks!$C:$C,$A83))</f>
        <v/>
      </c>
      <c r="D83" s="17" t="str">
        <f aca="false">IF($A83="","",IF(INDEX(Tasks!$B:$B,$A83)="","",INDEX(Tasks!$B:$B,$A83)))</f>
        <v/>
      </c>
      <c r="E83" s="17" t="str">
        <f aca="false">IF($A83="","",IF(INDEX(Tasks!$E:$E,$A83)="","",INDEX(Tasks!$E:$E,$A83)))</f>
        <v/>
      </c>
      <c r="F83" s="18" t="str">
        <f aca="false">IF($A83="","",IF(INDEX(Tasks!$F:$F,$A83)="","",INDEX(Tasks!$F:$F,$A83)))</f>
        <v/>
      </c>
      <c r="G83" s="18" t="str">
        <f aca="false">IF($A83="","",IF(INDEX(Tasks!$H:$H,$A83)="","",INDEX(Tasks!$H:$H,$A83)))</f>
        <v/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</row>
    <row r="84" customFormat="false" ht="15" hidden="false" customHeight="false" outlineLevel="0" collapsed="false">
      <c r="A84" s="16" t="str">
        <f aca="false">IFERROR(MATCH($C$2&amp;"|"&amp;(ROW()-4),Tasks!$J$4:$J$403,0)+3,"")</f>
        <v/>
      </c>
      <c r="B84" s="17" t="str">
        <f aca="false">IF($A84="","",IF(INDEX(Tasks!$A:$A,$A84)="","",INDEX(Tasks!$A:$A,$A84)))</f>
        <v/>
      </c>
      <c r="C84" s="17" t="str">
        <f aca="false">IF($A84="","",IF(ISERROR(FIND(".",INDEX(Tasks!$A:$A,$A84))),"","   ")&amp;INDEX(Tasks!$C:$C,$A84))</f>
        <v/>
      </c>
      <c r="D84" s="17" t="str">
        <f aca="false">IF($A84="","",IF(INDEX(Tasks!$B:$B,$A84)="","",INDEX(Tasks!$B:$B,$A84)))</f>
        <v/>
      </c>
      <c r="E84" s="17" t="str">
        <f aca="false">IF($A84="","",IF(INDEX(Tasks!$E:$E,$A84)="","",INDEX(Tasks!$E:$E,$A84)))</f>
        <v/>
      </c>
      <c r="F84" s="18" t="str">
        <f aca="false">IF($A84="","",IF(INDEX(Tasks!$F:$F,$A84)="","",INDEX(Tasks!$F:$F,$A84)))</f>
        <v/>
      </c>
      <c r="G84" s="18" t="str">
        <f aca="false">IF($A84="","",IF(INDEX(Tasks!$H:$H,$A84)="","",INDEX(Tasks!$H:$H,$A84)))</f>
        <v/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</row>
    <row r="85" customFormat="false" ht="15" hidden="false" customHeight="false" outlineLevel="0" collapsed="false">
      <c r="A85" s="16" t="str">
        <f aca="false">IFERROR(MATCH($C$2&amp;"|"&amp;(ROW()-4),Tasks!$J$4:$J$403,0)+3,"")</f>
        <v/>
      </c>
      <c r="B85" s="17" t="str">
        <f aca="false">IF($A85="","",IF(INDEX(Tasks!$A:$A,$A85)="","",INDEX(Tasks!$A:$A,$A85)))</f>
        <v/>
      </c>
      <c r="C85" s="17" t="str">
        <f aca="false">IF($A85="","",IF(ISERROR(FIND(".",INDEX(Tasks!$A:$A,$A85))),"","   ")&amp;INDEX(Tasks!$C:$C,$A85))</f>
        <v/>
      </c>
      <c r="D85" s="17" t="str">
        <f aca="false">IF($A85="","",IF(INDEX(Tasks!$B:$B,$A85)="","",INDEX(Tasks!$B:$B,$A85)))</f>
        <v/>
      </c>
      <c r="E85" s="17" t="str">
        <f aca="false">IF($A85="","",IF(INDEX(Tasks!$E:$E,$A85)="","",INDEX(Tasks!$E:$E,$A85)))</f>
        <v/>
      </c>
      <c r="F85" s="18" t="str">
        <f aca="false">IF($A85="","",IF(INDEX(Tasks!$F:$F,$A85)="","",INDEX(Tasks!$F:$F,$A85)))</f>
        <v/>
      </c>
      <c r="G85" s="18" t="str">
        <f aca="false">IF($A85="","",IF(INDEX(Tasks!$H:$H,$A85)="","",INDEX(Tasks!$H:$H,$A85)))</f>
        <v/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customFormat="false" ht="15" hidden="false" customHeight="false" outlineLevel="0" collapsed="false">
      <c r="A86" s="16" t="str">
        <f aca="false">IFERROR(MATCH($C$2&amp;"|"&amp;(ROW()-4),Tasks!$J$4:$J$403,0)+3,"")</f>
        <v/>
      </c>
      <c r="B86" s="17" t="str">
        <f aca="false">IF($A86="","",IF(INDEX(Tasks!$A:$A,$A86)="","",INDEX(Tasks!$A:$A,$A86)))</f>
        <v/>
      </c>
      <c r="C86" s="17" t="str">
        <f aca="false">IF($A86="","",IF(ISERROR(FIND(".",INDEX(Tasks!$A:$A,$A86))),"","   ")&amp;INDEX(Tasks!$C:$C,$A86))</f>
        <v/>
      </c>
      <c r="D86" s="17" t="str">
        <f aca="false">IF($A86="","",IF(INDEX(Tasks!$B:$B,$A86)="","",INDEX(Tasks!$B:$B,$A86)))</f>
        <v/>
      </c>
      <c r="E86" s="17" t="str">
        <f aca="false">IF($A86="","",IF(INDEX(Tasks!$E:$E,$A86)="","",INDEX(Tasks!$E:$E,$A86)))</f>
        <v/>
      </c>
      <c r="F86" s="18" t="str">
        <f aca="false">IF($A86="","",IF(INDEX(Tasks!$F:$F,$A86)="","",INDEX(Tasks!$F:$F,$A86)))</f>
        <v/>
      </c>
      <c r="G86" s="18" t="str">
        <f aca="false">IF($A86="","",IF(INDEX(Tasks!$H:$H,$A86)="","",INDEX(Tasks!$H:$H,$A86)))</f>
        <v/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</row>
    <row r="87" customFormat="false" ht="15" hidden="false" customHeight="false" outlineLevel="0" collapsed="false">
      <c r="A87" s="16" t="str">
        <f aca="false">IFERROR(MATCH($C$2&amp;"|"&amp;(ROW()-4),Tasks!$J$4:$J$403,0)+3,"")</f>
        <v/>
      </c>
      <c r="B87" s="17" t="str">
        <f aca="false">IF($A87="","",IF(INDEX(Tasks!$A:$A,$A87)="","",INDEX(Tasks!$A:$A,$A87)))</f>
        <v/>
      </c>
      <c r="C87" s="17" t="str">
        <f aca="false">IF($A87="","",IF(ISERROR(FIND(".",INDEX(Tasks!$A:$A,$A87))),"","   ")&amp;INDEX(Tasks!$C:$C,$A87))</f>
        <v/>
      </c>
      <c r="D87" s="17" t="str">
        <f aca="false">IF($A87="","",IF(INDEX(Tasks!$B:$B,$A87)="","",INDEX(Tasks!$B:$B,$A87)))</f>
        <v/>
      </c>
      <c r="E87" s="17" t="str">
        <f aca="false">IF($A87="","",IF(INDEX(Tasks!$E:$E,$A87)="","",INDEX(Tasks!$E:$E,$A87)))</f>
        <v/>
      </c>
      <c r="F87" s="18" t="str">
        <f aca="false">IF($A87="","",IF(INDEX(Tasks!$F:$F,$A87)="","",INDEX(Tasks!$F:$F,$A87)))</f>
        <v/>
      </c>
      <c r="G87" s="18" t="str">
        <f aca="false">IF($A87="","",IF(INDEX(Tasks!$H:$H,$A87)="","",INDEX(Tasks!$H:$H,$A87)))</f>
        <v/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customFormat="false" ht="15" hidden="false" customHeight="false" outlineLevel="0" collapsed="false">
      <c r="A88" s="16" t="str">
        <f aca="false">IFERROR(MATCH($C$2&amp;"|"&amp;(ROW()-4),Tasks!$J$4:$J$403,0)+3,"")</f>
        <v/>
      </c>
      <c r="B88" s="17" t="str">
        <f aca="false">IF($A88="","",IF(INDEX(Tasks!$A:$A,$A88)="","",INDEX(Tasks!$A:$A,$A88)))</f>
        <v/>
      </c>
      <c r="C88" s="17" t="str">
        <f aca="false">IF($A88="","",IF(ISERROR(FIND(".",INDEX(Tasks!$A:$A,$A88))),"","   ")&amp;INDEX(Tasks!$C:$C,$A88))</f>
        <v/>
      </c>
      <c r="D88" s="17" t="str">
        <f aca="false">IF($A88="","",IF(INDEX(Tasks!$B:$B,$A88)="","",INDEX(Tasks!$B:$B,$A88)))</f>
        <v/>
      </c>
      <c r="E88" s="17" t="str">
        <f aca="false">IF($A88="","",IF(INDEX(Tasks!$E:$E,$A88)="","",INDEX(Tasks!$E:$E,$A88)))</f>
        <v/>
      </c>
      <c r="F88" s="18" t="str">
        <f aca="false">IF($A88="","",IF(INDEX(Tasks!$F:$F,$A88)="","",INDEX(Tasks!$F:$F,$A88)))</f>
        <v/>
      </c>
      <c r="G88" s="18" t="str">
        <f aca="false">IF($A88="","",IF(INDEX(Tasks!$H:$H,$A88)="","",INDEX(Tasks!$H:$H,$A88)))</f>
        <v/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customFormat="false" ht="15" hidden="false" customHeight="false" outlineLevel="0" collapsed="false">
      <c r="A89" s="16" t="str">
        <f aca="false">IFERROR(MATCH($C$2&amp;"|"&amp;(ROW()-4),Tasks!$J$4:$J$403,0)+3,"")</f>
        <v/>
      </c>
      <c r="B89" s="17" t="str">
        <f aca="false">IF($A89="","",IF(INDEX(Tasks!$A:$A,$A89)="","",INDEX(Tasks!$A:$A,$A89)))</f>
        <v/>
      </c>
      <c r="C89" s="17" t="str">
        <f aca="false">IF($A89="","",IF(ISERROR(FIND(".",INDEX(Tasks!$A:$A,$A89))),"","   ")&amp;INDEX(Tasks!$C:$C,$A89))</f>
        <v/>
      </c>
      <c r="D89" s="17" t="str">
        <f aca="false">IF($A89="","",IF(INDEX(Tasks!$B:$B,$A89)="","",INDEX(Tasks!$B:$B,$A89)))</f>
        <v/>
      </c>
      <c r="E89" s="17" t="str">
        <f aca="false">IF($A89="","",IF(INDEX(Tasks!$E:$E,$A89)="","",INDEX(Tasks!$E:$E,$A89)))</f>
        <v/>
      </c>
      <c r="F89" s="18" t="str">
        <f aca="false">IF($A89="","",IF(INDEX(Tasks!$F:$F,$A89)="","",INDEX(Tasks!$F:$F,$A89)))</f>
        <v/>
      </c>
      <c r="G89" s="18" t="str">
        <f aca="false">IF($A89="","",IF(INDEX(Tasks!$H:$H,$A89)="","",INDEX(Tasks!$H:$H,$A89)))</f>
        <v/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</row>
    <row r="90" customFormat="false" ht="15" hidden="false" customHeight="false" outlineLevel="0" collapsed="false">
      <c r="A90" s="16" t="str">
        <f aca="false">IFERROR(MATCH($C$2&amp;"|"&amp;(ROW()-4),Tasks!$J$4:$J$403,0)+3,"")</f>
        <v/>
      </c>
      <c r="B90" s="17" t="str">
        <f aca="false">IF($A90="","",IF(INDEX(Tasks!$A:$A,$A90)="","",INDEX(Tasks!$A:$A,$A90)))</f>
        <v/>
      </c>
      <c r="C90" s="17" t="str">
        <f aca="false">IF($A90="","",IF(ISERROR(FIND(".",INDEX(Tasks!$A:$A,$A90))),"","   ")&amp;INDEX(Tasks!$C:$C,$A90))</f>
        <v/>
      </c>
      <c r="D90" s="17" t="str">
        <f aca="false">IF($A90="","",IF(INDEX(Tasks!$B:$B,$A90)="","",INDEX(Tasks!$B:$B,$A90)))</f>
        <v/>
      </c>
      <c r="E90" s="17" t="str">
        <f aca="false">IF($A90="","",IF(INDEX(Tasks!$E:$E,$A90)="","",INDEX(Tasks!$E:$E,$A90)))</f>
        <v/>
      </c>
      <c r="F90" s="18" t="str">
        <f aca="false">IF($A90="","",IF(INDEX(Tasks!$F:$F,$A90)="","",INDEX(Tasks!$F:$F,$A90)))</f>
        <v/>
      </c>
      <c r="G90" s="18" t="str">
        <f aca="false">IF($A90="","",IF(INDEX(Tasks!$H:$H,$A90)="","",INDEX(Tasks!$H:$H,$A90)))</f>
        <v/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</row>
    <row r="91" customFormat="false" ht="15" hidden="false" customHeight="false" outlineLevel="0" collapsed="false">
      <c r="A91" s="16" t="str">
        <f aca="false">IFERROR(MATCH($C$2&amp;"|"&amp;(ROW()-4),Tasks!$J$4:$J$403,0)+3,"")</f>
        <v/>
      </c>
      <c r="B91" s="17" t="str">
        <f aca="false">IF($A91="","",IF(INDEX(Tasks!$A:$A,$A91)="","",INDEX(Tasks!$A:$A,$A91)))</f>
        <v/>
      </c>
      <c r="C91" s="17" t="str">
        <f aca="false">IF($A91="","",IF(ISERROR(FIND(".",INDEX(Tasks!$A:$A,$A91))),"","   ")&amp;INDEX(Tasks!$C:$C,$A91))</f>
        <v/>
      </c>
      <c r="D91" s="17" t="str">
        <f aca="false">IF($A91="","",IF(INDEX(Tasks!$B:$B,$A91)="","",INDEX(Tasks!$B:$B,$A91)))</f>
        <v/>
      </c>
      <c r="E91" s="17" t="str">
        <f aca="false">IF($A91="","",IF(INDEX(Tasks!$E:$E,$A91)="","",INDEX(Tasks!$E:$E,$A91)))</f>
        <v/>
      </c>
      <c r="F91" s="18" t="str">
        <f aca="false">IF($A91="","",IF(INDEX(Tasks!$F:$F,$A91)="","",INDEX(Tasks!$F:$F,$A91)))</f>
        <v/>
      </c>
      <c r="G91" s="18" t="str">
        <f aca="false">IF($A91="","",IF(INDEX(Tasks!$H:$H,$A91)="","",INDEX(Tasks!$H:$H,$A91)))</f>
        <v/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</row>
    <row r="92" customFormat="false" ht="15" hidden="false" customHeight="false" outlineLevel="0" collapsed="false">
      <c r="A92" s="16" t="str">
        <f aca="false">IFERROR(MATCH($C$2&amp;"|"&amp;(ROW()-4),Tasks!$J$4:$J$403,0)+3,"")</f>
        <v/>
      </c>
      <c r="B92" s="17" t="str">
        <f aca="false">IF($A92="","",IF(INDEX(Tasks!$A:$A,$A92)="","",INDEX(Tasks!$A:$A,$A92)))</f>
        <v/>
      </c>
      <c r="C92" s="17" t="str">
        <f aca="false">IF($A92="","",IF(ISERROR(FIND(".",INDEX(Tasks!$A:$A,$A92))),"","   ")&amp;INDEX(Tasks!$C:$C,$A92))</f>
        <v/>
      </c>
      <c r="D92" s="17" t="str">
        <f aca="false">IF($A92="","",IF(INDEX(Tasks!$B:$B,$A92)="","",INDEX(Tasks!$B:$B,$A92)))</f>
        <v/>
      </c>
      <c r="E92" s="17" t="str">
        <f aca="false">IF($A92="","",IF(INDEX(Tasks!$E:$E,$A92)="","",INDEX(Tasks!$E:$E,$A92)))</f>
        <v/>
      </c>
      <c r="F92" s="18" t="str">
        <f aca="false">IF($A92="","",IF(INDEX(Tasks!$F:$F,$A92)="","",INDEX(Tasks!$F:$F,$A92)))</f>
        <v/>
      </c>
      <c r="G92" s="18" t="str">
        <f aca="false">IF($A92="","",IF(INDEX(Tasks!$H:$H,$A92)="","",INDEX(Tasks!$H:$H,$A92)))</f>
        <v/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</row>
    <row r="93" customFormat="false" ht="15" hidden="false" customHeight="false" outlineLevel="0" collapsed="false">
      <c r="A93" s="16" t="str">
        <f aca="false">IFERROR(MATCH($C$2&amp;"|"&amp;(ROW()-4),Tasks!$J$4:$J$403,0)+3,"")</f>
        <v/>
      </c>
      <c r="B93" s="17" t="str">
        <f aca="false">IF($A93="","",IF(INDEX(Tasks!$A:$A,$A93)="","",INDEX(Tasks!$A:$A,$A93)))</f>
        <v/>
      </c>
      <c r="C93" s="17" t="str">
        <f aca="false">IF($A93="","",IF(ISERROR(FIND(".",INDEX(Tasks!$A:$A,$A93))),"","   ")&amp;INDEX(Tasks!$C:$C,$A93))</f>
        <v/>
      </c>
      <c r="D93" s="17" t="str">
        <f aca="false">IF($A93="","",IF(INDEX(Tasks!$B:$B,$A93)="","",INDEX(Tasks!$B:$B,$A93)))</f>
        <v/>
      </c>
      <c r="E93" s="17" t="str">
        <f aca="false">IF($A93="","",IF(INDEX(Tasks!$E:$E,$A93)="","",INDEX(Tasks!$E:$E,$A93)))</f>
        <v/>
      </c>
      <c r="F93" s="18" t="str">
        <f aca="false">IF($A93="","",IF(INDEX(Tasks!$F:$F,$A93)="","",INDEX(Tasks!$F:$F,$A93)))</f>
        <v/>
      </c>
      <c r="G93" s="18" t="str">
        <f aca="false">IF($A93="","",IF(INDEX(Tasks!$H:$H,$A93)="","",INDEX(Tasks!$H:$H,$A93)))</f>
        <v/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</row>
    <row r="94" customFormat="false" ht="15" hidden="false" customHeight="false" outlineLevel="0" collapsed="false">
      <c r="A94" s="16" t="str">
        <f aca="false">IFERROR(MATCH($C$2&amp;"|"&amp;(ROW()-4),Tasks!$J$4:$J$403,0)+3,"")</f>
        <v/>
      </c>
      <c r="B94" s="17" t="str">
        <f aca="false">IF($A94="","",IF(INDEX(Tasks!$A:$A,$A94)="","",INDEX(Tasks!$A:$A,$A94)))</f>
        <v/>
      </c>
      <c r="C94" s="17" t="str">
        <f aca="false">IF($A94="","",IF(ISERROR(FIND(".",INDEX(Tasks!$A:$A,$A94))),"","   ")&amp;INDEX(Tasks!$C:$C,$A94))</f>
        <v/>
      </c>
      <c r="D94" s="17" t="str">
        <f aca="false">IF($A94="","",IF(INDEX(Tasks!$B:$B,$A94)="","",INDEX(Tasks!$B:$B,$A94)))</f>
        <v/>
      </c>
      <c r="E94" s="17" t="str">
        <f aca="false">IF($A94="","",IF(INDEX(Tasks!$E:$E,$A94)="","",INDEX(Tasks!$E:$E,$A94)))</f>
        <v/>
      </c>
      <c r="F94" s="18" t="str">
        <f aca="false">IF($A94="","",IF(INDEX(Tasks!$F:$F,$A94)="","",INDEX(Tasks!$F:$F,$A94)))</f>
        <v/>
      </c>
      <c r="G94" s="18" t="str">
        <f aca="false">IF($A94="","",IF(INDEX(Tasks!$H:$H,$A94)="","",INDEX(Tasks!$H:$H,$A94)))</f>
        <v/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</row>
    <row r="95" customFormat="false" ht="15" hidden="false" customHeight="false" outlineLevel="0" collapsed="false">
      <c r="A95" s="16" t="str">
        <f aca="false">IFERROR(MATCH($C$2&amp;"|"&amp;(ROW()-4),Tasks!$J$4:$J$403,0)+3,"")</f>
        <v/>
      </c>
      <c r="B95" s="17" t="str">
        <f aca="false">IF($A95="","",IF(INDEX(Tasks!$A:$A,$A95)="","",INDEX(Tasks!$A:$A,$A95)))</f>
        <v/>
      </c>
      <c r="C95" s="17" t="str">
        <f aca="false">IF($A95="","",IF(ISERROR(FIND(".",INDEX(Tasks!$A:$A,$A95))),"","   ")&amp;INDEX(Tasks!$C:$C,$A95))</f>
        <v/>
      </c>
      <c r="D95" s="17" t="str">
        <f aca="false">IF($A95="","",IF(INDEX(Tasks!$B:$B,$A95)="","",INDEX(Tasks!$B:$B,$A95)))</f>
        <v/>
      </c>
      <c r="E95" s="17" t="str">
        <f aca="false">IF($A95="","",IF(INDEX(Tasks!$E:$E,$A95)="","",INDEX(Tasks!$E:$E,$A95)))</f>
        <v/>
      </c>
      <c r="F95" s="18" t="str">
        <f aca="false">IF($A95="","",IF(INDEX(Tasks!$F:$F,$A95)="","",INDEX(Tasks!$F:$F,$A95)))</f>
        <v/>
      </c>
      <c r="G95" s="18" t="str">
        <f aca="false">IF($A95="","",IF(INDEX(Tasks!$H:$H,$A95)="","",INDEX(Tasks!$H:$H,$A95)))</f>
        <v/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</row>
    <row r="96" customFormat="false" ht="15" hidden="false" customHeight="false" outlineLevel="0" collapsed="false">
      <c r="A96" s="16" t="str">
        <f aca="false">IFERROR(MATCH($C$2&amp;"|"&amp;(ROW()-4),Tasks!$J$4:$J$403,0)+3,"")</f>
        <v/>
      </c>
      <c r="B96" s="17" t="str">
        <f aca="false">IF($A96="","",IF(INDEX(Tasks!$A:$A,$A96)="","",INDEX(Tasks!$A:$A,$A96)))</f>
        <v/>
      </c>
      <c r="C96" s="17" t="str">
        <f aca="false">IF($A96="","",IF(ISERROR(FIND(".",INDEX(Tasks!$A:$A,$A96))),"","   ")&amp;INDEX(Tasks!$C:$C,$A96))</f>
        <v/>
      </c>
      <c r="D96" s="17" t="str">
        <f aca="false">IF($A96="","",IF(INDEX(Tasks!$B:$B,$A96)="","",INDEX(Tasks!$B:$B,$A96)))</f>
        <v/>
      </c>
      <c r="E96" s="17" t="str">
        <f aca="false">IF($A96="","",IF(INDEX(Tasks!$E:$E,$A96)="","",INDEX(Tasks!$E:$E,$A96)))</f>
        <v/>
      </c>
      <c r="F96" s="18" t="str">
        <f aca="false">IF($A96="","",IF(INDEX(Tasks!$F:$F,$A96)="","",INDEX(Tasks!$F:$F,$A96)))</f>
        <v/>
      </c>
      <c r="G96" s="18" t="str">
        <f aca="false">IF($A96="","",IF(INDEX(Tasks!$H:$H,$A96)="","",INDEX(Tasks!$H:$H,$A96)))</f>
        <v/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</row>
    <row r="97" customFormat="false" ht="15" hidden="false" customHeight="false" outlineLevel="0" collapsed="false">
      <c r="A97" s="16" t="str">
        <f aca="false">IFERROR(MATCH($C$2&amp;"|"&amp;(ROW()-4),Tasks!$J$4:$J$403,0)+3,"")</f>
        <v/>
      </c>
      <c r="B97" s="17" t="str">
        <f aca="false">IF($A97="","",IF(INDEX(Tasks!$A:$A,$A97)="","",INDEX(Tasks!$A:$A,$A97)))</f>
        <v/>
      </c>
      <c r="C97" s="17" t="str">
        <f aca="false">IF($A97="","",IF(ISERROR(FIND(".",INDEX(Tasks!$A:$A,$A97))),"","   ")&amp;INDEX(Tasks!$C:$C,$A97))</f>
        <v/>
      </c>
      <c r="D97" s="17" t="str">
        <f aca="false">IF($A97="","",IF(INDEX(Tasks!$B:$B,$A97)="","",INDEX(Tasks!$B:$B,$A97)))</f>
        <v/>
      </c>
      <c r="E97" s="17" t="str">
        <f aca="false">IF($A97="","",IF(INDEX(Tasks!$E:$E,$A97)="","",INDEX(Tasks!$E:$E,$A97)))</f>
        <v/>
      </c>
      <c r="F97" s="18" t="str">
        <f aca="false">IF($A97="","",IF(INDEX(Tasks!$F:$F,$A97)="","",INDEX(Tasks!$F:$F,$A97)))</f>
        <v/>
      </c>
      <c r="G97" s="18" t="str">
        <f aca="false">IF($A97="","",IF(INDEX(Tasks!$H:$H,$A97)="","",INDEX(Tasks!$H:$H,$A97)))</f>
        <v/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</row>
    <row r="98" customFormat="false" ht="15" hidden="false" customHeight="false" outlineLevel="0" collapsed="false">
      <c r="A98" s="16" t="str">
        <f aca="false">IFERROR(MATCH($C$2&amp;"|"&amp;(ROW()-4),Tasks!$J$4:$J$403,0)+3,"")</f>
        <v/>
      </c>
      <c r="B98" s="17" t="str">
        <f aca="false">IF($A98="","",IF(INDEX(Tasks!$A:$A,$A98)="","",INDEX(Tasks!$A:$A,$A98)))</f>
        <v/>
      </c>
      <c r="C98" s="17" t="str">
        <f aca="false">IF($A98="","",IF(ISERROR(FIND(".",INDEX(Tasks!$A:$A,$A98))),"","   ")&amp;INDEX(Tasks!$C:$C,$A98))</f>
        <v/>
      </c>
      <c r="D98" s="17" t="str">
        <f aca="false">IF($A98="","",IF(INDEX(Tasks!$B:$B,$A98)="","",INDEX(Tasks!$B:$B,$A98)))</f>
        <v/>
      </c>
      <c r="E98" s="17" t="str">
        <f aca="false">IF($A98="","",IF(INDEX(Tasks!$E:$E,$A98)="","",INDEX(Tasks!$E:$E,$A98)))</f>
        <v/>
      </c>
      <c r="F98" s="18" t="str">
        <f aca="false">IF($A98="","",IF(INDEX(Tasks!$F:$F,$A98)="","",INDEX(Tasks!$F:$F,$A98)))</f>
        <v/>
      </c>
      <c r="G98" s="18" t="str">
        <f aca="false">IF($A98="","",IF(INDEX(Tasks!$H:$H,$A98)="","",INDEX(Tasks!$H:$H,$A98)))</f>
        <v/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</row>
    <row r="99" customFormat="false" ht="15" hidden="false" customHeight="false" outlineLevel="0" collapsed="false">
      <c r="A99" s="16" t="str">
        <f aca="false">IFERROR(MATCH($C$2&amp;"|"&amp;(ROW()-4),Tasks!$J$4:$J$403,0)+3,"")</f>
        <v/>
      </c>
      <c r="B99" s="17" t="str">
        <f aca="false">IF($A99="","",IF(INDEX(Tasks!$A:$A,$A99)="","",INDEX(Tasks!$A:$A,$A99)))</f>
        <v/>
      </c>
      <c r="C99" s="17" t="str">
        <f aca="false">IF($A99="","",IF(ISERROR(FIND(".",INDEX(Tasks!$A:$A,$A99))),"","   ")&amp;INDEX(Tasks!$C:$C,$A99))</f>
        <v/>
      </c>
      <c r="D99" s="17" t="str">
        <f aca="false">IF($A99="","",IF(INDEX(Tasks!$B:$B,$A99)="","",INDEX(Tasks!$B:$B,$A99)))</f>
        <v/>
      </c>
      <c r="E99" s="17" t="str">
        <f aca="false">IF($A99="","",IF(INDEX(Tasks!$E:$E,$A99)="","",INDEX(Tasks!$E:$E,$A99)))</f>
        <v/>
      </c>
      <c r="F99" s="18" t="str">
        <f aca="false">IF($A99="","",IF(INDEX(Tasks!$F:$F,$A99)="","",INDEX(Tasks!$F:$F,$A99)))</f>
        <v/>
      </c>
      <c r="G99" s="18" t="str">
        <f aca="false">IF($A99="","",IF(INDEX(Tasks!$H:$H,$A99)="","",INDEX(Tasks!$H:$H,$A99)))</f>
        <v/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</row>
    <row r="100" customFormat="false" ht="15" hidden="false" customHeight="false" outlineLevel="0" collapsed="false">
      <c r="A100" s="16" t="str">
        <f aca="false">IFERROR(MATCH($C$2&amp;"|"&amp;(ROW()-4),Tasks!$J$4:$J$403,0)+3,"")</f>
        <v/>
      </c>
      <c r="B100" s="17" t="str">
        <f aca="false">IF($A100="","",IF(INDEX(Tasks!$A:$A,$A100)="","",INDEX(Tasks!$A:$A,$A100)))</f>
        <v/>
      </c>
      <c r="C100" s="17" t="str">
        <f aca="false">IF($A100="","",IF(ISERROR(FIND(".",INDEX(Tasks!$A:$A,$A100))),"","   ")&amp;INDEX(Tasks!$C:$C,$A100))</f>
        <v/>
      </c>
      <c r="D100" s="17" t="str">
        <f aca="false">IF($A100="","",IF(INDEX(Tasks!$B:$B,$A100)="","",INDEX(Tasks!$B:$B,$A100)))</f>
        <v/>
      </c>
      <c r="E100" s="17" t="str">
        <f aca="false">IF($A100="","",IF(INDEX(Tasks!$E:$E,$A100)="","",INDEX(Tasks!$E:$E,$A100)))</f>
        <v/>
      </c>
      <c r="F100" s="18" t="str">
        <f aca="false">IF($A100="","",IF(INDEX(Tasks!$F:$F,$A100)="","",INDEX(Tasks!$F:$F,$A100)))</f>
        <v/>
      </c>
      <c r="G100" s="18" t="str">
        <f aca="false">IF($A100="","",IF(INDEX(Tasks!$H:$H,$A100)="","",INDEX(Tasks!$H:$H,$A100)))</f>
        <v/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</row>
    <row r="101" customFormat="false" ht="15" hidden="false" customHeight="false" outlineLevel="0" collapsed="false">
      <c r="A101" s="16" t="str">
        <f aca="false">IFERROR(MATCH($C$2&amp;"|"&amp;(ROW()-4),Tasks!$J$4:$J$403,0)+3,"")</f>
        <v/>
      </c>
      <c r="B101" s="17" t="str">
        <f aca="false">IF($A101="","",IF(INDEX(Tasks!$A:$A,$A101)="","",INDEX(Tasks!$A:$A,$A101)))</f>
        <v/>
      </c>
      <c r="C101" s="17" t="str">
        <f aca="false">IF($A101="","",IF(ISERROR(FIND(".",INDEX(Tasks!$A:$A,$A101))),"","   ")&amp;INDEX(Tasks!$C:$C,$A101))</f>
        <v/>
      </c>
      <c r="D101" s="17" t="str">
        <f aca="false">IF($A101="","",IF(INDEX(Tasks!$B:$B,$A101)="","",INDEX(Tasks!$B:$B,$A101)))</f>
        <v/>
      </c>
      <c r="E101" s="17" t="str">
        <f aca="false">IF($A101="","",IF(INDEX(Tasks!$E:$E,$A101)="","",INDEX(Tasks!$E:$E,$A101)))</f>
        <v/>
      </c>
      <c r="F101" s="18" t="str">
        <f aca="false">IF($A101="","",IF(INDEX(Tasks!$F:$F,$A101)="","",INDEX(Tasks!$F:$F,$A101)))</f>
        <v/>
      </c>
      <c r="G101" s="18" t="str">
        <f aca="false">IF($A101="","",IF(INDEX(Tasks!$H:$H,$A101)="","",INDEX(Tasks!$H:$H,$A101)))</f>
        <v/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customFormat="false" ht="15" hidden="false" customHeight="false" outlineLevel="0" collapsed="false">
      <c r="A102" s="16" t="str">
        <f aca="false">IFERROR(MATCH($C$2&amp;"|"&amp;(ROW()-4),Tasks!$J$4:$J$403,0)+3,"")</f>
        <v/>
      </c>
      <c r="B102" s="17" t="str">
        <f aca="false">IF($A102="","",IF(INDEX(Tasks!$A:$A,$A102)="","",INDEX(Tasks!$A:$A,$A102)))</f>
        <v/>
      </c>
      <c r="C102" s="17" t="str">
        <f aca="false">IF($A102="","",IF(ISERROR(FIND(".",INDEX(Tasks!$A:$A,$A102))),"","   ")&amp;INDEX(Tasks!$C:$C,$A102))</f>
        <v/>
      </c>
      <c r="D102" s="17" t="str">
        <f aca="false">IF($A102="","",IF(INDEX(Tasks!$B:$B,$A102)="","",INDEX(Tasks!$B:$B,$A102)))</f>
        <v/>
      </c>
      <c r="E102" s="17" t="str">
        <f aca="false">IF($A102="","",IF(INDEX(Tasks!$E:$E,$A102)="","",INDEX(Tasks!$E:$E,$A102)))</f>
        <v/>
      </c>
      <c r="F102" s="18" t="str">
        <f aca="false">IF($A102="","",IF(INDEX(Tasks!$F:$F,$A102)="","",INDEX(Tasks!$F:$F,$A102)))</f>
        <v/>
      </c>
      <c r="G102" s="18" t="str">
        <f aca="false">IF($A102="","",IF(INDEX(Tasks!$H:$H,$A102)="","",INDEX(Tasks!$H:$H,$A102)))</f>
        <v/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customFormat="false" ht="15" hidden="false" customHeight="false" outlineLevel="0" collapsed="false">
      <c r="A103" s="16" t="str">
        <f aca="false">IFERROR(MATCH($C$2&amp;"|"&amp;(ROW()-4),Tasks!$J$4:$J$403,0)+3,"")</f>
        <v/>
      </c>
      <c r="B103" s="17" t="str">
        <f aca="false">IF($A103="","",IF(INDEX(Tasks!$A:$A,$A103)="","",INDEX(Tasks!$A:$A,$A103)))</f>
        <v/>
      </c>
      <c r="C103" s="17" t="str">
        <f aca="false">IF($A103="","",IF(ISERROR(FIND(".",INDEX(Tasks!$A:$A,$A103))),"","   ")&amp;INDEX(Tasks!$C:$C,$A103))</f>
        <v/>
      </c>
      <c r="D103" s="17" t="str">
        <f aca="false">IF($A103="","",IF(INDEX(Tasks!$B:$B,$A103)="","",INDEX(Tasks!$B:$B,$A103)))</f>
        <v/>
      </c>
      <c r="E103" s="17" t="str">
        <f aca="false">IF($A103="","",IF(INDEX(Tasks!$E:$E,$A103)="","",INDEX(Tasks!$E:$E,$A103)))</f>
        <v/>
      </c>
      <c r="F103" s="18" t="str">
        <f aca="false">IF($A103="","",IF(INDEX(Tasks!$F:$F,$A103)="","",INDEX(Tasks!$F:$F,$A103)))</f>
        <v/>
      </c>
      <c r="G103" s="18" t="str">
        <f aca="false">IF($A103="","",IF(INDEX(Tasks!$H:$H,$A103)="","",INDEX(Tasks!$H:$H,$A103)))</f>
        <v/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customFormat="false" ht="15" hidden="false" customHeight="false" outlineLevel="0" collapsed="false">
      <c r="A104" s="16" t="str">
        <f aca="false">IFERROR(MATCH($C$2&amp;"|"&amp;(ROW()-4),Tasks!$J$4:$J$403,0)+3,"")</f>
        <v/>
      </c>
      <c r="B104" s="17" t="str">
        <f aca="false">IF($A104="","",IF(INDEX(Tasks!$A:$A,$A104)="","",INDEX(Tasks!$A:$A,$A104)))</f>
        <v/>
      </c>
      <c r="C104" s="17" t="str">
        <f aca="false">IF($A104="","",IF(ISERROR(FIND(".",INDEX(Tasks!$A:$A,$A104))),"","   ")&amp;INDEX(Tasks!$C:$C,$A104))</f>
        <v/>
      </c>
      <c r="D104" s="17" t="str">
        <f aca="false">IF($A104="","",IF(INDEX(Tasks!$B:$B,$A104)="","",INDEX(Tasks!$B:$B,$A104)))</f>
        <v/>
      </c>
      <c r="E104" s="17" t="str">
        <f aca="false">IF($A104="","",IF(INDEX(Tasks!$E:$E,$A104)="","",INDEX(Tasks!$E:$E,$A104)))</f>
        <v/>
      </c>
      <c r="F104" s="18" t="str">
        <f aca="false">IF($A104="","",IF(INDEX(Tasks!$F:$F,$A104)="","",INDEX(Tasks!$F:$F,$A104)))</f>
        <v/>
      </c>
      <c r="G104" s="18" t="str">
        <f aca="false">IF($A104="","",IF(INDEX(Tasks!$H:$H,$A104)="","",INDEX(Tasks!$H:$H,$A104)))</f>
        <v/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customFormat="false" ht="15" hidden="false" customHeight="false" outlineLevel="0" collapsed="false">
      <c r="A105" s="16" t="str">
        <f aca="false">IFERROR(MATCH($C$2&amp;"|"&amp;(ROW()-4),Tasks!$J$4:$J$403,0)+3,"")</f>
        <v/>
      </c>
      <c r="B105" s="17" t="str">
        <f aca="false">IF($A105="","",IF(INDEX(Tasks!$A:$A,$A105)="","",INDEX(Tasks!$A:$A,$A105)))</f>
        <v/>
      </c>
      <c r="C105" s="17" t="str">
        <f aca="false">IF($A105="","",IF(ISERROR(FIND(".",INDEX(Tasks!$A:$A,$A105))),"","   ")&amp;INDEX(Tasks!$C:$C,$A105))</f>
        <v/>
      </c>
      <c r="D105" s="17" t="str">
        <f aca="false">IF($A105="","",IF(INDEX(Tasks!$B:$B,$A105)="","",INDEX(Tasks!$B:$B,$A105)))</f>
        <v/>
      </c>
      <c r="E105" s="17" t="str">
        <f aca="false">IF($A105="","",IF(INDEX(Tasks!$E:$E,$A105)="","",INDEX(Tasks!$E:$E,$A105)))</f>
        <v/>
      </c>
      <c r="F105" s="18" t="str">
        <f aca="false">IF($A105="","",IF(INDEX(Tasks!$F:$F,$A105)="","",INDEX(Tasks!$F:$F,$A105)))</f>
        <v/>
      </c>
      <c r="G105" s="18" t="str">
        <f aca="false">IF($A105="","",IF(INDEX(Tasks!$H:$H,$A105)="","",INDEX(Tasks!$H:$H,$A105)))</f>
        <v/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</row>
    <row r="106" customFormat="false" ht="15" hidden="false" customHeight="false" outlineLevel="0" collapsed="false">
      <c r="A106" s="16" t="str">
        <f aca="false">IFERROR(MATCH($C$2&amp;"|"&amp;(ROW()-4),Tasks!$J$4:$J$403,0)+3,"")</f>
        <v/>
      </c>
      <c r="B106" s="17" t="str">
        <f aca="false">IF($A106="","",IF(INDEX(Tasks!$A:$A,$A106)="","",INDEX(Tasks!$A:$A,$A106)))</f>
        <v/>
      </c>
      <c r="C106" s="17" t="str">
        <f aca="false">IF($A106="","",IF(ISERROR(FIND(".",INDEX(Tasks!$A:$A,$A106))),"","   ")&amp;INDEX(Tasks!$C:$C,$A106))</f>
        <v/>
      </c>
      <c r="D106" s="17" t="str">
        <f aca="false">IF($A106="","",IF(INDEX(Tasks!$B:$B,$A106)="","",INDEX(Tasks!$B:$B,$A106)))</f>
        <v/>
      </c>
      <c r="E106" s="17" t="str">
        <f aca="false">IF($A106="","",IF(INDEX(Tasks!$E:$E,$A106)="","",INDEX(Tasks!$E:$E,$A106)))</f>
        <v/>
      </c>
      <c r="F106" s="18" t="str">
        <f aca="false">IF($A106="","",IF(INDEX(Tasks!$F:$F,$A106)="","",INDEX(Tasks!$F:$F,$A106)))</f>
        <v/>
      </c>
      <c r="G106" s="18" t="str">
        <f aca="false">IF($A106="","",IF(INDEX(Tasks!$H:$H,$A106)="","",INDEX(Tasks!$H:$H,$A106)))</f>
        <v/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</row>
    <row r="107" customFormat="false" ht="15" hidden="false" customHeight="false" outlineLevel="0" collapsed="false">
      <c r="A107" s="16" t="str">
        <f aca="false">IFERROR(MATCH($C$2&amp;"|"&amp;(ROW()-4),Tasks!$J$4:$J$403,0)+3,"")</f>
        <v/>
      </c>
      <c r="B107" s="17" t="str">
        <f aca="false">IF($A107="","",IF(INDEX(Tasks!$A:$A,$A107)="","",INDEX(Tasks!$A:$A,$A107)))</f>
        <v/>
      </c>
      <c r="C107" s="17" t="str">
        <f aca="false">IF($A107="","",IF(ISERROR(FIND(".",INDEX(Tasks!$A:$A,$A107))),"","   ")&amp;INDEX(Tasks!$C:$C,$A107))</f>
        <v/>
      </c>
      <c r="D107" s="17" t="str">
        <f aca="false">IF($A107="","",IF(INDEX(Tasks!$B:$B,$A107)="","",INDEX(Tasks!$B:$B,$A107)))</f>
        <v/>
      </c>
      <c r="E107" s="17" t="str">
        <f aca="false">IF($A107="","",IF(INDEX(Tasks!$E:$E,$A107)="","",INDEX(Tasks!$E:$E,$A107)))</f>
        <v/>
      </c>
      <c r="F107" s="18" t="str">
        <f aca="false">IF($A107="","",IF(INDEX(Tasks!$F:$F,$A107)="","",INDEX(Tasks!$F:$F,$A107)))</f>
        <v/>
      </c>
      <c r="G107" s="18" t="str">
        <f aca="false">IF($A107="","",IF(INDEX(Tasks!$H:$H,$A107)="","",INDEX(Tasks!$H:$H,$A107)))</f>
        <v/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</row>
    <row r="108" customFormat="false" ht="15" hidden="false" customHeight="false" outlineLevel="0" collapsed="false">
      <c r="A108" s="16" t="str">
        <f aca="false">IFERROR(MATCH($C$2&amp;"|"&amp;(ROW()-4),Tasks!$J$4:$J$403,0)+3,"")</f>
        <v/>
      </c>
      <c r="B108" s="17" t="str">
        <f aca="false">IF($A108="","",IF(INDEX(Tasks!$A:$A,$A108)="","",INDEX(Tasks!$A:$A,$A108)))</f>
        <v/>
      </c>
      <c r="C108" s="17" t="str">
        <f aca="false">IF($A108="","",IF(ISERROR(FIND(".",INDEX(Tasks!$A:$A,$A108))),"","   ")&amp;INDEX(Tasks!$C:$C,$A108))</f>
        <v/>
      </c>
      <c r="D108" s="17" t="str">
        <f aca="false">IF($A108="","",IF(INDEX(Tasks!$B:$B,$A108)="","",INDEX(Tasks!$B:$B,$A108)))</f>
        <v/>
      </c>
      <c r="E108" s="17" t="str">
        <f aca="false">IF($A108="","",IF(INDEX(Tasks!$E:$E,$A108)="","",INDEX(Tasks!$E:$E,$A108)))</f>
        <v/>
      </c>
      <c r="F108" s="18" t="str">
        <f aca="false">IF($A108="","",IF(INDEX(Tasks!$F:$F,$A108)="","",INDEX(Tasks!$F:$F,$A108)))</f>
        <v/>
      </c>
      <c r="G108" s="18" t="str">
        <f aca="false">IF($A108="","",IF(INDEX(Tasks!$H:$H,$A108)="","",INDEX(Tasks!$H:$H,$A108)))</f>
        <v/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customFormat="false" ht="15" hidden="false" customHeight="false" outlineLevel="0" collapsed="false">
      <c r="A109" s="16" t="str">
        <f aca="false">IFERROR(MATCH($C$2&amp;"|"&amp;(ROW()-4),Tasks!$J$4:$J$403,0)+3,"")</f>
        <v/>
      </c>
      <c r="B109" s="17" t="str">
        <f aca="false">IF($A109="","",IF(INDEX(Tasks!$A:$A,$A109)="","",INDEX(Tasks!$A:$A,$A109)))</f>
        <v/>
      </c>
      <c r="C109" s="17" t="str">
        <f aca="false">IF($A109="","",IF(ISERROR(FIND(".",INDEX(Tasks!$A:$A,$A109))),"","   ")&amp;INDEX(Tasks!$C:$C,$A109))</f>
        <v/>
      </c>
      <c r="D109" s="17" t="str">
        <f aca="false">IF($A109="","",IF(INDEX(Tasks!$B:$B,$A109)="","",INDEX(Tasks!$B:$B,$A109)))</f>
        <v/>
      </c>
      <c r="E109" s="17" t="str">
        <f aca="false">IF($A109="","",IF(INDEX(Tasks!$E:$E,$A109)="","",INDEX(Tasks!$E:$E,$A109)))</f>
        <v/>
      </c>
      <c r="F109" s="18" t="str">
        <f aca="false">IF($A109="","",IF(INDEX(Tasks!$F:$F,$A109)="","",INDEX(Tasks!$F:$F,$A109)))</f>
        <v/>
      </c>
      <c r="G109" s="18" t="str">
        <f aca="false">IF($A109="","",IF(INDEX(Tasks!$H:$H,$A109)="","",INDEX(Tasks!$H:$H,$A109)))</f>
        <v/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</row>
    <row r="110" customFormat="false" ht="15" hidden="false" customHeight="false" outlineLevel="0" collapsed="false">
      <c r="A110" s="16" t="str">
        <f aca="false">IFERROR(MATCH($C$2&amp;"|"&amp;(ROW()-4),Tasks!$J$4:$J$403,0)+3,"")</f>
        <v/>
      </c>
      <c r="B110" s="17" t="str">
        <f aca="false">IF($A110="","",IF(INDEX(Tasks!$A:$A,$A110)="","",INDEX(Tasks!$A:$A,$A110)))</f>
        <v/>
      </c>
      <c r="C110" s="17" t="str">
        <f aca="false">IF($A110="","",IF(ISERROR(FIND(".",INDEX(Tasks!$A:$A,$A110))),"","   ")&amp;INDEX(Tasks!$C:$C,$A110))</f>
        <v/>
      </c>
      <c r="D110" s="17" t="str">
        <f aca="false">IF($A110="","",IF(INDEX(Tasks!$B:$B,$A110)="","",INDEX(Tasks!$B:$B,$A110)))</f>
        <v/>
      </c>
      <c r="E110" s="17" t="str">
        <f aca="false">IF($A110="","",IF(INDEX(Tasks!$E:$E,$A110)="","",INDEX(Tasks!$E:$E,$A110)))</f>
        <v/>
      </c>
      <c r="F110" s="18" t="str">
        <f aca="false">IF($A110="","",IF(INDEX(Tasks!$F:$F,$A110)="","",INDEX(Tasks!$F:$F,$A110)))</f>
        <v/>
      </c>
      <c r="G110" s="18" t="str">
        <f aca="false">IF($A110="","",IF(INDEX(Tasks!$H:$H,$A110)="","",INDEX(Tasks!$H:$H,$A110)))</f>
        <v/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</row>
    <row r="111" customFormat="false" ht="15" hidden="false" customHeight="false" outlineLevel="0" collapsed="false">
      <c r="A111" s="16" t="str">
        <f aca="false">IFERROR(MATCH($C$2&amp;"|"&amp;(ROW()-4),Tasks!$J$4:$J$403,0)+3,"")</f>
        <v/>
      </c>
      <c r="B111" s="17" t="str">
        <f aca="false">IF($A111="","",IF(INDEX(Tasks!$A:$A,$A111)="","",INDEX(Tasks!$A:$A,$A111)))</f>
        <v/>
      </c>
      <c r="C111" s="17" t="str">
        <f aca="false">IF($A111="","",IF(ISERROR(FIND(".",INDEX(Tasks!$A:$A,$A111))),"","   ")&amp;INDEX(Tasks!$C:$C,$A111))</f>
        <v/>
      </c>
      <c r="D111" s="17" t="str">
        <f aca="false">IF($A111="","",IF(INDEX(Tasks!$B:$B,$A111)="","",INDEX(Tasks!$B:$B,$A111)))</f>
        <v/>
      </c>
      <c r="E111" s="17" t="str">
        <f aca="false">IF($A111="","",IF(INDEX(Tasks!$E:$E,$A111)="","",INDEX(Tasks!$E:$E,$A111)))</f>
        <v/>
      </c>
      <c r="F111" s="18" t="str">
        <f aca="false">IF($A111="","",IF(INDEX(Tasks!$F:$F,$A111)="","",INDEX(Tasks!$F:$F,$A111)))</f>
        <v/>
      </c>
      <c r="G111" s="18" t="str">
        <f aca="false">IF($A111="","",IF(INDEX(Tasks!$H:$H,$A111)="","",INDEX(Tasks!$H:$H,$A111)))</f>
        <v/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</row>
    <row r="112" customFormat="false" ht="15" hidden="false" customHeight="false" outlineLevel="0" collapsed="false">
      <c r="A112" s="16" t="str">
        <f aca="false">IFERROR(MATCH($C$2&amp;"|"&amp;(ROW()-4),Tasks!$J$4:$J$403,0)+3,"")</f>
        <v/>
      </c>
      <c r="B112" s="17" t="str">
        <f aca="false">IF($A112="","",IF(INDEX(Tasks!$A:$A,$A112)="","",INDEX(Tasks!$A:$A,$A112)))</f>
        <v/>
      </c>
      <c r="C112" s="17" t="str">
        <f aca="false">IF($A112="","",IF(ISERROR(FIND(".",INDEX(Tasks!$A:$A,$A112))),"","   ")&amp;INDEX(Tasks!$C:$C,$A112))</f>
        <v/>
      </c>
      <c r="D112" s="17" t="str">
        <f aca="false">IF($A112="","",IF(INDEX(Tasks!$B:$B,$A112)="","",INDEX(Tasks!$B:$B,$A112)))</f>
        <v/>
      </c>
      <c r="E112" s="17" t="str">
        <f aca="false">IF($A112="","",IF(INDEX(Tasks!$E:$E,$A112)="","",INDEX(Tasks!$E:$E,$A112)))</f>
        <v/>
      </c>
      <c r="F112" s="18" t="str">
        <f aca="false">IF($A112="","",IF(INDEX(Tasks!$F:$F,$A112)="","",INDEX(Tasks!$F:$F,$A112)))</f>
        <v/>
      </c>
      <c r="G112" s="18" t="str">
        <f aca="false">IF($A112="","",IF(INDEX(Tasks!$H:$H,$A112)="","",INDEX(Tasks!$H:$H,$A112)))</f>
        <v/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customFormat="false" ht="15" hidden="false" customHeight="false" outlineLevel="0" collapsed="false">
      <c r="A113" s="16" t="str">
        <f aca="false">IFERROR(MATCH($C$2&amp;"|"&amp;(ROW()-4),Tasks!$J$4:$J$403,0)+3,"")</f>
        <v/>
      </c>
      <c r="B113" s="17" t="str">
        <f aca="false">IF($A113="","",IF(INDEX(Tasks!$A:$A,$A113)="","",INDEX(Tasks!$A:$A,$A113)))</f>
        <v/>
      </c>
      <c r="C113" s="17" t="str">
        <f aca="false">IF($A113="","",IF(ISERROR(FIND(".",INDEX(Tasks!$A:$A,$A113))),"","   ")&amp;INDEX(Tasks!$C:$C,$A113))</f>
        <v/>
      </c>
      <c r="D113" s="17" t="str">
        <f aca="false">IF($A113="","",IF(INDEX(Tasks!$B:$B,$A113)="","",INDEX(Tasks!$B:$B,$A113)))</f>
        <v/>
      </c>
      <c r="E113" s="17" t="str">
        <f aca="false">IF($A113="","",IF(INDEX(Tasks!$E:$E,$A113)="","",INDEX(Tasks!$E:$E,$A113)))</f>
        <v/>
      </c>
      <c r="F113" s="18" t="str">
        <f aca="false">IF($A113="","",IF(INDEX(Tasks!$F:$F,$A113)="","",INDEX(Tasks!$F:$F,$A113)))</f>
        <v/>
      </c>
      <c r="G113" s="18" t="str">
        <f aca="false">IF($A113="","",IF(INDEX(Tasks!$H:$H,$A113)="","",INDEX(Tasks!$H:$H,$A113)))</f>
        <v/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customFormat="false" ht="15" hidden="false" customHeight="false" outlineLevel="0" collapsed="false">
      <c r="A114" s="16" t="str">
        <f aca="false">IFERROR(MATCH($C$2&amp;"|"&amp;(ROW()-4),Tasks!$J$4:$J$403,0)+3,"")</f>
        <v/>
      </c>
      <c r="B114" s="17" t="str">
        <f aca="false">IF($A114="","",IF(INDEX(Tasks!$A:$A,$A114)="","",INDEX(Tasks!$A:$A,$A114)))</f>
        <v/>
      </c>
      <c r="C114" s="17" t="str">
        <f aca="false">IF($A114="","",IF(ISERROR(FIND(".",INDEX(Tasks!$A:$A,$A114))),"","   ")&amp;INDEX(Tasks!$C:$C,$A114))</f>
        <v/>
      </c>
      <c r="D114" s="17" t="str">
        <f aca="false">IF($A114="","",IF(INDEX(Tasks!$B:$B,$A114)="","",INDEX(Tasks!$B:$B,$A114)))</f>
        <v/>
      </c>
      <c r="E114" s="17" t="str">
        <f aca="false">IF($A114="","",IF(INDEX(Tasks!$E:$E,$A114)="","",INDEX(Tasks!$E:$E,$A114)))</f>
        <v/>
      </c>
      <c r="F114" s="18" t="str">
        <f aca="false">IF($A114="","",IF(INDEX(Tasks!$F:$F,$A114)="","",INDEX(Tasks!$F:$F,$A114)))</f>
        <v/>
      </c>
      <c r="G114" s="18" t="str">
        <f aca="false">IF($A114="","",IF(INDEX(Tasks!$H:$H,$A114)="","",INDEX(Tasks!$H:$H,$A114)))</f>
        <v/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</row>
    <row r="115" customFormat="false" ht="15" hidden="false" customHeight="false" outlineLevel="0" collapsed="false">
      <c r="A115" s="16" t="str">
        <f aca="false">IFERROR(MATCH($C$2&amp;"|"&amp;(ROW()-4),Tasks!$J$4:$J$403,0)+3,"")</f>
        <v/>
      </c>
      <c r="B115" s="17" t="str">
        <f aca="false">IF($A115="","",IF(INDEX(Tasks!$A:$A,$A115)="","",INDEX(Tasks!$A:$A,$A115)))</f>
        <v/>
      </c>
      <c r="C115" s="17" t="str">
        <f aca="false">IF($A115="","",IF(ISERROR(FIND(".",INDEX(Tasks!$A:$A,$A115))),"","   ")&amp;INDEX(Tasks!$C:$C,$A115))</f>
        <v/>
      </c>
      <c r="D115" s="17" t="str">
        <f aca="false">IF($A115="","",IF(INDEX(Tasks!$B:$B,$A115)="","",INDEX(Tasks!$B:$B,$A115)))</f>
        <v/>
      </c>
      <c r="E115" s="17" t="str">
        <f aca="false">IF($A115="","",IF(INDEX(Tasks!$E:$E,$A115)="","",INDEX(Tasks!$E:$E,$A115)))</f>
        <v/>
      </c>
      <c r="F115" s="18" t="str">
        <f aca="false">IF($A115="","",IF(INDEX(Tasks!$F:$F,$A115)="","",INDEX(Tasks!$F:$F,$A115)))</f>
        <v/>
      </c>
      <c r="G115" s="18" t="str">
        <f aca="false">IF($A115="","",IF(INDEX(Tasks!$H:$H,$A115)="","",INDEX(Tasks!$H:$H,$A115)))</f>
        <v/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customFormat="false" ht="15" hidden="false" customHeight="false" outlineLevel="0" collapsed="false">
      <c r="A116" s="16" t="str">
        <f aca="false">IFERROR(MATCH($C$2&amp;"|"&amp;(ROW()-4),Tasks!$J$4:$J$403,0)+3,"")</f>
        <v/>
      </c>
      <c r="B116" s="17" t="str">
        <f aca="false">IF($A116="","",IF(INDEX(Tasks!$A:$A,$A116)="","",INDEX(Tasks!$A:$A,$A116)))</f>
        <v/>
      </c>
      <c r="C116" s="17" t="str">
        <f aca="false">IF($A116="","",IF(ISERROR(FIND(".",INDEX(Tasks!$A:$A,$A116))),"","   ")&amp;INDEX(Tasks!$C:$C,$A116))</f>
        <v/>
      </c>
      <c r="D116" s="17" t="str">
        <f aca="false">IF($A116="","",IF(INDEX(Tasks!$B:$B,$A116)="","",INDEX(Tasks!$B:$B,$A116)))</f>
        <v/>
      </c>
      <c r="E116" s="17" t="str">
        <f aca="false">IF($A116="","",IF(INDEX(Tasks!$E:$E,$A116)="","",INDEX(Tasks!$E:$E,$A116)))</f>
        <v/>
      </c>
      <c r="F116" s="18" t="str">
        <f aca="false">IF($A116="","",IF(INDEX(Tasks!$F:$F,$A116)="","",INDEX(Tasks!$F:$F,$A116)))</f>
        <v/>
      </c>
      <c r="G116" s="18" t="str">
        <f aca="false">IF($A116="","",IF(INDEX(Tasks!$H:$H,$A116)="","",INDEX(Tasks!$H:$H,$A116)))</f>
        <v/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customFormat="false" ht="15" hidden="false" customHeight="false" outlineLevel="0" collapsed="false">
      <c r="A117" s="16" t="str">
        <f aca="false">IFERROR(MATCH($C$2&amp;"|"&amp;(ROW()-4),Tasks!$J$4:$J$403,0)+3,"")</f>
        <v/>
      </c>
      <c r="B117" s="17" t="str">
        <f aca="false">IF($A117="","",IF(INDEX(Tasks!$A:$A,$A117)="","",INDEX(Tasks!$A:$A,$A117)))</f>
        <v/>
      </c>
      <c r="C117" s="17" t="str">
        <f aca="false">IF($A117="","",IF(ISERROR(FIND(".",INDEX(Tasks!$A:$A,$A117))),"","   ")&amp;INDEX(Tasks!$C:$C,$A117))</f>
        <v/>
      </c>
      <c r="D117" s="17" t="str">
        <f aca="false">IF($A117="","",IF(INDEX(Tasks!$B:$B,$A117)="","",INDEX(Tasks!$B:$B,$A117)))</f>
        <v/>
      </c>
      <c r="E117" s="17" t="str">
        <f aca="false">IF($A117="","",IF(INDEX(Tasks!$E:$E,$A117)="","",INDEX(Tasks!$E:$E,$A117)))</f>
        <v/>
      </c>
      <c r="F117" s="18" t="str">
        <f aca="false">IF($A117="","",IF(INDEX(Tasks!$F:$F,$A117)="","",INDEX(Tasks!$F:$F,$A117)))</f>
        <v/>
      </c>
      <c r="G117" s="18" t="str">
        <f aca="false">IF($A117="","",IF(INDEX(Tasks!$H:$H,$A117)="","",INDEX(Tasks!$H:$H,$A117)))</f>
        <v/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</row>
    <row r="118" customFormat="false" ht="15" hidden="false" customHeight="false" outlineLevel="0" collapsed="false">
      <c r="A118" s="16" t="str">
        <f aca="false">IFERROR(MATCH($C$2&amp;"|"&amp;(ROW()-4),Tasks!$J$4:$J$403,0)+3,"")</f>
        <v/>
      </c>
      <c r="B118" s="17" t="str">
        <f aca="false">IF($A118="","",IF(INDEX(Tasks!$A:$A,$A118)="","",INDEX(Tasks!$A:$A,$A118)))</f>
        <v/>
      </c>
      <c r="C118" s="17" t="str">
        <f aca="false">IF($A118="","",IF(ISERROR(FIND(".",INDEX(Tasks!$A:$A,$A118))),"","   ")&amp;INDEX(Tasks!$C:$C,$A118))</f>
        <v/>
      </c>
      <c r="D118" s="17" t="str">
        <f aca="false">IF($A118="","",IF(INDEX(Tasks!$B:$B,$A118)="","",INDEX(Tasks!$B:$B,$A118)))</f>
        <v/>
      </c>
      <c r="E118" s="17" t="str">
        <f aca="false">IF($A118="","",IF(INDEX(Tasks!$E:$E,$A118)="","",INDEX(Tasks!$E:$E,$A118)))</f>
        <v/>
      </c>
      <c r="F118" s="18" t="str">
        <f aca="false">IF($A118="","",IF(INDEX(Tasks!$F:$F,$A118)="","",INDEX(Tasks!$F:$F,$A118)))</f>
        <v/>
      </c>
      <c r="G118" s="18" t="str">
        <f aca="false">IF($A118="","",IF(INDEX(Tasks!$H:$H,$A118)="","",INDEX(Tasks!$H:$H,$A118)))</f>
        <v/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customFormat="false" ht="15" hidden="false" customHeight="false" outlineLevel="0" collapsed="false">
      <c r="A119" s="16" t="str">
        <f aca="false">IFERROR(MATCH($C$2&amp;"|"&amp;(ROW()-4),Tasks!$J$4:$J$403,0)+3,"")</f>
        <v/>
      </c>
      <c r="B119" s="17" t="str">
        <f aca="false">IF($A119="","",IF(INDEX(Tasks!$A:$A,$A119)="","",INDEX(Tasks!$A:$A,$A119)))</f>
        <v/>
      </c>
      <c r="C119" s="17" t="str">
        <f aca="false">IF($A119="","",IF(ISERROR(FIND(".",INDEX(Tasks!$A:$A,$A119))),"","   ")&amp;INDEX(Tasks!$C:$C,$A119))</f>
        <v/>
      </c>
      <c r="D119" s="17" t="str">
        <f aca="false">IF($A119="","",IF(INDEX(Tasks!$B:$B,$A119)="","",INDEX(Tasks!$B:$B,$A119)))</f>
        <v/>
      </c>
      <c r="E119" s="17" t="str">
        <f aca="false">IF($A119="","",IF(INDEX(Tasks!$E:$E,$A119)="","",INDEX(Tasks!$E:$E,$A119)))</f>
        <v/>
      </c>
      <c r="F119" s="18" t="str">
        <f aca="false">IF($A119="","",IF(INDEX(Tasks!$F:$F,$A119)="","",INDEX(Tasks!$F:$F,$A119)))</f>
        <v/>
      </c>
      <c r="G119" s="18" t="str">
        <f aca="false">IF($A119="","",IF(INDEX(Tasks!$H:$H,$A119)="","",INDEX(Tasks!$H:$H,$A119)))</f>
        <v/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customFormat="false" ht="15" hidden="false" customHeight="false" outlineLevel="0" collapsed="false">
      <c r="A120" s="16" t="str">
        <f aca="false">IFERROR(MATCH($C$2&amp;"|"&amp;(ROW()-4),Tasks!$J$4:$J$403,0)+3,"")</f>
        <v/>
      </c>
      <c r="B120" s="17" t="str">
        <f aca="false">IF($A120="","",IF(INDEX(Tasks!$A:$A,$A120)="","",INDEX(Tasks!$A:$A,$A120)))</f>
        <v/>
      </c>
      <c r="C120" s="17" t="str">
        <f aca="false">IF($A120="","",IF(ISERROR(FIND(".",INDEX(Tasks!$A:$A,$A120))),"","   ")&amp;INDEX(Tasks!$C:$C,$A120))</f>
        <v/>
      </c>
      <c r="D120" s="17" t="str">
        <f aca="false">IF($A120="","",IF(INDEX(Tasks!$B:$B,$A120)="","",INDEX(Tasks!$B:$B,$A120)))</f>
        <v/>
      </c>
      <c r="E120" s="17" t="str">
        <f aca="false">IF($A120="","",IF(INDEX(Tasks!$E:$E,$A120)="","",INDEX(Tasks!$E:$E,$A120)))</f>
        <v/>
      </c>
      <c r="F120" s="18" t="str">
        <f aca="false">IF($A120="","",IF(INDEX(Tasks!$F:$F,$A120)="","",INDEX(Tasks!$F:$F,$A120)))</f>
        <v/>
      </c>
      <c r="G120" s="18" t="str">
        <f aca="false">IF($A120="","",IF(INDEX(Tasks!$H:$H,$A120)="","",INDEX(Tasks!$H:$H,$A120)))</f>
        <v/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</row>
    <row r="121" customFormat="false" ht="15" hidden="false" customHeight="false" outlineLevel="0" collapsed="false">
      <c r="A121" s="16" t="str">
        <f aca="false">IFERROR(MATCH($C$2&amp;"|"&amp;(ROW()-4),Tasks!$J$4:$J$403,0)+3,"")</f>
        <v/>
      </c>
      <c r="B121" s="17" t="str">
        <f aca="false">IF($A121="","",IF(INDEX(Tasks!$A:$A,$A121)="","",INDEX(Tasks!$A:$A,$A121)))</f>
        <v/>
      </c>
      <c r="C121" s="17" t="str">
        <f aca="false">IF($A121="","",IF(ISERROR(FIND(".",INDEX(Tasks!$A:$A,$A121))),"","   ")&amp;INDEX(Tasks!$C:$C,$A121))</f>
        <v/>
      </c>
      <c r="D121" s="17" t="str">
        <f aca="false">IF($A121="","",IF(INDEX(Tasks!$B:$B,$A121)="","",INDEX(Tasks!$B:$B,$A121)))</f>
        <v/>
      </c>
      <c r="E121" s="17" t="str">
        <f aca="false">IF($A121="","",IF(INDEX(Tasks!$E:$E,$A121)="","",INDEX(Tasks!$E:$E,$A121)))</f>
        <v/>
      </c>
      <c r="F121" s="18" t="str">
        <f aca="false">IF($A121="","",IF(INDEX(Tasks!$F:$F,$A121)="","",INDEX(Tasks!$F:$F,$A121)))</f>
        <v/>
      </c>
      <c r="G121" s="18" t="str">
        <f aca="false">IF($A121="","",IF(INDEX(Tasks!$H:$H,$A121)="","",INDEX(Tasks!$H:$H,$A121)))</f>
        <v/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</row>
    <row r="122" customFormat="false" ht="15" hidden="false" customHeight="false" outlineLevel="0" collapsed="false">
      <c r="A122" s="16" t="str">
        <f aca="false">IFERROR(MATCH($C$2&amp;"|"&amp;(ROW()-4),Tasks!$J$4:$J$403,0)+3,"")</f>
        <v/>
      </c>
      <c r="B122" s="17" t="str">
        <f aca="false">IF($A122="","",IF(INDEX(Tasks!$A:$A,$A122)="","",INDEX(Tasks!$A:$A,$A122)))</f>
        <v/>
      </c>
      <c r="C122" s="17" t="str">
        <f aca="false">IF($A122="","",IF(ISERROR(FIND(".",INDEX(Tasks!$A:$A,$A122))),"","   ")&amp;INDEX(Tasks!$C:$C,$A122))</f>
        <v/>
      </c>
      <c r="D122" s="17" t="str">
        <f aca="false">IF($A122="","",IF(INDEX(Tasks!$B:$B,$A122)="","",INDEX(Tasks!$B:$B,$A122)))</f>
        <v/>
      </c>
      <c r="E122" s="17" t="str">
        <f aca="false">IF($A122="","",IF(INDEX(Tasks!$E:$E,$A122)="","",INDEX(Tasks!$E:$E,$A122)))</f>
        <v/>
      </c>
      <c r="F122" s="18" t="str">
        <f aca="false">IF($A122="","",IF(INDEX(Tasks!$F:$F,$A122)="","",INDEX(Tasks!$F:$F,$A122)))</f>
        <v/>
      </c>
      <c r="G122" s="18" t="str">
        <f aca="false">IF($A122="","",IF(INDEX(Tasks!$H:$H,$A122)="","",INDEX(Tasks!$H:$H,$A122)))</f>
        <v/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</row>
    <row r="123" customFormat="false" ht="15" hidden="false" customHeight="false" outlineLevel="0" collapsed="false">
      <c r="A123" s="16" t="str">
        <f aca="false">IFERROR(MATCH($C$2&amp;"|"&amp;(ROW()-4),Tasks!$J$4:$J$403,0)+3,"")</f>
        <v/>
      </c>
      <c r="B123" s="17" t="str">
        <f aca="false">IF($A123="","",IF(INDEX(Tasks!$A:$A,$A123)="","",INDEX(Tasks!$A:$A,$A123)))</f>
        <v/>
      </c>
      <c r="C123" s="17" t="str">
        <f aca="false">IF($A123="","",IF(ISERROR(FIND(".",INDEX(Tasks!$A:$A,$A123))),"","   ")&amp;INDEX(Tasks!$C:$C,$A123))</f>
        <v/>
      </c>
      <c r="D123" s="17" t="str">
        <f aca="false">IF($A123="","",IF(INDEX(Tasks!$B:$B,$A123)="","",INDEX(Tasks!$B:$B,$A123)))</f>
        <v/>
      </c>
      <c r="E123" s="17" t="str">
        <f aca="false">IF($A123="","",IF(INDEX(Tasks!$E:$E,$A123)="","",INDEX(Tasks!$E:$E,$A123)))</f>
        <v/>
      </c>
      <c r="F123" s="18" t="str">
        <f aca="false">IF($A123="","",IF(INDEX(Tasks!$F:$F,$A123)="","",INDEX(Tasks!$F:$F,$A123)))</f>
        <v/>
      </c>
      <c r="G123" s="18" t="str">
        <f aca="false">IF($A123="","",IF(INDEX(Tasks!$H:$H,$A123)="","",INDEX(Tasks!$H:$H,$A123)))</f>
        <v/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</row>
    <row r="124" customFormat="false" ht="15" hidden="false" customHeight="false" outlineLevel="0" collapsed="false">
      <c r="A124" s="16" t="str">
        <f aca="false">IFERROR(MATCH($C$2&amp;"|"&amp;(ROW()-4),Tasks!$J$4:$J$403,0)+3,"")</f>
        <v/>
      </c>
      <c r="B124" s="17" t="str">
        <f aca="false">IF($A124="","",IF(INDEX(Tasks!$A:$A,$A124)="","",INDEX(Tasks!$A:$A,$A124)))</f>
        <v/>
      </c>
      <c r="C124" s="17" t="str">
        <f aca="false">IF($A124="","",IF(ISERROR(FIND(".",INDEX(Tasks!$A:$A,$A124))),"","   ")&amp;INDEX(Tasks!$C:$C,$A124))</f>
        <v/>
      </c>
      <c r="D124" s="17" t="str">
        <f aca="false">IF($A124="","",IF(INDEX(Tasks!$B:$B,$A124)="","",INDEX(Tasks!$B:$B,$A124)))</f>
        <v/>
      </c>
      <c r="E124" s="17" t="str">
        <f aca="false">IF($A124="","",IF(INDEX(Tasks!$E:$E,$A124)="","",INDEX(Tasks!$E:$E,$A124)))</f>
        <v/>
      </c>
      <c r="F124" s="18" t="str">
        <f aca="false">IF($A124="","",IF(INDEX(Tasks!$F:$F,$A124)="","",INDEX(Tasks!$F:$F,$A124)))</f>
        <v/>
      </c>
      <c r="G124" s="18" t="str">
        <f aca="false">IF($A124="","",IF(INDEX(Tasks!$H:$H,$A124)="","",INDEX(Tasks!$H:$H,$A124)))</f>
        <v/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</row>
  </sheetData>
  <conditionalFormatting sqref="H5:AY124">
    <cfRule type="expression" priority="2" aboveAverage="0" equalAverage="0" bottom="0" percent="0" rank="0" text="" dxfId="17">
      <formula>AND(AND(ISNUMBER($F5),ISNUMBER($G5),H$4&lt;=$G5,H$4+6&gt;=$F5),ISNUMBER(SEARCH("-M",$B5)))</formula>
    </cfRule>
    <cfRule type="expression" priority="3" aboveAverage="0" equalAverage="0" bottom="0" percent="0" rank="0" text="" dxfId="18">
      <formula>AND(AND(ISNUMBER($F5),ISNUMBER($G5),H$4&lt;=$G5,H$4+6&gt;=$F5),$E5="Complete",NOT(ISNUMBER(SEARCH("-M",$B5))))</formula>
    </cfRule>
    <cfRule type="expression" priority="4" aboveAverage="0" equalAverage="0" bottom="0" percent="0" rank="0" text="" dxfId="19">
      <formula>AND(AND(ISNUMBER($F5),ISNUMBER($G5),H$4&lt;=$G5,H$4+6&gt;=$F5),$E5="In Progress",NOT(ISNUMBER(SEARCH("-M",$B5))))</formula>
    </cfRule>
    <cfRule type="expression" priority="5" aboveAverage="0" equalAverage="0" bottom="0" percent="0" rank="0" text="" dxfId="20">
      <formula>AND(AND(ISNUMBER($F5),ISNUMBER($G5),H$4&lt;=$G5,H$4+6&gt;=$F5),$E5="Partially Completed",NOT(ISNUMBER(SEARCH("-M",$B5))))</formula>
    </cfRule>
    <cfRule type="expression" priority="6" aboveAverage="0" equalAverage="0" bottom="0" percent="0" rank="0" text="" dxfId="21">
      <formula>AND(AND(ISNUMBER($F5),ISNUMBER($G5),H$4&lt;=$G5,H$4+6&gt;=$F5),$E5="Blocked",NOT(ISNUMBER(SEARCH("-M",$B5))))</formula>
    </cfRule>
    <cfRule type="expression" priority="7" aboveAverage="0" equalAverage="0" bottom="0" percent="0" rank="0" text="" dxfId="22">
      <formula>AND(AND(ISNUMBER($F5),ISNUMBER($G5),H$4&lt;=$G5,H$4+6&gt;=$F5),OR($E5="Not Started",$E5=""),NOT(ISNUMBER(SEARCH("-M",$B5))))</formula>
    </cfRule>
    <cfRule type="expression" priority="8" aboveAverage="0" equalAverage="0" bottom="0" percent="0" rank="0" text="" dxfId="14">
      <formula>AND(AND(H$4&lt;=TODAY(),H$4+6&gt;=TODAY()),NOT(AND(ISNUMBER($F5),ISNUMBER($G5),H$4&lt;=$G5,H$4+6&gt;=$F5)),$C5&lt;&gt;"")</formula>
    </cfRule>
  </conditionalFormatting>
  <conditionalFormatting sqref="H4:AY4">
    <cfRule type="expression" priority="9" aboveAverage="0" equalAverage="0" bottom="0" percent="0" rank="0" text="" dxfId="21">
      <formula>AND(H$4&lt;=TODAY(),H$4+6&gt;=TODAY())</formula>
    </cfRule>
  </conditionalFormatting>
  <conditionalFormatting sqref="E5:E124">
    <cfRule type="expression" priority="10" aboveAverage="0" equalAverage="0" bottom="0" percent="0" rank="0" text="" dxfId="10">
      <formula>E5="Not Started"</formula>
    </cfRule>
    <cfRule type="expression" priority="11" aboveAverage="0" equalAverage="0" bottom="0" percent="0" rank="0" text="" dxfId="11">
      <formula>E5="In Progress"</formula>
    </cfRule>
    <cfRule type="expression" priority="12" aboveAverage="0" equalAverage="0" bottom="0" percent="0" rank="0" text="" dxfId="12">
      <formula>E5="Blocked"</formula>
    </cfRule>
    <cfRule type="expression" priority="13" aboveAverage="0" equalAverage="0" bottom="0" percent="0" rank="0" text="" dxfId="13">
      <formula>E5="Complete"</formula>
    </cfRule>
    <cfRule type="expression" priority="14" aboveAverage="0" equalAverage="0" bottom="0" percent="0" rank="0" text="" dxfId="14">
      <formula>E5="Partially Completed"</formula>
    </cfRule>
  </conditionalFormatting>
  <conditionalFormatting sqref="G5:G124">
    <cfRule type="expression" priority="15" aboveAverage="0" equalAverage="0" bottom="0" percent="0" rank="0" text="" dxfId="15">
      <formula>AND(ISNUMBER($G5),$G5&lt;TODAY(),$E5&lt;&gt;"Complete")</formula>
    </cfRule>
  </conditionalFormatting>
  <conditionalFormatting sqref="B5:D124 F5:G124">
    <cfRule type="expression" priority="16" aboveAverage="0" equalAverage="0" bottom="0" percent="0" rank="0" text="" dxfId="16">
      <formula>AND($B5&lt;&gt;"",ISERROR(FIND(".",$B5)))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50"/>
    <col collapsed="false" customWidth="true" hidden="false" outlineLevel="0" max="8" min="8" style="0" width="40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324</v>
      </c>
    </row>
    <row r="2" customFormat="false" ht="15" hidden="false" customHeight="false" outlineLevel="0" collapsed="false">
      <c r="A2" s="4" t="s">
        <v>325</v>
      </c>
    </row>
    <row r="3" customFormat="false" ht="15" hidden="false" customHeight="false" outlineLevel="0" collapsed="false">
      <c r="A3" s="5" t="s">
        <v>326</v>
      </c>
      <c r="B3" s="5" t="s">
        <v>327</v>
      </c>
      <c r="C3" s="5" t="s">
        <v>31</v>
      </c>
      <c r="D3" s="5" t="s">
        <v>32</v>
      </c>
      <c r="E3" s="5" t="s">
        <v>328</v>
      </c>
      <c r="F3" s="5" t="s">
        <v>33</v>
      </c>
      <c r="G3" s="5" t="s">
        <v>329</v>
      </c>
      <c r="H3" s="5" t="s">
        <v>330</v>
      </c>
      <c r="I3" s="5" t="s">
        <v>331</v>
      </c>
    </row>
    <row r="4" customFormat="false" ht="15" hidden="false" customHeight="false" outlineLevel="0" collapsed="false">
      <c r="A4" s="3"/>
      <c r="B4" s="29"/>
      <c r="C4" s="3"/>
      <c r="D4" s="3"/>
      <c r="E4" s="3"/>
      <c r="F4" s="3"/>
      <c r="G4" s="3"/>
      <c r="H4" s="3"/>
      <c r="I4" s="29"/>
    </row>
    <row r="5" customFormat="false" ht="15" hidden="false" customHeight="false" outlineLevel="0" collapsed="false">
      <c r="A5" s="3"/>
      <c r="B5" s="29"/>
      <c r="C5" s="3"/>
      <c r="D5" s="3"/>
      <c r="E5" s="3"/>
      <c r="F5" s="3"/>
      <c r="G5" s="3"/>
      <c r="H5" s="3"/>
      <c r="I5" s="29"/>
    </row>
    <row r="6" customFormat="false" ht="15" hidden="false" customHeight="false" outlineLevel="0" collapsed="false">
      <c r="A6" s="3"/>
      <c r="B6" s="29"/>
      <c r="C6" s="3"/>
      <c r="D6" s="3"/>
      <c r="E6" s="3"/>
      <c r="F6" s="3"/>
      <c r="G6" s="3"/>
      <c r="H6" s="3"/>
      <c r="I6" s="29"/>
    </row>
    <row r="7" customFormat="false" ht="15" hidden="false" customHeight="false" outlineLevel="0" collapsed="false">
      <c r="A7" s="3"/>
      <c r="B7" s="29"/>
      <c r="C7" s="3"/>
      <c r="D7" s="3"/>
      <c r="E7" s="3"/>
      <c r="F7" s="3"/>
      <c r="G7" s="3"/>
      <c r="H7" s="3"/>
      <c r="I7" s="29"/>
    </row>
    <row r="8" customFormat="false" ht="15" hidden="false" customHeight="false" outlineLevel="0" collapsed="false">
      <c r="A8" s="3"/>
      <c r="B8" s="29"/>
      <c r="C8" s="3"/>
      <c r="D8" s="3"/>
      <c r="E8" s="3"/>
      <c r="F8" s="3"/>
      <c r="G8" s="3"/>
      <c r="H8" s="3"/>
      <c r="I8" s="29"/>
    </row>
    <row r="9" customFormat="false" ht="15" hidden="false" customHeight="false" outlineLevel="0" collapsed="false">
      <c r="A9" s="3"/>
      <c r="B9" s="29"/>
      <c r="C9" s="3"/>
      <c r="D9" s="3"/>
      <c r="E9" s="3"/>
      <c r="F9" s="3"/>
      <c r="G9" s="3"/>
      <c r="H9" s="3"/>
      <c r="I9" s="29"/>
    </row>
    <row r="10" customFormat="false" ht="15" hidden="false" customHeight="false" outlineLevel="0" collapsed="false">
      <c r="A10" s="3"/>
      <c r="B10" s="29"/>
      <c r="C10" s="3"/>
      <c r="D10" s="3"/>
      <c r="E10" s="3"/>
      <c r="F10" s="3"/>
      <c r="G10" s="3"/>
      <c r="H10" s="3"/>
      <c r="I10" s="29"/>
    </row>
    <row r="11" customFormat="false" ht="15" hidden="false" customHeight="false" outlineLevel="0" collapsed="false">
      <c r="A11" s="3"/>
      <c r="B11" s="29"/>
      <c r="C11" s="3"/>
      <c r="D11" s="3"/>
      <c r="E11" s="3"/>
      <c r="F11" s="3"/>
      <c r="G11" s="3"/>
      <c r="H11" s="3"/>
      <c r="I11" s="29"/>
    </row>
    <row r="12" customFormat="false" ht="15" hidden="false" customHeight="false" outlineLevel="0" collapsed="false">
      <c r="A12" s="3"/>
      <c r="B12" s="29"/>
      <c r="C12" s="3"/>
      <c r="D12" s="3"/>
      <c r="E12" s="3"/>
      <c r="F12" s="3"/>
      <c r="G12" s="3"/>
      <c r="H12" s="3"/>
      <c r="I12" s="29"/>
    </row>
    <row r="13" customFormat="false" ht="15" hidden="false" customHeight="false" outlineLevel="0" collapsed="false">
      <c r="A13" s="3"/>
      <c r="B13" s="29"/>
      <c r="C13" s="3"/>
      <c r="D13" s="3"/>
      <c r="E13" s="3"/>
      <c r="F13" s="3"/>
      <c r="G13" s="3"/>
      <c r="H13" s="3"/>
      <c r="I13" s="29"/>
    </row>
    <row r="14" customFormat="false" ht="15" hidden="false" customHeight="false" outlineLevel="0" collapsed="false">
      <c r="A14" s="3"/>
      <c r="B14" s="29"/>
      <c r="C14" s="3"/>
      <c r="D14" s="3"/>
      <c r="E14" s="3"/>
      <c r="F14" s="3"/>
      <c r="G14" s="3"/>
      <c r="H14" s="3"/>
      <c r="I14" s="29"/>
    </row>
    <row r="15" customFormat="false" ht="15" hidden="false" customHeight="false" outlineLevel="0" collapsed="false">
      <c r="A15" s="3"/>
      <c r="B15" s="29"/>
      <c r="C15" s="3"/>
      <c r="D15" s="3"/>
      <c r="E15" s="3"/>
      <c r="F15" s="3"/>
      <c r="G15" s="3"/>
      <c r="H15" s="3"/>
      <c r="I15" s="29"/>
    </row>
    <row r="16" customFormat="false" ht="15" hidden="false" customHeight="false" outlineLevel="0" collapsed="false">
      <c r="A16" s="3"/>
      <c r="B16" s="29"/>
      <c r="C16" s="3"/>
      <c r="D16" s="3"/>
      <c r="E16" s="3"/>
      <c r="F16" s="3"/>
      <c r="G16" s="3"/>
      <c r="H16" s="3"/>
      <c r="I16" s="29"/>
    </row>
    <row r="17" customFormat="false" ht="15" hidden="false" customHeight="false" outlineLevel="0" collapsed="false">
      <c r="A17" s="3"/>
      <c r="B17" s="29"/>
      <c r="C17" s="3"/>
      <c r="D17" s="3"/>
      <c r="E17" s="3"/>
      <c r="F17" s="3"/>
      <c r="G17" s="3"/>
      <c r="H17" s="3"/>
      <c r="I17" s="29"/>
    </row>
    <row r="18" customFormat="false" ht="15" hidden="false" customHeight="false" outlineLevel="0" collapsed="false">
      <c r="A18" s="3"/>
      <c r="B18" s="29"/>
      <c r="C18" s="3"/>
      <c r="D18" s="3"/>
      <c r="E18" s="3"/>
      <c r="F18" s="3"/>
      <c r="G18" s="3"/>
      <c r="H18" s="3"/>
      <c r="I18" s="29"/>
    </row>
    <row r="19" customFormat="false" ht="15" hidden="false" customHeight="false" outlineLevel="0" collapsed="false">
      <c r="A19" s="3"/>
      <c r="B19" s="29"/>
      <c r="C19" s="3"/>
      <c r="D19" s="3"/>
      <c r="E19" s="3"/>
      <c r="F19" s="3"/>
      <c r="G19" s="3"/>
      <c r="H19" s="3"/>
      <c r="I19" s="29"/>
    </row>
    <row r="20" customFormat="false" ht="15" hidden="false" customHeight="false" outlineLevel="0" collapsed="false">
      <c r="A20" s="3"/>
      <c r="B20" s="29"/>
      <c r="C20" s="3"/>
      <c r="D20" s="3"/>
      <c r="E20" s="3"/>
      <c r="F20" s="3"/>
      <c r="G20" s="3"/>
      <c r="H20" s="3"/>
      <c r="I20" s="29"/>
    </row>
    <row r="21" customFormat="false" ht="15" hidden="false" customHeight="false" outlineLevel="0" collapsed="false">
      <c r="A21" s="3"/>
      <c r="B21" s="29"/>
      <c r="C21" s="3"/>
      <c r="D21" s="3"/>
      <c r="E21" s="3"/>
      <c r="F21" s="3"/>
      <c r="G21" s="3"/>
      <c r="H21" s="3"/>
      <c r="I21" s="29"/>
    </row>
    <row r="22" customFormat="false" ht="15" hidden="false" customHeight="false" outlineLevel="0" collapsed="false">
      <c r="A22" s="3"/>
      <c r="B22" s="29"/>
      <c r="C22" s="3"/>
      <c r="D22" s="3"/>
      <c r="E22" s="3"/>
      <c r="F22" s="3"/>
      <c r="G22" s="3"/>
      <c r="H22" s="3"/>
      <c r="I22" s="29"/>
    </row>
    <row r="23" customFormat="false" ht="15" hidden="false" customHeight="false" outlineLevel="0" collapsed="false">
      <c r="A23" s="3"/>
      <c r="B23" s="29"/>
      <c r="C23" s="3"/>
      <c r="D23" s="3"/>
      <c r="E23" s="3"/>
      <c r="F23" s="3"/>
      <c r="G23" s="3"/>
      <c r="H23" s="3"/>
      <c r="I23" s="29"/>
    </row>
    <row r="24" customFormat="false" ht="15" hidden="false" customHeight="false" outlineLevel="0" collapsed="false">
      <c r="A24" s="3"/>
      <c r="B24" s="29"/>
      <c r="C24" s="3"/>
      <c r="D24" s="3"/>
      <c r="E24" s="3"/>
      <c r="F24" s="3"/>
      <c r="G24" s="3"/>
      <c r="H24" s="3"/>
      <c r="I24" s="29"/>
    </row>
    <row r="25" customFormat="false" ht="15" hidden="false" customHeight="false" outlineLevel="0" collapsed="false">
      <c r="A25" s="3"/>
      <c r="B25" s="29"/>
      <c r="C25" s="3"/>
      <c r="D25" s="3"/>
      <c r="E25" s="3"/>
      <c r="F25" s="3"/>
      <c r="G25" s="3"/>
      <c r="H25" s="3"/>
      <c r="I25" s="29"/>
    </row>
    <row r="26" customFormat="false" ht="15" hidden="false" customHeight="false" outlineLevel="0" collapsed="false">
      <c r="A26" s="3"/>
      <c r="B26" s="29"/>
      <c r="C26" s="3"/>
      <c r="D26" s="3"/>
      <c r="E26" s="3"/>
      <c r="F26" s="3"/>
      <c r="G26" s="3"/>
      <c r="H26" s="3"/>
      <c r="I26" s="29"/>
    </row>
    <row r="27" customFormat="false" ht="15" hidden="false" customHeight="false" outlineLevel="0" collapsed="false">
      <c r="A27" s="3"/>
      <c r="B27" s="29"/>
      <c r="C27" s="3"/>
      <c r="D27" s="3"/>
      <c r="E27" s="3"/>
      <c r="F27" s="3"/>
      <c r="G27" s="3"/>
      <c r="H27" s="3"/>
      <c r="I27" s="29"/>
    </row>
    <row r="28" customFormat="false" ht="15" hidden="false" customHeight="false" outlineLevel="0" collapsed="false">
      <c r="A28" s="3"/>
      <c r="B28" s="29"/>
      <c r="C28" s="3"/>
      <c r="D28" s="3"/>
      <c r="E28" s="3"/>
      <c r="F28" s="3"/>
      <c r="G28" s="3"/>
      <c r="H28" s="3"/>
      <c r="I28" s="29"/>
    </row>
    <row r="29" customFormat="false" ht="15" hidden="false" customHeight="false" outlineLevel="0" collapsed="false">
      <c r="A29" s="3"/>
      <c r="B29" s="29"/>
      <c r="C29" s="3"/>
      <c r="D29" s="3"/>
      <c r="E29" s="3"/>
      <c r="F29" s="3"/>
      <c r="G29" s="3"/>
      <c r="H29" s="3"/>
      <c r="I29" s="29"/>
    </row>
    <row r="30" customFormat="false" ht="15" hidden="false" customHeight="false" outlineLevel="0" collapsed="false">
      <c r="A30" s="3"/>
      <c r="B30" s="29"/>
      <c r="C30" s="3"/>
      <c r="D30" s="3"/>
      <c r="E30" s="3"/>
      <c r="F30" s="3"/>
      <c r="G30" s="3"/>
      <c r="H30" s="3"/>
      <c r="I30" s="29"/>
    </row>
    <row r="31" customFormat="false" ht="15" hidden="false" customHeight="false" outlineLevel="0" collapsed="false">
      <c r="A31" s="3"/>
      <c r="B31" s="29"/>
      <c r="C31" s="3"/>
      <c r="D31" s="3"/>
      <c r="E31" s="3"/>
      <c r="F31" s="3"/>
      <c r="G31" s="3"/>
      <c r="H31" s="3"/>
      <c r="I31" s="29"/>
    </row>
    <row r="32" customFormat="false" ht="15" hidden="false" customHeight="false" outlineLevel="0" collapsed="false">
      <c r="A32" s="3"/>
      <c r="B32" s="29"/>
      <c r="C32" s="3"/>
      <c r="D32" s="3"/>
      <c r="E32" s="3"/>
      <c r="F32" s="3"/>
      <c r="G32" s="3"/>
      <c r="H32" s="3"/>
      <c r="I32" s="29"/>
    </row>
    <row r="33" customFormat="false" ht="15" hidden="false" customHeight="false" outlineLevel="0" collapsed="false">
      <c r="A33" s="3"/>
      <c r="B33" s="29"/>
      <c r="C33" s="3"/>
      <c r="D33" s="3"/>
      <c r="E33" s="3"/>
      <c r="F33" s="3"/>
      <c r="G33" s="3"/>
      <c r="H33" s="3"/>
      <c r="I33" s="29"/>
    </row>
    <row r="34" customFormat="false" ht="15" hidden="false" customHeight="false" outlineLevel="0" collapsed="false">
      <c r="A34" s="3"/>
      <c r="B34" s="29"/>
      <c r="C34" s="3"/>
      <c r="D34" s="3"/>
      <c r="E34" s="3"/>
      <c r="F34" s="3"/>
      <c r="G34" s="3"/>
      <c r="H34" s="3"/>
      <c r="I34" s="29"/>
    </row>
    <row r="35" customFormat="false" ht="15" hidden="false" customHeight="false" outlineLevel="0" collapsed="false">
      <c r="A35" s="3"/>
      <c r="B35" s="29"/>
      <c r="C35" s="3"/>
      <c r="D35" s="3"/>
      <c r="E35" s="3"/>
      <c r="F35" s="3"/>
      <c r="G35" s="3"/>
      <c r="H35" s="3"/>
      <c r="I35" s="29"/>
    </row>
    <row r="36" customFormat="false" ht="15" hidden="false" customHeight="false" outlineLevel="0" collapsed="false">
      <c r="A36" s="3"/>
      <c r="B36" s="29"/>
      <c r="C36" s="3"/>
      <c r="D36" s="3"/>
      <c r="E36" s="3"/>
      <c r="F36" s="3"/>
      <c r="G36" s="3"/>
      <c r="H36" s="3"/>
      <c r="I36" s="29"/>
    </row>
    <row r="37" customFormat="false" ht="15" hidden="false" customHeight="false" outlineLevel="0" collapsed="false">
      <c r="A37" s="3"/>
      <c r="B37" s="29"/>
      <c r="C37" s="3"/>
      <c r="D37" s="3"/>
      <c r="E37" s="3"/>
      <c r="F37" s="3"/>
      <c r="G37" s="3"/>
      <c r="H37" s="3"/>
      <c r="I37" s="29"/>
    </row>
    <row r="38" customFormat="false" ht="15" hidden="false" customHeight="false" outlineLevel="0" collapsed="false">
      <c r="A38" s="3"/>
      <c r="B38" s="29"/>
      <c r="C38" s="3"/>
      <c r="D38" s="3"/>
      <c r="E38" s="3"/>
      <c r="F38" s="3"/>
      <c r="G38" s="3"/>
      <c r="H38" s="3"/>
      <c r="I38" s="29"/>
    </row>
    <row r="39" customFormat="false" ht="15" hidden="false" customHeight="false" outlineLevel="0" collapsed="false">
      <c r="A39" s="3"/>
      <c r="B39" s="29"/>
      <c r="C39" s="3"/>
      <c r="D39" s="3"/>
      <c r="E39" s="3"/>
      <c r="F39" s="3"/>
      <c r="G39" s="3"/>
      <c r="H39" s="3"/>
      <c r="I39" s="29"/>
    </row>
    <row r="40" customFormat="false" ht="15" hidden="false" customHeight="false" outlineLevel="0" collapsed="false">
      <c r="A40" s="3"/>
      <c r="B40" s="29"/>
      <c r="C40" s="3"/>
      <c r="D40" s="3"/>
      <c r="E40" s="3"/>
      <c r="F40" s="3"/>
      <c r="G40" s="3"/>
      <c r="H40" s="3"/>
      <c r="I40" s="29"/>
    </row>
    <row r="41" customFormat="false" ht="15" hidden="false" customHeight="false" outlineLevel="0" collapsed="false">
      <c r="A41" s="3"/>
      <c r="B41" s="29"/>
      <c r="C41" s="3"/>
      <c r="D41" s="3"/>
      <c r="E41" s="3"/>
      <c r="F41" s="3"/>
      <c r="G41" s="3"/>
      <c r="H41" s="3"/>
      <c r="I41" s="29"/>
    </row>
    <row r="42" customFormat="false" ht="15" hidden="false" customHeight="false" outlineLevel="0" collapsed="false">
      <c r="A42" s="3"/>
      <c r="B42" s="29"/>
      <c r="C42" s="3"/>
      <c r="D42" s="3"/>
      <c r="E42" s="3"/>
      <c r="F42" s="3"/>
      <c r="G42" s="3"/>
      <c r="H42" s="3"/>
      <c r="I42" s="29"/>
    </row>
    <row r="43" customFormat="false" ht="15" hidden="false" customHeight="false" outlineLevel="0" collapsed="false">
      <c r="A43" s="3"/>
      <c r="B43" s="29"/>
      <c r="C43" s="3"/>
      <c r="D43" s="3"/>
      <c r="E43" s="3"/>
      <c r="F43" s="3"/>
      <c r="G43" s="3"/>
      <c r="H43" s="3"/>
      <c r="I43" s="29"/>
    </row>
    <row r="44" customFormat="false" ht="15" hidden="false" customHeight="false" outlineLevel="0" collapsed="false">
      <c r="A44" s="3"/>
      <c r="B44" s="29"/>
      <c r="C44" s="3"/>
      <c r="D44" s="3"/>
      <c r="E44" s="3"/>
      <c r="F44" s="3"/>
      <c r="G44" s="3"/>
      <c r="H44" s="3"/>
      <c r="I44" s="29"/>
    </row>
    <row r="45" customFormat="false" ht="15" hidden="false" customHeight="false" outlineLevel="0" collapsed="false">
      <c r="A45" s="3"/>
      <c r="B45" s="29"/>
      <c r="C45" s="3"/>
      <c r="D45" s="3"/>
      <c r="E45" s="3"/>
      <c r="F45" s="3"/>
      <c r="G45" s="3"/>
      <c r="H45" s="3"/>
      <c r="I45" s="29"/>
    </row>
    <row r="46" customFormat="false" ht="15" hidden="false" customHeight="false" outlineLevel="0" collapsed="false">
      <c r="A46" s="3"/>
      <c r="B46" s="29"/>
      <c r="C46" s="3"/>
      <c r="D46" s="3"/>
      <c r="E46" s="3"/>
      <c r="F46" s="3"/>
      <c r="G46" s="3"/>
      <c r="H46" s="3"/>
      <c r="I46" s="29"/>
    </row>
    <row r="47" customFormat="false" ht="15" hidden="false" customHeight="false" outlineLevel="0" collapsed="false">
      <c r="A47" s="3"/>
      <c r="B47" s="29"/>
      <c r="C47" s="3"/>
      <c r="D47" s="3"/>
      <c r="E47" s="3"/>
      <c r="F47" s="3"/>
      <c r="G47" s="3"/>
      <c r="H47" s="3"/>
      <c r="I47" s="29"/>
    </row>
    <row r="48" customFormat="false" ht="15" hidden="false" customHeight="false" outlineLevel="0" collapsed="false">
      <c r="A48" s="3"/>
      <c r="B48" s="29"/>
      <c r="C48" s="3"/>
      <c r="D48" s="3"/>
      <c r="E48" s="3"/>
      <c r="F48" s="3"/>
      <c r="G48" s="3"/>
      <c r="H48" s="3"/>
      <c r="I48" s="29"/>
    </row>
    <row r="49" customFormat="false" ht="15" hidden="false" customHeight="false" outlineLevel="0" collapsed="false">
      <c r="A49" s="3"/>
      <c r="B49" s="29"/>
      <c r="C49" s="3"/>
      <c r="D49" s="3"/>
      <c r="E49" s="3"/>
      <c r="F49" s="3"/>
      <c r="G49" s="3"/>
      <c r="H49" s="3"/>
      <c r="I49" s="29"/>
    </row>
    <row r="50" customFormat="false" ht="15" hidden="false" customHeight="false" outlineLevel="0" collapsed="false">
      <c r="A50" s="3"/>
      <c r="B50" s="29"/>
      <c r="C50" s="3"/>
      <c r="D50" s="3"/>
      <c r="E50" s="3"/>
      <c r="F50" s="3"/>
      <c r="G50" s="3"/>
      <c r="H50" s="3"/>
      <c r="I50" s="29"/>
    </row>
    <row r="51" customFormat="false" ht="15" hidden="false" customHeight="false" outlineLevel="0" collapsed="false">
      <c r="A51" s="3"/>
      <c r="B51" s="29"/>
      <c r="C51" s="3"/>
      <c r="D51" s="3"/>
      <c r="E51" s="3"/>
      <c r="F51" s="3"/>
      <c r="G51" s="3"/>
      <c r="H51" s="3"/>
      <c r="I51" s="29"/>
    </row>
    <row r="52" customFormat="false" ht="15" hidden="false" customHeight="false" outlineLevel="0" collapsed="false">
      <c r="A52" s="3"/>
      <c r="B52" s="29"/>
      <c r="C52" s="3"/>
      <c r="D52" s="3"/>
      <c r="E52" s="3"/>
      <c r="F52" s="3"/>
      <c r="G52" s="3"/>
      <c r="H52" s="3"/>
      <c r="I52" s="29"/>
    </row>
    <row r="53" customFormat="false" ht="15" hidden="false" customHeight="false" outlineLevel="0" collapsed="false">
      <c r="A53" s="3"/>
      <c r="B53" s="29"/>
      <c r="C53" s="3"/>
      <c r="D53" s="3"/>
      <c r="E53" s="3"/>
      <c r="F53" s="3"/>
      <c r="G53" s="3"/>
      <c r="H53" s="3"/>
      <c r="I53" s="29"/>
    </row>
    <row r="54" customFormat="false" ht="15" hidden="false" customHeight="false" outlineLevel="0" collapsed="false">
      <c r="A54" s="3"/>
      <c r="B54" s="29"/>
      <c r="C54" s="3"/>
      <c r="D54" s="3"/>
      <c r="E54" s="3"/>
      <c r="F54" s="3"/>
      <c r="G54" s="3"/>
      <c r="H54" s="3"/>
      <c r="I54" s="29"/>
    </row>
    <row r="55" customFormat="false" ht="15" hidden="false" customHeight="false" outlineLevel="0" collapsed="false">
      <c r="A55" s="3"/>
      <c r="B55" s="29"/>
      <c r="C55" s="3"/>
      <c r="D55" s="3"/>
      <c r="E55" s="3"/>
      <c r="F55" s="3"/>
      <c r="G55" s="3"/>
      <c r="H55" s="3"/>
      <c r="I55" s="29"/>
    </row>
    <row r="56" customFormat="false" ht="15" hidden="false" customHeight="false" outlineLevel="0" collapsed="false">
      <c r="A56" s="3"/>
      <c r="B56" s="29"/>
      <c r="C56" s="3"/>
      <c r="D56" s="3"/>
      <c r="E56" s="3"/>
      <c r="F56" s="3"/>
      <c r="G56" s="3"/>
      <c r="H56" s="3"/>
      <c r="I56" s="29"/>
    </row>
    <row r="57" customFormat="false" ht="15" hidden="false" customHeight="false" outlineLevel="0" collapsed="false">
      <c r="A57" s="3"/>
      <c r="B57" s="29"/>
      <c r="C57" s="3"/>
      <c r="D57" s="3"/>
      <c r="E57" s="3"/>
      <c r="F57" s="3"/>
      <c r="G57" s="3"/>
      <c r="H57" s="3"/>
      <c r="I57" s="29"/>
    </row>
    <row r="58" customFormat="false" ht="15" hidden="false" customHeight="false" outlineLevel="0" collapsed="false">
      <c r="A58" s="3"/>
      <c r="B58" s="29"/>
      <c r="C58" s="3"/>
      <c r="D58" s="3"/>
      <c r="E58" s="3"/>
      <c r="F58" s="3"/>
      <c r="G58" s="3"/>
      <c r="H58" s="3"/>
      <c r="I58" s="29"/>
    </row>
    <row r="59" customFormat="false" ht="15" hidden="false" customHeight="false" outlineLevel="0" collapsed="false">
      <c r="A59" s="3"/>
      <c r="B59" s="29"/>
      <c r="C59" s="3"/>
      <c r="D59" s="3"/>
      <c r="E59" s="3"/>
      <c r="F59" s="3"/>
      <c r="G59" s="3"/>
      <c r="H59" s="3"/>
      <c r="I59" s="29"/>
    </row>
    <row r="60" customFormat="false" ht="15" hidden="false" customHeight="false" outlineLevel="0" collapsed="false">
      <c r="A60" s="3"/>
      <c r="B60" s="29"/>
      <c r="C60" s="3"/>
      <c r="D60" s="3"/>
      <c r="E60" s="3"/>
      <c r="F60" s="3"/>
      <c r="G60" s="3"/>
      <c r="H60" s="3"/>
      <c r="I60" s="29"/>
    </row>
    <row r="61" customFormat="false" ht="15" hidden="false" customHeight="false" outlineLevel="0" collapsed="false">
      <c r="A61" s="3"/>
      <c r="B61" s="29"/>
      <c r="C61" s="3"/>
      <c r="D61" s="3"/>
      <c r="E61" s="3"/>
      <c r="F61" s="3"/>
      <c r="G61" s="3"/>
      <c r="H61" s="3"/>
      <c r="I61" s="29"/>
    </row>
    <row r="62" customFormat="false" ht="15" hidden="false" customHeight="false" outlineLevel="0" collapsed="false">
      <c r="A62" s="3"/>
      <c r="B62" s="29"/>
      <c r="C62" s="3"/>
      <c r="D62" s="3"/>
      <c r="E62" s="3"/>
      <c r="F62" s="3"/>
      <c r="G62" s="3"/>
      <c r="H62" s="3"/>
      <c r="I62" s="29"/>
    </row>
    <row r="63" customFormat="false" ht="15" hidden="false" customHeight="false" outlineLevel="0" collapsed="false">
      <c r="A63" s="3"/>
      <c r="B63" s="29"/>
      <c r="C63" s="3"/>
      <c r="D63" s="3"/>
      <c r="E63" s="3"/>
      <c r="F63" s="3"/>
      <c r="G63" s="3"/>
      <c r="H63" s="3"/>
      <c r="I63" s="29"/>
    </row>
    <row r="64" customFormat="false" ht="15" hidden="false" customHeight="false" outlineLevel="0" collapsed="false">
      <c r="A64" s="3"/>
      <c r="B64" s="29"/>
      <c r="C64" s="3"/>
      <c r="D64" s="3"/>
      <c r="E64" s="3"/>
      <c r="F64" s="3"/>
      <c r="G64" s="3"/>
      <c r="H64" s="3"/>
      <c r="I64" s="29"/>
    </row>
    <row r="65" customFormat="false" ht="15" hidden="false" customHeight="false" outlineLevel="0" collapsed="false">
      <c r="A65" s="3"/>
      <c r="B65" s="29"/>
      <c r="C65" s="3"/>
      <c r="D65" s="3"/>
      <c r="E65" s="3"/>
      <c r="F65" s="3"/>
      <c r="G65" s="3"/>
      <c r="H65" s="3"/>
      <c r="I65" s="29"/>
    </row>
    <row r="66" customFormat="false" ht="15" hidden="false" customHeight="false" outlineLevel="0" collapsed="false">
      <c r="A66" s="3"/>
      <c r="B66" s="29"/>
      <c r="C66" s="3"/>
      <c r="D66" s="3"/>
      <c r="E66" s="3"/>
      <c r="F66" s="3"/>
      <c r="G66" s="3"/>
      <c r="H66" s="3"/>
      <c r="I66" s="29"/>
    </row>
    <row r="67" customFormat="false" ht="15" hidden="false" customHeight="false" outlineLevel="0" collapsed="false">
      <c r="A67" s="3"/>
      <c r="B67" s="29"/>
      <c r="C67" s="3"/>
      <c r="D67" s="3"/>
      <c r="E67" s="3"/>
      <c r="F67" s="3"/>
      <c r="G67" s="3"/>
      <c r="H67" s="3"/>
      <c r="I67" s="29"/>
    </row>
    <row r="68" customFormat="false" ht="15" hidden="false" customHeight="false" outlineLevel="0" collapsed="false">
      <c r="A68" s="3"/>
      <c r="B68" s="29"/>
      <c r="C68" s="3"/>
      <c r="D68" s="3"/>
      <c r="E68" s="3"/>
      <c r="F68" s="3"/>
      <c r="G68" s="3"/>
      <c r="H68" s="3"/>
      <c r="I68" s="29"/>
    </row>
    <row r="69" customFormat="false" ht="15" hidden="false" customHeight="false" outlineLevel="0" collapsed="false">
      <c r="A69" s="3"/>
      <c r="B69" s="29"/>
      <c r="C69" s="3"/>
      <c r="D69" s="3"/>
      <c r="E69" s="3"/>
      <c r="F69" s="3"/>
      <c r="G69" s="3"/>
      <c r="H69" s="3"/>
      <c r="I69" s="29"/>
    </row>
    <row r="70" customFormat="false" ht="15" hidden="false" customHeight="false" outlineLevel="0" collapsed="false">
      <c r="A70" s="3"/>
      <c r="B70" s="29"/>
      <c r="C70" s="3"/>
      <c r="D70" s="3"/>
      <c r="E70" s="3"/>
      <c r="F70" s="3"/>
      <c r="G70" s="3"/>
      <c r="H70" s="3"/>
      <c r="I70" s="29"/>
    </row>
    <row r="71" customFormat="false" ht="15" hidden="false" customHeight="false" outlineLevel="0" collapsed="false">
      <c r="A71" s="3"/>
      <c r="B71" s="29"/>
      <c r="C71" s="3"/>
      <c r="D71" s="3"/>
      <c r="E71" s="3"/>
      <c r="F71" s="3"/>
      <c r="G71" s="3"/>
      <c r="H71" s="3"/>
      <c r="I71" s="29"/>
    </row>
    <row r="72" customFormat="false" ht="15" hidden="false" customHeight="false" outlineLevel="0" collapsed="false">
      <c r="A72" s="3"/>
      <c r="B72" s="29"/>
      <c r="C72" s="3"/>
      <c r="D72" s="3"/>
      <c r="E72" s="3"/>
      <c r="F72" s="3"/>
      <c r="G72" s="3"/>
      <c r="H72" s="3"/>
      <c r="I72" s="29"/>
    </row>
    <row r="73" customFormat="false" ht="15" hidden="false" customHeight="false" outlineLevel="0" collapsed="false">
      <c r="A73" s="3"/>
      <c r="B73" s="29"/>
      <c r="C73" s="3"/>
      <c r="D73" s="3"/>
      <c r="E73" s="3"/>
      <c r="F73" s="3"/>
      <c r="G73" s="3"/>
      <c r="H73" s="3"/>
      <c r="I73" s="29"/>
    </row>
    <row r="74" customFormat="false" ht="15" hidden="false" customHeight="false" outlineLevel="0" collapsed="false">
      <c r="A74" s="3"/>
      <c r="B74" s="29"/>
      <c r="C74" s="3"/>
      <c r="D74" s="3"/>
      <c r="E74" s="3"/>
      <c r="F74" s="3"/>
      <c r="G74" s="3"/>
      <c r="H74" s="3"/>
      <c r="I74" s="29"/>
    </row>
    <row r="75" customFormat="false" ht="15" hidden="false" customHeight="false" outlineLevel="0" collapsed="false">
      <c r="A75" s="3"/>
      <c r="B75" s="29"/>
      <c r="C75" s="3"/>
      <c r="D75" s="3"/>
      <c r="E75" s="3"/>
      <c r="F75" s="3"/>
      <c r="G75" s="3"/>
      <c r="H75" s="3"/>
      <c r="I75" s="29"/>
    </row>
    <row r="76" customFormat="false" ht="15" hidden="false" customHeight="false" outlineLevel="0" collapsed="false">
      <c r="A76" s="3"/>
      <c r="B76" s="29"/>
      <c r="C76" s="3"/>
      <c r="D76" s="3"/>
      <c r="E76" s="3"/>
      <c r="F76" s="3"/>
      <c r="G76" s="3"/>
      <c r="H76" s="3"/>
      <c r="I76" s="29"/>
    </row>
    <row r="77" customFormat="false" ht="15" hidden="false" customHeight="false" outlineLevel="0" collapsed="false">
      <c r="A77" s="3"/>
      <c r="B77" s="29"/>
      <c r="C77" s="3"/>
      <c r="D77" s="3"/>
      <c r="E77" s="3"/>
      <c r="F77" s="3"/>
      <c r="G77" s="3"/>
      <c r="H77" s="3"/>
      <c r="I77" s="29"/>
    </row>
    <row r="78" customFormat="false" ht="15" hidden="false" customHeight="false" outlineLevel="0" collapsed="false">
      <c r="A78" s="3"/>
      <c r="B78" s="29"/>
      <c r="C78" s="3"/>
      <c r="D78" s="3"/>
      <c r="E78" s="3"/>
      <c r="F78" s="3"/>
      <c r="G78" s="3"/>
      <c r="H78" s="3"/>
      <c r="I78" s="29"/>
    </row>
    <row r="79" customFormat="false" ht="15" hidden="false" customHeight="false" outlineLevel="0" collapsed="false">
      <c r="A79" s="3"/>
      <c r="B79" s="29"/>
      <c r="C79" s="3"/>
      <c r="D79" s="3"/>
      <c r="E79" s="3"/>
      <c r="F79" s="3"/>
      <c r="G79" s="3"/>
      <c r="H79" s="3"/>
      <c r="I79" s="29"/>
    </row>
    <row r="80" customFormat="false" ht="15" hidden="false" customHeight="false" outlineLevel="0" collapsed="false">
      <c r="A80" s="3"/>
      <c r="B80" s="29"/>
      <c r="C80" s="3"/>
      <c r="D80" s="3"/>
      <c r="E80" s="3"/>
      <c r="F80" s="3"/>
      <c r="G80" s="3"/>
      <c r="H80" s="3"/>
      <c r="I80" s="29"/>
    </row>
    <row r="81" customFormat="false" ht="15" hidden="false" customHeight="false" outlineLevel="0" collapsed="false">
      <c r="A81" s="3"/>
      <c r="B81" s="29"/>
      <c r="C81" s="3"/>
      <c r="D81" s="3"/>
      <c r="E81" s="3"/>
      <c r="F81" s="3"/>
      <c r="G81" s="3"/>
      <c r="H81" s="3"/>
      <c r="I81" s="29"/>
    </row>
    <row r="82" customFormat="false" ht="15" hidden="false" customHeight="false" outlineLevel="0" collapsed="false">
      <c r="A82" s="3"/>
      <c r="B82" s="29"/>
      <c r="C82" s="3"/>
      <c r="D82" s="3"/>
      <c r="E82" s="3"/>
      <c r="F82" s="3"/>
      <c r="G82" s="3"/>
      <c r="H82" s="3"/>
      <c r="I82" s="29"/>
    </row>
    <row r="83" customFormat="false" ht="15" hidden="false" customHeight="false" outlineLevel="0" collapsed="false">
      <c r="A83" s="3"/>
      <c r="B83" s="29"/>
      <c r="C83" s="3"/>
      <c r="D83" s="3"/>
      <c r="E83" s="3"/>
      <c r="F83" s="3"/>
      <c r="G83" s="3"/>
      <c r="H83" s="3"/>
      <c r="I83" s="29"/>
    </row>
    <row r="84" customFormat="false" ht="15" hidden="false" customHeight="false" outlineLevel="0" collapsed="false">
      <c r="A84" s="3"/>
      <c r="B84" s="29"/>
      <c r="C84" s="3"/>
      <c r="D84" s="3"/>
      <c r="E84" s="3"/>
      <c r="F84" s="3"/>
      <c r="G84" s="3"/>
      <c r="H84" s="3"/>
      <c r="I84" s="29"/>
    </row>
    <row r="85" customFormat="false" ht="15" hidden="false" customHeight="false" outlineLevel="0" collapsed="false">
      <c r="A85" s="3"/>
      <c r="B85" s="29"/>
      <c r="C85" s="3"/>
      <c r="D85" s="3"/>
      <c r="E85" s="3"/>
      <c r="F85" s="3"/>
      <c r="G85" s="3"/>
      <c r="H85" s="3"/>
      <c r="I85" s="29"/>
    </row>
    <row r="86" customFormat="false" ht="15" hidden="false" customHeight="false" outlineLevel="0" collapsed="false">
      <c r="A86" s="3"/>
      <c r="B86" s="29"/>
      <c r="C86" s="3"/>
      <c r="D86" s="3"/>
      <c r="E86" s="3"/>
      <c r="F86" s="3"/>
      <c r="G86" s="3"/>
      <c r="H86" s="3"/>
      <c r="I86" s="29"/>
    </row>
    <row r="87" customFormat="false" ht="15" hidden="false" customHeight="false" outlineLevel="0" collapsed="false">
      <c r="A87" s="3"/>
      <c r="B87" s="29"/>
      <c r="C87" s="3"/>
      <c r="D87" s="3"/>
      <c r="E87" s="3"/>
      <c r="F87" s="3"/>
      <c r="G87" s="3"/>
      <c r="H87" s="3"/>
      <c r="I87" s="29"/>
    </row>
    <row r="88" customFormat="false" ht="15" hidden="false" customHeight="false" outlineLevel="0" collapsed="false">
      <c r="A88" s="3"/>
      <c r="B88" s="29"/>
      <c r="C88" s="3"/>
      <c r="D88" s="3"/>
      <c r="E88" s="3"/>
      <c r="F88" s="3"/>
      <c r="G88" s="3"/>
      <c r="H88" s="3"/>
      <c r="I88" s="29"/>
    </row>
    <row r="89" customFormat="false" ht="15" hidden="false" customHeight="false" outlineLevel="0" collapsed="false">
      <c r="A89" s="3"/>
      <c r="B89" s="29"/>
      <c r="C89" s="3"/>
      <c r="D89" s="3"/>
      <c r="E89" s="3"/>
      <c r="F89" s="3"/>
      <c r="G89" s="3"/>
      <c r="H89" s="3"/>
      <c r="I89" s="29"/>
    </row>
    <row r="90" customFormat="false" ht="15" hidden="false" customHeight="false" outlineLevel="0" collapsed="false">
      <c r="A90" s="3"/>
      <c r="B90" s="29"/>
      <c r="C90" s="3"/>
      <c r="D90" s="3"/>
      <c r="E90" s="3"/>
      <c r="F90" s="3"/>
      <c r="G90" s="3"/>
      <c r="H90" s="3"/>
      <c r="I90" s="29"/>
    </row>
    <row r="91" customFormat="false" ht="15" hidden="false" customHeight="false" outlineLevel="0" collapsed="false">
      <c r="A91" s="3"/>
      <c r="B91" s="29"/>
      <c r="C91" s="3"/>
      <c r="D91" s="3"/>
      <c r="E91" s="3"/>
      <c r="F91" s="3"/>
      <c r="G91" s="3"/>
      <c r="H91" s="3"/>
      <c r="I91" s="29"/>
    </row>
    <row r="92" customFormat="false" ht="15" hidden="false" customHeight="false" outlineLevel="0" collapsed="false">
      <c r="A92" s="3"/>
      <c r="B92" s="29"/>
      <c r="C92" s="3"/>
      <c r="D92" s="3"/>
      <c r="E92" s="3"/>
      <c r="F92" s="3"/>
      <c r="G92" s="3"/>
      <c r="H92" s="3"/>
      <c r="I92" s="29"/>
    </row>
    <row r="93" customFormat="false" ht="15" hidden="false" customHeight="false" outlineLevel="0" collapsed="false">
      <c r="A93" s="3"/>
      <c r="B93" s="29"/>
      <c r="C93" s="3"/>
      <c r="D93" s="3"/>
      <c r="E93" s="3"/>
      <c r="F93" s="3"/>
      <c r="G93" s="3"/>
      <c r="H93" s="3"/>
      <c r="I93" s="29"/>
    </row>
    <row r="94" customFormat="false" ht="15" hidden="false" customHeight="false" outlineLevel="0" collapsed="false">
      <c r="A94" s="3"/>
      <c r="B94" s="29"/>
      <c r="C94" s="3"/>
      <c r="D94" s="3"/>
      <c r="E94" s="3"/>
      <c r="F94" s="3"/>
      <c r="G94" s="3"/>
      <c r="H94" s="3"/>
      <c r="I94" s="29"/>
    </row>
    <row r="95" customFormat="false" ht="15" hidden="false" customHeight="false" outlineLevel="0" collapsed="false">
      <c r="A95" s="3"/>
      <c r="B95" s="29"/>
      <c r="C95" s="3"/>
      <c r="D95" s="3"/>
      <c r="E95" s="3"/>
      <c r="F95" s="3"/>
      <c r="G95" s="3"/>
      <c r="H95" s="3"/>
      <c r="I95" s="29"/>
    </row>
    <row r="96" customFormat="false" ht="15" hidden="false" customHeight="false" outlineLevel="0" collapsed="false">
      <c r="A96" s="3"/>
      <c r="B96" s="29"/>
      <c r="C96" s="3"/>
      <c r="D96" s="3"/>
      <c r="E96" s="3"/>
      <c r="F96" s="3"/>
      <c r="G96" s="3"/>
      <c r="H96" s="3"/>
      <c r="I96" s="29"/>
    </row>
    <row r="97" customFormat="false" ht="15" hidden="false" customHeight="false" outlineLevel="0" collapsed="false">
      <c r="A97" s="3"/>
      <c r="B97" s="29"/>
      <c r="C97" s="3"/>
      <c r="D97" s="3"/>
      <c r="E97" s="3"/>
      <c r="F97" s="3"/>
      <c r="G97" s="3"/>
      <c r="H97" s="3"/>
      <c r="I97" s="29"/>
    </row>
    <row r="98" customFormat="false" ht="15" hidden="false" customHeight="false" outlineLevel="0" collapsed="false">
      <c r="A98" s="3"/>
      <c r="B98" s="29"/>
      <c r="C98" s="3"/>
      <c r="D98" s="3"/>
      <c r="E98" s="3"/>
      <c r="F98" s="3"/>
      <c r="G98" s="3"/>
      <c r="H98" s="3"/>
      <c r="I98" s="29"/>
    </row>
    <row r="99" customFormat="false" ht="15" hidden="false" customHeight="false" outlineLevel="0" collapsed="false">
      <c r="A99" s="3"/>
      <c r="B99" s="29"/>
      <c r="C99" s="3"/>
      <c r="D99" s="3"/>
      <c r="E99" s="3"/>
      <c r="F99" s="3"/>
      <c r="G99" s="3"/>
      <c r="H99" s="3"/>
      <c r="I99" s="29"/>
    </row>
    <row r="100" customFormat="false" ht="15" hidden="false" customHeight="false" outlineLevel="0" collapsed="false">
      <c r="A100" s="3"/>
      <c r="B100" s="29"/>
      <c r="C100" s="3"/>
      <c r="D100" s="3"/>
      <c r="E100" s="3"/>
      <c r="F100" s="3"/>
      <c r="G100" s="3"/>
      <c r="H100" s="3"/>
      <c r="I100" s="29"/>
    </row>
    <row r="101" customFormat="false" ht="15" hidden="false" customHeight="false" outlineLevel="0" collapsed="false">
      <c r="A101" s="3"/>
      <c r="B101" s="29"/>
      <c r="C101" s="3"/>
      <c r="D101" s="3"/>
      <c r="E101" s="3"/>
      <c r="F101" s="3"/>
      <c r="G101" s="3"/>
      <c r="H101" s="3"/>
      <c r="I101" s="29"/>
    </row>
    <row r="102" customFormat="false" ht="15" hidden="false" customHeight="false" outlineLevel="0" collapsed="false">
      <c r="A102" s="3"/>
      <c r="B102" s="29"/>
      <c r="C102" s="3"/>
      <c r="D102" s="3"/>
      <c r="E102" s="3"/>
      <c r="F102" s="3"/>
      <c r="G102" s="3"/>
      <c r="H102" s="3"/>
      <c r="I102" s="29"/>
    </row>
    <row r="103" customFormat="false" ht="15" hidden="false" customHeight="false" outlineLevel="0" collapsed="false">
      <c r="A103" s="3"/>
      <c r="B103" s="29"/>
      <c r="C103" s="3"/>
      <c r="D103" s="3"/>
      <c r="E103" s="3"/>
      <c r="F103" s="3"/>
      <c r="G103" s="3"/>
      <c r="H103" s="3"/>
      <c r="I103" s="29"/>
    </row>
    <row r="104" customFormat="false" ht="15" hidden="false" customHeight="false" outlineLevel="0" collapsed="false">
      <c r="A104" s="3"/>
      <c r="B104" s="29"/>
      <c r="C104" s="3"/>
      <c r="D104" s="3"/>
      <c r="E104" s="3"/>
      <c r="F104" s="3"/>
      <c r="G104" s="3"/>
      <c r="H104" s="3"/>
      <c r="I104" s="29"/>
    </row>
    <row r="105" customFormat="false" ht="15" hidden="false" customHeight="false" outlineLevel="0" collapsed="false">
      <c r="A105" s="3"/>
      <c r="B105" s="29"/>
      <c r="C105" s="3"/>
      <c r="D105" s="3"/>
      <c r="E105" s="3"/>
      <c r="F105" s="3"/>
      <c r="G105" s="3"/>
      <c r="H105" s="3"/>
      <c r="I105" s="29"/>
    </row>
    <row r="106" customFormat="false" ht="15" hidden="false" customHeight="false" outlineLevel="0" collapsed="false">
      <c r="A106" s="3"/>
      <c r="B106" s="29"/>
      <c r="C106" s="3"/>
      <c r="D106" s="3"/>
      <c r="E106" s="3"/>
      <c r="F106" s="3"/>
      <c r="G106" s="3"/>
      <c r="H106" s="3"/>
      <c r="I106" s="29"/>
    </row>
    <row r="107" customFormat="false" ht="15" hidden="false" customHeight="false" outlineLevel="0" collapsed="false">
      <c r="A107" s="3"/>
      <c r="B107" s="29"/>
      <c r="C107" s="3"/>
      <c r="D107" s="3"/>
      <c r="E107" s="3"/>
      <c r="F107" s="3"/>
      <c r="G107" s="3"/>
      <c r="H107" s="3"/>
      <c r="I107" s="29"/>
    </row>
    <row r="108" customFormat="false" ht="15" hidden="false" customHeight="false" outlineLevel="0" collapsed="false">
      <c r="A108" s="3"/>
      <c r="B108" s="29"/>
      <c r="C108" s="3"/>
      <c r="D108" s="3"/>
      <c r="E108" s="3"/>
      <c r="F108" s="3"/>
      <c r="G108" s="3"/>
      <c r="H108" s="3"/>
      <c r="I108" s="29"/>
    </row>
    <row r="109" customFormat="false" ht="15" hidden="false" customHeight="false" outlineLevel="0" collapsed="false">
      <c r="A109" s="3"/>
      <c r="B109" s="29"/>
      <c r="C109" s="3"/>
      <c r="D109" s="3"/>
      <c r="E109" s="3"/>
      <c r="F109" s="3"/>
      <c r="G109" s="3"/>
      <c r="H109" s="3"/>
      <c r="I109" s="29"/>
    </row>
    <row r="110" customFormat="false" ht="15" hidden="false" customHeight="false" outlineLevel="0" collapsed="false">
      <c r="A110" s="3"/>
      <c r="B110" s="29"/>
      <c r="C110" s="3"/>
      <c r="D110" s="3"/>
      <c r="E110" s="3"/>
      <c r="F110" s="3"/>
      <c r="G110" s="3"/>
      <c r="H110" s="3"/>
      <c r="I110" s="29"/>
    </row>
    <row r="111" customFormat="false" ht="15" hidden="false" customHeight="false" outlineLevel="0" collapsed="false">
      <c r="A111" s="3"/>
      <c r="B111" s="29"/>
      <c r="C111" s="3"/>
      <c r="D111" s="3"/>
      <c r="E111" s="3"/>
      <c r="F111" s="3"/>
      <c r="G111" s="3"/>
      <c r="H111" s="3"/>
      <c r="I111" s="29"/>
    </row>
    <row r="112" customFormat="false" ht="15" hidden="false" customHeight="false" outlineLevel="0" collapsed="false">
      <c r="A112" s="3"/>
      <c r="B112" s="29"/>
      <c r="C112" s="3"/>
      <c r="D112" s="3"/>
      <c r="E112" s="3"/>
      <c r="F112" s="3"/>
      <c r="G112" s="3"/>
      <c r="H112" s="3"/>
      <c r="I112" s="29"/>
    </row>
    <row r="113" customFormat="false" ht="15" hidden="false" customHeight="false" outlineLevel="0" collapsed="false">
      <c r="A113" s="3"/>
      <c r="B113" s="29"/>
      <c r="C113" s="3"/>
      <c r="D113" s="3"/>
      <c r="E113" s="3"/>
      <c r="F113" s="3"/>
      <c r="G113" s="3"/>
      <c r="H113" s="3"/>
      <c r="I113" s="29"/>
    </row>
    <row r="114" customFormat="false" ht="15" hidden="false" customHeight="false" outlineLevel="0" collapsed="false">
      <c r="A114" s="3"/>
      <c r="B114" s="29"/>
      <c r="C114" s="3"/>
      <c r="D114" s="3"/>
      <c r="E114" s="3"/>
      <c r="F114" s="3"/>
      <c r="G114" s="3"/>
      <c r="H114" s="3"/>
      <c r="I114" s="29"/>
    </row>
    <row r="115" customFormat="false" ht="15" hidden="false" customHeight="false" outlineLevel="0" collapsed="false">
      <c r="A115" s="3"/>
      <c r="B115" s="29"/>
      <c r="C115" s="3"/>
      <c r="D115" s="3"/>
      <c r="E115" s="3"/>
      <c r="F115" s="3"/>
      <c r="G115" s="3"/>
      <c r="H115" s="3"/>
      <c r="I115" s="29"/>
    </row>
    <row r="116" customFormat="false" ht="15" hidden="false" customHeight="false" outlineLevel="0" collapsed="false">
      <c r="A116" s="3"/>
      <c r="B116" s="29"/>
      <c r="C116" s="3"/>
      <c r="D116" s="3"/>
      <c r="E116" s="3"/>
      <c r="F116" s="3"/>
      <c r="G116" s="3"/>
      <c r="H116" s="3"/>
      <c r="I116" s="29"/>
    </row>
    <row r="117" customFormat="false" ht="15" hidden="false" customHeight="false" outlineLevel="0" collapsed="false">
      <c r="A117" s="3"/>
      <c r="B117" s="29"/>
      <c r="C117" s="3"/>
      <c r="D117" s="3"/>
      <c r="E117" s="3"/>
      <c r="F117" s="3"/>
      <c r="G117" s="3"/>
      <c r="H117" s="3"/>
      <c r="I117" s="29"/>
    </row>
    <row r="118" customFormat="false" ht="15" hidden="false" customHeight="false" outlineLevel="0" collapsed="false">
      <c r="A118" s="3"/>
      <c r="B118" s="29"/>
      <c r="C118" s="3"/>
      <c r="D118" s="3"/>
      <c r="E118" s="3"/>
      <c r="F118" s="3"/>
      <c r="G118" s="3"/>
      <c r="H118" s="3"/>
      <c r="I118" s="29"/>
    </row>
    <row r="119" customFormat="false" ht="15" hidden="false" customHeight="false" outlineLevel="0" collapsed="false">
      <c r="A119" s="3"/>
      <c r="B119" s="29"/>
      <c r="C119" s="3"/>
      <c r="D119" s="3"/>
      <c r="E119" s="3"/>
      <c r="F119" s="3"/>
      <c r="G119" s="3"/>
      <c r="H119" s="3"/>
      <c r="I119" s="29"/>
    </row>
    <row r="120" customFormat="false" ht="15" hidden="false" customHeight="false" outlineLevel="0" collapsed="false">
      <c r="A120" s="3"/>
      <c r="B120" s="29"/>
      <c r="C120" s="3"/>
      <c r="D120" s="3"/>
      <c r="E120" s="3"/>
      <c r="F120" s="3"/>
      <c r="G120" s="3"/>
      <c r="H120" s="3"/>
      <c r="I120" s="29"/>
    </row>
    <row r="121" customFormat="false" ht="15" hidden="false" customHeight="false" outlineLevel="0" collapsed="false">
      <c r="A121" s="3"/>
      <c r="B121" s="29"/>
      <c r="C121" s="3"/>
      <c r="D121" s="3"/>
      <c r="E121" s="3"/>
      <c r="F121" s="3"/>
      <c r="G121" s="3"/>
      <c r="H121" s="3"/>
      <c r="I121" s="29"/>
    </row>
    <row r="122" customFormat="false" ht="15" hidden="false" customHeight="false" outlineLevel="0" collapsed="false">
      <c r="A122" s="3"/>
      <c r="B122" s="29"/>
      <c r="C122" s="3"/>
      <c r="D122" s="3"/>
      <c r="E122" s="3"/>
      <c r="F122" s="3"/>
      <c r="G122" s="3"/>
      <c r="H122" s="3"/>
      <c r="I122" s="29"/>
    </row>
    <row r="123" customFormat="false" ht="15" hidden="false" customHeight="false" outlineLevel="0" collapsed="false">
      <c r="A123" s="3"/>
      <c r="B123" s="29"/>
      <c r="C123" s="3"/>
      <c r="D123" s="3"/>
      <c r="E123" s="3"/>
      <c r="F123" s="3"/>
      <c r="G123" s="3"/>
      <c r="H123" s="3"/>
      <c r="I123" s="29"/>
    </row>
    <row r="124" customFormat="false" ht="15" hidden="false" customHeight="false" outlineLevel="0" collapsed="false">
      <c r="A124" s="3"/>
      <c r="B124" s="29"/>
      <c r="C124" s="3"/>
      <c r="D124" s="3"/>
      <c r="E124" s="3"/>
      <c r="F124" s="3"/>
      <c r="G124" s="3"/>
      <c r="H124" s="3"/>
      <c r="I124" s="29"/>
    </row>
    <row r="125" customFormat="false" ht="15" hidden="false" customHeight="false" outlineLevel="0" collapsed="false">
      <c r="A125" s="3"/>
      <c r="B125" s="29"/>
      <c r="C125" s="3"/>
      <c r="D125" s="3"/>
      <c r="E125" s="3"/>
      <c r="F125" s="3"/>
      <c r="G125" s="3"/>
      <c r="H125" s="3"/>
      <c r="I125" s="29"/>
    </row>
    <row r="126" customFormat="false" ht="15" hidden="false" customHeight="false" outlineLevel="0" collapsed="false">
      <c r="A126" s="3"/>
      <c r="B126" s="29"/>
      <c r="C126" s="3"/>
      <c r="D126" s="3"/>
      <c r="E126" s="3"/>
      <c r="F126" s="3"/>
      <c r="G126" s="3"/>
      <c r="H126" s="3"/>
      <c r="I126" s="29"/>
    </row>
    <row r="127" customFormat="false" ht="15" hidden="false" customHeight="false" outlineLevel="0" collapsed="false">
      <c r="A127" s="3"/>
      <c r="B127" s="29"/>
      <c r="C127" s="3"/>
      <c r="D127" s="3"/>
      <c r="E127" s="3"/>
      <c r="F127" s="3"/>
      <c r="G127" s="3"/>
      <c r="H127" s="3"/>
      <c r="I127" s="29"/>
    </row>
    <row r="128" customFormat="false" ht="15" hidden="false" customHeight="false" outlineLevel="0" collapsed="false">
      <c r="A128" s="3"/>
      <c r="B128" s="29"/>
      <c r="C128" s="3"/>
      <c r="D128" s="3"/>
      <c r="E128" s="3"/>
      <c r="F128" s="3"/>
      <c r="G128" s="3"/>
      <c r="H128" s="3"/>
      <c r="I128" s="29"/>
    </row>
    <row r="129" customFormat="false" ht="15" hidden="false" customHeight="false" outlineLevel="0" collapsed="false">
      <c r="A129" s="3"/>
      <c r="B129" s="29"/>
      <c r="C129" s="3"/>
      <c r="D129" s="3"/>
      <c r="E129" s="3"/>
      <c r="F129" s="3"/>
      <c r="G129" s="3"/>
      <c r="H129" s="3"/>
      <c r="I129" s="29"/>
    </row>
    <row r="130" customFormat="false" ht="15" hidden="false" customHeight="false" outlineLevel="0" collapsed="false">
      <c r="A130" s="3"/>
      <c r="B130" s="29"/>
      <c r="C130" s="3"/>
      <c r="D130" s="3"/>
      <c r="E130" s="3"/>
      <c r="F130" s="3"/>
      <c r="G130" s="3"/>
      <c r="H130" s="3"/>
      <c r="I130" s="29"/>
    </row>
    <row r="131" customFormat="false" ht="15" hidden="false" customHeight="false" outlineLevel="0" collapsed="false">
      <c r="A131" s="3"/>
      <c r="B131" s="29"/>
      <c r="C131" s="3"/>
      <c r="D131" s="3"/>
      <c r="E131" s="3"/>
      <c r="F131" s="3"/>
      <c r="G131" s="3"/>
      <c r="H131" s="3"/>
      <c r="I131" s="29"/>
    </row>
    <row r="132" customFormat="false" ht="15" hidden="false" customHeight="false" outlineLevel="0" collapsed="false">
      <c r="A132" s="3"/>
      <c r="B132" s="29"/>
      <c r="C132" s="3"/>
      <c r="D132" s="3"/>
      <c r="E132" s="3"/>
      <c r="F132" s="3"/>
      <c r="G132" s="3"/>
      <c r="H132" s="3"/>
      <c r="I132" s="29"/>
    </row>
    <row r="133" customFormat="false" ht="15" hidden="false" customHeight="false" outlineLevel="0" collapsed="false">
      <c r="A133" s="3"/>
      <c r="B133" s="29"/>
      <c r="C133" s="3"/>
      <c r="D133" s="3"/>
      <c r="E133" s="3"/>
      <c r="F133" s="3"/>
      <c r="G133" s="3"/>
      <c r="H133" s="3"/>
      <c r="I133" s="29"/>
    </row>
    <row r="134" customFormat="false" ht="15" hidden="false" customHeight="false" outlineLevel="0" collapsed="false">
      <c r="A134" s="3"/>
      <c r="B134" s="29"/>
      <c r="C134" s="3"/>
      <c r="D134" s="3"/>
      <c r="E134" s="3"/>
      <c r="F134" s="3"/>
      <c r="G134" s="3"/>
      <c r="H134" s="3"/>
      <c r="I134" s="29"/>
    </row>
    <row r="135" customFormat="false" ht="15" hidden="false" customHeight="false" outlineLevel="0" collapsed="false">
      <c r="A135" s="3"/>
      <c r="B135" s="29"/>
      <c r="C135" s="3"/>
      <c r="D135" s="3"/>
      <c r="E135" s="3"/>
      <c r="F135" s="3"/>
      <c r="G135" s="3"/>
      <c r="H135" s="3"/>
      <c r="I135" s="29"/>
    </row>
    <row r="136" customFormat="false" ht="15" hidden="false" customHeight="false" outlineLevel="0" collapsed="false">
      <c r="A136" s="3"/>
      <c r="B136" s="29"/>
      <c r="C136" s="3"/>
      <c r="D136" s="3"/>
      <c r="E136" s="3"/>
      <c r="F136" s="3"/>
      <c r="G136" s="3"/>
      <c r="H136" s="3"/>
      <c r="I136" s="29"/>
    </row>
    <row r="137" customFormat="false" ht="15" hidden="false" customHeight="false" outlineLevel="0" collapsed="false">
      <c r="A137" s="3"/>
      <c r="B137" s="29"/>
      <c r="C137" s="3"/>
      <c r="D137" s="3"/>
      <c r="E137" s="3"/>
      <c r="F137" s="3"/>
      <c r="G137" s="3"/>
      <c r="H137" s="3"/>
      <c r="I137" s="29"/>
    </row>
    <row r="138" customFormat="false" ht="15" hidden="false" customHeight="false" outlineLevel="0" collapsed="false">
      <c r="A138" s="3"/>
      <c r="B138" s="29"/>
      <c r="C138" s="3"/>
      <c r="D138" s="3"/>
      <c r="E138" s="3"/>
      <c r="F138" s="3"/>
      <c r="G138" s="3"/>
      <c r="H138" s="3"/>
      <c r="I138" s="29"/>
    </row>
    <row r="139" customFormat="false" ht="15" hidden="false" customHeight="false" outlineLevel="0" collapsed="false">
      <c r="A139" s="3"/>
      <c r="B139" s="29"/>
      <c r="C139" s="3"/>
      <c r="D139" s="3"/>
      <c r="E139" s="3"/>
      <c r="F139" s="3"/>
      <c r="G139" s="3"/>
      <c r="H139" s="3"/>
      <c r="I139" s="29"/>
    </row>
    <row r="140" customFormat="false" ht="15" hidden="false" customHeight="false" outlineLevel="0" collapsed="false">
      <c r="A140" s="3"/>
      <c r="B140" s="29"/>
      <c r="C140" s="3"/>
      <c r="D140" s="3"/>
      <c r="E140" s="3"/>
      <c r="F140" s="3"/>
      <c r="G140" s="3"/>
      <c r="H140" s="3"/>
      <c r="I140" s="29"/>
    </row>
    <row r="141" customFormat="false" ht="15" hidden="false" customHeight="false" outlineLevel="0" collapsed="false">
      <c r="A141" s="3"/>
      <c r="B141" s="29"/>
      <c r="C141" s="3"/>
      <c r="D141" s="3"/>
      <c r="E141" s="3"/>
      <c r="F141" s="3"/>
      <c r="G141" s="3"/>
      <c r="H141" s="3"/>
      <c r="I141" s="29"/>
    </row>
    <row r="142" customFormat="false" ht="15" hidden="false" customHeight="false" outlineLevel="0" collapsed="false">
      <c r="A142" s="3"/>
      <c r="B142" s="29"/>
      <c r="C142" s="3"/>
      <c r="D142" s="3"/>
      <c r="E142" s="3"/>
      <c r="F142" s="3"/>
      <c r="G142" s="3"/>
      <c r="H142" s="3"/>
      <c r="I142" s="29"/>
    </row>
    <row r="143" customFormat="false" ht="15" hidden="false" customHeight="false" outlineLevel="0" collapsed="false">
      <c r="A143" s="3"/>
      <c r="B143" s="29"/>
      <c r="C143" s="3"/>
      <c r="D143" s="3"/>
      <c r="E143" s="3"/>
      <c r="F143" s="3"/>
      <c r="G143" s="3"/>
      <c r="H143" s="3"/>
      <c r="I143" s="29"/>
    </row>
    <row r="144" customFormat="false" ht="15" hidden="false" customHeight="false" outlineLevel="0" collapsed="false">
      <c r="A144" s="3"/>
      <c r="B144" s="29"/>
      <c r="C144" s="3"/>
      <c r="D144" s="3"/>
      <c r="E144" s="3"/>
      <c r="F144" s="3"/>
      <c r="G144" s="3"/>
      <c r="H144" s="3"/>
      <c r="I144" s="29"/>
    </row>
    <row r="145" customFormat="false" ht="15" hidden="false" customHeight="false" outlineLevel="0" collapsed="false">
      <c r="A145" s="3"/>
      <c r="B145" s="29"/>
      <c r="C145" s="3"/>
      <c r="D145" s="3"/>
      <c r="E145" s="3"/>
      <c r="F145" s="3"/>
      <c r="G145" s="3"/>
      <c r="H145" s="3"/>
      <c r="I145" s="29"/>
    </row>
    <row r="146" customFormat="false" ht="15" hidden="false" customHeight="false" outlineLevel="0" collapsed="false">
      <c r="A146" s="3"/>
      <c r="B146" s="29"/>
      <c r="C146" s="3"/>
      <c r="D146" s="3"/>
      <c r="E146" s="3"/>
      <c r="F146" s="3"/>
      <c r="G146" s="3"/>
      <c r="H146" s="3"/>
      <c r="I146" s="29"/>
    </row>
    <row r="147" customFormat="false" ht="15" hidden="false" customHeight="false" outlineLevel="0" collapsed="false">
      <c r="A147" s="3"/>
      <c r="B147" s="29"/>
      <c r="C147" s="3"/>
      <c r="D147" s="3"/>
      <c r="E147" s="3"/>
      <c r="F147" s="3"/>
      <c r="G147" s="3"/>
      <c r="H147" s="3"/>
      <c r="I147" s="29"/>
    </row>
    <row r="148" customFormat="false" ht="15" hidden="false" customHeight="false" outlineLevel="0" collapsed="false">
      <c r="A148" s="3"/>
      <c r="B148" s="29"/>
      <c r="C148" s="3"/>
      <c r="D148" s="3"/>
      <c r="E148" s="3"/>
      <c r="F148" s="3"/>
      <c r="G148" s="3"/>
      <c r="H148" s="3"/>
      <c r="I148" s="29"/>
    </row>
    <row r="149" customFormat="false" ht="15" hidden="false" customHeight="false" outlineLevel="0" collapsed="false">
      <c r="A149" s="3"/>
      <c r="B149" s="29"/>
      <c r="C149" s="3"/>
      <c r="D149" s="3"/>
      <c r="E149" s="3"/>
      <c r="F149" s="3"/>
      <c r="G149" s="3"/>
      <c r="H149" s="3"/>
      <c r="I149" s="29"/>
    </row>
    <row r="150" customFormat="false" ht="15" hidden="false" customHeight="false" outlineLevel="0" collapsed="false">
      <c r="A150" s="3"/>
      <c r="B150" s="29"/>
      <c r="C150" s="3"/>
      <c r="D150" s="3"/>
      <c r="E150" s="3"/>
      <c r="F150" s="3"/>
      <c r="G150" s="3"/>
      <c r="H150" s="3"/>
      <c r="I150" s="29"/>
    </row>
    <row r="151" customFormat="false" ht="15" hidden="false" customHeight="false" outlineLevel="0" collapsed="false">
      <c r="A151" s="3"/>
      <c r="B151" s="29"/>
      <c r="C151" s="3"/>
      <c r="D151" s="3"/>
      <c r="E151" s="3"/>
      <c r="F151" s="3"/>
      <c r="G151" s="3"/>
      <c r="H151" s="3"/>
      <c r="I151" s="29"/>
    </row>
    <row r="152" customFormat="false" ht="15" hidden="false" customHeight="false" outlineLevel="0" collapsed="false">
      <c r="A152" s="3"/>
      <c r="B152" s="29"/>
      <c r="C152" s="3"/>
      <c r="D152" s="3"/>
      <c r="E152" s="3"/>
      <c r="F152" s="3"/>
      <c r="G152" s="3"/>
      <c r="H152" s="3"/>
      <c r="I152" s="29"/>
    </row>
    <row r="153" customFormat="false" ht="15" hidden="false" customHeight="false" outlineLevel="0" collapsed="false">
      <c r="A153" s="3"/>
      <c r="B153" s="29"/>
      <c r="C153" s="3"/>
      <c r="D153" s="3"/>
      <c r="E153" s="3"/>
      <c r="F153" s="3"/>
      <c r="G153" s="3"/>
      <c r="H153" s="3"/>
      <c r="I153" s="29"/>
    </row>
    <row r="154" customFormat="false" ht="15" hidden="false" customHeight="false" outlineLevel="0" collapsed="false">
      <c r="A154" s="3"/>
      <c r="B154" s="29"/>
      <c r="C154" s="3"/>
      <c r="D154" s="3"/>
      <c r="E154" s="3"/>
      <c r="F154" s="3"/>
      <c r="G154" s="3"/>
      <c r="H154" s="3"/>
      <c r="I154" s="29"/>
    </row>
    <row r="155" customFormat="false" ht="15" hidden="false" customHeight="false" outlineLevel="0" collapsed="false">
      <c r="A155" s="3"/>
      <c r="B155" s="29"/>
      <c r="C155" s="3"/>
      <c r="D155" s="3"/>
      <c r="E155" s="3"/>
      <c r="F155" s="3"/>
      <c r="G155" s="3"/>
      <c r="H155" s="3"/>
      <c r="I155" s="29"/>
    </row>
    <row r="156" customFormat="false" ht="15" hidden="false" customHeight="false" outlineLevel="0" collapsed="false">
      <c r="A156" s="3"/>
      <c r="B156" s="29"/>
      <c r="C156" s="3"/>
      <c r="D156" s="3"/>
      <c r="E156" s="3"/>
      <c r="F156" s="3"/>
      <c r="G156" s="3"/>
      <c r="H156" s="3"/>
      <c r="I156" s="29"/>
    </row>
    <row r="157" customFormat="false" ht="15" hidden="false" customHeight="false" outlineLevel="0" collapsed="false">
      <c r="A157" s="3"/>
      <c r="B157" s="29"/>
      <c r="C157" s="3"/>
      <c r="D157" s="3"/>
      <c r="E157" s="3"/>
      <c r="F157" s="3"/>
      <c r="G157" s="3"/>
      <c r="H157" s="3"/>
      <c r="I157" s="29"/>
    </row>
    <row r="158" customFormat="false" ht="15" hidden="false" customHeight="false" outlineLevel="0" collapsed="false">
      <c r="A158" s="3"/>
      <c r="B158" s="29"/>
      <c r="C158" s="3"/>
      <c r="D158" s="3"/>
      <c r="E158" s="3"/>
      <c r="F158" s="3"/>
      <c r="G158" s="3"/>
      <c r="H158" s="3"/>
      <c r="I158" s="29"/>
    </row>
    <row r="159" customFormat="false" ht="15" hidden="false" customHeight="false" outlineLevel="0" collapsed="false">
      <c r="A159" s="3"/>
      <c r="B159" s="29"/>
      <c r="C159" s="3"/>
      <c r="D159" s="3"/>
      <c r="E159" s="3"/>
      <c r="F159" s="3"/>
      <c r="G159" s="3"/>
      <c r="H159" s="3"/>
      <c r="I159" s="29"/>
    </row>
    <row r="160" customFormat="false" ht="15" hidden="false" customHeight="false" outlineLevel="0" collapsed="false">
      <c r="A160" s="3"/>
      <c r="B160" s="29"/>
      <c r="C160" s="3"/>
      <c r="D160" s="3"/>
      <c r="E160" s="3"/>
      <c r="F160" s="3"/>
      <c r="G160" s="3"/>
      <c r="H160" s="3"/>
      <c r="I160" s="29"/>
    </row>
    <row r="161" customFormat="false" ht="15" hidden="false" customHeight="false" outlineLevel="0" collapsed="false">
      <c r="A161" s="3"/>
      <c r="B161" s="29"/>
      <c r="C161" s="3"/>
      <c r="D161" s="3"/>
      <c r="E161" s="3"/>
      <c r="F161" s="3"/>
      <c r="G161" s="3"/>
      <c r="H161" s="3"/>
      <c r="I161" s="29"/>
    </row>
    <row r="162" customFormat="false" ht="15" hidden="false" customHeight="false" outlineLevel="0" collapsed="false">
      <c r="A162" s="3"/>
      <c r="B162" s="29"/>
      <c r="C162" s="3"/>
      <c r="D162" s="3"/>
      <c r="E162" s="3"/>
      <c r="F162" s="3"/>
      <c r="G162" s="3"/>
      <c r="H162" s="3"/>
      <c r="I162" s="29"/>
    </row>
    <row r="163" customFormat="false" ht="15" hidden="false" customHeight="false" outlineLevel="0" collapsed="false">
      <c r="A163" s="3"/>
      <c r="B163" s="29"/>
      <c r="C163" s="3"/>
      <c r="D163" s="3"/>
      <c r="E163" s="3"/>
      <c r="F163" s="3"/>
      <c r="G163" s="3"/>
      <c r="H163" s="3"/>
      <c r="I163" s="29"/>
    </row>
    <row r="164" customFormat="false" ht="15" hidden="false" customHeight="false" outlineLevel="0" collapsed="false">
      <c r="A164" s="3"/>
      <c r="B164" s="29"/>
      <c r="C164" s="3"/>
      <c r="D164" s="3"/>
      <c r="E164" s="3"/>
      <c r="F164" s="3"/>
      <c r="G164" s="3"/>
      <c r="H164" s="3"/>
      <c r="I164" s="29"/>
    </row>
    <row r="165" customFormat="false" ht="15" hidden="false" customHeight="false" outlineLevel="0" collapsed="false">
      <c r="A165" s="3"/>
      <c r="B165" s="29"/>
      <c r="C165" s="3"/>
      <c r="D165" s="3"/>
      <c r="E165" s="3"/>
      <c r="F165" s="3"/>
      <c r="G165" s="3"/>
      <c r="H165" s="3"/>
      <c r="I165" s="29"/>
    </row>
    <row r="166" customFormat="false" ht="15" hidden="false" customHeight="false" outlineLevel="0" collapsed="false">
      <c r="A166" s="3"/>
      <c r="B166" s="29"/>
      <c r="C166" s="3"/>
      <c r="D166" s="3"/>
      <c r="E166" s="3"/>
      <c r="F166" s="3"/>
      <c r="G166" s="3"/>
      <c r="H166" s="3"/>
      <c r="I166" s="29"/>
    </row>
    <row r="167" customFormat="false" ht="15" hidden="false" customHeight="false" outlineLevel="0" collapsed="false">
      <c r="A167" s="3"/>
      <c r="B167" s="29"/>
      <c r="C167" s="3"/>
      <c r="D167" s="3"/>
      <c r="E167" s="3"/>
      <c r="F167" s="3"/>
      <c r="G167" s="3"/>
      <c r="H167" s="3"/>
      <c r="I167" s="29"/>
    </row>
    <row r="168" customFormat="false" ht="15" hidden="false" customHeight="false" outlineLevel="0" collapsed="false">
      <c r="A168" s="3"/>
      <c r="B168" s="29"/>
      <c r="C168" s="3"/>
      <c r="D168" s="3"/>
      <c r="E168" s="3"/>
      <c r="F168" s="3"/>
      <c r="G168" s="3"/>
      <c r="H168" s="3"/>
      <c r="I168" s="29"/>
    </row>
    <row r="169" customFormat="false" ht="15" hidden="false" customHeight="false" outlineLevel="0" collapsed="false">
      <c r="A169" s="3"/>
      <c r="B169" s="29"/>
      <c r="C169" s="3"/>
      <c r="D169" s="3"/>
      <c r="E169" s="3"/>
      <c r="F169" s="3"/>
      <c r="G169" s="3"/>
      <c r="H169" s="3"/>
      <c r="I169" s="29"/>
    </row>
    <row r="170" customFormat="false" ht="15" hidden="false" customHeight="false" outlineLevel="0" collapsed="false">
      <c r="A170" s="3"/>
      <c r="B170" s="29"/>
      <c r="C170" s="3"/>
      <c r="D170" s="3"/>
      <c r="E170" s="3"/>
      <c r="F170" s="3"/>
      <c r="G170" s="3"/>
      <c r="H170" s="3"/>
      <c r="I170" s="29"/>
    </row>
    <row r="171" customFormat="false" ht="15" hidden="false" customHeight="false" outlineLevel="0" collapsed="false">
      <c r="A171" s="3"/>
      <c r="B171" s="29"/>
      <c r="C171" s="3"/>
      <c r="D171" s="3"/>
      <c r="E171" s="3"/>
      <c r="F171" s="3"/>
      <c r="G171" s="3"/>
      <c r="H171" s="3"/>
      <c r="I171" s="29"/>
    </row>
    <row r="172" customFormat="false" ht="15" hidden="false" customHeight="false" outlineLevel="0" collapsed="false">
      <c r="A172" s="3"/>
      <c r="B172" s="29"/>
      <c r="C172" s="3"/>
      <c r="D172" s="3"/>
      <c r="E172" s="3"/>
      <c r="F172" s="3"/>
      <c r="G172" s="3"/>
      <c r="H172" s="3"/>
      <c r="I172" s="29"/>
    </row>
    <row r="173" customFormat="false" ht="15" hidden="false" customHeight="false" outlineLevel="0" collapsed="false">
      <c r="A173" s="3"/>
      <c r="B173" s="29"/>
      <c r="C173" s="3"/>
      <c r="D173" s="3"/>
      <c r="E173" s="3"/>
      <c r="F173" s="3"/>
      <c r="G173" s="3"/>
      <c r="H173" s="3"/>
      <c r="I173" s="29"/>
    </row>
    <row r="174" customFormat="false" ht="15" hidden="false" customHeight="false" outlineLevel="0" collapsed="false">
      <c r="A174" s="3"/>
      <c r="B174" s="29"/>
      <c r="C174" s="3"/>
      <c r="D174" s="3"/>
      <c r="E174" s="3"/>
      <c r="F174" s="3"/>
      <c r="G174" s="3"/>
      <c r="H174" s="3"/>
      <c r="I174" s="29"/>
    </row>
    <row r="175" customFormat="false" ht="15" hidden="false" customHeight="false" outlineLevel="0" collapsed="false">
      <c r="A175" s="3"/>
      <c r="B175" s="29"/>
      <c r="C175" s="3"/>
      <c r="D175" s="3"/>
      <c r="E175" s="3"/>
      <c r="F175" s="3"/>
      <c r="G175" s="3"/>
      <c r="H175" s="3"/>
      <c r="I175" s="29"/>
    </row>
    <row r="176" customFormat="false" ht="15" hidden="false" customHeight="false" outlineLevel="0" collapsed="false">
      <c r="A176" s="3"/>
      <c r="B176" s="29"/>
      <c r="C176" s="3"/>
      <c r="D176" s="3"/>
      <c r="E176" s="3"/>
      <c r="F176" s="3"/>
      <c r="G176" s="3"/>
      <c r="H176" s="3"/>
      <c r="I176" s="29"/>
    </row>
    <row r="177" customFormat="false" ht="15" hidden="false" customHeight="false" outlineLevel="0" collapsed="false">
      <c r="A177" s="3"/>
      <c r="B177" s="29"/>
      <c r="C177" s="3"/>
      <c r="D177" s="3"/>
      <c r="E177" s="3"/>
      <c r="F177" s="3"/>
      <c r="G177" s="3"/>
      <c r="H177" s="3"/>
      <c r="I177" s="29"/>
    </row>
    <row r="178" customFormat="false" ht="15" hidden="false" customHeight="false" outlineLevel="0" collapsed="false">
      <c r="A178" s="3"/>
      <c r="B178" s="29"/>
      <c r="C178" s="3"/>
      <c r="D178" s="3"/>
      <c r="E178" s="3"/>
      <c r="F178" s="3"/>
      <c r="G178" s="3"/>
      <c r="H178" s="3"/>
      <c r="I178" s="29"/>
    </row>
    <row r="179" customFormat="false" ht="15" hidden="false" customHeight="false" outlineLevel="0" collapsed="false">
      <c r="A179" s="3"/>
      <c r="B179" s="29"/>
      <c r="C179" s="3"/>
      <c r="D179" s="3"/>
      <c r="E179" s="3"/>
      <c r="F179" s="3"/>
      <c r="G179" s="3"/>
      <c r="H179" s="3"/>
      <c r="I179" s="29"/>
    </row>
    <row r="180" customFormat="false" ht="15" hidden="false" customHeight="false" outlineLevel="0" collapsed="false">
      <c r="A180" s="3"/>
      <c r="B180" s="29"/>
      <c r="C180" s="3"/>
      <c r="D180" s="3"/>
      <c r="E180" s="3"/>
      <c r="F180" s="3"/>
      <c r="G180" s="3"/>
      <c r="H180" s="3"/>
      <c r="I180" s="29"/>
    </row>
    <row r="181" customFormat="false" ht="15" hidden="false" customHeight="false" outlineLevel="0" collapsed="false">
      <c r="A181" s="3"/>
      <c r="B181" s="29"/>
      <c r="C181" s="3"/>
      <c r="D181" s="3"/>
      <c r="E181" s="3"/>
      <c r="F181" s="3"/>
      <c r="G181" s="3"/>
      <c r="H181" s="3"/>
      <c r="I181" s="29"/>
    </row>
    <row r="182" customFormat="false" ht="15" hidden="false" customHeight="false" outlineLevel="0" collapsed="false">
      <c r="A182" s="3"/>
      <c r="B182" s="29"/>
      <c r="C182" s="3"/>
      <c r="D182" s="3"/>
      <c r="E182" s="3"/>
      <c r="F182" s="3"/>
      <c r="G182" s="3"/>
      <c r="H182" s="3"/>
      <c r="I182" s="29"/>
    </row>
    <row r="183" customFormat="false" ht="15" hidden="false" customHeight="false" outlineLevel="0" collapsed="false">
      <c r="A183" s="3"/>
      <c r="B183" s="29"/>
      <c r="C183" s="3"/>
      <c r="D183" s="3"/>
      <c r="E183" s="3"/>
      <c r="F183" s="3"/>
      <c r="G183" s="3"/>
      <c r="H183" s="3"/>
      <c r="I183" s="29"/>
    </row>
    <row r="184" customFormat="false" ht="15" hidden="false" customHeight="false" outlineLevel="0" collapsed="false">
      <c r="A184" s="3"/>
      <c r="B184" s="29"/>
      <c r="C184" s="3"/>
      <c r="D184" s="3"/>
      <c r="E184" s="3"/>
      <c r="F184" s="3"/>
      <c r="G184" s="3"/>
      <c r="H184" s="3"/>
      <c r="I184" s="29"/>
    </row>
    <row r="185" customFormat="false" ht="15" hidden="false" customHeight="false" outlineLevel="0" collapsed="false">
      <c r="A185" s="3"/>
      <c r="B185" s="29"/>
      <c r="C185" s="3"/>
      <c r="D185" s="3"/>
      <c r="E185" s="3"/>
      <c r="F185" s="3"/>
      <c r="G185" s="3"/>
      <c r="H185" s="3"/>
      <c r="I185" s="29"/>
    </row>
    <row r="186" customFormat="false" ht="15" hidden="false" customHeight="false" outlineLevel="0" collapsed="false">
      <c r="A186" s="3"/>
      <c r="B186" s="29"/>
      <c r="C186" s="3"/>
      <c r="D186" s="3"/>
      <c r="E186" s="3"/>
      <c r="F186" s="3"/>
      <c r="G186" s="3"/>
      <c r="H186" s="3"/>
      <c r="I186" s="29"/>
    </row>
    <row r="187" customFormat="false" ht="15" hidden="false" customHeight="false" outlineLevel="0" collapsed="false">
      <c r="A187" s="3"/>
      <c r="B187" s="29"/>
      <c r="C187" s="3"/>
      <c r="D187" s="3"/>
      <c r="E187" s="3"/>
      <c r="F187" s="3"/>
      <c r="G187" s="3"/>
      <c r="H187" s="3"/>
      <c r="I187" s="29"/>
    </row>
    <row r="188" customFormat="false" ht="15" hidden="false" customHeight="false" outlineLevel="0" collapsed="false">
      <c r="A188" s="3"/>
      <c r="B188" s="29"/>
      <c r="C188" s="3"/>
      <c r="D188" s="3"/>
      <c r="E188" s="3"/>
      <c r="F188" s="3"/>
      <c r="G188" s="3"/>
      <c r="H188" s="3"/>
      <c r="I188" s="29"/>
    </row>
    <row r="189" customFormat="false" ht="15" hidden="false" customHeight="false" outlineLevel="0" collapsed="false">
      <c r="A189" s="3"/>
      <c r="B189" s="29"/>
      <c r="C189" s="3"/>
      <c r="D189" s="3"/>
      <c r="E189" s="3"/>
      <c r="F189" s="3"/>
      <c r="G189" s="3"/>
      <c r="H189" s="3"/>
      <c r="I189" s="29"/>
    </row>
    <row r="190" customFormat="false" ht="15" hidden="false" customHeight="false" outlineLevel="0" collapsed="false">
      <c r="A190" s="3"/>
      <c r="B190" s="29"/>
      <c r="C190" s="3"/>
      <c r="D190" s="3"/>
      <c r="E190" s="3"/>
      <c r="F190" s="3"/>
      <c r="G190" s="3"/>
      <c r="H190" s="3"/>
      <c r="I190" s="29"/>
    </row>
    <row r="191" customFormat="false" ht="15" hidden="false" customHeight="false" outlineLevel="0" collapsed="false">
      <c r="A191" s="3"/>
      <c r="B191" s="29"/>
      <c r="C191" s="3"/>
      <c r="D191" s="3"/>
      <c r="E191" s="3"/>
      <c r="F191" s="3"/>
      <c r="G191" s="3"/>
      <c r="H191" s="3"/>
      <c r="I191" s="29"/>
    </row>
    <row r="192" customFormat="false" ht="15" hidden="false" customHeight="false" outlineLevel="0" collapsed="false">
      <c r="A192" s="3"/>
      <c r="B192" s="29"/>
      <c r="C192" s="3"/>
      <c r="D192" s="3"/>
      <c r="E192" s="3"/>
      <c r="F192" s="3"/>
      <c r="G192" s="3"/>
      <c r="H192" s="3"/>
      <c r="I192" s="29"/>
    </row>
    <row r="193" customFormat="false" ht="15" hidden="false" customHeight="false" outlineLevel="0" collapsed="false">
      <c r="A193" s="3"/>
      <c r="B193" s="29"/>
      <c r="C193" s="3"/>
      <c r="D193" s="3"/>
      <c r="E193" s="3"/>
      <c r="F193" s="3"/>
      <c r="G193" s="3"/>
      <c r="H193" s="3"/>
      <c r="I193" s="29"/>
    </row>
    <row r="194" customFormat="false" ht="15" hidden="false" customHeight="false" outlineLevel="0" collapsed="false">
      <c r="A194" s="3"/>
      <c r="B194" s="29"/>
      <c r="C194" s="3"/>
      <c r="D194" s="3"/>
      <c r="E194" s="3"/>
      <c r="F194" s="3"/>
      <c r="G194" s="3"/>
      <c r="H194" s="3"/>
      <c r="I194" s="29"/>
    </row>
    <row r="195" customFormat="false" ht="15" hidden="false" customHeight="false" outlineLevel="0" collapsed="false">
      <c r="A195" s="3"/>
      <c r="B195" s="29"/>
      <c r="C195" s="3"/>
      <c r="D195" s="3"/>
      <c r="E195" s="3"/>
      <c r="F195" s="3"/>
      <c r="G195" s="3"/>
      <c r="H195" s="3"/>
      <c r="I195" s="29"/>
    </row>
    <row r="196" customFormat="false" ht="15" hidden="false" customHeight="false" outlineLevel="0" collapsed="false">
      <c r="A196" s="3"/>
      <c r="B196" s="29"/>
      <c r="C196" s="3"/>
      <c r="D196" s="3"/>
      <c r="E196" s="3"/>
      <c r="F196" s="3"/>
      <c r="G196" s="3"/>
      <c r="H196" s="3"/>
      <c r="I196" s="29"/>
    </row>
    <row r="197" customFormat="false" ht="15" hidden="false" customHeight="false" outlineLevel="0" collapsed="false">
      <c r="A197" s="3"/>
      <c r="B197" s="29"/>
      <c r="C197" s="3"/>
      <c r="D197" s="3"/>
      <c r="E197" s="3"/>
      <c r="F197" s="3"/>
      <c r="G197" s="3"/>
      <c r="H197" s="3"/>
      <c r="I197" s="29"/>
    </row>
    <row r="198" customFormat="false" ht="15" hidden="false" customHeight="false" outlineLevel="0" collapsed="false">
      <c r="A198" s="3"/>
      <c r="B198" s="29"/>
      <c r="C198" s="3"/>
      <c r="D198" s="3"/>
      <c r="E198" s="3"/>
      <c r="F198" s="3"/>
      <c r="G198" s="3"/>
      <c r="H198" s="3"/>
      <c r="I198" s="29"/>
    </row>
    <row r="199" customFormat="false" ht="15" hidden="false" customHeight="false" outlineLevel="0" collapsed="false">
      <c r="A199" s="3"/>
      <c r="B199" s="29"/>
      <c r="C199" s="3"/>
      <c r="D199" s="3"/>
      <c r="E199" s="3"/>
      <c r="F199" s="3"/>
      <c r="G199" s="3"/>
      <c r="H199" s="3"/>
      <c r="I199" s="29"/>
    </row>
    <row r="200" customFormat="false" ht="15" hidden="false" customHeight="false" outlineLevel="0" collapsed="false">
      <c r="A200" s="3"/>
      <c r="B200" s="29"/>
      <c r="C200" s="3"/>
      <c r="D200" s="3"/>
      <c r="E200" s="3"/>
      <c r="F200" s="3"/>
      <c r="G200" s="3"/>
      <c r="H200" s="3"/>
      <c r="I200" s="29"/>
    </row>
    <row r="201" customFormat="false" ht="15" hidden="false" customHeight="false" outlineLevel="0" collapsed="false">
      <c r="A201" s="3"/>
      <c r="B201" s="29"/>
      <c r="C201" s="3"/>
      <c r="D201" s="3"/>
      <c r="E201" s="3"/>
      <c r="F201" s="3"/>
      <c r="G201" s="3"/>
      <c r="H201" s="3"/>
      <c r="I201" s="29"/>
    </row>
    <row r="202" customFormat="false" ht="15" hidden="false" customHeight="false" outlineLevel="0" collapsed="false">
      <c r="A202" s="3"/>
      <c r="B202" s="29"/>
      <c r="C202" s="3"/>
      <c r="D202" s="3"/>
      <c r="E202" s="3"/>
      <c r="F202" s="3"/>
      <c r="G202" s="3"/>
      <c r="H202" s="3"/>
      <c r="I202" s="29"/>
    </row>
    <row r="203" customFormat="false" ht="15" hidden="false" customHeight="false" outlineLevel="0" collapsed="false">
      <c r="A203" s="3"/>
      <c r="B203" s="29"/>
      <c r="C203" s="3"/>
      <c r="D203" s="3"/>
      <c r="E203" s="3"/>
      <c r="F203" s="3"/>
      <c r="G203" s="3"/>
      <c r="H203" s="3"/>
      <c r="I203" s="29"/>
    </row>
  </sheetData>
  <conditionalFormatting sqref="E4:E203">
    <cfRule type="expression" priority="2" aboveAverage="0" equalAverage="0" bottom="0" percent="0" rank="0" text="" dxfId="12">
      <formula>E4="Blocker"</formula>
    </cfRule>
    <cfRule type="expression" priority="3" aboveAverage="0" equalAverage="0" bottom="0" percent="0" rank="0" text="" dxfId="11">
      <formula>E4="Major"</formula>
    </cfRule>
    <cfRule type="expression" priority="4" aboveAverage="0" equalAverage="0" bottom="0" percent="0" rank="0" text="" dxfId="10">
      <formula>E4="Minor"</formula>
    </cfRule>
  </conditionalFormatting>
  <conditionalFormatting sqref="A4:D203 F4:I203">
    <cfRule type="expression" priority="5" aboveAverage="0" equalAverage="0" bottom="0" percent="0" rank="0" text="" dxfId="23">
      <formula>OR($F4="Resolved",$F4="Won't fix")</formula>
    </cfRule>
  </conditionalFormatting>
  <dataValidations count="3">
    <dataValidation allowBlank="true" errorStyle="stop" operator="between" showDropDown="false" showErrorMessage="false" showInputMessage="false" sqref="E4:E203" type="list">
      <formula1>"Blocker,Major,Minor"</formula1>
      <formula2>0</formula2>
    </dataValidation>
    <dataValidation allowBlank="true" errorStyle="stop" operator="between" showDropDown="false" showErrorMessage="false" showInputMessage="false" sqref="F4:F203" type="list">
      <formula1>"Open,Investigating,Resolved,Won't fix"</formula1>
      <formula2>0</formula2>
    </dataValidation>
    <dataValidation allowBlank="true" errorStyle="stop" operator="between" showDropDown="false" showErrorMessage="false" showInputMessage="false" sqref="D4:D203" type="list">
      <formula1>People!$A$4:$A$33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50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332</v>
      </c>
    </row>
    <row r="2" customFormat="false" ht="15" hidden="false" customHeight="false" outlineLevel="0" collapsed="false">
      <c r="A2" s="4" t="s">
        <v>333</v>
      </c>
    </row>
    <row r="3" customFormat="false" ht="23.85" hidden="false" customHeight="false" outlineLevel="0" collapsed="false">
      <c r="A3" s="5" t="s">
        <v>334</v>
      </c>
      <c r="B3" s="5" t="s">
        <v>308</v>
      </c>
      <c r="C3" s="5" t="s">
        <v>335</v>
      </c>
      <c r="D3" s="5" t="s">
        <v>336</v>
      </c>
      <c r="E3" s="5" t="s">
        <v>337</v>
      </c>
    </row>
    <row r="4" customFormat="false" ht="15" hidden="false" customHeight="false" outlineLevel="0" collapsed="false">
      <c r="A4" s="29"/>
      <c r="B4" s="3"/>
      <c r="C4" s="3"/>
      <c r="D4" s="3"/>
      <c r="E4" s="3"/>
    </row>
    <row r="5" customFormat="false" ht="15" hidden="false" customHeight="false" outlineLevel="0" collapsed="false">
      <c r="A5" s="29"/>
      <c r="B5" s="3"/>
      <c r="C5" s="3"/>
      <c r="D5" s="3"/>
      <c r="E5" s="3"/>
    </row>
    <row r="6" customFormat="false" ht="15" hidden="false" customHeight="false" outlineLevel="0" collapsed="false">
      <c r="A6" s="29"/>
      <c r="B6" s="3"/>
      <c r="C6" s="3"/>
      <c r="D6" s="3"/>
      <c r="E6" s="3"/>
    </row>
    <row r="7" customFormat="false" ht="15" hidden="false" customHeight="false" outlineLevel="0" collapsed="false">
      <c r="A7" s="29"/>
      <c r="B7" s="3"/>
      <c r="C7" s="3"/>
      <c r="D7" s="3"/>
      <c r="E7" s="3"/>
    </row>
    <row r="8" customFormat="false" ht="15" hidden="false" customHeight="false" outlineLevel="0" collapsed="false">
      <c r="A8" s="29"/>
      <c r="B8" s="3"/>
      <c r="C8" s="3"/>
      <c r="D8" s="3"/>
      <c r="E8" s="3"/>
    </row>
    <row r="9" customFormat="false" ht="15" hidden="false" customHeight="false" outlineLevel="0" collapsed="false">
      <c r="A9" s="29"/>
      <c r="B9" s="3"/>
      <c r="C9" s="3"/>
      <c r="D9" s="3"/>
      <c r="E9" s="3"/>
    </row>
    <row r="10" customFormat="false" ht="15" hidden="false" customHeight="false" outlineLevel="0" collapsed="false">
      <c r="A10" s="29"/>
      <c r="B10" s="3"/>
      <c r="C10" s="3"/>
      <c r="D10" s="3"/>
      <c r="E10" s="3"/>
    </row>
    <row r="11" customFormat="false" ht="15" hidden="false" customHeight="false" outlineLevel="0" collapsed="false">
      <c r="A11" s="29"/>
      <c r="B11" s="3"/>
      <c r="C11" s="3"/>
      <c r="D11" s="3"/>
      <c r="E11" s="3"/>
    </row>
    <row r="12" customFormat="false" ht="15" hidden="false" customHeight="false" outlineLevel="0" collapsed="false">
      <c r="A12" s="29"/>
      <c r="B12" s="3"/>
      <c r="C12" s="3"/>
      <c r="D12" s="3"/>
      <c r="E12" s="3"/>
    </row>
    <row r="13" customFormat="false" ht="15" hidden="false" customHeight="false" outlineLevel="0" collapsed="false">
      <c r="A13" s="29"/>
      <c r="B13" s="3"/>
      <c r="C13" s="3"/>
      <c r="D13" s="3"/>
      <c r="E13" s="3"/>
    </row>
    <row r="14" customFormat="false" ht="15" hidden="false" customHeight="false" outlineLevel="0" collapsed="false">
      <c r="A14" s="29"/>
      <c r="B14" s="3"/>
      <c r="C14" s="3"/>
      <c r="D14" s="3"/>
      <c r="E14" s="3"/>
    </row>
    <row r="15" customFormat="false" ht="15" hidden="false" customHeight="false" outlineLevel="0" collapsed="false">
      <c r="A15" s="29"/>
      <c r="B15" s="3"/>
      <c r="C15" s="3"/>
      <c r="D15" s="3"/>
      <c r="E15" s="3"/>
    </row>
    <row r="16" customFormat="false" ht="15" hidden="false" customHeight="false" outlineLevel="0" collapsed="false">
      <c r="A16" s="29"/>
      <c r="B16" s="3"/>
      <c r="C16" s="3"/>
      <c r="D16" s="3"/>
      <c r="E16" s="3"/>
    </row>
    <row r="17" customFormat="false" ht="15" hidden="false" customHeight="false" outlineLevel="0" collapsed="false">
      <c r="A17" s="29"/>
      <c r="B17" s="3"/>
      <c r="C17" s="3"/>
      <c r="D17" s="3"/>
      <c r="E17" s="3"/>
    </row>
    <row r="18" customFormat="false" ht="15" hidden="false" customHeight="false" outlineLevel="0" collapsed="false">
      <c r="A18" s="29"/>
      <c r="B18" s="3"/>
      <c r="C18" s="3"/>
      <c r="D18" s="3"/>
      <c r="E18" s="3"/>
    </row>
    <row r="19" customFormat="false" ht="15" hidden="false" customHeight="false" outlineLevel="0" collapsed="false">
      <c r="A19" s="29"/>
      <c r="B19" s="3"/>
      <c r="C19" s="3"/>
      <c r="D19" s="3"/>
      <c r="E19" s="3"/>
    </row>
    <row r="20" customFormat="false" ht="15" hidden="false" customHeight="false" outlineLevel="0" collapsed="false">
      <c r="A20" s="29"/>
      <c r="B20" s="3"/>
      <c r="C20" s="3"/>
      <c r="D20" s="3"/>
      <c r="E20" s="3"/>
    </row>
    <row r="21" customFormat="false" ht="15" hidden="false" customHeight="false" outlineLevel="0" collapsed="false">
      <c r="A21" s="29"/>
      <c r="B21" s="3"/>
      <c r="C21" s="3"/>
      <c r="D21" s="3"/>
      <c r="E21" s="3"/>
    </row>
    <row r="22" customFormat="false" ht="15" hidden="false" customHeight="false" outlineLevel="0" collapsed="false">
      <c r="A22" s="29"/>
      <c r="B22" s="3"/>
      <c r="C22" s="3"/>
      <c r="D22" s="3"/>
      <c r="E22" s="3"/>
    </row>
    <row r="23" customFormat="false" ht="15" hidden="false" customHeight="false" outlineLevel="0" collapsed="false">
      <c r="A23" s="29"/>
      <c r="B23" s="3"/>
      <c r="C23" s="3"/>
      <c r="D23" s="3"/>
      <c r="E23" s="3"/>
    </row>
    <row r="24" customFormat="false" ht="15" hidden="false" customHeight="false" outlineLevel="0" collapsed="false">
      <c r="A24" s="29"/>
      <c r="B24" s="3"/>
      <c r="C24" s="3"/>
      <c r="D24" s="3"/>
      <c r="E24" s="3"/>
    </row>
    <row r="25" customFormat="false" ht="15" hidden="false" customHeight="false" outlineLevel="0" collapsed="false">
      <c r="A25" s="29"/>
      <c r="B25" s="3"/>
      <c r="C25" s="3"/>
      <c r="D25" s="3"/>
      <c r="E25" s="3"/>
    </row>
    <row r="26" customFormat="false" ht="15" hidden="false" customHeight="false" outlineLevel="0" collapsed="false">
      <c r="A26" s="29"/>
      <c r="B26" s="3"/>
      <c r="C26" s="3"/>
      <c r="D26" s="3"/>
      <c r="E26" s="3"/>
    </row>
    <row r="27" customFormat="false" ht="15" hidden="false" customHeight="false" outlineLevel="0" collapsed="false">
      <c r="A27" s="29"/>
      <c r="B27" s="3"/>
      <c r="C27" s="3"/>
      <c r="D27" s="3"/>
      <c r="E27" s="3"/>
    </row>
    <row r="28" customFormat="false" ht="15" hidden="false" customHeight="false" outlineLevel="0" collapsed="false">
      <c r="A28" s="29"/>
      <c r="B28" s="3"/>
      <c r="C28" s="3"/>
      <c r="D28" s="3"/>
      <c r="E28" s="3"/>
    </row>
    <row r="29" customFormat="false" ht="15" hidden="false" customHeight="false" outlineLevel="0" collapsed="false">
      <c r="A29" s="29"/>
      <c r="B29" s="3"/>
      <c r="C29" s="3"/>
      <c r="D29" s="3"/>
      <c r="E29" s="3"/>
    </row>
    <row r="30" customFormat="false" ht="15" hidden="false" customHeight="false" outlineLevel="0" collapsed="false">
      <c r="A30" s="29"/>
      <c r="B30" s="3"/>
      <c r="C30" s="3"/>
      <c r="D30" s="3"/>
      <c r="E30" s="3"/>
    </row>
    <row r="31" customFormat="false" ht="15" hidden="false" customHeight="false" outlineLevel="0" collapsed="false">
      <c r="A31" s="29"/>
      <c r="B31" s="3"/>
      <c r="C31" s="3"/>
      <c r="D31" s="3"/>
      <c r="E31" s="3"/>
    </row>
    <row r="32" customFormat="false" ht="15" hidden="false" customHeight="false" outlineLevel="0" collapsed="false">
      <c r="A32" s="29"/>
      <c r="B32" s="3"/>
      <c r="C32" s="3"/>
      <c r="D32" s="3"/>
      <c r="E32" s="3"/>
    </row>
    <row r="33" customFormat="false" ht="15" hidden="false" customHeight="false" outlineLevel="0" collapsed="false">
      <c r="A33" s="29"/>
      <c r="B33" s="3"/>
      <c r="C33" s="3"/>
      <c r="D33" s="3"/>
      <c r="E33" s="3"/>
    </row>
    <row r="34" customFormat="false" ht="15" hidden="false" customHeight="false" outlineLevel="0" collapsed="false">
      <c r="A34" s="29"/>
      <c r="B34" s="3"/>
      <c r="C34" s="3"/>
      <c r="D34" s="3"/>
      <c r="E34" s="3"/>
    </row>
    <row r="35" customFormat="false" ht="15" hidden="false" customHeight="false" outlineLevel="0" collapsed="false">
      <c r="A35" s="29"/>
      <c r="B35" s="3"/>
      <c r="C35" s="3"/>
      <c r="D35" s="3"/>
      <c r="E35" s="3"/>
    </row>
    <row r="36" customFormat="false" ht="15" hidden="false" customHeight="false" outlineLevel="0" collapsed="false">
      <c r="A36" s="29"/>
      <c r="B36" s="3"/>
      <c r="C36" s="3"/>
      <c r="D36" s="3"/>
      <c r="E36" s="3"/>
    </row>
    <row r="37" customFormat="false" ht="15" hidden="false" customHeight="false" outlineLevel="0" collapsed="false">
      <c r="A37" s="29"/>
      <c r="B37" s="3"/>
      <c r="C37" s="3"/>
      <c r="D37" s="3"/>
      <c r="E37" s="3"/>
    </row>
    <row r="38" customFormat="false" ht="15" hidden="false" customHeight="false" outlineLevel="0" collapsed="false">
      <c r="A38" s="29"/>
      <c r="B38" s="3"/>
      <c r="C38" s="3"/>
      <c r="D38" s="3"/>
      <c r="E38" s="3"/>
    </row>
    <row r="39" customFormat="false" ht="15" hidden="false" customHeight="false" outlineLevel="0" collapsed="false">
      <c r="A39" s="29"/>
      <c r="B39" s="3"/>
      <c r="C39" s="3"/>
      <c r="D39" s="3"/>
      <c r="E39" s="3"/>
    </row>
    <row r="40" customFormat="false" ht="15" hidden="false" customHeight="false" outlineLevel="0" collapsed="false">
      <c r="A40" s="29"/>
      <c r="B40" s="3"/>
      <c r="C40" s="3"/>
      <c r="D40" s="3"/>
      <c r="E40" s="3"/>
    </row>
    <row r="41" customFormat="false" ht="15" hidden="false" customHeight="false" outlineLevel="0" collapsed="false">
      <c r="A41" s="29"/>
      <c r="B41" s="3"/>
      <c r="C41" s="3"/>
      <c r="D41" s="3"/>
      <c r="E41" s="3"/>
    </row>
    <row r="42" customFormat="false" ht="15" hidden="false" customHeight="false" outlineLevel="0" collapsed="false">
      <c r="A42" s="29"/>
      <c r="B42" s="3"/>
      <c r="C42" s="3"/>
      <c r="D42" s="3"/>
      <c r="E42" s="3"/>
    </row>
    <row r="43" customFormat="false" ht="15" hidden="false" customHeight="false" outlineLevel="0" collapsed="false">
      <c r="A43" s="29"/>
      <c r="B43" s="3"/>
      <c r="C43" s="3"/>
      <c r="D43" s="3"/>
      <c r="E43" s="3"/>
    </row>
    <row r="44" customFormat="false" ht="15" hidden="false" customHeight="false" outlineLevel="0" collapsed="false">
      <c r="A44" s="29"/>
      <c r="B44" s="3"/>
      <c r="C44" s="3"/>
      <c r="D44" s="3"/>
      <c r="E44" s="3"/>
    </row>
    <row r="45" customFormat="false" ht="15" hidden="false" customHeight="false" outlineLevel="0" collapsed="false">
      <c r="A45" s="29"/>
      <c r="B45" s="3"/>
      <c r="C45" s="3"/>
      <c r="D45" s="3"/>
      <c r="E45" s="3"/>
    </row>
    <row r="46" customFormat="false" ht="15" hidden="false" customHeight="false" outlineLevel="0" collapsed="false">
      <c r="A46" s="29"/>
      <c r="B46" s="3"/>
      <c r="C46" s="3"/>
      <c r="D46" s="3"/>
      <c r="E46" s="3"/>
    </row>
    <row r="47" customFormat="false" ht="15" hidden="false" customHeight="false" outlineLevel="0" collapsed="false">
      <c r="A47" s="29"/>
      <c r="B47" s="3"/>
      <c r="C47" s="3"/>
      <c r="D47" s="3"/>
      <c r="E47" s="3"/>
    </row>
    <row r="48" customFormat="false" ht="15" hidden="false" customHeight="false" outlineLevel="0" collapsed="false">
      <c r="A48" s="29"/>
      <c r="B48" s="3"/>
      <c r="C48" s="3"/>
      <c r="D48" s="3"/>
      <c r="E48" s="3"/>
    </row>
    <row r="49" customFormat="false" ht="15" hidden="false" customHeight="false" outlineLevel="0" collapsed="false">
      <c r="A49" s="29"/>
      <c r="B49" s="3"/>
      <c r="C49" s="3"/>
      <c r="D49" s="3"/>
      <c r="E49" s="3"/>
    </row>
    <row r="50" customFormat="false" ht="15" hidden="false" customHeight="false" outlineLevel="0" collapsed="false">
      <c r="A50" s="29"/>
      <c r="B50" s="3"/>
      <c r="C50" s="3"/>
      <c r="D50" s="3"/>
      <c r="E50" s="3"/>
    </row>
    <row r="51" customFormat="false" ht="15" hidden="false" customHeight="false" outlineLevel="0" collapsed="false">
      <c r="A51" s="29"/>
      <c r="B51" s="3"/>
      <c r="C51" s="3"/>
      <c r="D51" s="3"/>
      <c r="E51" s="3"/>
    </row>
    <row r="52" customFormat="false" ht="15" hidden="false" customHeight="false" outlineLevel="0" collapsed="false">
      <c r="A52" s="29"/>
      <c r="B52" s="3"/>
      <c r="C52" s="3"/>
      <c r="D52" s="3"/>
      <c r="E52" s="3"/>
    </row>
    <row r="53" customFormat="false" ht="15" hidden="false" customHeight="false" outlineLevel="0" collapsed="false">
      <c r="A53" s="29"/>
      <c r="B53" s="3"/>
      <c r="C53" s="3"/>
      <c r="D53" s="3"/>
      <c r="E53" s="3"/>
    </row>
    <row r="54" customFormat="false" ht="15" hidden="false" customHeight="false" outlineLevel="0" collapsed="false">
      <c r="A54" s="29"/>
      <c r="B54" s="3"/>
      <c r="C54" s="3"/>
      <c r="D54" s="3"/>
      <c r="E54" s="3"/>
    </row>
    <row r="55" customFormat="false" ht="15" hidden="false" customHeight="false" outlineLevel="0" collapsed="false">
      <c r="A55" s="29"/>
      <c r="B55" s="3"/>
      <c r="C55" s="3"/>
      <c r="D55" s="3"/>
      <c r="E55" s="3"/>
    </row>
    <row r="56" customFormat="false" ht="15" hidden="false" customHeight="false" outlineLevel="0" collapsed="false">
      <c r="A56" s="29"/>
      <c r="B56" s="3"/>
      <c r="C56" s="3"/>
      <c r="D56" s="3"/>
      <c r="E56" s="3"/>
    </row>
    <row r="57" customFormat="false" ht="15" hidden="false" customHeight="false" outlineLevel="0" collapsed="false">
      <c r="A57" s="29"/>
      <c r="B57" s="3"/>
      <c r="C57" s="3"/>
      <c r="D57" s="3"/>
      <c r="E57" s="3"/>
    </row>
    <row r="58" customFormat="false" ht="15" hidden="false" customHeight="false" outlineLevel="0" collapsed="false">
      <c r="A58" s="29"/>
      <c r="B58" s="3"/>
      <c r="C58" s="3"/>
      <c r="D58" s="3"/>
      <c r="E58" s="3"/>
    </row>
    <row r="59" customFormat="false" ht="15" hidden="false" customHeight="false" outlineLevel="0" collapsed="false">
      <c r="A59" s="29"/>
      <c r="B59" s="3"/>
      <c r="C59" s="3"/>
      <c r="D59" s="3"/>
      <c r="E59" s="3"/>
    </row>
    <row r="60" customFormat="false" ht="15" hidden="false" customHeight="false" outlineLevel="0" collapsed="false">
      <c r="A60" s="29"/>
      <c r="B60" s="3"/>
      <c r="C60" s="3"/>
      <c r="D60" s="3"/>
      <c r="E60" s="3"/>
    </row>
    <row r="61" customFormat="false" ht="15" hidden="false" customHeight="false" outlineLevel="0" collapsed="false">
      <c r="A61" s="29"/>
      <c r="B61" s="3"/>
      <c r="C61" s="3"/>
      <c r="D61" s="3"/>
      <c r="E61" s="3"/>
    </row>
    <row r="62" customFormat="false" ht="15" hidden="false" customHeight="false" outlineLevel="0" collapsed="false">
      <c r="A62" s="29"/>
      <c r="B62" s="3"/>
      <c r="C62" s="3"/>
      <c r="D62" s="3"/>
      <c r="E62" s="3"/>
    </row>
    <row r="63" customFormat="false" ht="15" hidden="false" customHeight="false" outlineLevel="0" collapsed="false">
      <c r="A63" s="29"/>
      <c r="B63" s="3"/>
      <c r="C63" s="3"/>
      <c r="D63" s="3"/>
      <c r="E63" s="3"/>
    </row>
    <row r="64" customFormat="false" ht="15" hidden="false" customHeight="false" outlineLevel="0" collapsed="false">
      <c r="A64" s="29"/>
      <c r="B64" s="3"/>
      <c r="C64" s="3"/>
      <c r="D64" s="3"/>
      <c r="E64" s="3"/>
    </row>
    <row r="65" customFormat="false" ht="15" hidden="false" customHeight="false" outlineLevel="0" collapsed="false">
      <c r="A65" s="29"/>
      <c r="B65" s="3"/>
      <c r="C65" s="3"/>
      <c r="D65" s="3"/>
      <c r="E65" s="3"/>
    </row>
    <row r="66" customFormat="false" ht="15" hidden="false" customHeight="false" outlineLevel="0" collapsed="false">
      <c r="A66" s="29"/>
      <c r="B66" s="3"/>
      <c r="C66" s="3"/>
      <c r="D66" s="3"/>
      <c r="E66" s="3"/>
    </row>
    <row r="67" customFormat="false" ht="15" hidden="false" customHeight="false" outlineLevel="0" collapsed="false">
      <c r="A67" s="29"/>
      <c r="B67" s="3"/>
      <c r="C67" s="3"/>
      <c r="D67" s="3"/>
      <c r="E67" s="3"/>
    </row>
    <row r="68" customFormat="false" ht="15" hidden="false" customHeight="false" outlineLevel="0" collapsed="false">
      <c r="A68" s="29"/>
      <c r="B68" s="3"/>
      <c r="C68" s="3"/>
      <c r="D68" s="3"/>
      <c r="E68" s="3"/>
    </row>
    <row r="69" customFormat="false" ht="15" hidden="false" customHeight="false" outlineLevel="0" collapsed="false">
      <c r="A69" s="29"/>
      <c r="B69" s="3"/>
      <c r="C69" s="3"/>
      <c r="D69" s="3"/>
      <c r="E69" s="3"/>
    </row>
    <row r="70" customFormat="false" ht="15" hidden="false" customHeight="false" outlineLevel="0" collapsed="false">
      <c r="A70" s="29"/>
      <c r="B70" s="3"/>
      <c r="C70" s="3"/>
      <c r="D70" s="3"/>
      <c r="E70" s="3"/>
    </row>
    <row r="71" customFormat="false" ht="15" hidden="false" customHeight="false" outlineLevel="0" collapsed="false">
      <c r="A71" s="29"/>
      <c r="B71" s="3"/>
      <c r="C71" s="3"/>
      <c r="D71" s="3"/>
      <c r="E71" s="3"/>
    </row>
    <row r="72" customFormat="false" ht="15" hidden="false" customHeight="false" outlineLevel="0" collapsed="false">
      <c r="A72" s="29"/>
      <c r="B72" s="3"/>
      <c r="C72" s="3"/>
      <c r="D72" s="3"/>
      <c r="E72" s="3"/>
    </row>
    <row r="73" customFormat="false" ht="15" hidden="false" customHeight="false" outlineLevel="0" collapsed="false">
      <c r="A73" s="29"/>
      <c r="B73" s="3"/>
      <c r="C73" s="3"/>
      <c r="D73" s="3"/>
      <c r="E73" s="3"/>
    </row>
    <row r="74" customFormat="false" ht="15" hidden="false" customHeight="false" outlineLevel="0" collapsed="false">
      <c r="A74" s="29"/>
      <c r="B74" s="3"/>
      <c r="C74" s="3"/>
      <c r="D74" s="3"/>
      <c r="E74" s="3"/>
    </row>
    <row r="75" customFormat="false" ht="15" hidden="false" customHeight="false" outlineLevel="0" collapsed="false">
      <c r="A75" s="29"/>
      <c r="B75" s="3"/>
      <c r="C75" s="3"/>
      <c r="D75" s="3"/>
      <c r="E75" s="3"/>
    </row>
    <row r="76" customFormat="false" ht="15" hidden="false" customHeight="false" outlineLevel="0" collapsed="false">
      <c r="A76" s="29"/>
      <c r="B76" s="3"/>
      <c r="C76" s="3"/>
      <c r="D76" s="3"/>
      <c r="E76" s="3"/>
    </row>
    <row r="77" customFormat="false" ht="15" hidden="false" customHeight="false" outlineLevel="0" collapsed="false">
      <c r="A77" s="29"/>
      <c r="B77" s="3"/>
      <c r="C77" s="3"/>
      <c r="D77" s="3"/>
      <c r="E77" s="3"/>
    </row>
    <row r="78" customFormat="false" ht="15" hidden="false" customHeight="false" outlineLevel="0" collapsed="false">
      <c r="A78" s="29"/>
      <c r="B78" s="3"/>
      <c r="C78" s="3"/>
      <c r="D78" s="3"/>
      <c r="E78" s="3"/>
    </row>
    <row r="79" customFormat="false" ht="15" hidden="false" customHeight="false" outlineLevel="0" collapsed="false">
      <c r="A79" s="29"/>
      <c r="B79" s="3"/>
      <c r="C79" s="3"/>
      <c r="D79" s="3"/>
      <c r="E79" s="3"/>
    </row>
    <row r="80" customFormat="false" ht="15" hidden="false" customHeight="false" outlineLevel="0" collapsed="false">
      <c r="A80" s="29"/>
      <c r="B80" s="3"/>
      <c r="C80" s="3"/>
      <c r="D80" s="3"/>
      <c r="E80" s="3"/>
    </row>
    <row r="81" customFormat="false" ht="15" hidden="false" customHeight="false" outlineLevel="0" collapsed="false">
      <c r="A81" s="29"/>
      <c r="B81" s="3"/>
      <c r="C81" s="3"/>
      <c r="D81" s="3"/>
      <c r="E81" s="3"/>
    </row>
    <row r="82" customFormat="false" ht="15" hidden="false" customHeight="false" outlineLevel="0" collapsed="false">
      <c r="A82" s="29"/>
      <c r="B82" s="3"/>
      <c r="C82" s="3"/>
      <c r="D82" s="3"/>
      <c r="E82" s="3"/>
    </row>
    <row r="83" customFormat="false" ht="15" hidden="false" customHeight="false" outlineLevel="0" collapsed="false">
      <c r="A83" s="29"/>
      <c r="B83" s="3"/>
      <c r="C83" s="3"/>
      <c r="D83" s="3"/>
      <c r="E83" s="3"/>
    </row>
    <row r="84" customFormat="false" ht="15" hidden="false" customHeight="false" outlineLevel="0" collapsed="false">
      <c r="A84" s="29"/>
      <c r="B84" s="3"/>
      <c r="C84" s="3"/>
      <c r="D84" s="3"/>
      <c r="E84" s="3"/>
    </row>
    <row r="85" customFormat="false" ht="15" hidden="false" customHeight="false" outlineLevel="0" collapsed="false">
      <c r="A85" s="29"/>
      <c r="B85" s="3"/>
      <c r="C85" s="3"/>
      <c r="D85" s="3"/>
      <c r="E85" s="3"/>
    </row>
    <row r="86" customFormat="false" ht="15" hidden="false" customHeight="false" outlineLevel="0" collapsed="false">
      <c r="A86" s="29"/>
      <c r="B86" s="3"/>
      <c r="C86" s="3"/>
      <c r="D86" s="3"/>
      <c r="E86" s="3"/>
    </row>
    <row r="87" customFormat="false" ht="15" hidden="false" customHeight="false" outlineLevel="0" collapsed="false">
      <c r="A87" s="29"/>
      <c r="B87" s="3"/>
      <c r="C87" s="3"/>
      <c r="D87" s="3"/>
      <c r="E87" s="3"/>
    </row>
    <row r="88" customFormat="false" ht="15" hidden="false" customHeight="false" outlineLevel="0" collapsed="false">
      <c r="A88" s="29"/>
      <c r="B88" s="3"/>
      <c r="C88" s="3"/>
      <c r="D88" s="3"/>
      <c r="E88" s="3"/>
    </row>
    <row r="89" customFormat="false" ht="15" hidden="false" customHeight="false" outlineLevel="0" collapsed="false">
      <c r="A89" s="29"/>
      <c r="B89" s="3"/>
      <c r="C89" s="3"/>
      <c r="D89" s="3"/>
      <c r="E89" s="3"/>
    </row>
    <row r="90" customFormat="false" ht="15" hidden="false" customHeight="false" outlineLevel="0" collapsed="false">
      <c r="A90" s="29"/>
      <c r="B90" s="3"/>
      <c r="C90" s="3"/>
      <c r="D90" s="3"/>
      <c r="E90" s="3"/>
    </row>
    <row r="91" customFormat="false" ht="15" hidden="false" customHeight="false" outlineLevel="0" collapsed="false">
      <c r="A91" s="29"/>
      <c r="B91" s="3"/>
      <c r="C91" s="3"/>
      <c r="D91" s="3"/>
      <c r="E91" s="3"/>
    </row>
    <row r="92" customFormat="false" ht="15" hidden="false" customHeight="false" outlineLevel="0" collapsed="false">
      <c r="A92" s="29"/>
      <c r="B92" s="3"/>
      <c r="C92" s="3"/>
      <c r="D92" s="3"/>
      <c r="E92" s="3"/>
    </row>
    <row r="93" customFormat="false" ht="15" hidden="false" customHeight="false" outlineLevel="0" collapsed="false">
      <c r="A93" s="29"/>
      <c r="B93" s="3"/>
      <c r="C93" s="3"/>
      <c r="D93" s="3"/>
      <c r="E93" s="3"/>
    </row>
    <row r="94" customFormat="false" ht="15" hidden="false" customHeight="false" outlineLevel="0" collapsed="false">
      <c r="A94" s="29"/>
      <c r="B94" s="3"/>
      <c r="C94" s="3"/>
      <c r="D94" s="3"/>
      <c r="E94" s="3"/>
    </row>
    <row r="95" customFormat="false" ht="15" hidden="false" customHeight="false" outlineLevel="0" collapsed="false">
      <c r="A95" s="29"/>
      <c r="B95" s="3"/>
      <c r="C95" s="3"/>
      <c r="D95" s="3"/>
      <c r="E95" s="3"/>
    </row>
    <row r="96" customFormat="false" ht="15" hidden="false" customHeight="false" outlineLevel="0" collapsed="false">
      <c r="A96" s="29"/>
      <c r="B96" s="3"/>
      <c r="C96" s="3"/>
      <c r="D96" s="3"/>
      <c r="E96" s="3"/>
    </row>
    <row r="97" customFormat="false" ht="15" hidden="false" customHeight="false" outlineLevel="0" collapsed="false">
      <c r="A97" s="29"/>
      <c r="B97" s="3"/>
      <c r="C97" s="3"/>
      <c r="D97" s="3"/>
      <c r="E97" s="3"/>
    </row>
    <row r="98" customFormat="false" ht="15" hidden="false" customHeight="false" outlineLevel="0" collapsed="false">
      <c r="A98" s="29"/>
      <c r="B98" s="3"/>
      <c r="C98" s="3"/>
      <c r="D98" s="3"/>
      <c r="E98" s="3"/>
    </row>
    <row r="99" customFormat="false" ht="15" hidden="false" customHeight="false" outlineLevel="0" collapsed="false">
      <c r="A99" s="29"/>
      <c r="B99" s="3"/>
      <c r="C99" s="3"/>
      <c r="D99" s="3"/>
      <c r="E99" s="3"/>
    </row>
    <row r="100" customFormat="false" ht="15" hidden="false" customHeight="false" outlineLevel="0" collapsed="false">
      <c r="A100" s="29"/>
      <c r="B100" s="3"/>
      <c r="C100" s="3"/>
      <c r="D100" s="3"/>
      <c r="E100" s="3"/>
    </row>
    <row r="101" customFormat="false" ht="15" hidden="false" customHeight="false" outlineLevel="0" collapsed="false">
      <c r="A101" s="29"/>
      <c r="B101" s="3"/>
      <c r="C101" s="3"/>
      <c r="D101" s="3"/>
      <c r="E101" s="3"/>
    </row>
    <row r="102" customFormat="false" ht="15" hidden="false" customHeight="false" outlineLevel="0" collapsed="false">
      <c r="A102" s="29"/>
      <c r="B102" s="3"/>
      <c r="C102" s="3"/>
      <c r="D102" s="3"/>
      <c r="E102" s="3"/>
    </row>
    <row r="103" customFormat="false" ht="15" hidden="false" customHeight="false" outlineLevel="0" collapsed="false">
      <c r="A103" s="29"/>
      <c r="B103" s="3"/>
      <c r="C103" s="3"/>
      <c r="D103" s="3"/>
      <c r="E103" s="3"/>
    </row>
    <row r="104" customFormat="false" ht="15" hidden="false" customHeight="false" outlineLevel="0" collapsed="false">
      <c r="A104" s="29"/>
      <c r="B104" s="3"/>
      <c r="C104" s="3"/>
      <c r="D104" s="3"/>
      <c r="E104" s="3"/>
    </row>
    <row r="105" customFormat="false" ht="15" hidden="false" customHeight="false" outlineLevel="0" collapsed="false">
      <c r="A105" s="29"/>
      <c r="B105" s="3"/>
      <c r="C105" s="3"/>
      <c r="D105" s="3"/>
      <c r="E105" s="3"/>
    </row>
    <row r="106" customFormat="false" ht="15" hidden="false" customHeight="false" outlineLevel="0" collapsed="false">
      <c r="A106" s="29"/>
      <c r="B106" s="3"/>
      <c r="C106" s="3"/>
      <c r="D106" s="3"/>
      <c r="E106" s="3"/>
    </row>
    <row r="107" customFormat="false" ht="15" hidden="false" customHeight="false" outlineLevel="0" collapsed="false">
      <c r="A107" s="29"/>
      <c r="B107" s="3"/>
      <c r="C107" s="3"/>
      <c r="D107" s="3"/>
      <c r="E107" s="3"/>
    </row>
    <row r="108" customFormat="false" ht="15" hidden="false" customHeight="false" outlineLevel="0" collapsed="false">
      <c r="A108" s="29"/>
      <c r="B108" s="3"/>
      <c r="C108" s="3"/>
      <c r="D108" s="3"/>
      <c r="E108" s="3"/>
    </row>
    <row r="109" customFormat="false" ht="15" hidden="false" customHeight="false" outlineLevel="0" collapsed="false">
      <c r="A109" s="29"/>
      <c r="B109" s="3"/>
      <c r="C109" s="3"/>
      <c r="D109" s="3"/>
      <c r="E109" s="3"/>
    </row>
    <row r="110" customFormat="false" ht="15" hidden="false" customHeight="false" outlineLevel="0" collapsed="false">
      <c r="A110" s="29"/>
      <c r="B110" s="3"/>
      <c r="C110" s="3"/>
      <c r="D110" s="3"/>
      <c r="E110" s="3"/>
    </row>
    <row r="111" customFormat="false" ht="15" hidden="false" customHeight="false" outlineLevel="0" collapsed="false">
      <c r="A111" s="29"/>
      <c r="B111" s="3"/>
      <c r="C111" s="3"/>
      <c r="D111" s="3"/>
      <c r="E111" s="3"/>
    </row>
    <row r="112" customFormat="false" ht="15" hidden="false" customHeight="false" outlineLevel="0" collapsed="false">
      <c r="A112" s="29"/>
      <c r="B112" s="3"/>
      <c r="C112" s="3"/>
      <c r="D112" s="3"/>
      <c r="E112" s="3"/>
    </row>
    <row r="113" customFormat="false" ht="15" hidden="false" customHeight="false" outlineLevel="0" collapsed="false">
      <c r="A113" s="29"/>
      <c r="B113" s="3"/>
      <c r="C113" s="3"/>
      <c r="D113" s="3"/>
      <c r="E113" s="3"/>
    </row>
    <row r="114" customFormat="false" ht="15" hidden="false" customHeight="false" outlineLevel="0" collapsed="false">
      <c r="A114" s="29"/>
      <c r="B114" s="3"/>
      <c r="C114" s="3"/>
      <c r="D114" s="3"/>
      <c r="E114" s="3"/>
    </row>
    <row r="115" customFormat="false" ht="15" hidden="false" customHeight="false" outlineLevel="0" collapsed="false">
      <c r="A115" s="29"/>
      <c r="B115" s="3"/>
      <c r="C115" s="3"/>
      <c r="D115" s="3"/>
      <c r="E115" s="3"/>
    </row>
    <row r="116" customFormat="false" ht="15" hidden="false" customHeight="false" outlineLevel="0" collapsed="false">
      <c r="A116" s="29"/>
      <c r="B116" s="3"/>
      <c r="C116" s="3"/>
      <c r="D116" s="3"/>
      <c r="E116" s="3"/>
    </row>
    <row r="117" customFormat="false" ht="15" hidden="false" customHeight="false" outlineLevel="0" collapsed="false">
      <c r="A117" s="29"/>
      <c r="B117" s="3"/>
      <c r="C117" s="3"/>
      <c r="D117" s="3"/>
      <c r="E117" s="3"/>
    </row>
    <row r="118" customFormat="false" ht="15" hidden="false" customHeight="false" outlineLevel="0" collapsed="false">
      <c r="A118" s="29"/>
      <c r="B118" s="3"/>
      <c r="C118" s="3"/>
      <c r="D118" s="3"/>
      <c r="E118" s="3"/>
    </row>
    <row r="119" customFormat="false" ht="15" hidden="false" customHeight="false" outlineLevel="0" collapsed="false">
      <c r="A119" s="29"/>
      <c r="B119" s="3"/>
      <c r="C119" s="3"/>
      <c r="D119" s="3"/>
      <c r="E119" s="3"/>
    </row>
    <row r="120" customFormat="false" ht="15" hidden="false" customHeight="false" outlineLevel="0" collapsed="false">
      <c r="A120" s="29"/>
      <c r="B120" s="3"/>
      <c r="C120" s="3"/>
      <c r="D120" s="3"/>
      <c r="E120" s="3"/>
    </row>
    <row r="121" customFormat="false" ht="15" hidden="false" customHeight="false" outlineLevel="0" collapsed="false">
      <c r="A121" s="29"/>
      <c r="B121" s="3"/>
      <c r="C121" s="3"/>
      <c r="D121" s="3"/>
      <c r="E121" s="3"/>
    </row>
    <row r="122" customFormat="false" ht="15" hidden="false" customHeight="false" outlineLevel="0" collapsed="false">
      <c r="A122" s="29"/>
      <c r="B122" s="3"/>
      <c r="C122" s="3"/>
      <c r="D122" s="3"/>
      <c r="E122" s="3"/>
    </row>
    <row r="123" customFormat="false" ht="15" hidden="false" customHeight="false" outlineLevel="0" collapsed="false">
      <c r="A123" s="29"/>
      <c r="B123" s="3"/>
      <c r="C123" s="3"/>
      <c r="D123" s="3"/>
      <c r="E123" s="3"/>
    </row>
    <row r="124" customFormat="false" ht="15" hidden="false" customHeight="false" outlineLevel="0" collapsed="false">
      <c r="A124" s="29"/>
      <c r="B124" s="3"/>
      <c r="C124" s="3"/>
      <c r="D124" s="3"/>
      <c r="E124" s="3"/>
    </row>
    <row r="125" customFormat="false" ht="15" hidden="false" customHeight="false" outlineLevel="0" collapsed="false">
      <c r="A125" s="29"/>
      <c r="B125" s="3"/>
      <c r="C125" s="3"/>
      <c r="D125" s="3"/>
      <c r="E125" s="3"/>
    </row>
    <row r="126" customFormat="false" ht="15" hidden="false" customHeight="false" outlineLevel="0" collapsed="false">
      <c r="A126" s="29"/>
      <c r="B126" s="3"/>
      <c r="C126" s="3"/>
      <c r="D126" s="3"/>
      <c r="E126" s="3"/>
    </row>
    <row r="127" customFormat="false" ht="15" hidden="false" customHeight="false" outlineLevel="0" collapsed="false">
      <c r="A127" s="29"/>
      <c r="B127" s="3"/>
      <c r="C127" s="3"/>
      <c r="D127" s="3"/>
      <c r="E127" s="3"/>
    </row>
    <row r="128" customFormat="false" ht="15" hidden="false" customHeight="false" outlineLevel="0" collapsed="false">
      <c r="A128" s="29"/>
      <c r="B128" s="3"/>
      <c r="C128" s="3"/>
      <c r="D128" s="3"/>
      <c r="E128" s="3"/>
    </row>
    <row r="129" customFormat="false" ht="15" hidden="false" customHeight="false" outlineLevel="0" collapsed="false">
      <c r="A129" s="29"/>
      <c r="B129" s="3"/>
      <c r="C129" s="3"/>
      <c r="D129" s="3"/>
      <c r="E129" s="3"/>
    </row>
    <row r="130" customFormat="false" ht="15" hidden="false" customHeight="false" outlineLevel="0" collapsed="false">
      <c r="A130" s="29"/>
      <c r="B130" s="3"/>
      <c r="C130" s="3"/>
      <c r="D130" s="3"/>
      <c r="E130" s="3"/>
    </row>
    <row r="131" customFormat="false" ht="15" hidden="false" customHeight="false" outlineLevel="0" collapsed="false">
      <c r="A131" s="29"/>
      <c r="B131" s="3"/>
      <c r="C131" s="3"/>
      <c r="D131" s="3"/>
      <c r="E131" s="3"/>
    </row>
    <row r="132" customFormat="false" ht="15" hidden="false" customHeight="false" outlineLevel="0" collapsed="false">
      <c r="A132" s="29"/>
      <c r="B132" s="3"/>
      <c r="C132" s="3"/>
      <c r="D132" s="3"/>
      <c r="E132" s="3"/>
    </row>
    <row r="133" customFormat="false" ht="15" hidden="false" customHeight="false" outlineLevel="0" collapsed="false">
      <c r="A133" s="29"/>
      <c r="B133" s="3"/>
      <c r="C133" s="3"/>
      <c r="D133" s="3"/>
      <c r="E133" s="3"/>
    </row>
    <row r="134" customFormat="false" ht="15" hidden="false" customHeight="false" outlineLevel="0" collapsed="false">
      <c r="A134" s="29"/>
      <c r="B134" s="3"/>
      <c r="C134" s="3"/>
      <c r="D134" s="3"/>
      <c r="E134" s="3"/>
    </row>
    <row r="135" customFormat="false" ht="15" hidden="false" customHeight="false" outlineLevel="0" collapsed="false">
      <c r="A135" s="29"/>
      <c r="B135" s="3"/>
      <c r="C135" s="3"/>
      <c r="D135" s="3"/>
      <c r="E135" s="3"/>
    </row>
    <row r="136" customFormat="false" ht="15" hidden="false" customHeight="false" outlineLevel="0" collapsed="false">
      <c r="A136" s="29"/>
      <c r="B136" s="3"/>
      <c r="C136" s="3"/>
      <c r="D136" s="3"/>
      <c r="E136" s="3"/>
    </row>
    <row r="137" customFormat="false" ht="15" hidden="false" customHeight="false" outlineLevel="0" collapsed="false">
      <c r="A137" s="29"/>
      <c r="B137" s="3"/>
      <c r="C137" s="3"/>
      <c r="D137" s="3"/>
      <c r="E137" s="3"/>
    </row>
    <row r="138" customFormat="false" ht="15" hidden="false" customHeight="false" outlineLevel="0" collapsed="false">
      <c r="A138" s="29"/>
      <c r="B138" s="3"/>
      <c r="C138" s="3"/>
      <c r="D138" s="3"/>
      <c r="E138" s="3"/>
    </row>
    <row r="139" customFormat="false" ht="15" hidden="false" customHeight="false" outlineLevel="0" collapsed="false">
      <c r="A139" s="29"/>
      <c r="B139" s="3"/>
      <c r="C139" s="3"/>
      <c r="D139" s="3"/>
      <c r="E139" s="3"/>
    </row>
    <row r="140" customFormat="false" ht="15" hidden="false" customHeight="false" outlineLevel="0" collapsed="false">
      <c r="A140" s="29"/>
      <c r="B140" s="3"/>
      <c r="C140" s="3"/>
      <c r="D140" s="3"/>
      <c r="E140" s="3"/>
    </row>
    <row r="141" customFormat="false" ht="15" hidden="false" customHeight="false" outlineLevel="0" collapsed="false">
      <c r="A141" s="29"/>
      <c r="B141" s="3"/>
      <c r="C141" s="3"/>
      <c r="D141" s="3"/>
      <c r="E141" s="3"/>
    </row>
    <row r="142" customFormat="false" ht="15" hidden="false" customHeight="false" outlineLevel="0" collapsed="false">
      <c r="A142" s="29"/>
      <c r="B142" s="3"/>
      <c r="C142" s="3"/>
      <c r="D142" s="3"/>
      <c r="E142" s="3"/>
    </row>
    <row r="143" customFormat="false" ht="15" hidden="false" customHeight="false" outlineLevel="0" collapsed="false">
      <c r="A143" s="29"/>
      <c r="B143" s="3"/>
      <c r="C143" s="3"/>
      <c r="D143" s="3"/>
      <c r="E143" s="3"/>
    </row>
    <row r="144" customFormat="false" ht="15" hidden="false" customHeight="false" outlineLevel="0" collapsed="false">
      <c r="A144" s="29"/>
      <c r="B144" s="3"/>
      <c r="C144" s="3"/>
      <c r="D144" s="3"/>
      <c r="E144" s="3"/>
    </row>
    <row r="145" customFormat="false" ht="15" hidden="false" customHeight="false" outlineLevel="0" collapsed="false">
      <c r="A145" s="29"/>
      <c r="B145" s="3"/>
      <c r="C145" s="3"/>
      <c r="D145" s="3"/>
      <c r="E145" s="3"/>
    </row>
    <row r="146" customFormat="false" ht="15" hidden="false" customHeight="false" outlineLevel="0" collapsed="false">
      <c r="A146" s="29"/>
      <c r="B146" s="3"/>
      <c r="C146" s="3"/>
      <c r="D146" s="3"/>
      <c r="E146" s="3"/>
    </row>
    <row r="147" customFormat="false" ht="15" hidden="false" customHeight="false" outlineLevel="0" collapsed="false">
      <c r="A147" s="29"/>
      <c r="B147" s="3"/>
      <c r="C147" s="3"/>
      <c r="D147" s="3"/>
      <c r="E147" s="3"/>
    </row>
    <row r="148" customFormat="false" ht="15" hidden="false" customHeight="false" outlineLevel="0" collapsed="false">
      <c r="A148" s="29"/>
      <c r="B148" s="3"/>
      <c r="C148" s="3"/>
      <c r="D148" s="3"/>
      <c r="E148" s="3"/>
    </row>
    <row r="149" customFormat="false" ht="15" hidden="false" customHeight="false" outlineLevel="0" collapsed="false">
      <c r="A149" s="29"/>
      <c r="B149" s="3"/>
      <c r="C149" s="3"/>
      <c r="D149" s="3"/>
      <c r="E149" s="3"/>
    </row>
    <row r="150" customFormat="false" ht="15" hidden="false" customHeight="false" outlineLevel="0" collapsed="false">
      <c r="A150" s="29"/>
      <c r="B150" s="3"/>
      <c r="C150" s="3"/>
      <c r="D150" s="3"/>
      <c r="E150" s="3"/>
    </row>
    <row r="151" customFormat="false" ht="15" hidden="false" customHeight="false" outlineLevel="0" collapsed="false">
      <c r="A151" s="29"/>
      <c r="B151" s="3"/>
      <c r="C151" s="3"/>
      <c r="D151" s="3"/>
      <c r="E151" s="3"/>
    </row>
    <row r="152" customFormat="false" ht="15" hidden="false" customHeight="false" outlineLevel="0" collapsed="false">
      <c r="A152" s="29"/>
      <c r="B152" s="3"/>
      <c r="C152" s="3"/>
      <c r="D152" s="3"/>
      <c r="E152" s="3"/>
    </row>
    <row r="153" customFormat="false" ht="15" hidden="false" customHeight="false" outlineLevel="0" collapsed="false">
      <c r="A153" s="29"/>
      <c r="B153" s="3"/>
      <c r="C153" s="3"/>
      <c r="D153" s="3"/>
      <c r="E153" s="3"/>
    </row>
    <row r="154" customFormat="false" ht="15" hidden="false" customHeight="false" outlineLevel="0" collapsed="false">
      <c r="A154" s="29"/>
      <c r="B154" s="3"/>
      <c r="C154" s="3"/>
      <c r="D154" s="3"/>
      <c r="E154" s="3"/>
    </row>
    <row r="155" customFormat="false" ht="15" hidden="false" customHeight="false" outlineLevel="0" collapsed="false">
      <c r="A155" s="29"/>
      <c r="B155" s="3"/>
      <c r="C155" s="3"/>
      <c r="D155" s="3"/>
      <c r="E155" s="3"/>
    </row>
    <row r="156" customFormat="false" ht="15" hidden="false" customHeight="false" outlineLevel="0" collapsed="false">
      <c r="A156" s="29"/>
      <c r="B156" s="3"/>
      <c r="C156" s="3"/>
      <c r="D156" s="3"/>
      <c r="E156" s="3"/>
    </row>
    <row r="157" customFormat="false" ht="15" hidden="false" customHeight="false" outlineLevel="0" collapsed="false">
      <c r="A157" s="29"/>
      <c r="B157" s="3"/>
      <c r="C157" s="3"/>
      <c r="D157" s="3"/>
      <c r="E157" s="3"/>
    </row>
    <row r="158" customFormat="false" ht="15" hidden="false" customHeight="false" outlineLevel="0" collapsed="false">
      <c r="A158" s="29"/>
      <c r="B158" s="3"/>
      <c r="C158" s="3"/>
      <c r="D158" s="3"/>
      <c r="E158" s="3"/>
    </row>
    <row r="159" customFormat="false" ht="15" hidden="false" customHeight="false" outlineLevel="0" collapsed="false">
      <c r="A159" s="29"/>
      <c r="B159" s="3"/>
      <c r="C159" s="3"/>
      <c r="D159" s="3"/>
      <c r="E159" s="3"/>
    </row>
    <row r="160" customFormat="false" ht="15" hidden="false" customHeight="false" outlineLevel="0" collapsed="false">
      <c r="A160" s="29"/>
      <c r="B160" s="3"/>
      <c r="C160" s="3"/>
      <c r="D160" s="3"/>
      <c r="E160" s="3"/>
    </row>
    <row r="161" customFormat="false" ht="15" hidden="false" customHeight="false" outlineLevel="0" collapsed="false">
      <c r="A161" s="29"/>
      <c r="B161" s="3"/>
      <c r="C161" s="3"/>
      <c r="D161" s="3"/>
      <c r="E161" s="3"/>
    </row>
    <row r="162" customFormat="false" ht="15" hidden="false" customHeight="false" outlineLevel="0" collapsed="false">
      <c r="A162" s="29"/>
      <c r="B162" s="3"/>
      <c r="C162" s="3"/>
      <c r="D162" s="3"/>
      <c r="E162" s="3"/>
    </row>
    <row r="163" customFormat="false" ht="15" hidden="false" customHeight="false" outlineLevel="0" collapsed="false">
      <c r="A163" s="29"/>
      <c r="B163" s="3"/>
      <c r="C163" s="3"/>
      <c r="D163" s="3"/>
      <c r="E163" s="3"/>
    </row>
    <row r="164" customFormat="false" ht="15" hidden="false" customHeight="false" outlineLevel="0" collapsed="false">
      <c r="A164" s="29"/>
      <c r="B164" s="3"/>
      <c r="C164" s="3"/>
      <c r="D164" s="3"/>
      <c r="E164" s="3"/>
    </row>
    <row r="165" customFormat="false" ht="15" hidden="false" customHeight="false" outlineLevel="0" collapsed="false">
      <c r="A165" s="29"/>
      <c r="B165" s="3"/>
      <c r="C165" s="3"/>
      <c r="D165" s="3"/>
      <c r="E165" s="3"/>
    </row>
    <row r="166" customFormat="false" ht="15" hidden="false" customHeight="false" outlineLevel="0" collapsed="false">
      <c r="A166" s="29"/>
      <c r="B166" s="3"/>
      <c r="C166" s="3"/>
      <c r="D166" s="3"/>
      <c r="E166" s="3"/>
    </row>
    <row r="167" customFormat="false" ht="15" hidden="false" customHeight="false" outlineLevel="0" collapsed="false">
      <c r="A167" s="29"/>
      <c r="B167" s="3"/>
      <c r="C167" s="3"/>
      <c r="D167" s="3"/>
      <c r="E167" s="3"/>
    </row>
    <row r="168" customFormat="false" ht="15" hidden="false" customHeight="false" outlineLevel="0" collapsed="false">
      <c r="A168" s="29"/>
      <c r="B168" s="3"/>
      <c r="C168" s="3"/>
      <c r="D168" s="3"/>
      <c r="E168" s="3"/>
    </row>
    <row r="169" customFormat="false" ht="15" hidden="false" customHeight="false" outlineLevel="0" collapsed="false">
      <c r="A169" s="29"/>
      <c r="B169" s="3"/>
      <c r="C169" s="3"/>
      <c r="D169" s="3"/>
      <c r="E169" s="3"/>
    </row>
    <row r="170" customFormat="false" ht="15" hidden="false" customHeight="false" outlineLevel="0" collapsed="false">
      <c r="A170" s="29"/>
      <c r="B170" s="3"/>
      <c r="C170" s="3"/>
      <c r="D170" s="3"/>
      <c r="E170" s="3"/>
    </row>
    <row r="171" customFormat="false" ht="15" hidden="false" customHeight="false" outlineLevel="0" collapsed="false">
      <c r="A171" s="29"/>
      <c r="B171" s="3"/>
      <c r="C171" s="3"/>
      <c r="D171" s="3"/>
      <c r="E171" s="3"/>
    </row>
    <row r="172" customFormat="false" ht="15" hidden="false" customHeight="false" outlineLevel="0" collapsed="false">
      <c r="A172" s="29"/>
      <c r="B172" s="3"/>
      <c r="C172" s="3"/>
      <c r="D172" s="3"/>
      <c r="E172" s="3"/>
    </row>
    <row r="173" customFormat="false" ht="15" hidden="false" customHeight="false" outlineLevel="0" collapsed="false">
      <c r="A173" s="29"/>
      <c r="B173" s="3"/>
      <c r="C173" s="3"/>
      <c r="D173" s="3"/>
      <c r="E173" s="3"/>
    </row>
    <row r="174" customFormat="false" ht="15" hidden="false" customHeight="false" outlineLevel="0" collapsed="false">
      <c r="A174" s="29"/>
      <c r="B174" s="3"/>
      <c r="C174" s="3"/>
      <c r="D174" s="3"/>
      <c r="E174" s="3"/>
    </row>
    <row r="175" customFormat="false" ht="15" hidden="false" customHeight="false" outlineLevel="0" collapsed="false">
      <c r="A175" s="29"/>
      <c r="B175" s="3"/>
      <c r="C175" s="3"/>
      <c r="D175" s="3"/>
      <c r="E175" s="3"/>
    </row>
    <row r="176" customFormat="false" ht="15" hidden="false" customHeight="false" outlineLevel="0" collapsed="false">
      <c r="A176" s="29"/>
      <c r="B176" s="3"/>
      <c r="C176" s="3"/>
      <c r="D176" s="3"/>
      <c r="E176" s="3"/>
    </row>
    <row r="177" customFormat="false" ht="15" hidden="false" customHeight="false" outlineLevel="0" collapsed="false">
      <c r="A177" s="29"/>
      <c r="B177" s="3"/>
      <c r="C177" s="3"/>
      <c r="D177" s="3"/>
      <c r="E177" s="3"/>
    </row>
    <row r="178" customFormat="false" ht="15" hidden="false" customHeight="false" outlineLevel="0" collapsed="false">
      <c r="A178" s="29"/>
      <c r="B178" s="3"/>
      <c r="C178" s="3"/>
      <c r="D178" s="3"/>
      <c r="E178" s="3"/>
    </row>
    <row r="179" customFormat="false" ht="15" hidden="false" customHeight="false" outlineLevel="0" collapsed="false">
      <c r="A179" s="29"/>
      <c r="B179" s="3"/>
      <c r="C179" s="3"/>
      <c r="D179" s="3"/>
      <c r="E179" s="3"/>
    </row>
    <row r="180" customFormat="false" ht="15" hidden="false" customHeight="false" outlineLevel="0" collapsed="false">
      <c r="A180" s="29"/>
      <c r="B180" s="3"/>
      <c r="C180" s="3"/>
      <c r="D180" s="3"/>
      <c r="E180" s="3"/>
    </row>
    <row r="181" customFormat="false" ht="15" hidden="false" customHeight="false" outlineLevel="0" collapsed="false">
      <c r="A181" s="29"/>
      <c r="B181" s="3"/>
      <c r="C181" s="3"/>
      <c r="D181" s="3"/>
      <c r="E181" s="3"/>
    </row>
    <row r="182" customFormat="false" ht="15" hidden="false" customHeight="false" outlineLevel="0" collapsed="false">
      <c r="A182" s="29"/>
      <c r="B182" s="3"/>
      <c r="C182" s="3"/>
      <c r="D182" s="3"/>
      <c r="E182" s="3"/>
    </row>
    <row r="183" customFormat="false" ht="15" hidden="false" customHeight="false" outlineLevel="0" collapsed="false">
      <c r="A183" s="29"/>
      <c r="B183" s="3"/>
      <c r="C183" s="3"/>
      <c r="D183" s="3"/>
      <c r="E183" s="3"/>
    </row>
    <row r="184" customFormat="false" ht="15" hidden="false" customHeight="false" outlineLevel="0" collapsed="false">
      <c r="A184" s="29"/>
      <c r="B184" s="3"/>
      <c r="C184" s="3"/>
      <c r="D184" s="3"/>
      <c r="E184" s="3"/>
    </row>
    <row r="185" customFormat="false" ht="15" hidden="false" customHeight="false" outlineLevel="0" collapsed="false">
      <c r="A185" s="29"/>
      <c r="B185" s="3"/>
      <c r="C185" s="3"/>
      <c r="D185" s="3"/>
      <c r="E185" s="3"/>
    </row>
    <row r="186" customFormat="false" ht="15" hidden="false" customHeight="false" outlineLevel="0" collapsed="false">
      <c r="A186" s="29"/>
      <c r="B186" s="3"/>
      <c r="C186" s="3"/>
      <c r="D186" s="3"/>
      <c r="E186" s="3"/>
    </row>
    <row r="187" customFormat="false" ht="15" hidden="false" customHeight="false" outlineLevel="0" collapsed="false">
      <c r="A187" s="29"/>
      <c r="B187" s="3"/>
      <c r="C187" s="3"/>
      <c r="D187" s="3"/>
      <c r="E187" s="3"/>
    </row>
    <row r="188" customFormat="false" ht="15" hidden="false" customHeight="false" outlineLevel="0" collapsed="false">
      <c r="A188" s="29"/>
      <c r="B188" s="3"/>
      <c r="C188" s="3"/>
      <c r="D188" s="3"/>
      <c r="E188" s="3"/>
    </row>
    <row r="189" customFormat="false" ht="15" hidden="false" customHeight="false" outlineLevel="0" collapsed="false">
      <c r="A189" s="29"/>
      <c r="B189" s="3"/>
      <c r="C189" s="3"/>
      <c r="D189" s="3"/>
      <c r="E189" s="3"/>
    </row>
    <row r="190" customFormat="false" ht="15" hidden="false" customHeight="false" outlineLevel="0" collapsed="false">
      <c r="A190" s="29"/>
      <c r="B190" s="3"/>
      <c r="C190" s="3"/>
      <c r="D190" s="3"/>
      <c r="E190" s="3"/>
    </row>
    <row r="191" customFormat="false" ht="15" hidden="false" customHeight="false" outlineLevel="0" collapsed="false">
      <c r="A191" s="29"/>
      <c r="B191" s="3"/>
      <c r="C191" s="3"/>
      <c r="D191" s="3"/>
      <c r="E191" s="3"/>
    </row>
    <row r="192" customFormat="false" ht="15" hidden="false" customHeight="false" outlineLevel="0" collapsed="false">
      <c r="A192" s="29"/>
      <c r="B192" s="3"/>
      <c r="C192" s="3"/>
      <c r="D192" s="3"/>
      <c r="E192" s="3"/>
    </row>
    <row r="193" customFormat="false" ht="15" hidden="false" customHeight="false" outlineLevel="0" collapsed="false">
      <c r="A193" s="29"/>
      <c r="B193" s="3"/>
      <c r="C193" s="3"/>
      <c r="D193" s="3"/>
      <c r="E193" s="3"/>
    </row>
    <row r="194" customFormat="false" ht="15" hidden="false" customHeight="false" outlineLevel="0" collapsed="false">
      <c r="A194" s="29"/>
      <c r="B194" s="3"/>
      <c r="C194" s="3"/>
      <c r="D194" s="3"/>
      <c r="E194" s="3"/>
    </row>
    <row r="195" customFormat="false" ht="15" hidden="false" customHeight="false" outlineLevel="0" collapsed="false">
      <c r="A195" s="29"/>
      <c r="B195" s="3"/>
      <c r="C195" s="3"/>
      <c r="D195" s="3"/>
      <c r="E195" s="3"/>
    </row>
    <row r="196" customFormat="false" ht="15" hidden="false" customHeight="false" outlineLevel="0" collapsed="false">
      <c r="A196" s="29"/>
      <c r="B196" s="3"/>
      <c r="C196" s="3"/>
      <c r="D196" s="3"/>
      <c r="E196" s="3"/>
    </row>
    <row r="197" customFormat="false" ht="15" hidden="false" customHeight="false" outlineLevel="0" collapsed="false">
      <c r="A197" s="29"/>
      <c r="B197" s="3"/>
      <c r="C197" s="3"/>
      <c r="D197" s="3"/>
      <c r="E197" s="3"/>
    </row>
    <row r="198" customFormat="false" ht="15" hidden="false" customHeight="false" outlineLevel="0" collapsed="false">
      <c r="A198" s="29"/>
      <c r="B198" s="3"/>
      <c r="C198" s="3"/>
      <c r="D198" s="3"/>
      <c r="E198" s="3"/>
    </row>
    <row r="199" customFormat="false" ht="15" hidden="false" customHeight="false" outlineLevel="0" collapsed="false">
      <c r="A199" s="29"/>
      <c r="B199" s="3"/>
      <c r="C199" s="3"/>
      <c r="D199" s="3"/>
      <c r="E199" s="3"/>
    </row>
    <row r="200" customFormat="false" ht="15" hidden="false" customHeight="false" outlineLevel="0" collapsed="false">
      <c r="A200" s="29"/>
      <c r="B200" s="3"/>
      <c r="C200" s="3"/>
      <c r="D200" s="3"/>
      <c r="E200" s="3"/>
    </row>
    <row r="201" customFormat="false" ht="15" hidden="false" customHeight="false" outlineLevel="0" collapsed="false">
      <c r="A201" s="29"/>
      <c r="B201" s="3"/>
      <c r="C201" s="3"/>
      <c r="D201" s="3"/>
      <c r="E201" s="3"/>
    </row>
    <row r="202" customFormat="false" ht="15" hidden="false" customHeight="false" outlineLevel="0" collapsed="false">
      <c r="A202" s="29"/>
      <c r="B202" s="3"/>
      <c r="C202" s="3"/>
      <c r="D202" s="3"/>
      <c r="E202" s="3"/>
    </row>
    <row r="203" customFormat="false" ht="15" hidden="false" customHeight="false" outlineLevel="0" collapsed="false">
      <c r="A203" s="29"/>
      <c r="B203" s="3"/>
      <c r="C203" s="3"/>
      <c r="D203" s="3"/>
      <c r="E203" s="3"/>
    </row>
    <row r="204" customFormat="false" ht="15" hidden="false" customHeight="false" outlineLevel="0" collapsed="false">
      <c r="A204" s="29"/>
      <c r="B204" s="3"/>
      <c r="C204" s="3"/>
      <c r="D204" s="3"/>
      <c r="E204" s="3"/>
    </row>
    <row r="205" customFormat="false" ht="15" hidden="false" customHeight="false" outlineLevel="0" collapsed="false">
      <c r="A205" s="29"/>
      <c r="B205" s="3"/>
      <c r="C205" s="3"/>
      <c r="D205" s="3"/>
      <c r="E205" s="3"/>
    </row>
    <row r="206" customFormat="false" ht="15" hidden="false" customHeight="false" outlineLevel="0" collapsed="false">
      <c r="A206" s="29"/>
      <c r="B206" s="3"/>
      <c r="C206" s="3"/>
      <c r="D206" s="3"/>
      <c r="E206" s="3"/>
    </row>
    <row r="207" customFormat="false" ht="15" hidden="false" customHeight="false" outlineLevel="0" collapsed="false">
      <c r="A207" s="29"/>
      <c r="B207" s="3"/>
      <c r="C207" s="3"/>
      <c r="D207" s="3"/>
      <c r="E207" s="3"/>
    </row>
    <row r="208" customFormat="false" ht="15" hidden="false" customHeight="false" outlineLevel="0" collapsed="false">
      <c r="A208" s="29"/>
      <c r="B208" s="3"/>
      <c r="C208" s="3"/>
      <c r="D208" s="3"/>
      <c r="E208" s="3"/>
    </row>
    <row r="209" customFormat="false" ht="15" hidden="false" customHeight="false" outlineLevel="0" collapsed="false">
      <c r="A209" s="29"/>
      <c r="B209" s="3"/>
      <c r="C209" s="3"/>
      <c r="D209" s="3"/>
      <c r="E209" s="3"/>
    </row>
    <row r="210" customFormat="false" ht="15" hidden="false" customHeight="false" outlineLevel="0" collapsed="false">
      <c r="A210" s="29"/>
      <c r="B210" s="3"/>
      <c r="C210" s="3"/>
      <c r="D210" s="3"/>
      <c r="E210" s="3"/>
    </row>
    <row r="211" customFormat="false" ht="15" hidden="false" customHeight="false" outlineLevel="0" collapsed="false">
      <c r="A211" s="29"/>
      <c r="B211" s="3"/>
      <c r="C211" s="3"/>
      <c r="D211" s="3"/>
      <c r="E211" s="3"/>
    </row>
    <row r="212" customFormat="false" ht="15" hidden="false" customHeight="false" outlineLevel="0" collapsed="false">
      <c r="A212" s="29"/>
      <c r="B212" s="3"/>
      <c r="C212" s="3"/>
      <c r="D212" s="3"/>
      <c r="E212" s="3"/>
    </row>
    <row r="213" customFormat="false" ht="15" hidden="false" customHeight="false" outlineLevel="0" collapsed="false">
      <c r="A213" s="29"/>
      <c r="B213" s="3"/>
      <c r="C213" s="3"/>
      <c r="D213" s="3"/>
      <c r="E213" s="3"/>
    </row>
    <row r="214" customFormat="false" ht="15" hidden="false" customHeight="false" outlineLevel="0" collapsed="false">
      <c r="A214" s="29"/>
      <c r="B214" s="3"/>
      <c r="C214" s="3"/>
      <c r="D214" s="3"/>
      <c r="E214" s="3"/>
    </row>
    <row r="215" customFormat="false" ht="15" hidden="false" customHeight="false" outlineLevel="0" collapsed="false">
      <c r="A215" s="29"/>
      <c r="B215" s="3"/>
      <c r="C215" s="3"/>
      <c r="D215" s="3"/>
      <c r="E215" s="3"/>
    </row>
    <row r="216" customFormat="false" ht="15" hidden="false" customHeight="false" outlineLevel="0" collapsed="false">
      <c r="A216" s="29"/>
      <c r="B216" s="3"/>
      <c r="C216" s="3"/>
      <c r="D216" s="3"/>
      <c r="E216" s="3"/>
    </row>
    <row r="217" customFormat="false" ht="15" hidden="false" customHeight="false" outlineLevel="0" collapsed="false">
      <c r="A217" s="29"/>
      <c r="B217" s="3"/>
      <c r="C217" s="3"/>
      <c r="D217" s="3"/>
      <c r="E217" s="3"/>
    </row>
    <row r="218" customFormat="false" ht="15" hidden="false" customHeight="false" outlineLevel="0" collapsed="false">
      <c r="A218" s="29"/>
      <c r="B218" s="3"/>
      <c r="C218" s="3"/>
      <c r="D218" s="3"/>
      <c r="E218" s="3"/>
    </row>
    <row r="219" customFormat="false" ht="15" hidden="false" customHeight="false" outlineLevel="0" collapsed="false">
      <c r="A219" s="29"/>
      <c r="B219" s="3"/>
      <c r="C219" s="3"/>
      <c r="D219" s="3"/>
      <c r="E219" s="3"/>
    </row>
    <row r="220" customFormat="false" ht="15" hidden="false" customHeight="false" outlineLevel="0" collapsed="false">
      <c r="A220" s="29"/>
      <c r="B220" s="3"/>
      <c r="C220" s="3"/>
      <c r="D220" s="3"/>
      <c r="E220" s="3"/>
    </row>
    <row r="221" customFormat="false" ht="15" hidden="false" customHeight="false" outlineLevel="0" collapsed="false">
      <c r="A221" s="29"/>
      <c r="B221" s="3"/>
      <c r="C221" s="3"/>
      <c r="D221" s="3"/>
      <c r="E221" s="3"/>
    </row>
    <row r="222" customFormat="false" ht="15" hidden="false" customHeight="false" outlineLevel="0" collapsed="false">
      <c r="A222" s="29"/>
      <c r="B222" s="3"/>
      <c r="C222" s="3"/>
      <c r="D222" s="3"/>
      <c r="E222" s="3"/>
    </row>
    <row r="223" customFormat="false" ht="15" hidden="false" customHeight="false" outlineLevel="0" collapsed="false">
      <c r="A223" s="29"/>
      <c r="B223" s="3"/>
      <c r="C223" s="3"/>
      <c r="D223" s="3"/>
      <c r="E223" s="3"/>
    </row>
    <row r="224" customFormat="false" ht="15" hidden="false" customHeight="false" outlineLevel="0" collapsed="false">
      <c r="A224" s="29"/>
      <c r="B224" s="3"/>
      <c r="C224" s="3"/>
      <c r="D224" s="3"/>
      <c r="E224" s="3"/>
    </row>
    <row r="225" customFormat="false" ht="15" hidden="false" customHeight="false" outlineLevel="0" collapsed="false">
      <c r="A225" s="29"/>
      <c r="B225" s="3"/>
      <c r="C225" s="3"/>
      <c r="D225" s="3"/>
      <c r="E225" s="3"/>
    </row>
    <row r="226" customFormat="false" ht="15" hidden="false" customHeight="false" outlineLevel="0" collapsed="false">
      <c r="A226" s="29"/>
      <c r="B226" s="3"/>
      <c r="C226" s="3"/>
      <c r="D226" s="3"/>
      <c r="E226" s="3"/>
    </row>
    <row r="227" customFormat="false" ht="15" hidden="false" customHeight="false" outlineLevel="0" collapsed="false">
      <c r="A227" s="29"/>
      <c r="B227" s="3"/>
      <c r="C227" s="3"/>
      <c r="D227" s="3"/>
      <c r="E227" s="3"/>
    </row>
    <row r="228" customFormat="false" ht="15" hidden="false" customHeight="false" outlineLevel="0" collapsed="false">
      <c r="A228" s="29"/>
      <c r="B228" s="3"/>
      <c r="C228" s="3"/>
      <c r="D228" s="3"/>
      <c r="E228" s="3"/>
    </row>
    <row r="229" customFormat="false" ht="15" hidden="false" customHeight="false" outlineLevel="0" collapsed="false">
      <c r="A229" s="29"/>
      <c r="B229" s="3"/>
      <c r="C229" s="3"/>
      <c r="D229" s="3"/>
      <c r="E229" s="3"/>
    </row>
    <row r="230" customFormat="false" ht="15" hidden="false" customHeight="false" outlineLevel="0" collapsed="false">
      <c r="A230" s="29"/>
      <c r="B230" s="3"/>
      <c r="C230" s="3"/>
      <c r="D230" s="3"/>
      <c r="E230" s="3"/>
    </row>
    <row r="231" customFormat="false" ht="15" hidden="false" customHeight="false" outlineLevel="0" collapsed="false">
      <c r="A231" s="29"/>
      <c r="B231" s="3"/>
      <c r="C231" s="3"/>
      <c r="D231" s="3"/>
      <c r="E231" s="3"/>
    </row>
    <row r="232" customFormat="false" ht="15" hidden="false" customHeight="false" outlineLevel="0" collapsed="false">
      <c r="A232" s="29"/>
      <c r="B232" s="3"/>
      <c r="C232" s="3"/>
      <c r="D232" s="3"/>
      <c r="E232" s="3"/>
    </row>
    <row r="233" customFormat="false" ht="15" hidden="false" customHeight="false" outlineLevel="0" collapsed="false">
      <c r="A233" s="29"/>
      <c r="B233" s="3"/>
      <c r="C233" s="3"/>
      <c r="D233" s="3"/>
      <c r="E233" s="3"/>
    </row>
    <row r="234" customFormat="false" ht="15" hidden="false" customHeight="false" outlineLevel="0" collapsed="false">
      <c r="A234" s="29"/>
      <c r="B234" s="3"/>
      <c r="C234" s="3"/>
      <c r="D234" s="3"/>
      <c r="E234" s="3"/>
    </row>
    <row r="235" customFormat="false" ht="15" hidden="false" customHeight="false" outlineLevel="0" collapsed="false">
      <c r="A235" s="29"/>
      <c r="B235" s="3"/>
      <c r="C235" s="3"/>
      <c r="D235" s="3"/>
      <c r="E235" s="3"/>
    </row>
    <row r="236" customFormat="false" ht="15" hidden="false" customHeight="false" outlineLevel="0" collapsed="false">
      <c r="A236" s="29"/>
      <c r="B236" s="3"/>
      <c r="C236" s="3"/>
      <c r="D236" s="3"/>
      <c r="E236" s="3"/>
    </row>
    <row r="237" customFormat="false" ht="15" hidden="false" customHeight="false" outlineLevel="0" collapsed="false">
      <c r="A237" s="29"/>
      <c r="B237" s="3"/>
      <c r="C237" s="3"/>
      <c r="D237" s="3"/>
      <c r="E237" s="3"/>
    </row>
    <row r="238" customFormat="false" ht="15" hidden="false" customHeight="false" outlineLevel="0" collapsed="false">
      <c r="A238" s="29"/>
      <c r="B238" s="3"/>
      <c r="C238" s="3"/>
      <c r="D238" s="3"/>
      <c r="E238" s="3"/>
    </row>
    <row r="239" customFormat="false" ht="15" hidden="false" customHeight="false" outlineLevel="0" collapsed="false">
      <c r="A239" s="29"/>
      <c r="B239" s="3"/>
      <c r="C239" s="3"/>
      <c r="D239" s="3"/>
      <c r="E239" s="3"/>
    </row>
    <row r="240" customFormat="false" ht="15" hidden="false" customHeight="false" outlineLevel="0" collapsed="false">
      <c r="A240" s="29"/>
      <c r="B240" s="3"/>
      <c r="C240" s="3"/>
      <c r="D240" s="3"/>
      <c r="E240" s="3"/>
    </row>
    <row r="241" customFormat="false" ht="15" hidden="false" customHeight="false" outlineLevel="0" collapsed="false">
      <c r="A241" s="29"/>
      <c r="B241" s="3"/>
      <c r="C241" s="3"/>
      <c r="D241" s="3"/>
      <c r="E241" s="3"/>
    </row>
    <row r="242" customFormat="false" ht="15" hidden="false" customHeight="false" outlineLevel="0" collapsed="false">
      <c r="A242" s="29"/>
      <c r="B242" s="3"/>
      <c r="C242" s="3"/>
      <c r="D242" s="3"/>
      <c r="E242" s="3"/>
    </row>
    <row r="243" customFormat="false" ht="15" hidden="false" customHeight="false" outlineLevel="0" collapsed="false">
      <c r="A243" s="29"/>
      <c r="B243" s="3"/>
      <c r="C243" s="3"/>
      <c r="D243" s="3"/>
      <c r="E243" s="3"/>
    </row>
    <row r="244" customFormat="false" ht="15" hidden="false" customHeight="false" outlineLevel="0" collapsed="false">
      <c r="A244" s="29"/>
      <c r="B244" s="3"/>
      <c r="C244" s="3"/>
      <c r="D244" s="3"/>
      <c r="E244" s="3"/>
    </row>
    <row r="245" customFormat="false" ht="15" hidden="false" customHeight="false" outlineLevel="0" collapsed="false">
      <c r="A245" s="29"/>
      <c r="B245" s="3"/>
      <c r="C245" s="3"/>
      <c r="D245" s="3"/>
      <c r="E245" s="3"/>
    </row>
    <row r="246" customFormat="false" ht="15" hidden="false" customHeight="false" outlineLevel="0" collapsed="false">
      <c r="A246" s="29"/>
      <c r="B246" s="3"/>
      <c r="C246" s="3"/>
      <c r="D246" s="3"/>
      <c r="E246" s="3"/>
    </row>
    <row r="247" customFormat="false" ht="15" hidden="false" customHeight="false" outlineLevel="0" collapsed="false">
      <c r="A247" s="29"/>
      <c r="B247" s="3"/>
      <c r="C247" s="3"/>
      <c r="D247" s="3"/>
      <c r="E247" s="3"/>
    </row>
    <row r="248" customFormat="false" ht="15" hidden="false" customHeight="false" outlineLevel="0" collapsed="false">
      <c r="A248" s="29"/>
      <c r="B248" s="3"/>
      <c r="C248" s="3"/>
      <c r="D248" s="3"/>
      <c r="E248" s="3"/>
    </row>
    <row r="249" customFormat="false" ht="15" hidden="false" customHeight="false" outlineLevel="0" collapsed="false">
      <c r="A249" s="29"/>
      <c r="B249" s="3"/>
      <c r="C249" s="3"/>
      <c r="D249" s="3"/>
      <c r="E249" s="3"/>
    </row>
    <row r="250" customFormat="false" ht="15" hidden="false" customHeight="false" outlineLevel="0" collapsed="false">
      <c r="A250" s="29"/>
      <c r="B250" s="3"/>
      <c r="C250" s="3"/>
      <c r="D250" s="3"/>
      <c r="E250" s="3"/>
    </row>
    <row r="251" customFormat="false" ht="15" hidden="false" customHeight="false" outlineLevel="0" collapsed="false">
      <c r="A251" s="29"/>
      <c r="B251" s="3"/>
      <c r="C251" s="3"/>
      <c r="D251" s="3"/>
      <c r="E251" s="3"/>
    </row>
    <row r="252" customFormat="false" ht="15" hidden="false" customHeight="false" outlineLevel="0" collapsed="false">
      <c r="A252" s="29"/>
      <c r="B252" s="3"/>
      <c r="C252" s="3"/>
      <c r="D252" s="3"/>
      <c r="E252" s="3"/>
    </row>
    <row r="253" customFormat="false" ht="15" hidden="false" customHeight="false" outlineLevel="0" collapsed="false">
      <c r="A253" s="29"/>
      <c r="B253" s="3"/>
      <c r="C253" s="3"/>
      <c r="D253" s="3"/>
      <c r="E253" s="3"/>
    </row>
    <row r="254" customFormat="false" ht="15" hidden="false" customHeight="false" outlineLevel="0" collapsed="false">
      <c r="A254" s="29"/>
      <c r="B254" s="3"/>
      <c r="C254" s="3"/>
      <c r="D254" s="3"/>
      <c r="E254" s="3"/>
    </row>
    <row r="255" customFormat="false" ht="15" hidden="false" customHeight="false" outlineLevel="0" collapsed="false">
      <c r="A255" s="29"/>
      <c r="B255" s="3"/>
      <c r="C255" s="3"/>
      <c r="D255" s="3"/>
      <c r="E255" s="3"/>
    </row>
    <row r="256" customFormat="false" ht="15" hidden="false" customHeight="false" outlineLevel="0" collapsed="false">
      <c r="A256" s="29"/>
      <c r="B256" s="3"/>
      <c r="C256" s="3"/>
      <c r="D256" s="3"/>
      <c r="E256" s="3"/>
    </row>
    <row r="257" customFormat="false" ht="15" hidden="false" customHeight="false" outlineLevel="0" collapsed="false">
      <c r="A257" s="29"/>
      <c r="B257" s="3"/>
      <c r="C257" s="3"/>
      <c r="D257" s="3"/>
      <c r="E257" s="3"/>
    </row>
    <row r="258" customFormat="false" ht="15" hidden="false" customHeight="false" outlineLevel="0" collapsed="false">
      <c r="A258" s="29"/>
      <c r="B258" s="3"/>
      <c r="C258" s="3"/>
      <c r="D258" s="3"/>
      <c r="E258" s="3"/>
    </row>
    <row r="259" customFormat="false" ht="15" hidden="false" customHeight="false" outlineLevel="0" collapsed="false">
      <c r="A259" s="29"/>
      <c r="B259" s="3"/>
      <c r="C259" s="3"/>
      <c r="D259" s="3"/>
      <c r="E259" s="3"/>
    </row>
    <row r="260" customFormat="false" ht="15" hidden="false" customHeight="false" outlineLevel="0" collapsed="false">
      <c r="A260" s="29"/>
      <c r="B260" s="3"/>
      <c r="C260" s="3"/>
      <c r="D260" s="3"/>
      <c r="E260" s="3"/>
    </row>
    <row r="261" customFormat="false" ht="15" hidden="false" customHeight="false" outlineLevel="0" collapsed="false">
      <c r="A261" s="29"/>
      <c r="B261" s="3"/>
      <c r="C261" s="3"/>
      <c r="D261" s="3"/>
      <c r="E261" s="3"/>
    </row>
    <row r="262" customFormat="false" ht="15" hidden="false" customHeight="false" outlineLevel="0" collapsed="false">
      <c r="A262" s="29"/>
      <c r="B262" s="3"/>
      <c r="C262" s="3"/>
      <c r="D262" s="3"/>
      <c r="E262" s="3"/>
    </row>
    <row r="263" customFormat="false" ht="15" hidden="false" customHeight="false" outlineLevel="0" collapsed="false">
      <c r="A263" s="29"/>
      <c r="B263" s="3"/>
      <c r="C263" s="3"/>
      <c r="D263" s="3"/>
      <c r="E263" s="3"/>
    </row>
    <row r="264" customFormat="false" ht="15" hidden="false" customHeight="false" outlineLevel="0" collapsed="false">
      <c r="A264" s="29"/>
      <c r="B264" s="3"/>
      <c r="C264" s="3"/>
      <c r="D264" s="3"/>
      <c r="E264" s="3"/>
    </row>
    <row r="265" customFormat="false" ht="15" hidden="false" customHeight="false" outlineLevel="0" collapsed="false">
      <c r="A265" s="29"/>
      <c r="B265" s="3"/>
      <c r="C265" s="3"/>
      <c r="D265" s="3"/>
      <c r="E265" s="3"/>
    </row>
    <row r="266" customFormat="false" ht="15" hidden="false" customHeight="false" outlineLevel="0" collapsed="false">
      <c r="A266" s="29"/>
      <c r="B266" s="3"/>
      <c r="C266" s="3"/>
      <c r="D266" s="3"/>
      <c r="E266" s="3"/>
    </row>
    <row r="267" customFormat="false" ht="15" hidden="false" customHeight="false" outlineLevel="0" collapsed="false">
      <c r="A267" s="29"/>
      <c r="B267" s="3"/>
      <c r="C267" s="3"/>
      <c r="D267" s="3"/>
      <c r="E267" s="3"/>
    </row>
    <row r="268" customFormat="false" ht="15" hidden="false" customHeight="false" outlineLevel="0" collapsed="false">
      <c r="A268" s="29"/>
      <c r="B268" s="3"/>
      <c r="C268" s="3"/>
      <c r="D268" s="3"/>
      <c r="E268" s="3"/>
    </row>
    <row r="269" customFormat="false" ht="15" hidden="false" customHeight="false" outlineLevel="0" collapsed="false">
      <c r="A269" s="29"/>
      <c r="B269" s="3"/>
      <c r="C269" s="3"/>
      <c r="D269" s="3"/>
      <c r="E269" s="3"/>
    </row>
    <row r="270" customFormat="false" ht="15" hidden="false" customHeight="false" outlineLevel="0" collapsed="false">
      <c r="A270" s="29"/>
      <c r="B270" s="3"/>
      <c r="C270" s="3"/>
      <c r="D270" s="3"/>
      <c r="E270" s="3"/>
    </row>
    <row r="271" customFormat="false" ht="15" hidden="false" customHeight="false" outlineLevel="0" collapsed="false">
      <c r="A271" s="29"/>
      <c r="B271" s="3"/>
      <c r="C271" s="3"/>
      <c r="D271" s="3"/>
      <c r="E271" s="3"/>
    </row>
    <row r="272" customFormat="false" ht="15" hidden="false" customHeight="false" outlineLevel="0" collapsed="false">
      <c r="A272" s="29"/>
      <c r="B272" s="3"/>
      <c r="C272" s="3"/>
      <c r="D272" s="3"/>
      <c r="E272" s="3"/>
    </row>
    <row r="273" customFormat="false" ht="15" hidden="false" customHeight="false" outlineLevel="0" collapsed="false">
      <c r="A273" s="29"/>
      <c r="B273" s="3"/>
      <c r="C273" s="3"/>
      <c r="D273" s="3"/>
      <c r="E273" s="3"/>
    </row>
    <row r="274" customFormat="false" ht="15" hidden="false" customHeight="false" outlineLevel="0" collapsed="false">
      <c r="A274" s="29"/>
      <c r="B274" s="3"/>
      <c r="C274" s="3"/>
      <c r="D274" s="3"/>
      <c r="E274" s="3"/>
    </row>
    <row r="275" customFormat="false" ht="15" hidden="false" customHeight="false" outlineLevel="0" collapsed="false">
      <c r="A275" s="29"/>
      <c r="B275" s="3"/>
      <c r="C275" s="3"/>
      <c r="D275" s="3"/>
      <c r="E275" s="3"/>
    </row>
    <row r="276" customFormat="false" ht="15" hidden="false" customHeight="false" outlineLevel="0" collapsed="false">
      <c r="A276" s="29"/>
      <c r="B276" s="3"/>
      <c r="C276" s="3"/>
      <c r="D276" s="3"/>
      <c r="E276" s="3"/>
    </row>
    <row r="277" customFormat="false" ht="15" hidden="false" customHeight="false" outlineLevel="0" collapsed="false">
      <c r="A277" s="29"/>
      <c r="B277" s="3"/>
      <c r="C277" s="3"/>
      <c r="D277" s="3"/>
      <c r="E277" s="3"/>
    </row>
    <row r="278" customFormat="false" ht="15" hidden="false" customHeight="false" outlineLevel="0" collapsed="false">
      <c r="A278" s="29"/>
      <c r="B278" s="3"/>
      <c r="C278" s="3"/>
      <c r="D278" s="3"/>
      <c r="E278" s="3"/>
    </row>
    <row r="279" customFormat="false" ht="15" hidden="false" customHeight="false" outlineLevel="0" collapsed="false">
      <c r="A279" s="29"/>
      <c r="B279" s="3"/>
      <c r="C279" s="3"/>
      <c r="D279" s="3"/>
      <c r="E279" s="3"/>
    </row>
    <row r="280" customFormat="false" ht="15" hidden="false" customHeight="false" outlineLevel="0" collapsed="false">
      <c r="A280" s="29"/>
      <c r="B280" s="3"/>
      <c r="C280" s="3"/>
      <c r="D280" s="3"/>
      <c r="E280" s="3"/>
    </row>
    <row r="281" customFormat="false" ht="15" hidden="false" customHeight="false" outlineLevel="0" collapsed="false">
      <c r="A281" s="29"/>
      <c r="B281" s="3"/>
      <c r="C281" s="3"/>
      <c r="D281" s="3"/>
      <c r="E281" s="3"/>
    </row>
    <row r="282" customFormat="false" ht="15" hidden="false" customHeight="false" outlineLevel="0" collapsed="false">
      <c r="A282" s="29"/>
      <c r="B282" s="3"/>
      <c r="C282" s="3"/>
      <c r="D282" s="3"/>
      <c r="E282" s="3"/>
    </row>
    <row r="283" customFormat="false" ht="15" hidden="false" customHeight="false" outlineLevel="0" collapsed="false">
      <c r="A283" s="29"/>
      <c r="B283" s="3"/>
      <c r="C283" s="3"/>
      <c r="D283" s="3"/>
      <c r="E283" s="3"/>
    </row>
    <row r="284" customFormat="false" ht="15" hidden="false" customHeight="false" outlineLevel="0" collapsed="false">
      <c r="A284" s="29"/>
      <c r="B284" s="3"/>
      <c r="C284" s="3"/>
      <c r="D284" s="3"/>
      <c r="E284" s="3"/>
    </row>
    <row r="285" customFormat="false" ht="15" hidden="false" customHeight="false" outlineLevel="0" collapsed="false">
      <c r="A285" s="29"/>
      <c r="B285" s="3"/>
      <c r="C285" s="3"/>
      <c r="D285" s="3"/>
      <c r="E285" s="3"/>
    </row>
    <row r="286" customFormat="false" ht="15" hidden="false" customHeight="false" outlineLevel="0" collapsed="false">
      <c r="A286" s="29"/>
      <c r="B286" s="3"/>
      <c r="C286" s="3"/>
      <c r="D286" s="3"/>
      <c r="E286" s="3"/>
    </row>
    <row r="287" customFormat="false" ht="15" hidden="false" customHeight="false" outlineLevel="0" collapsed="false">
      <c r="A287" s="29"/>
      <c r="B287" s="3"/>
      <c r="C287" s="3"/>
      <c r="D287" s="3"/>
      <c r="E287" s="3"/>
    </row>
    <row r="288" customFormat="false" ht="15" hidden="false" customHeight="false" outlineLevel="0" collapsed="false">
      <c r="A288" s="29"/>
      <c r="B288" s="3"/>
      <c r="C288" s="3"/>
      <c r="D288" s="3"/>
      <c r="E288" s="3"/>
    </row>
    <row r="289" customFormat="false" ht="15" hidden="false" customHeight="false" outlineLevel="0" collapsed="false">
      <c r="A289" s="29"/>
      <c r="B289" s="3"/>
      <c r="C289" s="3"/>
      <c r="D289" s="3"/>
      <c r="E289" s="3"/>
    </row>
    <row r="290" customFormat="false" ht="15" hidden="false" customHeight="false" outlineLevel="0" collapsed="false">
      <c r="A290" s="29"/>
      <c r="B290" s="3"/>
      <c r="C290" s="3"/>
      <c r="D290" s="3"/>
      <c r="E290" s="3"/>
    </row>
    <row r="291" customFormat="false" ht="15" hidden="false" customHeight="false" outlineLevel="0" collapsed="false">
      <c r="A291" s="29"/>
      <c r="B291" s="3"/>
      <c r="C291" s="3"/>
      <c r="D291" s="3"/>
      <c r="E291" s="3"/>
    </row>
    <row r="292" customFormat="false" ht="15" hidden="false" customHeight="false" outlineLevel="0" collapsed="false">
      <c r="A292" s="29"/>
      <c r="B292" s="3"/>
      <c r="C292" s="3"/>
      <c r="D292" s="3"/>
      <c r="E292" s="3"/>
    </row>
    <row r="293" customFormat="false" ht="15" hidden="false" customHeight="false" outlineLevel="0" collapsed="false">
      <c r="A293" s="29"/>
      <c r="B293" s="3"/>
      <c r="C293" s="3"/>
      <c r="D293" s="3"/>
      <c r="E293" s="3"/>
    </row>
    <row r="294" customFormat="false" ht="15" hidden="false" customHeight="false" outlineLevel="0" collapsed="false">
      <c r="A294" s="29"/>
      <c r="B294" s="3"/>
      <c r="C294" s="3"/>
      <c r="D294" s="3"/>
      <c r="E294" s="3"/>
    </row>
    <row r="295" customFormat="false" ht="15" hidden="false" customHeight="false" outlineLevel="0" collapsed="false">
      <c r="A295" s="29"/>
      <c r="B295" s="3"/>
      <c r="C295" s="3"/>
      <c r="D295" s="3"/>
      <c r="E295" s="3"/>
    </row>
    <row r="296" customFormat="false" ht="15" hidden="false" customHeight="false" outlineLevel="0" collapsed="false">
      <c r="A296" s="29"/>
      <c r="B296" s="3"/>
      <c r="C296" s="3"/>
      <c r="D296" s="3"/>
      <c r="E296" s="3"/>
    </row>
    <row r="297" customFormat="false" ht="15" hidden="false" customHeight="false" outlineLevel="0" collapsed="false">
      <c r="A297" s="29"/>
      <c r="B297" s="3"/>
      <c r="C297" s="3"/>
      <c r="D297" s="3"/>
      <c r="E297" s="3"/>
    </row>
    <row r="298" customFormat="false" ht="15" hidden="false" customHeight="false" outlineLevel="0" collapsed="false">
      <c r="A298" s="29"/>
      <c r="B298" s="3"/>
      <c r="C298" s="3"/>
      <c r="D298" s="3"/>
      <c r="E298" s="3"/>
    </row>
    <row r="299" customFormat="false" ht="15" hidden="false" customHeight="false" outlineLevel="0" collapsed="false">
      <c r="A299" s="29"/>
      <c r="B299" s="3"/>
      <c r="C299" s="3"/>
      <c r="D299" s="3"/>
      <c r="E299" s="3"/>
    </row>
    <row r="300" customFormat="false" ht="15" hidden="false" customHeight="false" outlineLevel="0" collapsed="false">
      <c r="A300" s="29"/>
      <c r="B300" s="3"/>
      <c r="C300" s="3"/>
      <c r="D300" s="3"/>
      <c r="E300" s="3"/>
    </row>
    <row r="301" customFormat="false" ht="15" hidden="false" customHeight="false" outlineLevel="0" collapsed="false">
      <c r="A301" s="29"/>
      <c r="B301" s="3"/>
      <c r="C301" s="3"/>
      <c r="D301" s="3"/>
      <c r="E301" s="3"/>
    </row>
    <row r="302" customFormat="false" ht="15" hidden="false" customHeight="false" outlineLevel="0" collapsed="false">
      <c r="A302" s="29"/>
      <c r="B302" s="3"/>
      <c r="C302" s="3"/>
      <c r="D302" s="3"/>
      <c r="E302" s="3"/>
    </row>
    <row r="303" customFormat="false" ht="15" hidden="false" customHeight="false" outlineLevel="0" collapsed="false">
      <c r="A303" s="29"/>
      <c r="B303" s="3"/>
      <c r="C303" s="3"/>
      <c r="D303" s="3"/>
      <c r="E303" s="3"/>
    </row>
    <row r="304" customFormat="false" ht="15" hidden="false" customHeight="false" outlineLevel="0" collapsed="false">
      <c r="A304" s="29"/>
      <c r="B304" s="3"/>
      <c r="C304" s="3"/>
      <c r="D304" s="3"/>
      <c r="E304" s="3"/>
    </row>
    <row r="305" customFormat="false" ht="15" hidden="false" customHeight="false" outlineLevel="0" collapsed="false">
      <c r="A305" s="29"/>
      <c r="B305" s="3"/>
      <c r="C305" s="3"/>
      <c r="D305" s="3"/>
      <c r="E305" s="3"/>
    </row>
    <row r="306" customFormat="false" ht="15" hidden="false" customHeight="false" outlineLevel="0" collapsed="false">
      <c r="A306" s="29"/>
      <c r="B306" s="3"/>
      <c r="C306" s="3"/>
      <c r="D306" s="3"/>
      <c r="E306" s="3"/>
    </row>
    <row r="307" customFormat="false" ht="15" hidden="false" customHeight="false" outlineLevel="0" collapsed="false">
      <c r="A307" s="29"/>
      <c r="B307" s="3"/>
      <c r="C307" s="3"/>
      <c r="D307" s="3"/>
      <c r="E307" s="3"/>
    </row>
    <row r="308" customFormat="false" ht="15" hidden="false" customHeight="false" outlineLevel="0" collapsed="false">
      <c r="A308" s="29"/>
      <c r="B308" s="3"/>
      <c r="C308" s="3"/>
      <c r="D308" s="3"/>
      <c r="E308" s="3"/>
    </row>
    <row r="309" customFormat="false" ht="15" hidden="false" customHeight="false" outlineLevel="0" collapsed="false">
      <c r="A309" s="29"/>
      <c r="B309" s="3"/>
      <c r="C309" s="3"/>
      <c r="D309" s="3"/>
      <c r="E309" s="3"/>
    </row>
    <row r="310" customFormat="false" ht="15" hidden="false" customHeight="false" outlineLevel="0" collapsed="false">
      <c r="A310" s="29"/>
      <c r="B310" s="3"/>
      <c r="C310" s="3"/>
      <c r="D310" s="3"/>
      <c r="E310" s="3"/>
    </row>
    <row r="311" customFormat="false" ht="15" hidden="false" customHeight="false" outlineLevel="0" collapsed="false">
      <c r="A311" s="29"/>
      <c r="B311" s="3"/>
      <c r="C311" s="3"/>
      <c r="D311" s="3"/>
      <c r="E311" s="3"/>
    </row>
    <row r="312" customFormat="false" ht="15" hidden="false" customHeight="false" outlineLevel="0" collapsed="false">
      <c r="A312" s="29"/>
      <c r="B312" s="3"/>
      <c r="C312" s="3"/>
      <c r="D312" s="3"/>
      <c r="E312" s="3"/>
    </row>
    <row r="313" customFormat="false" ht="15" hidden="false" customHeight="false" outlineLevel="0" collapsed="false">
      <c r="A313" s="29"/>
      <c r="B313" s="3"/>
      <c r="C313" s="3"/>
      <c r="D313" s="3"/>
      <c r="E313" s="3"/>
    </row>
    <row r="314" customFormat="false" ht="15" hidden="false" customHeight="false" outlineLevel="0" collapsed="false">
      <c r="A314" s="29"/>
      <c r="B314" s="3"/>
      <c r="C314" s="3"/>
      <c r="D314" s="3"/>
      <c r="E314" s="3"/>
    </row>
    <row r="315" customFormat="false" ht="15" hidden="false" customHeight="false" outlineLevel="0" collapsed="false">
      <c r="A315" s="29"/>
      <c r="B315" s="3"/>
      <c r="C315" s="3"/>
      <c r="D315" s="3"/>
      <c r="E315" s="3"/>
    </row>
    <row r="316" customFormat="false" ht="15" hidden="false" customHeight="false" outlineLevel="0" collapsed="false">
      <c r="A316" s="29"/>
      <c r="B316" s="3"/>
      <c r="C316" s="3"/>
      <c r="D316" s="3"/>
      <c r="E316" s="3"/>
    </row>
    <row r="317" customFormat="false" ht="15" hidden="false" customHeight="false" outlineLevel="0" collapsed="false">
      <c r="A317" s="29"/>
      <c r="B317" s="3"/>
      <c r="C317" s="3"/>
      <c r="D317" s="3"/>
      <c r="E317" s="3"/>
    </row>
    <row r="318" customFormat="false" ht="15" hidden="false" customHeight="false" outlineLevel="0" collapsed="false">
      <c r="A318" s="29"/>
      <c r="B318" s="3"/>
      <c r="C318" s="3"/>
      <c r="D318" s="3"/>
      <c r="E318" s="3"/>
    </row>
    <row r="319" customFormat="false" ht="15" hidden="false" customHeight="false" outlineLevel="0" collapsed="false">
      <c r="A319" s="29"/>
      <c r="B319" s="3"/>
      <c r="C319" s="3"/>
      <c r="D319" s="3"/>
      <c r="E319" s="3"/>
    </row>
    <row r="320" customFormat="false" ht="15" hidden="false" customHeight="false" outlineLevel="0" collapsed="false">
      <c r="A320" s="29"/>
      <c r="B320" s="3"/>
      <c r="C320" s="3"/>
      <c r="D320" s="3"/>
      <c r="E320" s="3"/>
    </row>
    <row r="321" customFormat="false" ht="15" hidden="false" customHeight="false" outlineLevel="0" collapsed="false">
      <c r="A321" s="29"/>
      <c r="B321" s="3"/>
      <c r="C321" s="3"/>
      <c r="D321" s="3"/>
      <c r="E321" s="3"/>
    </row>
    <row r="322" customFormat="false" ht="15" hidden="false" customHeight="false" outlineLevel="0" collapsed="false">
      <c r="A322" s="29"/>
      <c r="B322" s="3"/>
      <c r="C322" s="3"/>
      <c r="D322" s="3"/>
      <c r="E322" s="3"/>
    </row>
    <row r="323" customFormat="false" ht="15" hidden="false" customHeight="false" outlineLevel="0" collapsed="false">
      <c r="A323" s="29"/>
      <c r="B323" s="3"/>
      <c r="C323" s="3"/>
      <c r="D323" s="3"/>
      <c r="E323" s="3"/>
    </row>
    <row r="324" customFormat="false" ht="15" hidden="false" customHeight="false" outlineLevel="0" collapsed="false">
      <c r="A324" s="29"/>
      <c r="B324" s="3"/>
      <c r="C324" s="3"/>
      <c r="D324" s="3"/>
      <c r="E324" s="3"/>
    </row>
    <row r="325" customFormat="false" ht="15" hidden="false" customHeight="false" outlineLevel="0" collapsed="false">
      <c r="A325" s="29"/>
      <c r="B325" s="3"/>
      <c r="C325" s="3"/>
      <c r="D325" s="3"/>
      <c r="E325" s="3"/>
    </row>
    <row r="326" customFormat="false" ht="15" hidden="false" customHeight="false" outlineLevel="0" collapsed="false">
      <c r="A326" s="29"/>
      <c r="B326" s="3"/>
      <c r="C326" s="3"/>
      <c r="D326" s="3"/>
      <c r="E326" s="3"/>
    </row>
    <row r="327" customFormat="false" ht="15" hidden="false" customHeight="false" outlineLevel="0" collapsed="false">
      <c r="A327" s="29"/>
      <c r="B327" s="3"/>
      <c r="C327" s="3"/>
      <c r="D327" s="3"/>
      <c r="E327" s="3"/>
    </row>
    <row r="328" customFormat="false" ht="15" hidden="false" customHeight="false" outlineLevel="0" collapsed="false">
      <c r="A328" s="29"/>
      <c r="B328" s="3"/>
      <c r="C328" s="3"/>
      <c r="D328" s="3"/>
      <c r="E328" s="3"/>
    </row>
    <row r="329" customFormat="false" ht="15" hidden="false" customHeight="false" outlineLevel="0" collapsed="false">
      <c r="A329" s="29"/>
      <c r="B329" s="3"/>
      <c r="C329" s="3"/>
      <c r="D329" s="3"/>
      <c r="E329" s="3"/>
    </row>
    <row r="330" customFormat="false" ht="15" hidden="false" customHeight="false" outlineLevel="0" collapsed="false">
      <c r="A330" s="29"/>
      <c r="B330" s="3"/>
      <c r="C330" s="3"/>
      <c r="D330" s="3"/>
      <c r="E330" s="3"/>
    </row>
    <row r="331" customFormat="false" ht="15" hidden="false" customHeight="false" outlineLevel="0" collapsed="false">
      <c r="A331" s="29"/>
      <c r="B331" s="3"/>
      <c r="C331" s="3"/>
      <c r="D331" s="3"/>
      <c r="E331" s="3"/>
    </row>
    <row r="332" customFormat="false" ht="15" hidden="false" customHeight="false" outlineLevel="0" collapsed="false">
      <c r="A332" s="29"/>
      <c r="B332" s="3"/>
      <c r="C332" s="3"/>
      <c r="D332" s="3"/>
      <c r="E332" s="3"/>
    </row>
    <row r="333" customFormat="false" ht="15" hidden="false" customHeight="false" outlineLevel="0" collapsed="false">
      <c r="A333" s="29"/>
      <c r="B333" s="3"/>
      <c r="C333" s="3"/>
      <c r="D333" s="3"/>
      <c r="E333" s="3"/>
    </row>
    <row r="334" customFormat="false" ht="15" hidden="false" customHeight="false" outlineLevel="0" collapsed="false">
      <c r="A334" s="29"/>
      <c r="B334" s="3"/>
      <c r="C334" s="3"/>
      <c r="D334" s="3"/>
      <c r="E334" s="3"/>
    </row>
    <row r="335" customFormat="false" ht="15" hidden="false" customHeight="false" outlineLevel="0" collapsed="false">
      <c r="A335" s="29"/>
      <c r="B335" s="3"/>
      <c r="C335" s="3"/>
      <c r="D335" s="3"/>
      <c r="E335" s="3"/>
    </row>
    <row r="336" customFormat="false" ht="15" hidden="false" customHeight="false" outlineLevel="0" collapsed="false">
      <c r="A336" s="29"/>
      <c r="B336" s="3"/>
      <c r="C336" s="3"/>
      <c r="D336" s="3"/>
      <c r="E336" s="3"/>
    </row>
    <row r="337" customFormat="false" ht="15" hidden="false" customHeight="false" outlineLevel="0" collapsed="false">
      <c r="A337" s="29"/>
      <c r="B337" s="3"/>
      <c r="C337" s="3"/>
      <c r="D337" s="3"/>
      <c r="E337" s="3"/>
    </row>
    <row r="338" customFormat="false" ht="15" hidden="false" customHeight="false" outlineLevel="0" collapsed="false">
      <c r="A338" s="29"/>
      <c r="B338" s="3"/>
      <c r="C338" s="3"/>
      <c r="D338" s="3"/>
      <c r="E338" s="3"/>
    </row>
    <row r="339" customFormat="false" ht="15" hidden="false" customHeight="false" outlineLevel="0" collapsed="false">
      <c r="A339" s="29"/>
      <c r="B339" s="3"/>
      <c r="C339" s="3"/>
      <c r="D339" s="3"/>
      <c r="E339" s="3"/>
    </row>
    <row r="340" customFormat="false" ht="15" hidden="false" customHeight="false" outlineLevel="0" collapsed="false">
      <c r="A340" s="29"/>
      <c r="B340" s="3"/>
      <c r="C340" s="3"/>
      <c r="D340" s="3"/>
      <c r="E340" s="3"/>
    </row>
    <row r="341" customFormat="false" ht="15" hidden="false" customHeight="false" outlineLevel="0" collapsed="false">
      <c r="A341" s="29"/>
      <c r="B341" s="3"/>
      <c r="C341" s="3"/>
      <c r="D341" s="3"/>
      <c r="E341" s="3"/>
    </row>
    <row r="342" customFormat="false" ht="15" hidden="false" customHeight="false" outlineLevel="0" collapsed="false">
      <c r="A342" s="29"/>
      <c r="B342" s="3"/>
      <c r="C342" s="3"/>
      <c r="D342" s="3"/>
      <c r="E342" s="3"/>
    </row>
    <row r="343" customFormat="false" ht="15" hidden="false" customHeight="false" outlineLevel="0" collapsed="false">
      <c r="A343" s="29"/>
      <c r="B343" s="3"/>
      <c r="C343" s="3"/>
      <c r="D343" s="3"/>
      <c r="E343" s="3"/>
    </row>
    <row r="344" customFormat="false" ht="15" hidden="false" customHeight="false" outlineLevel="0" collapsed="false">
      <c r="A344" s="29"/>
      <c r="B344" s="3"/>
      <c r="C344" s="3"/>
      <c r="D344" s="3"/>
      <c r="E344" s="3"/>
    </row>
    <row r="345" customFormat="false" ht="15" hidden="false" customHeight="false" outlineLevel="0" collapsed="false">
      <c r="A345" s="29"/>
      <c r="B345" s="3"/>
      <c r="C345" s="3"/>
      <c r="D345" s="3"/>
      <c r="E345" s="3"/>
    </row>
    <row r="346" customFormat="false" ht="15" hidden="false" customHeight="false" outlineLevel="0" collapsed="false">
      <c r="A346" s="29"/>
      <c r="B346" s="3"/>
      <c r="C346" s="3"/>
      <c r="D346" s="3"/>
      <c r="E346" s="3"/>
    </row>
    <row r="347" customFormat="false" ht="15" hidden="false" customHeight="false" outlineLevel="0" collapsed="false">
      <c r="A347" s="29"/>
      <c r="B347" s="3"/>
      <c r="C347" s="3"/>
      <c r="D347" s="3"/>
      <c r="E347" s="3"/>
    </row>
    <row r="348" customFormat="false" ht="15" hidden="false" customHeight="false" outlineLevel="0" collapsed="false">
      <c r="A348" s="29"/>
      <c r="B348" s="3"/>
      <c r="C348" s="3"/>
      <c r="D348" s="3"/>
      <c r="E348" s="3"/>
    </row>
    <row r="349" customFormat="false" ht="15" hidden="false" customHeight="false" outlineLevel="0" collapsed="false">
      <c r="A349" s="29"/>
      <c r="B349" s="3"/>
      <c r="C349" s="3"/>
      <c r="D349" s="3"/>
      <c r="E349" s="3"/>
    </row>
    <row r="350" customFormat="false" ht="15" hidden="false" customHeight="false" outlineLevel="0" collapsed="false">
      <c r="A350" s="29"/>
      <c r="B350" s="3"/>
      <c r="C350" s="3"/>
      <c r="D350" s="3"/>
      <c r="E350" s="3"/>
    </row>
    <row r="351" customFormat="false" ht="15" hidden="false" customHeight="false" outlineLevel="0" collapsed="false">
      <c r="A351" s="29"/>
      <c r="B351" s="3"/>
      <c r="C351" s="3"/>
      <c r="D351" s="3"/>
      <c r="E351" s="3"/>
    </row>
    <row r="352" customFormat="false" ht="15" hidden="false" customHeight="false" outlineLevel="0" collapsed="false">
      <c r="A352" s="29"/>
      <c r="B352" s="3"/>
      <c r="C352" s="3"/>
      <c r="D352" s="3"/>
      <c r="E352" s="3"/>
    </row>
    <row r="353" customFormat="false" ht="15" hidden="false" customHeight="false" outlineLevel="0" collapsed="false">
      <c r="A353" s="29"/>
      <c r="B353" s="3"/>
      <c r="C353" s="3"/>
      <c r="D353" s="3"/>
      <c r="E353" s="3"/>
    </row>
    <row r="354" customFormat="false" ht="15" hidden="false" customHeight="false" outlineLevel="0" collapsed="false">
      <c r="A354" s="29"/>
      <c r="B354" s="3"/>
      <c r="C354" s="3"/>
      <c r="D354" s="3"/>
      <c r="E354" s="3"/>
    </row>
    <row r="355" customFormat="false" ht="15" hidden="false" customHeight="false" outlineLevel="0" collapsed="false">
      <c r="A355" s="29"/>
      <c r="B355" s="3"/>
      <c r="C355" s="3"/>
      <c r="D355" s="3"/>
      <c r="E355" s="3"/>
    </row>
    <row r="356" customFormat="false" ht="15" hidden="false" customHeight="false" outlineLevel="0" collapsed="false">
      <c r="A356" s="29"/>
      <c r="B356" s="3"/>
      <c r="C356" s="3"/>
      <c r="D356" s="3"/>
      <c r="E356" s="3"/>
    </row>
    <row r="357" customFormat="false" ht="15" hidden="false" customHeight="false" outlineLevel="0" collapsed="false">
      <c r="A357" s="29"/>
      <c r="B357" s="3"/>
      <c r="C357" s="3"/>
      <c r="D357" s="3"/>
      <c r="E357" s="3"/>
    </row>
    <row r="358" customFormat="false" ht="15" hidden="false" customHeight="false" outlineLevel="0" collapsed="false">
      <c r="A358" s="29"/>
      <c r="B358" s="3"/>
      <c r="C358" s="3"/>
      <c r="D358" s="3"/>
      <c r="E358" s="3"/>
    </row>
    <row r="359" customFormat="false" ht="15" hidden="false" customHeight="false" outlineLevel="0" collapsed="false">
      <c r="A359" s="29"/>
      <c r="B359" s="3"/>
      <c r="C359" s="3"/>
      <c r="D359" s="3"/>
      <c r="E359" s="3"/>
    </row>
    <row r="360" customFormat="false" ht="15" hidden="false" customHeight="false" outlineLevel="0" collapsed="false">
      <c r="A360" s="29"/>
      <c r="B360" s="3"/>
      <c r="C360" s="3"/>
      <c r="D360" s="3"/>
      <c r="E360" s="3"/>
    </row>
    <row r="361" customFormat="false" ht="15" hidden="false" customHeight="false" outlineLevel="0" collapsed="false">
      <c r="A361" s="29"/>
      <c r="B361" s="3"/>
      <c r="C361" s="3"/>
      <c r="D361" s="3"/>
      <c r="E361" s="3"/>
    </row>
    <row r="362" customFormat="false" ht="15" hidden="false" customHeight="false" outlineLevel="0" collapsed="false">
      <c r="A362" s="29"/>
      <c r="B362" s="3"/>
      <c r="C362" s="3"/>
      <c r="D362" s="3"/>
      <c r="E362" s="3"/>
    </row>
    <row r="363" customFormat="false" ht="15" hidden="false" customHeight="false" outlineLevel="0" collapsed="false">
      <c r="A363" s="29"/>
      <c r="B363" s="3"/>
      <c r="C363" s="3"/>
      <c r="D363" s="3"/>
      <c r="E363" s="3"/>
    </row>
    <row r="364" customFormat="false" ht="15" hidden="false" customHeight="false" outlineLevel="0" collapsed="false">
      <c r="A364" s="29"/>
      <c r="B364" s="3"/>
      <c r="C364" s="3"/>
      <c r="D364" s="3"/>
      <c r="E364" s="3"/>
    </row>
    <row r="365" customFormat="false" ht="15" hidden="false" customHeight="false" outlineLevel="0" collapsed="false">
      <c r="A365" s="29"/>
      <c r="B365" s="3"/>
      <c r="C365" s="3"/>
      <c r="D365" s="3"/>
      <c r="E365" s="3"/>
    </row>
    <row r="366" customFormat="false" ht="15" hidden="false" customHeight="false" outlineLevel="0" collapsed="false">
      <c r="A366" s="29"/>
      <c r="B366" s="3"/>
      <c r="C366" s="3"/>
      <c r="D366" s="3"/>
      <c r="E366" s="3"/>
    </row>
    <row r="367" customFormat="false" ht="15" hidden="false" customHeight="false" outlineLevel="0" collapsed="false">
      <c r="A367" s="29"/>
      <c r="B367" s="3"/>
      <c r="C367" s="3"/>
      <c r="D367" s="3"/>
      <c r="E367" s="3"/>
    </row>
    <row r="368" customFormat="false" ht="15" hidden="false" customHeight="false" outlineLevel="0" collapsed="false">
      <c r="A368" s="29"/>
      <c r="B368" s="3"/>
      <c r="C368" s="3"/>
      <c r="D368" s="3"/>
      <c r="E368" s="3"/>
    </row>
    <row r="369" customFormat="false" ht="15" hidden="false" customHeight="false" outlineLevel="0" collapsed="false">
      <c r="A369" s="29"/>
      <c r="B369" s="3"/>
      <c r="C369" s="3"/>
      <c r="D369" s="3"/>
      <c r="E369" s="3"/>
    </row>
    <row r="370" customFormat="false" ht="15" hidden="false" customHeight="false" outlineLevel="0" collapsed="false">
      <c r="A370" s="29"/>
      <c r="B370" s="3"/>
      <c r="C370" s="3"/>
      <c r="D370" s="3"/>
      <c r="E370" s="3"/>
    </row>
    <row r="371" customFormat="false" ht="15" hidden="false" customHeight="false" outlineLevel="0" collapsed="false">
      <c r="A371" s="29"/>
      <c r="B371" s="3"/>
      <c r="C371" s="3"/>
      <c r="D371" s="3"/>
      <c r="E371" s="3"/>
    </row>
    <row r="372" customFormat="false" ht="15" hidden="false" customHeight="false" outlineLevel="0" collapsed="false">
      <c r="A372" s="29"/>
      <c r="B372" s="3"/>
      <c r="C372" s="3"/>
      <c r="D372" s="3"/>
      <c r="E372" s="3"/>
    </row>
    <row r="373" customFormat="false" ht="15" hidden="false" customHeight="false" outlineLevel="0" collapsed="false">
      <c r="A373" s="29"/>
      <c r="B373" s="3"/>
      <c r="C373" s="3"/>
      <c r="D373" s="3"/>
      <c r="E373" s="3"/>
    </row>
    <row r="374" customFormat="false" ht="15" hidden="false" customHeight="false" outlineLevel="0" collapsed="false">
      <c r="A374" s="29"/>
      <c r="B374" s="3"/>
      <c r="C374" s="3"/>
      <c r="D374" s="3"/>
      <c r="E374" s="3"/>
    </row>
    <row r="375" customFormat="false" ht="15" hidden="false" customHeight="false" outlineLevel="0" collapsed="false">
      <c r="A375" s="29"/>
      <c r="B375" s="3"/>
      <c r="C375" s="3"/>
      <c r="D375" s="3"/>
      <c r="E375" s="3"/>
    </row>
    <row r="376" customFormat="false" ht="15" hidden="false" customHeight="false" outlineLevel="0" collapsed="false">
      <c r="A376" s="29"/>
      <c r="B376" s="3"/>
      <c r="C376" s="3"/>
      <c r="D376" s="3"/>
      <c r="E376" s="3"/>
    </row>
    <row r="377" customFormat="false" ht="15" hidden="false" customHeight="false" outlineLevel="0" collapsed="false">
      <c r="A377" s="29"/>
      <c r="B377" s="3"/>
      <c r="C377" s="3"/>
      <c r="D377" s="3"/>
      <c r="E377" s="3"/>
    </row>
    <row r="378" customFormat="false" ht="15" hidden="false" customHeight="false" outlineLevel="0" collapsed="false">
      <c r="A378" s="29"/>
      <c r="B378" s="3"/>
      <c r="C378" s="3"/>
      <c r="D378" s="3"/>
      <c r="E378" s="3"/>
    </row>
    <row r="379" customFormat="false" ht="15" hidden="false" customHeight="false" outlineLevel="0" collapsed="false">
      <c r="A379" s="29"/>
      <c r="B379" s="3"/>
      <c r="C379" s="3"/>
      <c r="D379" s="3"/>
      <c r="E379" s="3"/>
    </row>
    <row r="380" customFormat="false" ht="15" hidden="false" customHeight="false" outlineLevel="0" collapsed="false">
      <c r="A380" s="29"/>
      <c r="B380" s="3"/>
      <c r="C380" s="3"/>
      <c r="D380" s="3"/>
      <c r="E380" s="3"/>
    </row>
    <row r="381" customFormat="false" ht="15" hidden="false" customHeight="false" outlineLevel="0" collapsed="false">
      <c r="A381" s="29"/>
      <c r="B381" s="3"/>
      <c r="C381" s="3"/>
      <c r="D381" s="3"/>
      <c r="E381" s="3"/>
    </row>
    <row r="382" customFormat="false" ht="15" hidden="false" customHeight="false" outlineLevel="0" collapsed="false">
      <c r="A382" s="29"/>
      <c r="B382" s="3"/>
      <c r="C382" s="3"/>
      <c r="D382" s="3"/>
      <c r="E382" s="3"/>
    </row>
    <row r="383" customFormat="false" ht="15" hidden="false" customHeight="false" outlineLevel="0" collapsed="false">
      <c r="A383" s="29"/>
      <c r="B383" s="3"/>
      <c r="C383" s="3"/>
      <c r="D383" s="3"/>
      <c r="E383" s="3"/>
    </row>
    <row r="384" customFormat="false" ht="15" hidden="false" customHeight="false" outlineLevel="0" collapsed="false">
      <c r="A384" s="29"/>
      <c r="B384" s="3"/>
      <c r="C384" s="3"/>
      <c r="D384" s="3"/>
      <c r="E384" s="3"/>
    </row>
    <row r="385" customFormat="false" ht="15" hidden="false" customHeight="false" outlineLevel="0" collapsed="false">
      <c r="A385" s="29"/>
      <c r="B385" s="3"/>
      <c r="C385" s="3"/>
      <c r="D385" s="3"/>
      <c r="E385" s="3"/>
    </row>
    <row r="386" customFormat="false" ht="15" hidden="false" customHeight="false" outlineLevel="0" collapsed="false">
      <c r="A386" s="29"/>
      <c r="B386" s="3"/>
      <c r="C386" s="3"/>
      <c r="D386" s="3"/>
      <c r="E386" s="3"/>
    </row>
    <row r="387" customFormat="false" ht="15" hidden="false" customHeight="false" outlineLevel="0" collapsed="false">
      <c r="A387" s="29"/>
      <c r="B387" s="3"/>
      <c r="C387" s="3"/>
      <c r="D387" s="3"/>
      <c r="E387" s="3"/>
    </row>
    <row r="388" customFormat="false" ht="15" hidden="false" customHeight="false" outlineLevel="0" collapsed="false">
      <c r="A388" s="29"/>
      <c r="B388" s="3"/>
      <c r="C388" s="3"/>
      <c r="D388" s="3"/>
      <c r="E388" s="3"/>
    </row>
    <row r="389" customFormat="false" ht="15" hidden="false" customHeight="false" outlineLevel="0" collapsed="false">
      <c r="A389" s="29"/>
      <c r="B389" s="3"/>
      <c r="C389" s="3"/>
      <c r="D389" s="3"/>
      <c r="E389" s="3"/>
    </row>
    <row r="390" customFormat="false" ht="15" hidden="false" customHeight="false" outlineLevel="0" collapsed="false">
      <c r="A390" s="29"/>
      <c r="B390" s="3"/>
      <c r="C390" s="3"/>
      <c r="D390" s="3"/>
      <c r="E390" s="3"/>
    </row>
    <row r="391" customFormat="false" ht="15" hidden="false" customHeight="false" outlineLevel="0" collapsed="false">
      <c r="A391" s="29"/>
      <c r="B391" s="3"/>
      <c r="C391" s="3"/>
      <c r="D391" s="3"/>
      <c r="E391" s="3"/>
    </row>
    <row r="392" customFormat="false" ht="15" hidden="false" customHeight="false" outlineLevel="0" collapsed="false">
      <c r="A392" s="29"/>
      <c r="B392" s="3"/>
      <c r="C392" s="3"/>
      <c r="D392" s="3"/>
      <c r="E392" s="3"/>
    </row>
    <row r="393" customFormat="false" ht="15" hidden="false" customHeight="false" outlineLevel="0" collapsed="false">
      <c r="A393" s="29"/>
      <c r="B393" s="3"/>
      <c r="C393" s="3"/>
      <c r="D393" s="3"/>
      <c r="E393" s="3"/>
    </row>
    <row r="394" customFormat="false" ht="15" hidden="false" customHeight="false" outlineLevel="0" collapsed="false">
      <c r="A394" s="29"/>
      <c r="B394" s="3"/>
      <c r="C394" s="3"/>
      <c r="D394" s="3"/>
      <c r="E394" s="3"/>
    </row>
    <row r="395" customFormat="false" ht="15" hidden="false" customHeight="false" outlineLevel="0" collapsed="false">
      <c r="A395" s="29"/>
      <c r="B395" s="3"/>
      <c r="C395" s="3"/>
      <c r="D395" s="3"/>
      <c r="E395" s="3"/>
    </row>
    <row r="396" customFormat="false" ht="15" hidden="false" customHeight="false" outlineLevel="0" collapsed="false">
      <c r="A396" s="29"/>
      <c r="B396" s="3"/>
      <c r="C396" s="3"/>
      <c r="D396" s="3"/>
      <c r="E396" s="3"/>
    </row>
    <row r="397" customFormat="false" ht="15" hidden="false" customHeight="false" outlineLevel="0" collapsed="false">
      <c r="A397" s="29"/>
      <c r="B397" s="3"/>
      <c r="C397" s="3"/>
      <c r="D397" s="3"/>
      <c r="E397" s="3"/>
    </row>
    <row r="398" customFormat="false" ht="15" hidden="false" customHeight="false" outlineLevel="0" collapsed="false">
      <c r="A398" s="29"/>
      <c r="B398" s="3"/>
      <c r="C398" s="3"/>
      <c r="D398" s="3"/>
      <c r="E398" s="3"/>
    </row>
    <row r="399" customFormat="false" ht="15" hidden="false" customHeight="false" outlineLevel="0" collapsed="false">
      <c r="A399" s="29"/>
      <c r="B399" s="3"/>
      <c r="C399" s="3"/>
      <c r="D399" s="3"/>
      <c r="E399" s="3"/>
    </row>
    <row r="400" customFormat="false" ht="15" hidden="false" customHeight="false" outlineLevel="0" collapsed="false">
      <c r="A400" s="29"/>
      <c r="B400" s="3"/>
      <c r="C400" s="3"/>
      <c r="D400" s="3"/>
      <c r="E400" s="3"/>
    </row>
    <row r="401" customFormat="false" ht="15" hidden="false" customHeight="false" outlineLevel="0" collapsed="false">
      <c r="A401" s="29"/>
      <c r="B401" s="3"/>
      <c r="C401" s="3"/>
      <c r="D401" s="3"/>
      <c r="E401" s="3"/>
    </row>
    <row r="402" customFormat="false" ht="15" hidden="false" customHeight="false" outlineLevel="0" collapsed="false">
      <c r="A402" s="29"/>
      <c r="B402" s="3"/>
      <c r="C402" s="3"/>
      <c r="D402" s="3"/>
      <c r="E402" s="3"/>
    </row>
    <row r="403" customFormat="false" ht="15" hidden="false" customHeight="false" outlineLevel="0" collapsed="false">
      <c r="A403" s="29"/>
      <c r="B403" s="3"/>
      <c r="C403" s="3"/>
      <c r="D403" s="3"/>
      <c r="E403" s="3"/>
    </row>
    <row r="404" customFormat="false" ht="15" hidden="false" customHeight="false" outlineLevel="0" collapsed="false">
      <c r="A404" s="29"/>
      <c r="B404" s="3"/>
      <c r="C404" s="3"/>
      <c r="D404" s="3"/>
      <c r="E404" s="3"/>
    </row>
    <row r="405" customFormat="false" ht="15" hidden="false" customHeight="false" outlineLevel="0" collapsed="false">
      <c r="A405" s="29"/>
      <c r="B405" s="3"/>
      <c r="C405" s="3"/>
      <c r="D405" s="3"/>
      <c r="E405" s="3"/>
    </row>
    <row r="406" customFormat="false" ht="15" hidden="false" customHeight="false" outlineLevel="0" collapsed="false">
      <c r="A406" s="29"/>
      <c r="B406" s="3"/>
      <c r="C406" s="3"/>
      <c r="D406" s="3"/>
      <c r="E406" s="3"/>
    </row>
    <row r="407" customFormat="false" ht="15" hidden="false" customHeight="false" outlineLevel="0" collapsed="false">
      <c r="A407" s="29"/>
      <c r="B407" s="3"/>
      <c r="C407" s="3"/>
      <c r="D407" s="3"/>
      <c r="E407" s="3"/>
    </row>
    <row r="408" customFormat="false" ht="15" hidden="false" customHeight="false" outlineLevel="0" collapsed="false">
      <c r="A408" s="29"/>
      <c r="B408" s="3"/>
      <c r="C408" s="3"/>
      <c r="D408" s="3"/>
      <c r="E408" s="3"/>
    </row>
    <row r="409" customFormat="false" ht="15" hidden="false" customHeight="false" outlineLevel="0" collapsed="false">
      <c r="A409" s="29"/>
      <c r="B409" s="3"/>
      <c r="C409" s="3"/>
      <c r="D409" s="3"/>
      <c r="E409" s="3"/>
    </row>
    <row r="410" customFormat="false" ht="15" hidden="false" customHeight="false" outlineLevel="0" collapsed="false">
      <c r="A410" s="29"/>
      <c r="B410" s="3"/>
      <c r="C410" s="3"/>
      <c r="D410" s="3"/>
      <c r="E410" s="3"/>
    </row>
    <row r="411" customFormat="false" ht="15" hidden="false" customHeight="false" outlineLevel="0" collapsed="false">
      <c r="A411" s="29"/>
      <c r="B411" s="3"/>
      <c r="C411" s="3"/>
      <c r="D411" s="3"/>
      <c r="E411" s="3"/>
    </row>
    <row r="412" customFormat="false" ht="15" hidden="false" customHeight="false" outlineLevel="0" collapsed="false">
      <c r="A412" s="29"/>
      <c r="B412" s="3"/>
      <c r="C412" s="3"/>
      <c r="D412" s="3"/>
      <c r="E412" s="3"/>
    </row>
    <row r="413" customFormat="false" ht="15" hidden="false" customHeight="false" outlineLevel="0" collapsed="false">
      <c r="A413" s="29"/>
      <c r="B413" s="3"/>
      <c r="C413" s="3"/>
      <c r="D413" s="3"/>
      <c r="E413" s="3"/>
    </row>
    <row r="414" customFormat="false" ht="15" hidden="false" customHeight="false" outlineLevel="0" collapsed="false">
      <c r="A414" s="29"/>
      <c r="B414" s="3"/>
      <c r="C414" s="3"/>
      <c r="D414" s="3"/>
      <c r="E414" s="3"/>
    </row>
    <row r="415" customFormat="false" ht="15" hidden="false" customHeight="false" outlineLevel="0" collapsed="false">
      <c r="A415" s="29"/>
      <c r="B415" s="3"/>
      <c r="C415" s="3"/>
      <c r="D415" s="3"/>
      <c r="E415" s="3"/>
    </row>
    <row r="416" customFormat="false" ht="15" hidden="false" customHeight="false" outlineLevel="0" collapsed="false">
      <c r="A416" s="29"/>
      <c r="B416" s="3"/>
      <c r="C416" s="3"/>
      <c r="D416" s="3"/>
      <c r="E416" s="3"/>
    </row>
    <row r="417" customFormat="false" ht="15" hidden="false" customHeight="false" outlineLevel="0" collapsed="false">
      <c r="A417" s="29"/>
      <c r="B417" s="3"/>
      <c r="C417" s="3"/>
      <c r="D417" s="3"/>
      <c r="E417" s="3"/>
    </row>
    <row r="418" customFormat="false" ht="15" hidden="false" customHeight="false" outlineLevel="0" collapsed="false">
      <c r="A418" s="29"/>
      <c r="B418" s="3"/>
      <c r="C418" s="3"/>
      <c r="D418" s="3"/>
      <c r="E418" s="3"/>
    </row>
    <row r="419" customFormat="false" ht="15" hidden="false" customHeight="false" outlineLevel="0" collapsed="false">
      <c r="A419" s="29"/>
      <c r="B419" s="3"/>
      <c r="C419" s="3"/>
      <c r="D419" s="3"/>
      <c r="E419" s="3"/>
    </row>
    <row r="420" customFormat="false" ht="15" hidden="false" customHeight="false" outlineLevel="0" collapsed="false">
      <c r="A420" s="29"/>
      <c r="B420" s="3"/>
      <c r="C420" s="3"/>
      <c r="D420" s="3"/>
      <c r="E420" s="3"/>
    </row>
    <row r="421" customFormat="false" ht="15" hidden="false" customHeight="false" outlineLevel="0" collapsed="false">
      <c r="A421" s="29"/>
      <c r="B421" s="3"/>
      <c r="C421" s="3"/>
      <c r="D421" s="3"/>
      <c r="E421" s="3"/>
    </row>
    <row r="422" customFormat="false" ht="15" hidden="false" customHeight="false" outlineLevel="0" collapsed="false">
      <c r="A422" s="29"/>
      <c r="B422" s="3"/>
      <c r="C422" s="3"/>
      <c r="D422" s="3"/>
      <c r="E422" s="3"/>
    </row>
    <row r="423" customFormat="false" ht="15" hidden="false" customHeight="false" outlineLevel="0" collapsed="false">
      <c r="A423" s="29"/>
      <c r="B423" s="3"/>
      <c r="C423" s="3"/>
      <c r="D423" s="3"/>
      <c r="E423" s="3"/>
    </row>
    <row r="424" customFormat="false" ht="15" hidden="false" customHeight="false" outlineLevel="0" collapsed="false">
      <c r="A424" s="29"/>
      <c r="B424" s="3"/>
      <c r="C424" s="3"/>
      <c r="D424" s="3"/>
      <c r="E424" s="3"/>
    </row>
    <row r="425" customFormat="false" ht="15" hidden="false" customHeight="false" outlineLevel="0" collapsed="false">
      <c r="A425" s="29"/>
      <c r="B425" s="3"/>
      <c r="C425" s="3"/>
      <c r="D425" s="3"/>
      <c r="E425" s="3"/>
    </row>
    <row r="426" customFormat="false" ht="15" hidden="false" customHeight="false" outlineLevel="0" collapsed="false">
      <c r="A426" s="29"/>
      <c r="B426" s="3"/>
      <c r="C426" s="3"/>
      <c r="D426" s="3"/>
      <c r="E426" s="3"/>
    </row>
    <row r="427" customFormat="false" ht="15" hidden="false" customHeight="false" outlineLevel="0" collapsed="false">
      <c r="A427" s="29"/>
      <c r="B427" s="3"/>
      <c r="C427" s="3"/>
      <c r="D427" s="3"/>
      <c r="E427" s="3"/>
    </row>
    <row r="428" customFormat="false" ht="15" hidden="false" customHeight="false" outlineLevel="0" collapsed="false">
      <c r="A428" s="29"/>
      <c r="B428" s="3"/>
      <c r="C428" s="3"/>
      <c r="D428" s="3"/>
      <c r="E428" s="3"/>
    </row>
    <row r="429" customFormat="false" ht="15" hidden="false" customHeight="false" outlineLevel="0" collapsed="false">
      <c r="A429" s="29"/>
      <c r="B429" s="3"/>
      <c r="C429" s="3"/>
      <c r="D429" s="3"/>
      <c r="E429" s="3"/>
    </row>
    <row r="430" customFormat="false" ht="15" hidden="false" customHeight="false" outlineLevel="0" collapsed="false">
      <c r="A430" s="29"/>
      <c r="B430" s="3"/>
      <c r="C430" s="3"/>
      <c r="D430" s="3"/>
      <c r="E430" s="3"/>
    </row>
    <row r="431" customFormat="false" ht="15" hidden="false" customHeight="false" outlineLevel="0" collapsed="false">
      <c r="A431" s="29"/>
      <c r="B431" s="3"/>
      <c r="C431" s="3"/>
      <c r="D431" s="3"/>
      <c r="E431" s="3"/>
    </row>
    <row r="432" customFormat="false" ht="15" hidden="false" customHeight="false" outlineLevel="0" collapsed="false">
      <c r="A432" s="29"/>
      <c r="B432" s="3"/>
      <c r="C432" s="3"/>
      <c r="D432" s="3"/>
      <c r="E432" s="3"/>
    </row>
    <row r="433" customFormat="false" ht="15" hidden="false" customHeight="false" outlineLevel="0" collapsed="false">
      <c r="A433" s="29"/>
      <c r="B433" s="3"/>
      <c r="C433" s="3"/>
      <c r="D433" s="3"/>
      <c r="E433" s="3"/>
    </row>
    <row r="434" customFormat="false" ht="15" hidden="false" customHeight="false" outlineLevel="0" collapsed="false">
      <c r="A434" s="29"/>
      <c r="B434" s="3"/>
      <c r="C434" s="3"/>
      <c r="D434" s="3"/>
      <c r="E434" s="3"/>
    </row>
    <row r="435" customFormat="false" ht="15" hidden="false" customHeight="false" outlineLevel="0" collapsed="false">
      <c r="A435" s="29"/>
      <c r="B435" s="3"/>
      <c r="C435" s="3"/>
      <c r="D435" s="3"/>
      <c r="E435" s="3"/>
    </row>
    <row r="436" customFormat="false" ht="15" hidden="false" customHeight="false" outlineLevel="0" collapsed="false">
      <c r="A436" s="29"/>
      <c r="B436" s="3"/>
      <c r="C436" s="3"/>
      <c r="D436" s="3"/>
      <c r="E436" s="3"/>
    </row>
    <row r="437" customFormat="false" ht="15" hidden="false" customHeight="false" outlineLevel="0" collapsed="false">
      <c r="A437" s="29"/>
      <c r="B437" s="3"/>
      <c r="C437" s="3"/>
      <c r="D437" s="3"/>
      <c r="E437" s="3"/>
    </row>
    <row r="438" customFormat="false" ht="15" hidden="false" customHeight="false" outlineLevel="0" collapsed="false">
      <c r="A438" s="29"/>
      <c r="B438" s="3"/>
      <c r="C438" s="3"/>
      <c r="D438" s="3"/>
      <c r="E438" s="3"/>
    </row>
    <row r="439" customFormat="false" ht="15" hidden="false" customHeight="false" outlineLevel="0" collapsed="false">
      <c r="A439" s="29"/>
      <c r="B439" s="3"/>
      <c r="C439" s="3"/>
      <c r="D439" s="3"/>
      <c r="E439" s="3"/>
    </row>
    <row r="440" customFormat="false" ht="15" hidden="false" customHeight="false" outlineLevel="0" collapsed="false">
      <c r="A440" s="29"/>
      <c r="B440" s="3"/>
      <c r="C440" s="3"/>
      <c r="D440" s="3"/>
      <c r="E440" s="3"/>
    </row>
    <row r="441" customFormat="false" ht="15" hidden="false" customHeight="false" outlineLevel="0" collapsed="false">
      <c r="A441" s="29"/>
      <c r="B441" s="3"/>
      <c r="C441" s="3"/>
      <c r="D441" s="3"/>
      <c r="E441" s="3"/>
    </row>
    <row r="442" customFormat="false" ht="15" hidden="false" customHeight="false" outlineLevel="0" collapsed="false">
      <c r="A442" s="29"/>
      <c r="B442" s="3"/>
      <c r="C442" s="3"/>
      <c r="D442" s="3"/>
      <c r="E442" s="3"/>
    </row>
    <row r="443" customFormat="false" ht="15" hidden="false" customHeight="false" outlineLevel="0" collapsed="false">
      <c r="A443" s="29"/>
      <c r="B443" s="3"/>
      <c r="C443" s="3"/>
      <c r="D443" s="3"/>
      <c r="E443" s="3"/>
    </row>
    <row r="444" customFormat="false" ht="15" hidden="false" customHeight="false" outlineLevel="0" collapsed="false">
      <c r="A444" s="29"/>
      <c r="B444" s="3"/>
      <c r="C444" s="3"/>
      <c r="D444" s="3"/>
      <c r="E444" s="3"/>
    </row>
    <row r="445" customFormat="false" ht="15" hidden="false" customHeight="false" outlineLevel="0" collapsed="false">
      <c r="A445" s="29"/>
      <c r="B445" s="3"/>
      <c r="C445" s="3"/>
      <c r="D445" s="3"/>
      <c r="E445" s="3"/>
    </row>
    <row r="446" customFormat="false" ht="15" hidden="false" customHeight="false" outlineLevel="0" collapsed="false">
      <c r="A446" s="29"/>
      <c r="B446" s="3"/>
      <c r="C446" s="3"/>
      <c r="D446" s="3"/>
      <c r="E446" s="3"/>
    </row>
    <row r="447" customFormat="false" ht="15" hidden="false" customHeight="false" outlineLevel="0" collapsed="false">
      <c r="A447" s="29"/>
      <c r="B447" s="3"/>
      <c r="C447" s="3"/>
      <c r="D447" s="3"/>
      <c r="E447" s="3"/>
    </row>
    <row r="448" customFormat="false" ht="15" hidden="false" customHeight="false" outlineLevel="0" collapsed="false">
      <c r="A448" s="29"/>
      <c r="B448" s="3"/>
      <c r="C448" s="3"/>
      <c r="D448" s="3"/>
      <c r="E448" s="3"/>
    </row>
    <row r="449" customFormat="false" ht="15" hidden="false" customHeight="false" outlineLevel="0" collapsed="false">
      <c r="A449" s="29"/>
      <c r="B449" s="3"/>
      <c r="C449" s="3"/>
      <c r="D449" s="3"/>
      <c r="E449" s="3"/>
    </row>
    <row r="450" customFormat="false" ht="15" hidden="false" customHeight="false" outlineLevel="0" collapsed="false">
      <c r="A450" s="29"/>
      <c r="B450" s="3"/>
      <c r="C450" s="3"/>
      <c r="D450" s="3"/>
      <c r="E450" s="3"/>
    </row>
    <row r="451" customFormat="false" ht="15" hidden="false" customHeight="false" outlineLevel="0" collapsed="false">
      <c r="A451" s="29"/>
      <c r="B451" s="3"/>
      <c r="C451" s="3"/>
      <c r="D451" s="3"/>
      <c r="E451" s="3"/>
    </row>
    <row r="452" customFormat="false" ht="15" hidden="false" customHeight="false" outlineLevel="0" collapsed="false">
      <c r="A452" s="29"/>
      <c r="B452" s="3"/>
      <c r="C452" s="3"/>
      <c r="D452" s="3"/>
      <c r="E452" s="3"/>
    </row>
    <row r="453" customFormat="false" ht="15" hidden="false" customHeight="false" outlineLevel="0" collapsed="false">
      <c r="A453" s="29"/>
      <c r="B453" s="3"/>
      <c r="C453" s="3"/>
      <c r="D453" s="3"/>
      <c r="E453" s="3"/>
    </row>
    <row r="454" customFormat="false" ht="15" hidden="false" customHeight="false" outlineLevel="0" collapsed="false">
      <c r="A454" s="29"/>
      <c r="B454" s="3"/>
      <c r="C454" s="3"/>
      <c r="D454" s="3"/>
      <c r="E454" s="3"/>
    </row>
    <row r="455" customFormat="false" ht="15" hidden="false" customHeight="false" outlineLevel="0" collapsed="false">
      <c r="A455" s="29"/>
      <c r="B455" s="3"/>
      <c r="C455" s="3"/>
      <c r="D455" s="3"/>
      <c r="E455" s="3"/>
    </row>
    <row r="456" customFormat="false" ht="15" hidden="false" customHeight="false" outlineLevel="0" collapsed="false">
      <c r="A456" s="29"/>
      <c r="B456" s="3"/>
      <c r="C456" s="3"/>
      <c r="D456" s="3"/>
      <c r="E456" s="3"/>
    </row>
    <row r="457" customFormat="false" ht="15" hidden="false" customHeight="false" outlineLevel="0" collapsed="false">
      <c r="A457" s="29"/>
      <c r="B457" s="3"/>
      <c r="C457" s="3"/>
      <c r="D457" s="3"/>
      <c r="E457" s="3"/>
    </row>
    <row r="458" customFormat="false" ht="15" hidden="false" customHeight="false" outlineLevel="0" collapsed="false">
      <c r="A458" s="29"/>
      <c r="B458" s="3"/>
      <c r="C458" s="3"/>
      <c r="D458" s="3"/>
      <c r="E458" s="3"/>
    </row>
    <row r="459" customFormat="false" ht="15" hidden="false" customHeight="false" outlineLevel="0" collapsed="false">
      <c r="A459" s="29"/>
      <c r="B459" s="3"/>
      <c r="C459" s="3"/>
      <c r="D459" s="3"/>
      <c r="E459" s="3"/>
    </row>
    <row r="460" customFormat="false" ht="15" hidden="false" customHeight="false" outlineLevel="0" collapsed="false">
      <c r="A460" s="29"/>
      <c r="B460" s="3"/>
      <c r="C460" s="3"/>
      <c r="D460" s="3"/>
      <c r="E460" s="3"/>
    </row>
    <row r="461" customFormat="false" ht="15" hidden="false" customHeight="false" outlineLevel="0" collapsed="false">
      <c r="A461" s="29"/>
      <c r="B461" s="3"/>
      <c r="C461" s="3"/>
      <c r="D461" s="3"/>
      <c r="E461" s="3"/>
    </row>
    <row r="462" customFormat="false" ht="15" hidden="false" customHeight="false" outlineLevel="0" collapsed="false">
      <c r="A462" s="29"/>
      <c r="B462" s="3"/>
      <c r="C462" s="3"/>
      <c r="D462" s="3"/>
      <c r="E462" s="3"/>
    </row>
    <row r="463" customFormat="false" ht="15" hidden="false" customHeight="false" outlineLevel="0" collapsed="false">
      <c r="A463" s="29"/>
      <c r="B463" s="3"/>
      <c r="C463" s="3"/>
      <c r="D463" s="3"/>
      <c r="E463" s="3"/>
    </row>
    <row r="464" customFormat="false" ht="15" hidden="false" customHeight="false" outlineLevel="0" collapsed="false">
      <c r="A464" s="29"/>
      <c r="B464" s="3"/>
      <c r="C464" s="3"/>
      <c r="D464" s="3"/>
      <c r="E464" s="3"/>
    </row>
    <row r="465" customFormat="false" ht="15" hidden="false" customHeight="false" outlineLevel="0" collapsed="false">
      <c r="A465" s="29"/>
      <c r="B465" s="3"/>
      <c r="C465" s="3"/>
      <c r="D465" s="3"/>
      <c r="E465" s="3"/>
    </row>
    <row r="466" customFormat="false" ht="15" hidden="false" customHeight="false" outlineLevel="0" collapsed="false">
      <c r="A466" s="29"/>
      <c r="B466" s="3"/>
      <c r="C466" s="3"/>
      <c r="D466" s="3"/>
      <c r="E466" s="3"/>
    </row>
    <row r="467" customFormat="false" ht="15" hidden="false" customHeight="false" outlineLevel="0" collapsed="false">
      <c r="A467" s="29"/>
      <c r="B467" s="3"/>
      <c r="C467" s="3"/>
      <c r="D467" s="3"/>
      <c r="E467" s="3"/>
    </row>
    <row r="468" customFormat="false" ht="15" hidden="false" customHeight="false" outlineLevel="0" collapsed="false">
      <c r="A468" s="29"/>
      <c r="B468" s="3"/>
      <c r="C468" s="3"/>
      <c r="D468" s="3"/>
      <c r="E468" s="3"/>
    </row>
    <row r="469" customFormat="false" ht="15" hidden="false" customHeight="false" outlineLevel="0" collapsed="false">
      <c r="A469" s="29"/>
      <c r="B469" s="3"/>
      <c r="C469" s="3"/>
      <c r="D469" s="3"/>
      <c r="E469" s="3"/>
    </row>
    <row r="470" customFormat="false" ht="15" hidden="false" customHeight="false" outlineLevel="0" collapsed="false">
      <c r="A470" s="29"/>
      <c r="B470" s="3"/>
      <c r="C470" s="3"/>
      <c r="D470" s="3"/>
      <c r="E470" s="3"/>
    </row>
    <row r="471" customFormat="false" ht="15" hidden="false" customHeight="false" outlineLevel="0" collapsed="false">
      <c r="A471" s="29"/>
      <c r="B471" s="3"/>
      <c r="C471" s="3"/>
      <c r="D471" s="3"/>
      <c r="E471" s="3"/>
    </row>
    <row r="472" customFormat="false" ht="15" hidden="false" customHeight="false" outlineLevel="0" collapsed="false">
      <c r="A472" s="29"/>
      <c r="B472" s="3"/>
      <c r="C472" s="3"/>
      <c r="D472" s="3"/>
      <c r="E472" s="3"/>
    </row>
    <row r="473" customFormat="false" ht="15" hidden="false" customHeight="false" outlineLevel="0" collapsed="false">
      <c r="A473" s="29"/>
      <c r="B473" s="3"/>
      <c r="C473" s="3"/>
      <c r="D473" s="3"/>
      <c r="E473" s="3"/>
    </row>
    <row r="474" customFormat="false" ht="15" hidden="false" customHeight="false" outlineLevel="0" collapsed="false">
      <c r="A474" s="29"/>
      <c r="B474" s="3"/>
      <c r="C474" s="3"/>
      <c r="D474" s="3"/>
      <c r="E474" s="3"/>
    </row>
    <row r="475" customFormat="false" ht="15" hidden="false" customHeight="false" outlineLevel="0" collapsed="false">
      <c r="A475" s="29"/>
      <c r="B475" s="3"/>
      <c r="C475" s="3"/>
      <c r="D475" s="3"/>
      <c r="E475" s="3"/>
    </row>
    <row r="476" customFormat="false" ht="15" hidden="false" customHeight="false" outlineLevel="0" collapsed="false">
      <c r="A476" s="29"/>
      <c r="B476" s="3"/>
      <c r="C476" s="3"/>
      <c r="D476" s="3"/>
      <c r="E476" s="3"/>
    </row>
    <row r="477" customFormat="false" ht="15" hidden="false" customHeight="false" outlineLevel="0" collapsed="false">
      <c r="A477" s="29"/>
      <c r="B477" s="3"/>
      <c r="C477" s="3"/>
      <c r="D477" s="3"/>
      <c r="E477" s="3"/>
    </row>
    <row r="478" customFormat="false" ht="15" hidden="false" customHeight="false" outlineLevel="0" collapsed="false">
      <c r="A478" s="29"/>
      <c r="B478" s="3"/>
      <c r="C478" s="3"/>
      <c r="D478" s="3"/>
      <c r="E478" s="3"/>
    </row>
    <row r="479" customFormat="false" ht="15" hidden="false" customHeight="false" outlineLevel="0" collapsed="false">
      <c r="A479" s="29"/>
      <c r="B479" s="3"/>
      <c r="C479" s="3"/>
      <c r="D479" s="3"/>
      <c r="E479" s="3"/>
    </row>
    <row r="480" customFormat="false" ht="15" hidden="false" customHeight="false" outlineLevel="0" collapsed="false">
      <c r="A480" s="29"/>
      <c r="B480" s="3"/>
      <c r="C480" s="3"/>
      <c r="D480" s="3"/>
      <c r="E480" s="3"/>
    </row>
    <row r="481" customFormat="false" ht="15" hidden="false" customHeight="false" outlineLevel="0" collapsed="false">
      <c r="A481" s="29"/>
      <c r="B481" s="3"/>
      <c r="C481" s="3"/>
      <c r="D481" s="3"/>
      <c r="E481" s="3"/>
    </row>
    <row r="482" customFormat="false" ht="15" hidden="false" customHeight="false" outlineLevel="0" collapsed="false">
      <c r="A482" s="29"/>
      <c r="B482" s="3"/>
      <c r="C482" s="3"/>
      <c r="D482" s="3"/>
      <c r="E482" s="3"/>
    </row>
    <row r="483" customFormat="false" ht="15" hidden="false" customHeight="false" outlineLevel="0" collapsed="false">
      <c r="A483" s="29"/>
      <c r="B483" s="3"/>
      <c r="C483" s="3"/>
      <c r="D483" s="3"/>
      <c r="E483" s="3"/>
    </row>
    <row r="484" customFormat="false" ht="15" hidden="false" customHeight="false" outlineLevel="0" collapsed="false">
      <c r="A484" s="29"/>
      <c r="B484" s="3"/>
      <c r="C484" s="3"/>
      <c r="D484" s="3"/>
      <c r="E484" s="3"/>
    </row>
    <row r="485" customFormat="false" ht="15" hidden="false" customHeight="false" outlineLevel="0" collapsed="false">
      <c r="A485" s="29"/>
      <c r="B485" s="3"/>
      <c r="C485" s="3"/>
      <c r="D485" s="3"/>
      <c r="E485" s="3"/>
    </row>
    <row r="486" customFormat="false" ht="15" hidden="false" customHeight="false" outlineLevel="0" collapsed="false">
      <c r="A486" s="29"/>
      <c r="B486" s="3"/>
      <c r="C486" s="3"/>
      <c r="D486" s="3"/>
      <c r="E486" s="3"/>
    </row>
    <row r="487" customFormat="false" ht="15" hidden="false" customHeight="false" outlineLevel="0" collapsed="false">
      <c r="A487" s="29"/>
      <c r="B487" s="3"/>
      <c r="C487" s="3"/>
      <c r="D487" s="3"/>
      <c r="E487" s="3"/>
    </row>
    <row r="488" customFormat="false" ht="15" hidden="false" customHeight="false" outlineLevel="0" collapsed="false">
      <c r="A488" s="29"/>
      <c r="B488" s="3"/>
      <c r="C488" s="3"/>
      <c r="D488" s="3"/>
      <c r="E488" s="3"/>
    </row>
    <row r="489" customFormat="false" ht="15" hidden="false" customHeight="false" outlineLevel="0" collapsed="false">
      <c r="A489" s="29"/>
      <c r="B489" s="3"/>
      <c r="C489" s="3"/>
      <c r="D489" s="3"/>
      <c r="E489" s="3"/>
    </row>
    <row r="490" customFormat="false" ht="15" hidden="false" customHeight="false" outlineLevel="0" collapsed="false">
      <c r="A490" s="29"/>
      <c r="B490" s="3"/>
      <c r="C490" s="3"/>
      <c r="D490" s="3"/>
      <c r="E490" s="3"/>
    </row>
    <row r="491" customFormat="false" ht="15" hidden="false" customHeight="false" outlineLevel="0" collapsed="false">
      <c r="A491" s="29"/>
      <c r="B491" s="3"/>
      <c r="C491" s="3"/>
      <c r="D491" s="3"/>
      <c r="E491" s="3"/>
    </row>
    <row r="492" customFormat="false" ht="15" hidden="false" customHeight="false" outlineLevel="0" collapsed="false">
      <c r="A492" s="29"/>
      <c r="B492" s="3"/>
      <c r="C492" s="3"/>
      <c r="D492" s="3"/>
      <c r="E492" s="3"/>
    </row>
    <row r="493" customFormat="false" ht="15" hidden="false" customHeight="false" outlineLevel="0" collapsed="false">
      <c r="A493" s="29"/>
      <c r="B493" s="3"/>
      <c r="C493" s="3"/>
      <c r="D493" s="3"/>
      <c r="E493" s="3"/>
    </row>
    <row r="494" customFormat="false" ht="15" hidden="false" customHeight="false" outlineLevel="0" collapsed="false">
      <c r="A494" s="29"/>
      <c r="B494" s="3"/>
      <c r="C494" s="3"/>
      <c r="D494" s="3"/>
      <c r="E494" s="3"/>
    </row>
    <row r="495" customFormat="false" ht="15" hidden="false" customHeight="false" outlineLevel="0" collapsed="false">
      <c r="A495" s="29"/>
      <c r="B495" s="3"/>
      <c r="C495" s="3"/>
      <c r="D495" s="3"/>
      <c r="E495" s="3"/>
    </row>
    <row r="496" customFormat="false" ht="15" hidden="false" customHeight="false" outlineLevel="0" collapsed="false">
      <c r="A496" s="29"/>
      <c r="B496" s="3"/>
      <c r="C496" s="3"/>
      <c r="D496" s="3"/>
      <c r="E496" s="3"/>
    </row>
    <row r="497" customFormat="false" ht="15" hidden="false" customHeight="false" outlineLevel="0" collapsed="false">
      <c r="A497" s="29"/>
      <c r="B497" s="3"/>
      <c r="C497" s="3"/>
      <c r="D497" s="3"/>
      <c r="E497" s="3"/>
    </row>
    <row r="498" customFormat="false" ht="15" hidden="false" customHeight="false" outlineLevel="0" collapsed="false">
      <c r="A498" s="29"/>
      <c r="B498" s="3"/>
      <c r="C498" s="3"/>
      <c r="D498" s="3"/>
      <c r="E498" s="3"/>
    </row>
    <row r="499" customFormat="false" ht="15" hidden="false" customHeight="false" outlineLevel="0" collapsed="false">
      <c r="A499" s="29"/>
      <c r="B499" s="3"/>
      <c r="C499" s="3"/>
      <c r="D499" s="3"/>
      <c r="E499" s="3"/>
    </row>
    <row r="500" customFormat="false" ht="15" hidden="false" customHeight="false" outlineLevel="0" collapsed="false">
      <c r="A500" s="29"/>
      <c r="B500" s="3"/>
      <c r="C500" s="3"/>
      <c r="D500" s="3"/>
      <c r="E500" s="3"/>
    </row>
    <row r="501" customFormat="false" ht="15" hidden="false" customHeight="false" outlineLevel="0" collapsed="false">
      <c r="A501" s="29"/>
      <c r="B501" s="3"/>
      <c r="C501" s="3"/>
      <c r="D501" s="3"/>
      <c r="E501" s="3"/>
    </row>
    <row r="502" customFormat="false" ht="15" hidden="false" customHeight="false" outlineLevel="0" collapsed="false">
      <c r="A502" s="29"/>
      <c r="B502" s="3"/>
      <c r="C502" s="3"/>
      <c r="D502" s="3"/>
      <c r="E502" s="3"/>
    </row>
    <row r="503" customFormat="false" ht="15" hidden="false" customHeight="false" outlineLevel="0" collapsed="false">
      <c r="A503" s="29"/>
      <c r="B503" s="3"/>
      <c r="C503" s="3"/>
      <c r="D503" s="3"/>
      <c r="E503" s="3"/>
    </row>
  </sheetData>
  <dataValidations count="1">
    <dataValidation allowBlank="true" errorStyle="stop" operator="between" showDropDown="false" showErrorMessage="false" showInputMessage="false" sqref="B4:B503" type="list">
      <formula1>People!$A$4:$A$33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4" t="s">
        <v>338</v>
      </c>
    </row>
    <row r="3" customFormat="false" ht="23.85" hidden="false" customHeight="false" outlineLevel="0" collapsed="false">
      <c r="A3" s="5" t="s">
        <v>339</v>
      </c>
      <c r="B3" s="5" t="s">
        <v>340</v>
      </c>
      <c r="C3" s="5" t="s">
        <v>341</v>
      </c>
      <c r="D3" s="5" t="s">
        <v>342</v>
      </c>
      <c r="E3" s="5" t="s">
        <v>343</v>
      </c>
      <c r="F3" s="5" t="s">
        <v>344</v>
      </c>
    </row>
    <row r="4" customFormat="false" ht="15" hidden="false" customHeight="false" outlineLevel="0" collapsed="false">
      <c r="A4" s="30" t="s">
        <v>148</v>
      </c>
      <c r="B4" s="10" t="s">
        <v>345</v>
      </c>
      <c r="C4" s="10" t="s">
        <v>148</v>
      </c>
    </row>
    <row r="5" customFormat="false" ht="15" hidden="false" customHeight="false" outlineLevel="0" collapsed="false">
      <c r="A5" s="30" t="s">
        <v>189</v>
      </c>
      <c r="B5" s="10" t="s">
        <v>346</v>
      </c>
      <c r="C5" s="10" t="s">
        <v>189</v>
      </c>
    </row>
    <row r="6" customFormat="false" ht="15" hidden="false" customHeight="false" outlineLevel="0" collapsed="false">
      <c r="A6" s="30" t="s">
        <v>44</v>
      </c>
      <c r="B6" s="10" t="s">
        <v>347</v>
      </c>
      <c r="C6" s="10" t="s">
        <v>348</v>
      </c>
    </row>
    <row r="7" customFormat="false" ht="15" hidden="false" customHeight="false" outlineLevel="0" collapsed="false">
      <c r="A7" s="30" t="s">
        <v>165</v>
      </c>
      <c r="B7" s="10" t="s">
        <v>349</v>
      </c>
      <c r="C7" s="10" t="s">
        <v>165</v>
      </c>
    </row>
    <row r="8" customFormat="false" ht="15" hidden="false" customHeight="false" outlineLevel="0" collapsed="false">
      <c r="A8" s="30" t="s">
        <v>206</v>
      </c>
      <c r="B8" s="10" t="s">
        <v>350</v>
      </c>
      <c r="C8" s="10" t="s">
        <v>206</v>
      </c>
    </row>
    <row r="9" customFormat="false" ht="15" hidden="false" customHeight="false" outlineLevel="0" collapsed="false">
      <c r="A9" s="30" t="s">
        <v>70</v>
      </c>
      <c r="B9" s="10" t="s">
        <v>351</v>
      </c>
      <c r="C9" s="10" t="s">
        <v>70</v>
      </c>
    </row>
    <row r="10" customFormat="false" ht="15" hidden="false" customHeight="false" outlineLevel="0" collapsed="false">
      <c r="A10" s="30" t="s">
        <v>229</v>
      </c>
      <c r="B10" s="10" t="s">
        <v>352</v>
      </c>
      <c r="C10" s="10" t="s">
        <v>229</v>
      </c>
    </row>
    <row r="11" customFormat="false" ht="15" hidden="false" customHeight="false" outlineLevel="0" collapsed="false">
      <c r="A11" s="30" t="s">
        <v>275</v>
      </c>
      <c r="B11" s="10" t="s">
        <v>353</v>
      </c>
      <c r="C11" s="10" t="s">
        <v>275</v>
      </c>
    </row>
    <row r="12" customFormat="false" ht="15" hidden="false" customHeight="false" outlineLevel="0" collapsed="false">
      <c r="A12" s="30" t="s">
        <v>215</v>
      </c>
      <c r="B12" s="10" t="s">
        <v>354</v>
      </c>
      <c r="C12" s="10" t="s">
        <v>215</v>
      </c>
    </row>
    <row r="13" customFormat="false" ht="15" hidden="false" customHeight="false" outlineLevel="0" collapsed="false">
      <c r="A13" s="30"/>
    </row>
    <row r="14" customFormat="false" ht="15" hidden="false" customHeight="false" outlineLevel="0" collapsed="false">
      <c r="A14" s="30"/>
    </row>
    <row r="15" customFormat="false" ht="15" hidden="false" customHeight="false" outlineLevel="0" collapsed="false">
      <c r="A15" s="30"/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30"/>
    </row>
    <row r="18" customFormat="false" ht="15" hidden="false" customHeight="false" outlineLevel="0" collapsed="false">
      <c r="A18" s="30"/>
    </row>
    <row r="19" customFormat="false" ht="15" hidden="false" customHeight="false" outlineLevel="0" collapsed="false">
      <c r="A19" s="30"/>
    </row>
    <row r="20" customFormat="false" ht="15" hidden="false" customHeight="false" outlineLevel="0" collapsed="false">
      <c r="A20" s="30"/>
    </row>
    <row r="21" customFormat="false" ht="15" hidden="false" customHeight="false" outlineLevel="0" collapsed="false">
      <c r="A21" s="30"/>
    </row>
    <row r="22" customFormat="false" ht="15" hidden="false" customHeight="false" outlineLevel="0" collapsed="false">
      <c r="A22" s="30"/>
    </row>
    <row r="23" customFormat="false" ht="15" hidden="false" customHeight="false" outlineLevel="0" collapsed="false">
      <c r="A23" s="30"/>
    </row>
    <row r="24" customFormat="false" ht="15" hidden="false" customHeight="false" outlineLevel="0" collapsed="false">
      <c r="A24" s="30"/>
    </row>
    <row r="25" customFormat="false" ht="15" hidden="false" customHeight="false" outlineLevel="0" collapsed="false">
      <c r="A25" s="30"/>
    </row>
    <row r="26" customFormat="false" ht="15" hidden="false" customHeight="false" outlineLevel="0" collapsed="false">
      <c r="A26" s="30"/>
    </row>
    <row r="27" customFormat="false" ht="15" hidden="false" customHeight="false" outlineLevel="0" collapsed="false">
      <c r="A27" s="30"/>
    </row>
    <row r="28" customFormat="false" ht="15" hidden="false" customHeight="false" outlineLevel="0" collapsed="false">
      <c r="A28" s="30"/>
    </row>
    <row r="29" customFormat="false" ht="15" hidden="false" customHeight="false" outlineLevel="0" collapsed="false">
      <c r="A29" s="30"/>
    </row>
    <row r="30" customFormat="false" ht="15" hidden="false" customHeight="false" outlineLevel="0" collapsed="false">
      <c r="A30" s="30"/>
    </row>
    <row r="31" customFormat="false" ht="15" hidden="false" customHeight="false" outlineLevel="0" collapsed="false">
      <c r="A31" s="30"/>
    </row>
    <row r="32" customFormat="false" ht="15" hidden="false" customHeight="false" outlineLevel="0" collapsed="false">
      <c r="A32" s="30"/>
    </row>
    <row r="33" customFormat="false" ht="15" hidden="false" customHeight="false" outlineLevel="0" collapsed="false">
      <c r="A33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2026-10-08T03:35:29Z</dcterms:created>
  <dc:creator>openpyxl</dc:creator>
  <dc:description/>
  <dc:language>en-US</dc:language>
  <cp:lastModifiedBy/>
  <dcterms:modified xsi:type="dcterms:W3CDTF">2026-10-08T03:35:34Z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