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2.xml" ContentType="application/vnd.openxmlformats-officedocument.drawing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ashboard" sheetId="2" state="visible" r:id="rId4"/>
    <sheet name="Tasks" sheetId="3" state="visible" r:id="rId5"/>
    <sheet name="Gantt" sheetId="4" state="visible" r:id="rId6"/>
    <sheet name="Problems" sheetId="5" state="visible" r:id="rId7"/>
    <sheet name="Interfaces" sheetId="6" state="visible" r:id="rId8"/>
    <sheet name="Weekly Log" sheetId="7" state="visible" r:id="rId9"/>
    <sheet name="Runs" sheetId="8" state="visible" r:id="rId10"/>
    <sheet name="Lists" sheetId="9" state="visible" r:id="rId11"/>
  </sheets>
  <definedNames>
    <definedName function="false" hidden="false" localSheetId="3" name="_xlnm.Print_Titles" vbProcedure="false">Gantt!$4:$4</definedName>
    <definedName function="false" hidden="true" localSheetId="4" name="_xlnm._FilterDatabase" vbProcedure="false">Problems!$A$3:$M$203</definedName>
    <definedName function="false" hidden="true" localSheetId="2" name="_xlnm._FilterDatabase" vbProcedure="false">Tasks!$A$3:$P$403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K3" authorId="0">
      <text>
        <r>
          <rPr>
            <sz val="10"/>
            <rFont val="Arial"/>
            <family val="2"/>
          </rPr>
          <t xml:space="preserve">End = Start + 7 x Weeks - 3 (Friday of the last week). Red = past and not Complete.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2" authorId="0">
      <text>
        <r>
          <rPr>
            <sz val="10"/>
            <rFont val="Arial"/>
            <family val="2"/>
          </rPr>
          <t xml:space="preserve">Set to any Monday. Old tracker W1 = 22 Jun 2026.</t>
        </r>
      </text>
    </comment>
  </commentList>
</comments>
</file>

<file path=xl/sharedStrings.xml><?xml version="1.0" encoding="utf-8"?>
<sst xmlns="http://schemas.openxmlformats.org/spreadsheetml/2006/main" count="1475" uniqueCount="721">
  <si>
    <t xml:space="preserve">Project tracker: ED305 digital twin, SCooP, dual-link, semantic comm</t>
  </si>
  <si>
    <t xml:space="preserve">Built from Project_Tracker.xlsx; old tasks kept with their text, status and weeks.</t>
  </si>
  <si>
    <t xml:space="preserve">Sheets</t>
  </si>
  <si>
    <t xml:space="preserve">Tasks</t>
  </si>
  <si>
    <t xml:space="preserve">Every task, one row each. Edit freely, add rows anywhere inside the table. ID: a row whose ID has no '.' is a parent (shown bold).</t>
  </si>
  <si>
    <t xml:space="preserve">Gantt</t>
  </si>
  <si>
    <t xml:space="preserve">Automatic: bars come from Tasks Start + Weeks, coloured by Status. Change the Gantt start date in Gantt!C2. Nothing to edit by hand.</t>
  </si>
  <si>
    <t xml:space="preserve">Problems</t>
  </si>
  <si>
    <t xml:space="preserve">Anything that blocks work for more than a day. Link it to the task it blocks (Task ID) and set that task's Status to Blocked.</t>
  </si>
  <si>
    <t xml:space="preserve">Interfaces</t>
  </si>
  <si>
    <t xml:space="preserve">One row per hand-off between owners (arrows in the system diagram). Move State from Not defined -&gt; Defined -&gt; Implemented -&gt; Tested.</t>
  </si>
  <si>
    <t xml:space="preserve">Weekly Log</t>
  </si>
  <si>
    <t xml:space="preserve">Every Friday, one row per person: Done / Next / Blockers (problem IDs).</t>
  </si>
  <si>
    <t xml:space="preserve">Runs</t>
  </si>
  <si>
    <t xml:space="preserve">One row per pipeline run on the server: run ID, data, git commit, key numbers. The server writes the logs; this sheet indexes them.</t>
  </si>
  <si>
    <t xml:space="preserve">Dashboard</t>
  </si>
  <si>
    <t xml:space="preserve">Counts by goal, owner and status; overdue tasks; open problems; interface states. All formulas.</t>
  </si>
  <si>
    <t xml:space="preserve">Lists</t>
  </si>
  <si>
    <t xml:space="preserve">Owner names (fill these in) and the dropdown lists.</t>
  </si>
  <si>
    <t xml:space="preserve">What to edit</t>
  </si>
  <si>
    <t xml:space="preserve">Yellow cells</t>
  </si>
  <si>
    <t xml:space="preserve">Settings and owner names: Gantt!C2 (Gantt start), Lists!B (person per role).</t>
  </si>
  <si>
    <t xml:space="preserve">Tasks: Start, Weeks</t>
  </si>
  <si>
    <t xml:space="preserve">Start = Monday the task starts; Weeks = length. End is computed (Friday of the last week). Leave both empty if not scheduled.</t>
  </si>
  <si>
    <t xml:space="preserve">Grey italic columns</t>
  </si>
  <si>
    <t xml:space="preserve">Formulas (Person, End). Do not type over them.</t>
  </si>
  <si>
    <t xml:space="preserve">Assumptions</t>
  </si>
  <si>
    <t xml:space="preserve">Old weeks</t>
  </si>
  <si>
    <t xml:space="preserve">Old W1 = Mon 22 Jun 2026. Coloured week cells became Start + Weeks. Rows coloured red across all ten weeks were read as 'not scheduled' (note on each row).</t>
  </si>
  <si>
    <t xml:space="preserve">New plan</t>
  </si>
  <si>
    <t xml:space="preserve">New tasks start W17 = Mon 12 Oct 2026 (assumed start; shift Start dates as needed).</t>
  </si>
  <si>
    <t xml:space="preserve">Statuses</t>
  </si>
  <si>
    <t xml:space="preserve">Old statuses kept as they were; new tasks set from the state of the code (e.g. SCooP site 1 processed).</t>
  </si>
  <si>
    <t xml:space="preserve">Owners</t>
  </si>
  <si>
    <t xml:space="preserve">Owner = role. Put each person's name against the role in Lists; Tasks and Gantt show it.</t>
  </si>
  <si>
    <t xml:space="preserve">Google Sheets</t>
  </si>
  <si>
    <t xml:space="preserve">Open it</t>
  </si>
  <si>
    <t xml:space="preserve">Upload the .xlsx to Google Drive -&gt; open it -&gt; File &gt; Save as Google Sheets. Share the Google Sheet (Editor) with the team; use only that copy.</t>
  </si>
  <si>
    <t xml:space="preserve">Rule</t>
  </si>
  <si>
    <t xml:space="preserve">Nobody downloads, edits offline and re-uploads: that overwrites everyone else's changes. File &gt; Version history shows who changed what.</t>
  </si>
  <si>
    <t xml:space="preserve">Dropdown values</t>
  </si>
  <si>
    <t xml:space="preserve">Stored in each column's rule (Data &gt; Data validation). To add a status/role/goal: add it there; also add a new role to Lists so Person can be looked up.</t>
  </si>
  <si>
    <t xml:space="preserve">All numbers are formulas over Tasks, Problems and Interfaces.</t>
  </si>
  <si>
    <t xml:space="preserve">Goal</t>
  </si>
  <si>
    <t xml:space="preserve">Not Started</t>
  </si>
  <si>
    <t xml:space="preserve">In Progress</t>
  </si>
  <si>
    <t xml:space="preserve">Blocked</t>
  </si>
  <si>
    <t xml:space="preserve">Complete</t>
  </si>
  <si>
    <t xml:space="preserve">Partially Completed</t>
  </si>
  <si>
    <t xml:space="preserve">No status</t>
  </si>
  <si>
    <t xml:space="preserve">Total</t>
  </si>
  <si>
    <t xml:space="preserve">Overdue</t>
  </si>
  <si>
    <t xml:space="preserve">Not scheduled</t>
  </si>
  <si>
    <t xml:space="preserve">G1 ED305 live digital twin</t>
  </si>
  <si>
    <t xml:space="preserve">G2 SCooP dataset &amp; paper</t>
  </si>
  <si>
    <t xml:space="preserve">Shared SCooP testbed</t>
  </si>
  <si>
    <t xml:space="preserve">Dual-Link Communication</t>
  </si>
  <si>
    <t xml:space="preserve">Semantic Communication</t>
  </si>
  <si>
    <t xml:space="preserve">Owner (role)</t>
  </si>
  <si>
    <t xml:space="preserve">Person</t>
  </si>
  <si>
    <t xml:space="preserve">Sensors &amp; platform</t>
  </si>
  <si>
    <t xml:space="preserve">GS-SLAM</t>
  </si>
  <si>
    <t xml:space="preserve">Scene detection</t>
  </si>
  <si>
    <t xml:space="preserve">Isaac Sim</t>
  </si>
  <si>
    <t xml:space="preserve">Sionna RT</t>
  </si>
  <si>
    <t xml:space="preserve">SCooP dataset</t>
  </si>
  <si>
    <t xml:space="preserve">Dual-link comms</t>
  </si>
  <si>
    <t xml:space="preserve">Semantic comms</t>
  </si>
  <si>
    <t xml:space="preserve">All (integration)</t>
  </si>
  <si>
    <t xml:space="preserve">Open</t>
  </si>
  <si>
    <t xml:space="preserve">Investigating</t>
  </si>
  <si>
    <t xml:space="preserve">Resolved</t>
  </si>
  <si>
    <t xml:space="preserve">Won't fix</t>
  </si>
  <si>
    <t xml:space="preserve">Still open</t>
  </si>
  <si>
    <t xml:space="preserve">Blocker</t>
  </si>
  <si>
    <t xml:space="preserve">Major</t>
  </si>
  <si>
    <t xml:space="preserve">Minor</t>
  </si>
  <si>
    <t xml:space="preserve">Count</t>
  </si>
  <si>
    <t xml:space="preserve">Not defined</t>
  </si>
  <si>
    <t xml:space="preserve">Defined</t>
  </si>
  <si>
    <t xml:space="preserve">Implemented</t>
  </si>
  <si>
    <t xml:space="preserve">Tested</t>
  </si>
  <si>
    <t xml:space="preserve">One row per task. Start + Weeks drive the Gantt sheet. Grey italic columns are formulas.</t>
  </si>
  <si>
    <t xml:space="preserve">ID</t>
  </si>
  <si>
    <t xml:space="preserve">Component</t>
  </si>
  <si>
    <t xml:space="preserve">Task</t>
  </si>
  <si>
    <t xml:space="preserve">Detail</t>
  </si>
  <si>
    <t xml:space="preserve">Status</t>
  </si>
  <si>
    <t xml:space="preserve">Start</t>
  </si>
  <si>
    <t xml:space="preserve">Weeks</t>
  </si>
  <si>
    <t xml:space="preserve">End</t>
  </si>
  <si>
    <t xml:space="preserve">Depends on</t>
  </si>
  <si>
    <t xml:space="preserve">Done when</t>
  </si>
  <si>
    <t xml:space="preserve">Link</t>
  </si>
  <si>
    <t xml:space="preserve">Notes</t>
  </si>
  <si>
    <t xml:space="preserve">Old tracker ref</t>
  </si>
  <si>
    <t xml:space="preserve">TB-1</t>
  </si>
  <si>
    <t xml:space="preserve">Testbed</t>
  </si>
  <si>
    <t xml:space="preserve">Hardware inventory &amp; specs</t>
  </si>
  <si>
    <t xml:space="preserve">mobile_1, mobile_2, infra masts, sniffer: what is mounted where.</t>
  </si>
  <si>
    <t xml:space="preserve">Number of infra masts fixed; cascade radar and mobile_2 radar/Wi-Fi specs confirmed (paper sensors table complete)</t>
  </si>
  <si>
    <t xml:space="preserve">TB-2</t>
  </si>
  <si>
    <t xml:space="preserve">Sensor calibration (all units)</t>
  </si>
  <si>
    <t xml:space="preserve">Spatial and temporal calibration across all sensors; verify the TF chain (map -&gt; odom -&gt; zed_camera_center).</t>
  </si>
  <si>
    <t xml:space="preserve">Calibration table in the paper filled; residual per sensor pair recorded</t>
  </si>
  <si>
    <t xml:space="preserve">Dataset Collection 1</t>
  </si>
  <si>
    <t xml:space="preserve">TB-2.1</t>
  </si>
  <si>
    <t xml:space="preserve">Sensor Calibration (LiDAR-Camera, LiDAR-IMU, Camera-Radar, Intrinsics, Realsense-Zed, Mobile-Infra Extrinsics)</t>
  </si>
  <si>
    <t xml:space="preserve">Spatial calibration across all sensor pairs.</t>
  </si>
  <si>
    <t xml:space="preserve">Dataset Collection 1.1</t>
  </si>
  <si>
    <t xml:space="preserve">TB-2.2</t>
  </si>
  <si>
    <t xml:space="preserve">Calibration: LiDAR - Camera</t>
  </si>
  <si>
    <t xml:space="preserve">From the old tracker's Sheet1 calibration list.</t>
  </si>
  <si>
    <t xml:space="preserve">Status not recorded in the old file</t>
  </si>
  <si>
    <t xml:space="preserve">Old Sheet1 'calibration'</t>
  </si>
  <si>
    <t xml:space="preserve">TB-2.3</t>
  </si>
  <si>
    <t xml:space="preserve">Calibration: LiDAR - IMU</t>
  </si>
  <si>
    <t xml:space="preserve">TB-2.4</t>
  </si>
  <si>
    <t xml:space="preserve">Calibration: RealSense - ZED</t>
  </si>
  <si>
    <t xml:space="preserve">TB-2.5</t>
  </si>
  <si>
    <t xml:space="preserve">Calibration: ZED - Arducam</t>
  </si>
  <si>
    <t xml:space="preserve">TB-2.6</t>
  </si>
  <si>
    <t xml:space="preserve">Calibration: Radars - ZED</t>
  </si>
  <si>
    <t xml:space="preserve">TB-3</t>
  </si>
  <si>
    <t xml:space="preserve">Time sync &amp; TF chain</t>
  </si>
  <si>
    <t xml:space="preserve">Confirm TF chain resolves; sync clocks via UTC pivot.</t>
  </si>
  <si>
    <t xml:space="preserve">Sniffer NTP bias measured; NTP checked over &gt;= 3 passes; per-sensor transport latency measured; TF chain resolves</t>
  </si>
  <si>
    <t xml:space="preserve">Dataset Collection 1.2</t>
  </si>
  <si>
    <t xml:space="preserve">TB-4</t>
  </si>
  <si>
    <t xml:space="preserve">Wi-Fi &amp; comms logging</t>
  </si>
  <si>
    <t xml:space="preserve">AP ch149 VHT-80, wifi/status, iperf3, ping, chrony, Nexmon CSI.</t>
  </si>
  <si>
    <t xml:space="preserve">Pre-recording check passes on every node</t>
  </si>
  <si>
    <t xml:space="preserve">TB-5</t>
  </si>
  <si>
    <t xml:space="preserve">Recording tooling fixes</t>
  </si>
  <si>
    <t xml:space="preserve">Record mobile_2's on-board VSLAM; record mobile_2 depth/IMU/IR in survey mode.</t>
  </si>
  <si>
    <t xml:space="preserve">A test pass records every topic listed in record.yaml</t>
  </si>
  <si>
    <t xml:space="preserve">G2-DS-1</t>
  </si>
  <si>
    <t xml:space="preserve">Recording campaign</t>
  </si>
  <si>
    <t xml:space="preserve">All sites x pass types (mapping, survey, coop, contention). Site 1 (MIRC) recorded 2026-09-24.</t>
  </si>
  <si>
    <t xml:space="preserve">TB-2, TB-3, TB-5</t>
  </si>
  <si>
    <t xml:space="preserve">Sites 2 and 3 recorded, all four pass types per site</t>
  </si>
  <si>
    <t xml:space="preserve">Only Cameras and LiDAR mainly for calibration accuracy validation</t>
  </si>
  <si>
    <t xml:space="preserve">Dataset Collection 2 | tag Dataset #1</t>
  </si>
  <si>
    <t xml:space="preserve">G2-DS-1.1</t>
  </si>
  <si>
    <t xml:space="preserve">Indoor Trajectory Sessions</t>
  </si>
  <si>
    <t xml:space="preserve">Planned indoor routes and formations across both robots.</t>
  </si>
  <si>
    <t xml:space="preserve">2 different datasets → detect change (in validation)</t>
  </si>
  <si>
    <t xml:space="preserve">Dataset Collection 2.1</t>
  </si>
  <si>
    <t xml:space="preserve">G2-DS-1.2</t>
  </si>
  <si>
    <t xml:space="preserve">Outdoor Trajectory Sessions</t>
  </si>
  <si>
    <t xml:space="preserve">Planned outdoor routes, including GPS-denied test zones.</t>
  </si>
  <si>
    <t xml:space="preserve">Old tracker: red across W1-W10 (read as not scheduled)</t>
  </si>
  <si>
    <t xml:space="preserve">Dataset Collection 2.2</t>
  </si>
  <si>
    <t xml:space="preserve">G2-DS-1.3</t>
  </si>
  <si>
    <t xml:space="preserve">Record sites 2 and 3</t>
  </si>
  <si>
    <t xml:space="preserve">Mapping, survey, coop, contention passes per site.</t>
  </si>
  <si>
    <t xml:space="preserve">G2-DS-1.4</t>
  </si>
  <si>
    <t xml:space="preserve">Calibration rosbag</t>
  </si>
  <si>
    <t xml:space="preserve">Stop at several points where camera and LiDAR see the same scene (LiDAR, radar, ZED; Arducam; RealSense).</t>
  </si>
  <si>
    <t xml:space="preserve">Old Sheet1 'To record' 2</t>
  </si>
  <si>
    <t xml:space="preserve">G2-DS-1.5</t>
  </si>
  <si>
    <t xml:space="preserve">Short test recordings</t>
  </si>
  <si>
    <t xml:space="preserve">Distance from object, occlusion, object at image edge (LiDAR, radar, ZED; Arducam; RealSense).</t>
  </si>
  <si>
    <t xml:space="preserve">G2-DS-2</t>
  </si>
  <si>
    <t xml:space="preserve">Per-pass processing</t>
  </si>
  <si>
    <t xml:space="preserve">Decode Ouster, retime, GLIM, ZED SVO-&gt;bag, offline cuVSLAM for mobile_2, merge + check against record.yaml.</t>
  </si>
  <si>
    <t xml:space="preserve">Every recorded pass processed and merged; bag_check clean</t>
  </si>
  <si>
    <t xml:space="preserve">Done for the 2026-09-24 passes; rerun per new pass</t>
  </si>
  <si>
    <t xml:space="preserve">Dataset Collection 3 | tag Dataset #2</t>
  </si>
  <si>
    <t xml:space="preserve">G2-DS-2.1</t>
  </si>
  <si>
    <t xml:space="preserve">Merging Sensor Data</t>
  </si>
  <si>
    <t xml:space="preserve">Merge all recorded sensor data and transforms</t>
  </si>
  <si>
    <t xml:space="preserve">Dataset Collection 2.3</t>
  </si>
  <si>
    <t xml:space="preserve">G2-DS-2.2</t>
  </si>
  <si>
    <t xml:space="preserve">Timestamp Alignment Post-Processing</t>
  </si>
  <si>
    <t xml:space="preserve">Align all recorded streams to the UTC pivot reference.</t>
  </si>
  <si>
    <t xml:space="preserve">Dataset Collection 3.1</t>
  </si>
  <si>
    <t xml:space="preserve">G2-DS-3</t>
  </si>
  <si>
    <t xml:space="preserve">Reference maps &amp; board networks per site</t>
  </si>
  <si>
    <t xml:space="preserve">Map stages 01-02; ChArUco board network.</t>
  </si>
  <si>
    <t xml:space="preserve">Map + boards per site; wall/floor thickness reported</t>
  </si>
  <si>
    <t xml:space="preserve">Done for site 1 mapping_A (7.4 / 2.6 cm)</t>
  </si>
  <si>
    <t xml:space="preserve">G2-DS-3.1</t>
  </si>
  <si>
    <t xml:space="preserve">Localization and Mapping</t>
  </si>
  <si>
    <t xml:space="preserve">Pointcloud Mapping using LiDAR (LiDAR-SLAM) and Camera (V-SLAM)</t>
  </si>
  <si>
    <t xml:space="preserve">Dataset Collection 3.2</t>
  </si>
  <si>
    <t xml:space="preserve">G2-DS-3.2</t>
  </si>
  <si>
    <t xml:space="preserve">Mesh Conversion</t>
  </si>
  <si>
    <t xml:space="preserve">Converting pointcloud data to watertight mesh/cuboids</t>
  </si>
  <si>
    <t xml:space="preserve">Varying object resolution → zoom in, zoom out</t>
  </si>
  <si>
    <t xml:space="preserve">Dataset Collection 3.3</t>
  </si>
  <si>
    <t xml:space="preserve">G2-DS-4</t>
  </si>
  <si>
    <t xml:space="preserve">Reference poses (map stages 03-10)</t>
  </si>
  <si>
    <t xml:space="preserve">Boards init, reference trajectory (LiDAR ICP; depth_track/PGO for mobile_2), anchor, cut, cameras, TFs, cloud, poses.</t>
  </si>
  <si>
    <t xml:space="preserve">Every robot in every sequence has a reference trajectory</t>
  </si>
  <si>
    <t xml:space="preserve">Current: coop_2 mobile_2 track (P-001)</t>
  </si>
  <si>
    <t xml:space="preserve">G2-DS-5</t>
  </si>
  <si>
    <t xml:space="preserve">Ground-truth validation</t>
  </si>
  <si>
    <t xml:space="preserve">Control distances, held-out boards, cross-robot, cross-session.</t>
  </si>
  <si>
    <t xml:space="preserve">Paper GT table has no '--' cells</t>
  </si>
  <si>
    <t xml:space="preserve">G2-DS-6</t>
  </si>
  <si>
    <t xml:space="preserve">Annotations</t>
  </si>
  <si>
    <t xml:space="preserve">Boxes, per-point labels, masks; decide the keyframe rate. No pipeline code yet.</t>
  </si>
  <si>
    <t xml:space="preserve">Annotation set + statistics for every sequence</t>
  </si>
  <si>
    <t xml:space="preserve">Dataset Collection 3.4</t>
  </si>
  <si>
    <t xml:space="preserve">G2-DS-6.1</t>
  </si>
  <si>
    <t xml:space="preserve">Label QA (Coverage &amp; Class Balance)</t>
  </si>
  <si>
    <t xml:space="preserve">Spot-check annotation quality and scenario/class coverage.</t>
  </si>
  <si>
    <t xml:space="preserve">Dataset Collection 4.1</t>
  </si>
  <si>
    <t xml:space="preserve">G2-DS-7</t>
  </si>
  <si>
    <t xml:space="preserve">Collaboration geometry &amp; comm ground truth</t>
  </si>
  <si>
    <t xml:space="preserve">Overlap, visibility, beta, C, Fresnel clearance; comms tables; channel replay.</t>
  </si>
  <si>
    <t xml:space="preserve">G2-DS-4, TB-4</t>
  </si>
  <si>
    <t xml:space="preserve">Per-frame geometry + link files for every coop sequence</t>
  </si>
  <si>
    <t xml:space="preserve">G2-DS-8</t>
  </si>
  <si>
    <t xml:space="preserve">Release</t>
  </si>
  <si>
    <t xml:space="preserve">Raw MCAP layout, OPV2V-style extracted format, devkit, license/DOI/hosting.</t>
  </si>
  <si>
    <t xml:space="preserve">G2-DS-5, G2-DS-6, G2-DS-7</t>
  </si>
  <si>
    <t xml:space="preserve">Versioned release online with DOI; devkit examples run</t>
  </si>
  <si>
    <t xml:space="preserve">Dataset Collection 4 | tag Dataset #3</t>
  </si>
  <si>
    <t xml:space="preserve">G2-DS-8.1</t>
  </si>
  <si>
    <t xml:space="preserve">Dataset Packaging &amp; Documentation</t>
  </si>
  <si>
    <t xml:space="preserve">Assemble the final versioned dataset release.</t>
  </si>
  <si>
    <t xml:space="preserve">Dataset Collection 4.2</t>
  </si>
  <si>
    <t xml:space="preserve">G2-DS-8.2</t>
  </si>
  <si>
    <t xml:space="preserve">Devkit</t>
  </si>
  <si>
    <t xml:space="preserve">Readers, calib/clock API, projection, geometry, channel replay, evaluation.</t>
  </si>
  <si>
    <t xml:space="preserve">G2-DS-8.3</t>
  </si>
  <si>
    <t xml:space="preserve">License, DOI, hosting</t>
  </si>
  <si>
    <t xml:space="preserve">G2-BP-A</t>
  </si>
  <si>
    <t xml:space="preserve">SCooP paper &amp; benchmarks</t>
  </si>
  <si>
    <t xml:space="preserve">Ground-truth numbers (RESULTS_PLAN A0)</t>
  </si>
  <si>
    <t xml:space="preserve">Control distances, held-out board residuals, box-fit fraction, sniffer bias.</t>
  </si>
  <si>
    <t xml:space="preserve">G2-BP-B</t>
  </si>
  <si>
    <t xml:space="preserve">Inventory &amp; statistics tables (B)</t>
  </si>
  <si>
    <t xml:space="preserve">Sessions and sequence tables, annotation statistics.</t>
  </si>
  <si>
    <t xml:space="preserve">G2-BP-C</t>
  </si>
  <si>
    <t xml:space="preserve">Geometry validation (C)</t>
  </si>
  <si>
    <t xml:space="preserve">Clearance vs RSSI, co-visibility vs evidence.</t>
  </si>
  <si>
    <t xml:space="preserve">G2-BP-D</t>
  </si>
  <si>
    <t xml:space="preserve">T2 collaborative perception under 3 channels (D)</t>
  </si>
  <si>
    <t xml:space="preserve">Port the OpenCOOD harness; early, late, Where2comm minimum.</t>
  </si>
  <si>
    <t xml:space="preserve">G2-DS-6, G2-DS-7</t>
  </si>
  <si>
    <t xml:space="preserve">G2-BP-E</t>
  </si>
  <si>
    <t xml:space="preserve">T1 collaborative SLAM (E)</t>
  </si>
  <si>
    <t xml:space="preserve">Swarm-SLAM minimum; DiSCo, COVINS-G, Kimera/Hydra-Multi stretch.</t>
  </si>
  <si>
    <t xml:space="preserve">G2-BP-F</t>
  </si>
  <si>
    <t xml:space="preserve">Q2 regression (F)</t>
  </si>
  <si>
    <t xml:space="preserve">LightGBM, leave-one-site-out.</t>
  </si>
  <si>
    <t xml:space="preserve">G2-BP-D, G2-BP-C</t>
  </si>
  <si>
    <t xml:space="preserve">G2-BP-G</t>
  </si>
  <si>
    <t xml:space="preserve">Write-up (G)</t>
  </si>
  <si>
    <t xml:space="preserve">Replace 6 dummy-data figures, add 5 missing figures, results, abstract.</t>
  </si>
  <si>
    <t xml:space="preserve">G2-M1</t>
  </si>
  <si>
    <t xml:space="preserve">Milestone</t>
  </si>
  <si>
    <t xml:space="preserve">Paper submitted (IJRR)</t>
  </si>
  <si>
    <t xml:space="preserve">G2-BP-G, G2-DS-8</t>
  </si>
  <si>
    <t xml:space="preserve">G1-SP-1</t>
  </si>
  <si>
    <t xml:space="preserve">Sensor rig &amp; TF tree per robot</t>
  </si>
  <si>
    <t xml:space="preserve">RGB-D, IMU, wheel encoders, radio antenna; URDF/TF.</t>
  </si>
  <si>
    <t xml:space="preserve">G1-SP-2</t>
  </si>
  <si>
    <t xml:space="preserve">Odometry: front end + fusion filter</t>
  </si>
  <si>
    <t xml:space="preserve">Feature tracking + IMU + wheel ticks -&gt; pose prior T_k with covariance.</t>
  </si>
  <si>
    <t xml:space="preserve">TB-2, TB-3</t>
  </si>
  <si>
    <t xml:space="preserve">&gt;= 30 Hz pose prior with covariance; drift measured on a closed loop</t>
  </si>
  <si>
    <t xml:space="preserve">G1-SP-3</t>
  </si>
  <si>
    <t xml:space="preserve">ED305 camera calibration in the room frame</t>
  </si>
  <si>
    <t xml:space="preserve">Convert the ED305-cameras calibration into cameras.yaml; pose check against the red dot.</t>
  </si>
  <si>
    <t xml:space="preserve">configs/cameras.yaml from measurements; reprojection check passes</t>
  </si>
  <si>
    <t xml:space="preserve">Blocked by P-009</t>
  </si>
  <si>
    <t xml:space="preserve">G1-SP-4</t>
  </si>
  <si>
    <t xml:space="preserve">ED305 coverage &amp; camera placement</t>
  </si>
  <si>
    <t xml:space="preserve">coverage_map -&gt; measure mounts -&gt; optimize_cameras -&gt; re-aim -&gt; re-calibrate (WORKFLOW.md).</t>
  </si>
  <si>
    <t xml:space="preserve">No blind spots at k = 2 in the target volume</t>
  </si>
  <si>
    <t xml:space="preserve">ed305_digital_twin/WORKFLOW.md</t>
  </si>
  <si>
    <t xml:space="preserve">G1-SP-5</t>
  </si>
  <si>
    <t xml:space="preserve">Printed pan-tilt heads</t>
  </si>
  <si>
    <t xml:space="preserve">Check camera holes vs Basler drawing, print one, fit-check, then the flagged cameras.</t>
  </si>
  <si>
    <t xml:space="preserve">Flagged cameras on printed heads, set from moves.md readings</t>
  </si>
  <si>
    <t xml:space="preserve">ed305_digital_twin/hardware/pan_tilt</t>
  </si>
  <si>
    <t xml:space="preserve">G1-SP-6</t>
  </si>
  <si>
    <t xml:space="preserve">ED305 camera time sync</t>
  </si>
  <si>
    <t xml:space="preserve">PTP between the two camera hosts; measure offset with a common event.</t>
  </si>
  <si>
    <t xml:space="preserve">Measured offset between any two cameras &lt; 5 ms</t>
  </si>
  <si>
    <t xml:space="preserve">G1-GS-1</t>
  </si>
  <si>
    <t xml:space="preserve">Metric prior</t>
  </si>
  <si>
    <t xml:space="preserve">Back-project depth with K and the odometry pose into world points.</t>
  </si>
  <si>
    <t xml:space="preserve">G1-GS-2</t>
  </si>
  <si>
    <t xml:space="preserve">Tracking + keyframe gate</t>
  </si>
  <si>
    <t xml:space="preserve">Colour + depth residual pose solve; keyframe gate on overlap/motion.</t>
  </si>
  <si>
    <t xml:space="preserve">G1-GS-3</t>
  </si>
  <si>
    <t xml:space="preserve">Mapping + loop closure</t>
  </si>
  <si>
    <t xml:space="preserve">Densify, optimize, prune; local pose graph loop closure; keep moving objects out of the static map.</t>
  </si>
  <si>
    <t xml:space="preserve">Dynamic Digital Twin 1 | tag Dataset #2; Dataset #3</t>
  </si>
  <si>
    <t xml:space="preserve">G1-GS-3.1</t>
  </si>
  <si>
    <t xml:space="preserve">Dynamic-Object Filter (Pre-Registration)</t>
  </si>
  <si>
    <t xml:space="preserve">Strip moving objects out of the point cloud before registration.</t>
  </si>
  <si>
    <t xml:space="preserve">Dynamic Digital Twin 1.1</t>
  </si>
  <si>
    <t xml:space="preserve">G1-GS-3.2</t>
  </si>
  <si>
    <t xml:space="preserve">Static Point Cloud Registration</t>
  </si>
  <si>
    <t xml:space="preserve">Register the filtered static points into the base map.</t>
  </si>
  <si>
    <t xml:space="preserve">Dynamic Digital Twin 1.2</t>
  </si>
  <si>
    <t xml:space="preserve">G1-GS-4</t>
  </si>
  <si>
    <t xml:space="preserve">Real-time budget</t>
  </si>
  <si>
    <t xml:space="preserve">FPS and memory on the target machine.</t>
  </si>
  <si>
    <t xml:space="preserve">Tracking at camera rate; numbers in Runs</t>
  </si>
  <si>
    <t xml:space="preserve">G1-GS-5</t>
  </si>
  <si>
    <t xml:space="preserve">Map fusion (multi-robot)</t>
  </si>
  <si>
    <t xml:space="preserve">Inter-robot loop closure, alignment to the ED305 room frame, shared map store -&gt; global map G*.</t>
  </si>
  <si>
    <t xml:space="preserve">G1-GS-3, G1-SP-3</t>
  </si>
  <si>
    <t xml:space="preserve">G1-GS-6</t>
  </si>
  <si>
    <t xml:space="preserve">Evaluation</t>
  </si>
  <si>
    <t xml:space="preserve">ATE/RPE; rendered PSNR/SSIM and depth L1 on held-out views (SCooP sequences as test data).</t>
  </si>
  <si>
    <t xml:space="preserve">G1-GS-5, G2-DS-4</t>
  </si>
  <si>
    <t xml:space="preserve">G1-SD-1</t>
  </si>
  <si>
    <t xml:space="preserve">Object asset library</t>
  </si>
  <si>
    <t xml:space="preserve">USD assets of the lab's objects (chairs, tables, robots).</t>
  </si>
  <si>
    <t xml:space="preserve">G1-SD-2</t>
  </si>
  <si>
    <t xml:space="preserve">Object retrieval from G*</t>
  </si>
  <si>
    <t xml:space="preserve">Which library object, where (pose, point cloud); persistent instance IDs.</t>
  </si>
  <si>
    <t xml:space="preserve">G1-SD-1, G1-GS-5</t>
  </si>
  <si>
    <t xml:space="preserve">Split up the metric map into objects</t>
  </si>
  <si>
    <t xml:space="preserve">Dynamic Digital Twin 2 | tag Dataset #2; Dataset #3</t>
  </si>
  <si>
    <t xml:space="preserve">G1-SD-2.1</t>
  </si>
  <si>
    <t xml:space="preserve">Object Detection &amp; Instance Identification (RGB / RGBD / LiDAR / Radar)</t>
  </si>
  <si>
    <t xml:space="preserve">Detect and assign persistent instance IDs to every object on the map, reusing the detection/segmentation methods proven in the dataset pipeline (Dataset Task 9).</t>
  </si>
  <si>
    <t xml:space="preserve">Dynamic Digital Twin 2.1</t>
  </si>
  <si>
    <t xml:space="preserve">G1-SD-2.2</t>
  </si>
  <si>
    <t xml:space="preserve">Radar + Panoptic Fusion Tracking</t>
  </si>
  <si>
    <t xml:space="preserve">Combine radar motion data with segmentation labels for tracked objects.</t>
  </si>
  <si>
    <t xml:space="preserve">Dynamic Digital Twin 2.2</t>
  </si>
  <si>
    <t xml:space="preserve">G1-SD-3</t>
  </si>
  <si>
    <t xml:space="preserve">Decomposition: segments &amp; materials</t>
  </si>
  <si>
    <t xml:space="preserve">Segment the Gaussian map; material labels (needed by Sionna).</t>
  </si>
  <si>
    <t xml:space="preserve">G1-SD-4</t>
  </si>
  <si>
    <t xml:space="preserve">Change detection</t>
  </si>
  <si>
    <t xml:space="preserve">Twin's expected view vs live map, plus live targets from the ED305 cameras.</t>
  </si>
  <si>
    <t xml:space="preserve">G1-IS-5, G1-SD-2</t>
  </si>
  <si>
    <t xml:space="preserve">Dynamic Digital Twin 3 | tag Twin #1; Twin #2</t>
  </si>
  <si>
    <t xml:space="preserve">G1-SD-4.1</t>
  </si>
  <si>
    <t xml:space="preserve">Change Detection (Object Moved / Appeared / Disappeared)</t>
  </si>
  <si>
    <t xml:space="preserve">Compare current scene-graph state against the existing map to flag what changed.</t>
  </si>
  <si>
    <t xml:space="preserve">Dynamic Digital Twin 3.1</t>
  </si>
  <si>
    <t xml:space="preserve">G1-SD-5</t>
  </si>
  <si>
    <t xml:space="preserve">Maintenance with change history</t>
  </si>
  <si>
    <t xml:space="preserve">Prune, reuse; timestamped history instead of overwriting.</t>
  </si>
  <si>
    <t xml:space="preserve">G1-SD-5.1</t>
  </si>
  <si>
    <t xml:space="preserve">Scene Graph &amp; Map Update on Change (with Change History)</t>
  </si>
  <si>
    <t xml:space="preserve">Apply the detected change to both the map and scene graph, keeping a timestamped history rather than just the latest state.</t>
  </si>
  <si>
    <t xml:space="preserve">Dynamic Digital Twin 3.2</t>
  </si>
  <si>
    <t xml:space="preserve">G1-SD-6</t>
  </si>
  <si>
    <t xml:space="preserve">USD edits to Isaac</t>
  </si>
  <si>
    <t xml:space="preserve">Add / move / remove operations sent to the stage.</t>
  </si>
  <si>
    <t xml:space="preserve">G1-SD-4, G1-IS-6</t>
  </si>
  <si>
    <t xml:space="preserve">G1-SD-7</t>
  </si>
  <si>
    <t xml:space="preserve">Live targets from the ED305 cameras</t>
  </si>
  <si>
    <t xml:space="preserve">Multi-view detection of people/robots -&gt; positions in the room frame.</t>
  </si>
  <si>
    <t xml:space="preserve">G1-SP-3, G1-SP-6</t>
  </si>
  <si>
    <t xml:space="preserve">Targets at &gt;= 10 Hz in the room frame, error measured</t>
  </si>
  <si>
    <t xml:space="preserve">G1-IS-1</t>
  </si>
  <si>
    <t xml:space="preserve">ED305 USD stage in the room frame</t>
  </si>
  <si>
    <t xml:space="preserve">Static room model, units, frame = ED305 room frame.</t>
  </si>
  <si>
    <t xml:space="preserve">G1-IS-2</t>
  </si>
  <si>
    <t xml:space="preserve">Robot + antenna prims, live pose</t>
  </si>
  <si>
    <t xml:space="preserve">One per robot, world-frame pose every frame.</t>
  </si>
  <si>
    <t xml:space="preserve">G1-IS-3</t>
  </si>
  <si>
    <t xml:space="preserve">Gaussian layer</t>
  </si>
  <si>
    <t xml:space="preserve">Render G* splats (RTX).</t>
  </si>
  <si>
    <t xml:space="preserve">G1-IS-4</t>
  </si>
  <si>
    <t xml:space="preserve">Mesh layer</t>
  </si>
  <si>
    <t xml:space="preserve">Physics and radio materials.</t>
  </si>
  <si>
    <t xml:space="preserve">G1-IS-1, G1-SD-3</t>
  </si>
  <si>
    <t xml:space="preserve">G1-IS-5</t>
  </si>
  <si>
    <t xml:space="preserve">Expected-view render</t>
  </si>
  <si>
    <t xml:space="preserve">Render the twin from a robot/camera pose for change detection.</t>
  </si>
  <si>
    <t xml:space="preserve">G1-IS-6</t>
  </si>
  <si>
    <t xml:space="preserve">Apply live USD edits</t>
  </si>
  <si>
    <t xml:space="preserve">Add / move / remove within a latency budget.</t>
  </si>
  <si>
    <t xml:space="preserve">G1-IS-7</t>
  </si>
  <si>
    <t xml:space="preserve">Control commands to robots</t>
  </si>
  <si>
    <t xml:space="preserve">Twin -&gt; robot command path.</t>
  </si>
  <si>
    <t xml:space="preserve">G1-IS-8</t>
  </si>
  <si>
    <t xml:space="preserve">Export to Sionna</t>
  </si>
  <si>
    <t xml:space="preserve">Meshes, materials, all Tx/Rx poses.</t>
  </si>
  <si>
    <t xml:space="preserve">G1-SR-1</t>
  </si>
  <si>
    <t xml:space="preserve">Scene export USD -&gt; Mitsuba</t>
  </si>
  <si>
    <t xml:space="preserve">G1-SR-2</t>
  </si>
  <si>
    <t xml:space="preserve">Path solver, all Tx/Rx links</t>
  </si>
  <si>
    <t xml:space="preserve">G1-SR-3</t>
  </si>
  <si>
    <t xml:space="preserve">Channel output</t>
  </si>
  <si>
    <t xml:space="preserve">CIR per link, radio map.</t>
  </si>
  <si>
    <t xml:space="preserve">G1-SR-4</t>
  </si>
  <si>
    <t xml:space="preserve">Validate against measured channels</t>
  </si>
  <si>
    <t xml:space="preserve">Compare with SCooP CSI/RSSI logs.</t>
  </si>
  <si>
    <t xml:space="preserve">G1-SR-3, TB-4</t>
  </si>
  <si>
    <t xml:space="preserve">G1-M1</t>
  </si>
  <si>
    <t xml:space="preserve">M1 Offline map in Isaac</t>
  </si>
  <si>
    <t xml:space="preserve">One recording -&gt; GS map in the room frame -&gt; loaded in Isaac (static).</t>
  </si>
  <si>
    <t xml:space="preserve">G1-GS-3, G1-IS-3</t>
  </si>
  <si>
    <t xml:space="preserve">G1-M2</t>
  </si>
  <si>
    <t xml:space="preserve">M2 Live robot pose in Isaac</t>
  </si>
  <si>
    <t xml:space="preserve">One robot's live pose moves its prim; latency measured.</t>
  </si>
  <si>
    <t xml:space="preserve">G1-IS-2, G1-GS-2</t>
  </si>
  <si>
    <t xml:space="preserve">G1-M3</t>
  </si>
  <si>
    <t xml:space="preserve">M3 Change loop</t>
  </si>
  <si>
    <t xml:space="preserve">Move a chair -&gt; change detected -&gt; twin updated within the target time.</t>
  </si>
  <si>
    <t xml:space="preserve">G1-M4</t>
  </si>
  <si>
    <t xml:space="preserve">M4 Two robots, fused map</t>
  </si>
  <si>
    <t xml:space="preserve">Both robots live on G*.</t>
  </si>
  <si>
    <t xml:space="preserve">G1-M5</t>
  </si>
  <si>
    <t xml:space="preserve">M5 ED305 targets live in the twin</t>
  </si>
  <si>
    <t xml:space="preserve">People/robots from the room cameras appear live.</t>
  </si>
  <si>
    <t xml:space="preserve">G1-M6</t>
  </si>
  <si>
    <t xml:space="preserve">M6 Radio channels from the live twin</t>
  </si>
  <si>
    <t xml:space="preserve">Sionna channel per link from the live scene.</t>
  </si>
  <si>
    <t xml:space="preserve">DL-1</t>
  </si>
  <si>
    <t xml:space="preserve">Dual-link</t>
  </si>
  <si>
    <t xml:space="preserve">Define dual-link architecture</t>
  </si>
  <si>
    <t xml:space="preserve">Define the dual-link architecture (e.g. WiFi + WiFi) and QoS-tiered traffic-steering policy.</t>
  </si>
  <si>
    <t xml:space="preserve">Dual-Link 1 | tag -</t>
  </si>
  <si>
    <t xml:space="preserve">DL-1.1</t>
  </si>
  <si>
    <t xml:space="preserve">Link Pairing Selection (WiFi + WiFi)</t>
  </si>
  <si>
    <t xml:space="preserve">Confirm the two physical links actually used and steered between.</t>
  </si>
  <si>
    <t xml:space="preserve">Dual-Link 1.1</t>
  </si>
  <si>
    <t xml:space="preserve">DL-1.2</t>
  </si>
  <si>
    <t xml:space="preserve">QoS-Tiered Traffic-Steering Policy</t>
  </si>
  <si>
    <t xml:space="preserve">Which data classes (critical vs. map) route over which link.</t>
  </si>
  <si>
    <t xml:space="preserve">Dual-Link 1.2</t>
  </si>
  <si>
    <t xml:space="preserve">DL-2</t>
  </si>
  <si>
    <t xml:space="preserve">Build link monitor</t>
  </si>
  <si>
    <t xml:space="preserve">Build the link monitor: track PER/MTU, throughput/RTT, SNR and queue health on both links.</t>
  </si>
  <si>
    <t xml:space="preserve">Dual-Link 2</t>
  </si>
  <si>
    <t xml:space="preserve">DL-2.1</t>
  </si>
  <si>
    <t xml:space="preserve">PER / MTU Tracking</t>
  </si>
  <si>
    <t xml:space="preserve">Packet error rate and MTU behavior per link in real time.</t>
  </si>
  <si>
    <t xml:space="preserve">Dual-Link 2.1</t>
  </si>
  <si>
    <t xml:space="preserve">DL-2.2</t>
  </si>
  <si>
    <t xml:space="preserve">Throughput / RTT / Queue-Health Tracking</t>
  </si>
  <si>
    <t xml:space="preserve">Throughput, round-trip time, and queue/buffer health per link.</t>
  </si>
  <si>
    <t xml:space="preserve">Dual-Link 2.2</t>
  </si>
  <si>
    <t xml:space="preserve">DL-3</t>
  </si>
  <si>
    <t xml:space="preserve">Implement link compression</t>
  </si>
  <si>
    <t xml:space="preserve">Implement link-aware dynamic compression that reacts to link-monitor signals in real time.</t>
  </si>
  <si>
    <t xml:space="preserve">Dual-Link 3 | tag Link #2</t>
  </si>
  <si>
    <t xml:space="preserve">DL-3.1</t>
  </si>
  <si>
    <t xml:space="preserve">Compression Module (Link-Monitor Reactive)</t>
  </si>
  <si>
    <t xml:space="preserve">Wire PER/RTT/queue-health output into a live compression-rate decision.</t>
  </si>
  <si>
    <t xml:space="preserve">Dual-Link 3.1</t>
  </si>
  <si>
    <t xml:space="preserve">DL-3.2</t>
  </si>
  <si>
    <t xml:space="preserve">Compression Threshold Tuning</t>
  </si>
  <si>
    <t xml:space="preserve">Calibrate thresholds so compression triggers early enough to avoid loss.</t>
  </si>
  <si>
    <t xml:space="preserve">Dual-Link 3.2</t>
  </si>
  <si>
    <t xml:space="preserve">DL-4</t>
  </si>
  <si>
    <t xml:space="preserve">Validate Switching Strategies — WiFi1 + WiFi2</t>
  </si>
  <si>
    <t xml:space="preserve">Compare three approaches on the WiFi1+WiFi2 pair to determine which actually performs best before committing to one.</t>
  </si>
  <si>
    <t xml:space="preserve">Dual-Link 4 | tag Link #1;Link #2; Link #3;</t>
  </si>
  <si>
    <t xml:space="preserve">DL-4.1</t>
  </si>
  <si>
    <t xml:space="preserve">Single-Link Baseline</t>
  </si>
  <si>
    <t xml:space="preserve">Run all traffic over one WiFi link only — the no-switching baseline.</t>
  </si>
  <si>
    <t xml:space="preserve">Dual-Link 4.1</t>
  </si>
  <si>
    <t xml:space="preserve">DL-4.2</t>
  </si>
  <si>
    <t xml:space="preserve">Full Topic Switchover</t>
  </si>
  <si>
    <t xml:space="preserve">All topics move together to the other link on failover — coarse, all-or-nothing switching.</t>
  </si>
  <si>
    <t xml:space="preserve">Dual-Link 4.2</t>
  </si>
  <si>
    <t xml:space="preserve">DL-4.3</t>
  </si>
  <si>
    <t xml:space="preserve">True Dual-Link (QoS-Tiered Per-Topic)</t>
  </si>
  <si>
    <t xml:space="preserve">Both links used simultaneously, with topics routed individually per the QoS-tiered policy.</t>
  </si>
  <si>
    <t xml:space="preserve">Dual-Link 4.3</t>
  </si>
  <si>
    <t xml:space="preserve">DL-5</t>
  </si>
  <si>
    <t xml:space="preserve">Extend to WiFi + 5G</t>
  </si>
  <si>
    <t xml:space="preserve">Apply the validated switching approach to the WiFi + 5G link pair, then test real applications running over it.</t>
  </si>
  <si>
    <t xml:space="preserve">Dual-Link 5 | tag Link #4</t>
  </si>
  <si>
    <t xml:space="preserve">DL-5.1</t>
  </si>
  <si>
    <t xml:space="preserve">WiFi + 5G Link Pairing &amp; Switching Validation</t>
  </si>
  <si>
    <t xml:space="preserve">Repeat the switching-strategy comparison from Task 3 on the WiFi+5G pair specifically.</t>
  </si>
  <si>
    <t xml:space="preserve">Dual-Link 5.1</t>
  </si>
  <si>
    <t xml:space="preserve">DL-5.2</t>
  </si>
  <si>
    <t xml:space="preserve">Application-Level Testing on WiFi + 5G</t>
  </si>
  <si>
    <t xml:space="preserve">Run real application traffic over the validated WiFi+5G dual-link setup, not just synthetic link tests.</t>
  </si>
  <si>
    <t xml:space="preserve">Dual-Link 5.2</t>
  </si>
  <si>
    <t xml:space="preserve">DL-6</t>
  </si>
  <si>
    <t xml:space="preserve">Test failover &amp; reliability</t>
  </si>
  <si>
    <t xml:space="preserve">Test failover and reliability against availability/latency targets</t>
  </si>
  <si>
    <t xml:space="preserve">Dual-Link 6 | tag Link #5</t>
  </si>
  <si>
    <t xml:space="preserve">DL-6.1</t>
  </si>
  <si>
    <t xml:space="preserve">Failover Test Scenarios</t>
  </si>
  <si>
    <t xml:space="preserve">Force link drops and confirm failover behaves as expected.</t>
  </si>
  <si>
    <t xml:space="preserve">Dual-Link 6.1</t>
  </si>
  <si>
    <t xml:space="preserve">DL-6.2</t>
  </si>
  <si>
    <t xml:space="preserve">Availability / Latency Target Validation</t>
  </si>
  <si>
    <t xml:space="preserve">Confirm results meet the 99.7% availability / &lt;10 ms latency targets.</t>
  </si>
  <si>
    <t xml:space="preserve">Dual-Link 6.2</t>
  </si>
  <si>
    <t xml:space="preserve">DL-7</t>
  </si>
  <si>
    <t xml:space="preserve">Integrate with digital twin</t>
  </si>
  <si>
    <t xml:space="preserve">Integrate the predictive handover pipeline directly with the digital twin's object-tracking output.</t>
  </si>
  <si>
    <t xml:space="preserve">Dual-Link 7 | tag Twin #3; Link #6</t>
  </si>
  <si>
    <t xml:space="preserve">DL-7.1</t>
  </si>
  <si>
    <t xml:space="preserve">Predictive Handover &lt;-&gt; Twin Tracking Wiring</t>
  </si>
  <si>
    <t xml:space="preserve">Connect the handover module directly to live twin object-tracking data.</t>
  </si>
  <si>
    <t xml:space="preserve">Dual-Link 7.1</t>
  </si>
  <si>
    <t xml:space="preserve">DL-7.2</t>
  </si>
  <si>
    <t xml:space="preserve">End-to-End Integration Test</t>
  </si>
  <si>
    <t xml:space="preserve">Validate the full pipeline from twin prediction to link handover.</t>
  </si>
  <si>
    <t xml:space="preserve">Dual-Link 7.2</t>
  </si>
  <si>
    <t xml:space="preserve">SC-1</t>
  </si>
  <si>
    <t xml:space="preserve">Semantic comm</t>
  </si>
  <si>
    <t xml:space="preserve">Object Recognition (Camera Encoder/Decoder)</t>
  </si>
  <si>
    <t xml:space="preserve">Build and validate camera-only encode/decode for recognition first, before adding other modalities.</t>
  </si>
  <si>
    <t xml:space="preserve">Semantic Comm 1</t>
  </si>
  <si>
    <t xml:space="preserve">SC-1.1</t>
  </si>
  <si>
    <t xml:space="preserve">Encoder + Decoder</t>
  </si>
  <si>
    <t xml:space="preserve">Compress features, reconstruct, and recognize objects.</t>
  </si>
  <si>
    <t xml:space="preserve">Semantic Comm 1.1</t>
  </si>
  <si>
    <t xml:space="preserve">SC-1.2</t>
  </si>
  <si>
    <t xml:space="preserve">Accuracy Validation</t>
  </si>
  <si>
    <t xml:space="preserve">Confirm recognition holds up through compression.</t>
  </si>
  <si>
    <t xml:space="preserve">Semantic Comm 1.2</t>
  </si>
  <si>
    <t xml:space="preserve">SC-2</t>
  </si>
  <si>
    <t xml:space="preserve">Build Core Framework</t>
  </si>
  <si>
    <t xml:space="preserve">Baseline semantic comm framework plus a realistic channel model.</t>
  </si>
  <si>
    <t xml:space="preserve">Semantic Comm 2 | tag Sem #1</t>
  </si>
  <si>
    <t xml:space="preserve">SC-2.1</t>
  </si>
  <si>
    <t xml:space="preserve">Baseline 3-Stage Framework</t>
  </si>
  <si>
    <t xml:space="preserve">Local pre-training, evidential fusion, retransmission.</t>
  </si>
  <si>
    <t xml:space="preserve">Semantic Comm 2.1</t>
  </si>
  <si>
    <t xml:space="preserve">SC-2.2</t>
  </si>
  <si>
    <t xml:space="preserve">Realistic Channel Model</t>
  </si>
  <si>
    <t xml:space="preserve">Replace flat-fading/AWGN assumption, validate it.</t>
  </si>
  <si>
    <t xml:space="preserve">Semantic Comm 2.2</t>
  </si>
  <si>
    <t xml:space="preserve">SC-3</t>
  </si>
  <si>
    <t xml:space="preserve">Dynamic Bandwidth Management</t>
  </si>
  <si>
    <t xml:space="preserve">Network-aware allocation, physical limits, per-modality truncation, and outage-aware feedback.</t>
  </si>
  <si>
    <t xml:space="preserve">Semantic Comm 3 | tag Sem #2; Link #1</t>
  </si>
  <si>
    <t xml:space="preserve">SC-3.1</t>
  </si>
  <si>
    <t xml:space="preserve">Semantic Allocation</t>
  </si>
  <si>
    <t xml:space="preserve">Sense network state, decide feature budget live.</t>
  </si>
  <si>
    <t xml:space="preserve">Semantic Comm 3.1</t>
  </si>
  <si>
    <t xml:space="preserve">SC-3.2</t>
  </si>
  <si>
    <t xml:space="preserve">Physical Constraint Bounds</t>
  </si>
  <si>
    <t xml:space="preserve">Cap payload, enforce deadlines.</t>
  </si>
  <si>
    <t xml:space="preserve">Semantic Comm 3.2</t>
  </si>
  <si>
    <t xml:space="preserve">SC-3.3</t>
  </si>
  <si>
    <t xml:space="preserve">Per-Modality Truncation</t>
  </si>
  <si>
    <t xml:space="preserve">Each modality's feature size adapts independently.</t>
  </si>
  <si>
    <t xml:space="preserve">Semantic Comm 3.3</t>
  </si>
  <si>
    <t xml:space="preserve">SC-3.4</t>
  </si>
  <si>
    <t xml:space="preserve">Cost-Aware Feedback Loop</t>
  </si>
  <si>
    <t xml:space="preserve">Suppress retransmission requests during outages.</t>
  </si>
  <si>
    <t xml:space="preserve">Semantic Comm 3.4</t>
  </si>
  <si>
    <t xml:space="preserve">SC-4</t>
  </si>
  <si>
    <t xml:space="preserve">Multi-Task Transmission</t>
  </si>
  <si>
    <t xml:space="preserve">One representation serving SLAM, detection, and display.</t>
  </si>
  <si>
    <t xml:space="preserve">Semantic Comm 4 | tag Sem #3</t>
  </si>
  <si>
    <t xml:space="preserve">SC-5</t>
  </si>
  <si>
    <t xml:space="preserve">Train &amp; Evaluate on Dataset</t>
  </si>
  <si>
    <t xml:space="preserve">Train the full pipeline, measure accuracy vs. bandwidth.</t>
  </si>
  <si>
    <t xml:space="preserve">Semantic Comm 5 | tag Dataset #10; Sem #4</t>
  </si>
  <si>
    <t xml:space="preserve">SC-6</t>
  </si>
  <si>
    <t xml:space="preserve">Integrate with Dual-Link</t>
  </si>
  <si>
    <t xml:space="preserve">Wire in link signals for network-aware payload scaling.</t>
  </si>
  <si>
    <t xml:space="preserve">Semantic Comm 6 | tag Link #7; Sem #5</t>
  </si>
  <si>
    <t xml:space="preserve">Gantt starts (Monday):</t>
  </si>
  <si>
    <t xml:space="preserve">Today:</t>
  </si>
  <si>
    <t xml:space="preserve">Owner</t>
  </si>
  <si>
    <t xml:space="preserve">Legend</t>
  </si>
  <si>
    <t xml:space="preserve">Today's week</t>
  </si>
  <si>
    <t xml:space="preserve">Red End date = overdue</t>
  </si>
  <si>
    <t xml:space="preserve">Log anything that blocks work for more than a day. Link the task it blocks.</t>
  </si>
  <si>
    <t xml:space="preserve">Date opened for seeded rows = when they were logged here (7 Oct 2026); found in the SCooP code/paper and this project's work.</t>
  </si>
  <si>
    <t xml:space="preserve">P-ID</t>
  </si>
  <si>
    <t xml:space="preserve">Opened</t>
  </si>
  <si>
    <t xml:space="preserve">Task ID</t>
  </si>
  <si>
    <t xml:space="preserve">Severity</t>
  </si>
  <si>
    <t xml:space="preserve">What happened</t>
  </si>
  <si>
    <t xml:space="preserve">Blocks / impact</t>
  </si>
  <si>
    <t xml:space="preserve">Root cause</t>
  </si>
  <si>
    <t xml:space="preserve">Fix / workaround</t>
  </si>
  <si>
    <t xml:space="preserve">Closed</t>
  </si>
  <si>
    <t xml:space="preserve">P-001</t>
  </si>
  <si>
    <t xml:space="preserve">coop_2: mobile_2's on-board VSLAM was not recorded; its camera has dropouts.</t>
  </si>
  <si>
    <t xml:space="preserve">mobile_2 reference track for coop_2</t>
  </si>
  <si>
    <t xml:space="preserve">On-board VSLAM topic not in the recording</t>
  </si>
  <si>
    <t xml:space="preserve">Offline cuVSLAM + depth tracking/PGO with board and LiDAR fixes; stages 05/07/08 off, boards and Arducam borrowed from survey_1</t>
  </si>
  <si>
    <t xml:space="preserve">P-002</t>
  </si>
  <si>
    <t xml:space="preserve">Survey mode: mobile_2 parked; its depth, IMU and IR not recorded, no trajectory.</t>
  </si>
  <si>
    <t xml:space="preserve">mobile_2 data in survey passes</t>
  </si>
  <si>
    <t xml:space="preserve">record.yaml survey profile</t>
  </si>
  <si>
    <t xml:space="preserve">Add the topics to the survey profile (TB-5)</t>
  </si>
  <si>
    <t xml:space="preserve">P-003</t>
  </si>
  <si>
    <t xml:space="preserve">ZED's own tracking drifts; infra-camera ChArUco extrinsics in map_zed carry that drift.</t>
  </si>
  <si>
    <t xml:space="preserve">Infra camera placement; map_zed</t>
  </si>
  <si>
    <t xml:space="preserve">ZED odometry not trusted</t>
  </si>
  <si>
    <t xml:space="preserve">map_zed placed at mobile_1's start, odom_zed dropped</t>
  </si>
  <si>
    <t xml:space="preserve">P-004</t>
  </si>
  <si>
    <t xml:space="preserve">Sniffer NTP asymmetry bias (up to 7.8 ms) not measured; NTP numbers from one pass only.</t>
  </si>
  <si>
    <t xml:space="preserve">Clock table in the paper; CSI timing</t>
  </si>
  <si>
    <t xml:space="preserve">P-005</t>
  </si>
  <si>
    <t xml:space="preserve">Seq B walls thicker than seq A (single-visit corridors).</t>
  </si>
  <si>
    <t xml:space="preserve">Map quality numbers</t>
  </si>
  <si>
    <t xml:space="preserve">Corridors visited once</t>
  </si>
  <si>
    <t xml:space="preserve">P-006</t>
  </si>
  <si>
    <t xml:space="preserve">Cascade radar spec and mobile_2 radar/Wi-Fi parts unconfirmed.</t>
  </si>
  <si>
    <t xml:space="preserve">Paper sensors table</t>
  </si>
  <si>
    <t xml:space="preserve">P-007</t>
  </si>
  <si>
    <t xml:space="preserve">CSI resolves relative speeds only up to about 1.2 m/s.</t>
  </si>
  <si>
    <t xml:space="preserve">Channel analysis at higher speeds</t>
  </si>
  <si>
    <t xml:space="preserve">CSI sample rate</t>
  </si>
  <si>
    <t xml:space="preserve">State as a limitation</t>
  </si>
  <si>
    <t xml:space="preserve">P-008</t>
  </si>
  <si>
    <t xml:space="preserve">RESULTS_PLAN.md cites old stage paths (03_anchor, 08_reference_traj -&gt; now 05_anchor, 04_reference_traj).</t>
  </si>
  <si>
    <t xml:space="preserve">Following the results plan</t>
  </si>
  <si>
    <t xml:space="preserve">Stages renumbered</t>
  </si>
  <si>
    <t xml:space="preserve">Update the paths</t>
  </si>
  <si>
    <t xml:space="preserve">P-009</t>
  </si>
  <si>
    <t xml:space="preserve">No access to the HCIS-Lab/ED305-cameras repo (calibration files).</t>
  </si>
  <si>
    <t xml:space="preserve">Camera calibration -&gt; coverage -&gt; placement</t>
  </si>
  <si>
    <t xml:space="preserve">Repo not shared with the GitHub app</t>
  </si>
  <si>
    <t xml:space="preserve">Share the calibration/ files or grant repo access</t>
  </si>
  <si>
    <t xml:space="preserve">P-010</t>
  </si>
  <si>
    <t xml:space="preserve">Each camera mount's range of movement is unknown.</t>
  </si>
  <si>
    <t xml:space="preserve">Camera placement optimization</t>
  </si>
  <si>
    <t xml:space="preserve">Not documented</t>
  </si>
  <si>
    <t xml:space="preserve">Assumed ranges for now; measure from video (measure_rotation.py) or fit printed pan-tilt heads</t>
  </si>
  <si>
    <t xml:space="preserve">One row per hand-off between owners (arrows in the system diagram). Fill format/rate/frame when agreed.</t>
  </si>
  <si>
    <t xml:space="preserve">I-ID</t>
  </si>
  <si>
    <t xml:space="preserve">From (component)</t>
  </si>
  <si>
    <t xml:space="preserve">To (component)</t>
  </si>
  <si>
    <t xml:space="preserve">What is passed</t>
  </si>
  <si>
    <t xml:space="preserve">Topic / format</t>
  </si>
  <si>
    <t xml:space="preserve">Rate</t>
  </si>
  <si>
    <t xml:space="preserve">Frame &amp; timestamps</t>
  </si>
  <si>
    <t xml:space="preserve">From owner</t>
  </si>
  <si>
    <t xml:space="preserve">To owner</t>
  </si>
  <si>
    <t xml:space="preserve">State</t>
  </si>
  <si>
    <t xml:space="preserve">I-01</t>
  </si>
  <si>
    <t xml:space="preserve">Sensors</t>
  </si>
  <si>
    <t xml:space="preserve">Odometry</t>
  </si>
  <si>
    <t xml:space="preserve">RGB-D, IMU, wheel ticks</t>
  </si>
  <si>
    <t xml:space="preserve">TBD</t>
  </si>
  <si>
    <t xml:space="preserve">I-02</t>
  </si>
  <si>
    <t xml:space="preserve">Metric prior / Tracking</t>
  </si>
  <si>
    <t xml:space="preserve">Pose prior T_k with covariance</t>
  </si>
  <si>
    <t xml:space="preserve">I-03</t>
  </si>
  <si>
    <t xml:space="preserve">Depth image + intrinsics K</t>
  </si>
  <si>
    <t xml:space="preserve">I-04</t>
  </si>
  <si>
    <t xml:space="preserve">Mobile robots (sensor rig)</t>
  </si>
  <si>
    <t xml:space="preserve">GS-SLAM front end</t>
  </si>
  <si>
    <t xml:space="preserve">Current frame: colour I_k, depth D_k</t>
  </si>
  <si>
    <t xml:space="preserve">I-05</t>
  </si>
  <si>
    <t xml:space="preserve">GS-SLAM tracking</t>
  </si>
  <si>
    <t xml:space="preserve">Isaac Sim robot prims</t>
  </si>
  <si>
    <t xml:space="preserve">Each robot's pose T_k (every frame)</t>
  </si>
  <si>
    <t xml:space="preserve">I-06</t>
  </si>
  <si>
    <t xml:space="preserve">GS-SLAM back end</t>
  </si>
  <si>
    <t xml:space="preserve">Map fusion</t>
  </si>
  <si>
    <t xml:space="preserve">Submaps / keyframes per robot</t>
  </si>
  <si>
    <t xml:space="preserve">I-07</t>
  </si>
  <si>
    <t xml:space="preserve">Scene update (object retrieval)</t>
  </si>
  <si>
    <t xml:space="preserve">Global map G*</t>
  </si>
  <si>
    <t xml:space="preserve">I-08</t>
  </si>
  <si>
    <t xml:space="preserve">Scene update (change detection)</t>
  </si>
  <si>
    <t xml:space="preserve">Expected view (render of the twin)</t>
  </si>
  <si>
    <t xml:space="preserve">I-09</t>
  </si>
  <si>
    <t xml:space="preserve">Scene update (maintenance)</t>
  </si>
  <si>
    <t xml:space="preserve">Isaac Sim USD stage</t>
  </si>
  <si>
    <t xml:space="preserve">USD edits: add, move, remove</t>
  </si>
  <si>
    <t xml:space="preserve">I-10</t>
  </si>
  <si>
    <t xml:space="preserve">Mobile robots</t>
  </si>
  <si>
    <t xml:space="preserve">Control commands</t>
  </si>
  <si>
    <t xml:space="preserve">I-11</t>
  </si>
  <si>
    <t xml:space="preserve">Meshes, materials, all Tx/Rx poses</t>
  </si>
  <si>
    <t xml:space="preserve">I-12</t>
  </si>
  <si>
    <t xml:space="preserve">ED305 cameras</t>
  </si>
  <si>
    <t xml:space="preserve">Scene update</t>
  </si>
  <si>
    <t xml:space="preserve">Live target positions (people, robots) in the room frame</t>
  </si>
  <si>
    <t xml:space="preserve">I-13</t>
  </si>
  <si>
    <t xml:space="preserve">Dual-link (handover)</t>
  </si>
  <si>
    <t xml:space="preserve">CIR per link, radio map</t>
  </si>
  <si>
    <t xml:space="preserve">I-14</t>
  </si>
  <si>
    <t xml:space="preserve">SCooP testbed logs</t>
  </si>
  <si>
    <t xml:space="preserve">Sionna RT validation</t>
  </si>
  <si>
    <t xml:space="preserve">Measured CSI / RSSI per link</t>
  </si>
  <si>
    <t xml:space="preserve">Every Friday, one row per person. Blockers = problem IDs from Problems. Row 4 is an example: overwrite it.</t>
  </si>
  <si>
    <t xml:space="preserve">Week (Monday)</t>
  </si>
  <si>
    <t xml:space="preserve">Done</t>
  </si>
  <si>
    <t xml:space="preserve">Next</t>
  </si>
  <si>
    <t xml:space="preserve">Blockers (P-IDs)</t>
  </si>
  <si>
    <t xml:space="preserve">(example)</t>
  </si>
  <si>
    <t xml:space="preserve">Coverage + placement tools; printed pan-tilt head design</t>
  </si>
  <si>
    <t xml:space="preserve">Get ED305 calibration files; print one head</t>
  </si>
  <si>
    <t xml:space="preserve">Example row</t>
  </si>
  <si>
    <t xml:space="preserve">One row per pipeline run on the server. The server keeps the logs/bags; this sheet points to them. Row 4 is an example.</t>
  </si>
  <si>
    <t xml:space="preserve">Run ID</t>
  </si>
  <si>
    <t xml:space="preserve">Date</t>
  </si>
  <si>
    <t xml:space="preserve">Data (pass / bag)</t>
  </si>
  <si>
    <t xml:space="preserve">Git commit</t>
  </si>
  <si>
    <t xml:space="preserve">Components</t>
  </si>
  <si>
    <t xml:space="preserve">Key numbers</t>
  </si>
  <si>
    <t xml:space="preserve">Result / notes</t>
  </si>
  <si>
    <t xml:space="preserve">Log location</t>
  </si>
  <si>
    <t xml:space="preserve">(example) R-0001</t>
  </si>
  <si>
    <t xml:space="preserve">20260924/coop_2</t>
  </si>
  <si>
    <t xml:space="preserve">(commit)</t>
  </si>
  <si>
    <t xml:space="preserve">map stages 03-04</t>
  </si>
  <si>
    <t xml:space="preserve">mobile_2 track: board residual ... cm</t>
  </si>
  <si>
    <t xml:space="preserve">Track fixed except camera dropouts</t>
  </si>
  <si>
    <t xml:space="preserve">server:/data/processed/20260924/coop_2</t>
  </si>
  <si>
    <t xml:space="preserve">Owner names and dropdown values.</t>
  </si>
  <si>
    <t xml:space="preserve">Role</t>
  </si>
  <si>
    <t xml:space="preserve">Owns</t>
  </si>
  <si>
    <t xml:space="preserve">Problem status</t>
  </si>
  <si>
    <t xml:space="preserve">Interface state</t>
  </si>
  <si>
    <t xml:space="preserve">Robots, sensors, odometry, calibration, time sync, ED305 cameras, SCooP testbed</t>
  </si>
  <si>
    <t xml:space="preserve">Metric prior, GS-SLAM front/back end, map fusion</t>
  </si>
  <si>
    <t xml:space="preserve">Scene update: asset library, retrieval, decomposition, change detection, maintenance</t>
  </si>
  <si>
    <t xml:space="preserve">USD stage, robot prims, Gaussian/mesh layers, live edits, control, Sionna export</t>
  </si>
  <si>
    <t xml:space="preserve">Scene export, path solver, channel output</t>
  </si>
  <si>
    <t xml:space="preserve">SCooP recording campaign, reference poses, annotations, release, paper</t>
  </si>
  <si>
    <t xml:space="preserve">Dual-link communication workstream</t>
  </si>
  <si>
    <t xml:space="preserve">Semantic communication workstream</t>
  </si>
  <si>
    <t xml:space="preserve">Cross-owner integration milestones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</si>
</sst>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\ mmm\ yy"/>
    <numFmt numFmtId="167" formatCode="d\ mmm\ yyyy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10"/>
      <name val="Arial"/>
      <family val="2"/>
    </font>
    <font>
      <b val="true"/>
      <sz val="10"/>
      <color rgb="FF0000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C00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sz val="10"/>
      <color rgb="FF0000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2F2F2"/>
      </patternFill>
    </fill>
    <fill>
      <patternFill patternType="solid">
        <fgColor rgb="FF70AD47"/>
        <bgColor rgb="FF99CC00"/>
      </patternFill>
    </fill>
    <fill>
      <patternFill patternType="solid">
        <fgColor rgb="FFFFC000"/>
        <bgColor rgb="FFFF9900"/>
      </patternFill>
    </fill>
    <fill>
      <patternFill patternType="solid">
        <fgColor rgb="FFF4B183"/>
        <bgColor rgb="FFF4B6B6"/>
      </patternFill>
    </fill>
    <fill>
      <patternFill patternType="solid">
        <fgColor rgb="FFC00000"/>
        <bgColor rgb="FF800000"/>
      </patternFill>
    </fill>
    <fill>
      <patternFill patternType="solid">
        <fgColor rgb="FFA6A6A6"/>
        <bgColor rgb="FFBFBFBF"/>
      </patternFill>
    </fill>
    <fill>
      <patternFill patternType="solid">
        <fgColor rgb="FFF8CBAD"/>
        <bgColor rgb="FFF4B6B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E0E0E0"/>
      </left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4" fillId="2" borderId="0" xfId="0" applyFont="true" applyBorder="false" applyAlignment="true" applyProtection="false">
      <alignment horizontal="center" vertical="bottom" textRotation="9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5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4B6B6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>
          <bgColor rgb="FFD9D9D9"/>
        </patternFill>
      </fill>
    </dxf>
    <dxf>
      <fill>
        <patternFill>
          <bgColor rgb="FFFFE699"/>
        </patternFill>
      </fill>
    </dxf>
    <dxf>
      <fill>
        <patternFill>
          <bgColor rgb="FFF4B6B6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  <dxf>
      <font>
        <b val="1"/>
        <color rgb="FFC00000"/>
      </font>
    </dxf>
    <dxf>
      <font>
        <b val="1"/>
      </font>
      <fill>
        <patternFill>
          <bgColor rgb="FFF2F2F2"/>
        </patternFill>
      </fill>
    </dxf>
    <dxf>
      <fill>
        <patternFill>
          <bgColor rgb="FF1F4E78"/>
        </patternFill>
      </fill>
    </dxf>
    <dxf>
      <fill>
        <patternFill>
          <bgColor rgb="FF70AD47"/>
        </patternFill>
      </fill>
    </dxf>
    <dxf>
      <fill>
        <patternFill>
          <bgColor rgb="FFFFC000"/>
        </patternFill>
      </fill>
    </dxf>
    <dxf>
      <fill>
        <patternFill>
          <bgColor rgb="FFF4B183"/>
        </patternFill>
      </fill>
    </dxf>
    <dxf>
      <fill>
        <patternFill>
          <bgColor rgb="FFC00000"/>
        </patternFill>
      </fill>
    </dxf>
    <dxf>
      <fill>
        <patternFill>
          <bgColor rgb="FFA6A6A6"/>
        </patternFill>
      </fill>
    </dxf>
    <dxf>
      <font>
        <color rgb="FF808080"/>
      </font>
    </dxf>
    <dxf>
      <fill>
        <patternFill>
          <bgColor rgb="FFBDD7E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4B183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E0E0"/>
      <rgbColor rgb="FFC6E0B4"/>
      <rgbColor rgb="FFFFE699"/>
      <rgbColor rgb="FFD9D9D9"/>
      <rgbColor rgb="FFF4B6B6"/>
      <rgbColor rgb="FFCC99FF"/>
      <rgbColor rgb="FFF8CBAD"/>
      <rgbColor rgb="FF3366FF"/>
      <rgbColor rgb="FF33CCCC"/>
      <rgbColor rgb="FF99CC00"/>
      <rgbColor rgb="FFFFC000"/>
      <rgbColor rgb="FFFF9900"/>
      <rgbColor rgb="FFFF6600"/>
      <rgbColor rgb="FF595959"/>
      <rgbColor rgb="FFA6A6A6"/>
      <rgbColor rgb="FF003366"/>
      <rgbColor rgb="FF70AD47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</row>
    <row r="5" customFormat="false" ht="15" hidden="false" customHeight="false" outlineLevel="0" collapsed="false">
      <c r="A5" s="5" t="s">
        <v>3</v>
      </c>
      <c r="B5" s="4" t="s">
        <v>4</v>
      </c>
    </row>
    <row r="6" customFormat="false" ht="15" hidden="false" customHeight="false" outlineLevel="0" collapsed="false">
      <c r="A6" s="5" t="s">
        <v>5</v>
      </c>
      <c r="B6" s="4" t="s">
        <v>6</v>
      </c>
    </row>
    <row r="7" customFormat="false" ht="15" hidden="false" customHeight="false" outlineLevel="0" collapsed="false">
      <c r="A7" s="5" t="s">
        <v>7</v>
      </c>
      <c r="B7" s="4" t="s">
        <v>8</v>
      </c>
    </row>
    <row r="8" customFormat="false" ht="23.85" hidden="false" customHeight="false" outlineLevel="0" collapsed="false">
      <c r="A8" s="5" t="s">
        <v>9</v>
      </c>
      <c r="B8" s="4" t="s">
        <v>10</v>
      </c>
    </row>
    <row r="9" customFormat="false" ht="15" hidden="false" customHeight="false" outlineLevel="0" collapsed="false">
      <c r="A9" s="5" t="s">
        <v>11</v>
      </c>
      <c r="B9" s="4" t="s">
        <v>12</v>
      </c>
    </row>
    <row r="10" customFormat="false" ht="15" hidden="false" customHeight="false" outlineLevel="0" collapsed="false">
      <c r="A10" s="5" t="s">
        <v>13</v>
      </c>
      <c r="B10" s="4" t="s">
        <v>14</v>
      </c>
    </row>
    <row r="11" customFormat="false" ht="15" hidden="false" customHeight="false" outlineLevel="0" collapsed="false">
      <c r="A11" s="5" t="s">
        <v>15</v>
      </c>
      <c r="B11" s="4" t="s">
        <v>16</v>
      </c>
    </row>
    <row r="12" customFormat="false" ht="15" hidden="false" customHeight="false" outlineLevel="0" collapsed="false">
      <c r="A12" s="5" t="s">
        <v>17</v>
      </c>
      <c r="B12" s="4" t="s">
        <v>18</v>
      </c>
    </row>
    <row r="13" customFormat="false" ht="15" hidden="false" customHeight="false" outlineLevel="0" collapsed="false">
      <c r="A13" s="6"/>
      <c r="B13" s="4"/>
    </row>
    <row r="14" customFormat="false" ht="15" hidden="false" customHeight="false" outlineLevel="0" collapsed="false">
      <c r="A14" s="3" t="s">
        <v>19</v>
      </c>
      <c r="B14" s="4"/>
    </row>
    <row r="15" customFormat="false" ht="15" hidden="false" customHeight="false" outlineLevel="0" collapsed="false">
      <c r="A15" s="5" t="s">
        <v>20</v>
      </c>
      <c r="B15" s="4" t="s">
        <v>21</v>
      </c>
    </row>
    <row r="16" customFormat="false" ht="15" hidden="false" customHeight="false" outlineLevel="0" collapsed="false">
      <c r="A16" s="5" t="s">
        <v>22</v>
      </c>
      <c r="B16" s="4" t="s">
        <v>23</v>
      </c>
    </row>
    <row r="17" customFormat="false" ht="15" hidden="false" customHeight="false" outlineLevel="0" collapsed="false">
      <c r="A17" s="5" t="s">
        <v>24</v>
      </c>
      <c r="B17" s="4" t="s">
        <v>25</v>
      </c>
    </row>
    <row r="18" customFormat="false" ht="15" hidden="false" customHeight="false" outlineLevel="0" collapsed="false">
      <c r="A18" s="6"/>
      <c r="B18" s="4"/>
    </row>
    <row r="19" customFormat="false" ht="15" hidden="false" customHeight="false" outlineLevel="0" collapsed="false">
      <c r="A19" s="3" t="s">
        <v>26</v>
      </c>
      <c r="B19" s="4"/>
    </row>
    <row r="20" customFormat="false" ht="23.85" hidden="false" customHeight="false" outlineLevel="0" collapsed="false">
      <c r="A20" s="5" t="s">
        <v>27</v>
      </c>
      <c r="B20" s="4" t="s">
        <v>28</v>
      </c>
    </row>
    <row r="21" customFormat="false" ht="15" hidden="false" customHeight="false" outlineLevel="0" collapsed="false">
      <c r="A21" s="5" t="s">
        <v>29</v>
      </c>
      <c r="B21" s="4" t="s">
        <v>30</v>
      </c>
    </row>
    <row r="22" customFormat="false" ht="15" hidden="false" customHeight="false" outlineLevel="0" collapsed="false">
      <c r="A22" s="5" t="s">
        <v>31</v>
      </c>
      <c r="B22" s="4" t="s">
        <v>32</v>
      </c>
    </row>
    <row r="23" customFormat="false" ht="15" hidden="false" customHeight="false" outlineLevel="0" collapsed="false">
      <c r="A23" s="5" t="s">
        <v>33</v>
      </c>
      <c r="B23" s="4" t="s">
        <v>34</v>
      </c>
    </row>
    <row r="24" customFormat="false" ht="15" hidden="false" customHeight="false" outlineLevel="0" collapsed="false">
      <c r="A24" s="6"/>
      <c r="B24" s="4"/>
    </row>
    <row r="25" customFormat="false" ht="15" hidden="false" customHeight="false" outlineLevel="0" collapsed="false">
      <c r="A25" s="3" t="s">
        <v>35</v>
      </c>
      <c r="B25" s="4"/>
    </row>
    <row r="26" customFormat="false" ht="23.85" hidden="false" customHeight="false" outlineLevel="0" collapsed="false">
      <c r="A26" s="5" t="s">
        <v>36</v>
      </c>
      <c r="B26" s="4" t="s">
        <v>37</v>
      </c>
    </row>
    <row r="27" customFormat="false" ht="23.85" hidden="false" customHeight="false" outlineLevel="0" collapsed="false">
      <c r="A27" s="5" t="s">
        <v>38</v>
      </c>
      <c r="B27" s="4" t="s">
        <v>39</v>
      </c>
    </row>
    <row r="28" customFormat="false" ht="23.85" hidden="false" customHeight="false" outlineLevel="0" collapsed="false">
      <c r="A28" s="5" t="s">
        <v>40</v>
      </c>
      <c r="B28" s="4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13" min="3" style="0" width="12"/>
  </cols>
  <sheetData>
    <row r="1" customFormat="false" ht="17.35" hidden="false" customHeight="false" outlineLevel="0" collapsed="false">
      <c r="A1" s="1" t="s">
        <v>15</v>
      </c>
    </row>
    <row r="2" customFormat="false" ht="15" hidden="false" customHeight="false" outlineLevel="0" collapsed="false">
      <c r="A2" s="2" t="s">
        <v>42</v>
      </c>
    </row>
    <row r="4" customFormat="false" ht="30" hidden="false" customHeight="true" outlineLevel="0" collapsed="false">
      <c r="A4" s="7" t="s">
        <v>43</v>
      </c>
      <c r="B4" s="7" t="s">
        <v>44</v>
      </c>
      <c r="C4" s="7" t="s">
        <v>45</v>
      </c>
      <c r="D4" s="7" t="s">
        <v>46</v>
      </c>
      <c r="E4" s="7" t="s">
        <v>47</v>
      </c>
      <c r="F4" s="7" t="s">
        <v>48</v>
      </c>
      <c r="G4" s="7" t="s">
        <v>49</v>
      </c>
      <c r="H4" s="7" t="s">
        <v>50</v>
      </c>
      <c r="I4" s="7" t="s">
        <v>51</v>
      </c>
      <c r="J4" s="7" t="s">
        <v>52</v>
      </c>
    </row>
    <row r="5" customFormat="false" ht="15" hidden="false" customHeight="false" outlineLevel="0" collapsed="false">
      <c r="A5" s="8" t="s">
        <v>53</v>
      </c>
      <c r="B5" s="8" t="n">
        <f aca="false">COUNTIFS(Tasks!$B$4:$B$403,$A5,Tasks!$H$4:$H$403,"Not Started")</f>
        <v>41</v>
      </c>
      <c r="C5" s="8" t="n">
        <f aca="false">COUNTIFS(Tasks!$B$4:$B$403,$A5,Tasks!$H$4:$H$403,"In Progress")</f>
        <v>1</v>
      </c>
      <c r="D5" s="8" t="n">
        <f aca="false">COUNTIFS(Tasks!$B$4:$B$403,$A5,Tasks!$H$4:$H$403,"Blocked")</f>
        <v>1</v>
      </c>
      <c r="E5" s="8" t="n">
        <f aca="false">COUNTIFS(Tasks!$B$4:$B$403,$A5,Tasks!$H$4:$H$403,"Complete")</f>
        <v>0</v>
      </c>
      <c r="F5" s="8" t="n">
        <f aca="false">COUNTIFS(Tasks!$B$4:$B$403,$A5,Tasks!$H$4:$H$403,"Partially Completed")</f>
        <v>0</v>
      </c>
      <c r="G5" s="8" t="n">
        <f aca="false">COUNTIFS(Tasks!$B$4:$B$403,$A5,Tasks!$H$4:$H$403,"")</f>
        <v>0</v>
      </c>
      <c r="H5" s="5" t="n">
        <f aca="false">SUM(B5:G5)</f>
        <v>43</v>
      </c>
      <c r="I5" s="9" t="n">
        <f aca="true">COUNTIFS(Tasks!$B$4:$B$403,$A5,Tasks!$K$4:$K$403,"&lt;"&amp;TODAY(),Tasks!$H$4:$H$403,"&lt;&gt;Complete")</f>
        <v>6</v>
      </c>
      <c r="J5" s="8" t="n">
        <f aca="false">COUNTIFS(Tasks!$B$4:$B$403,$A5,Tasks!$I$4:$I$403,"")</f>
        <v>0</v>
      </c>
    </row>
    <row r="6" customFormat="false" ht="15" hidden="false" customHeight="false" outlineLevel="0" collapsed="false">
      <c r="A6" s="8" t="s">
        <v>54</v>
      </c>
      <c r="B6" s="8" t="n">
        <f aca="false">COUNTIFS(Tasks!$B$4:$B$403,$A6,Tasks!$H$4:$H$403,"Not Started")</f>
        <v>21</v>
      </c>
      <c r="C6" s="8" t="n">
        <f aca="false">COUNTIFS(Tasks!$B$4:$B$403,$A6,Tasks!$H$4:$H$403,"In Progress")</f>
        <v>4</v>
      </c>
      <c r="D6" s="8" t="n">
        <f aca="false">COUNTIFS(Tasks!$B$4:$B$403,$A6,Tasks!$H$4:$H$403,"Blocked")</f>
        <v>0</v>
      </c>
      <c r="E6" s="8" t="n">
        <f aca="false">COUNTIFS(Tasks!$B$4:$B$403,$A6,Tasks!$H$4:$H$403,"Complete")</f>
        <v>0</v>
      </c>
      <c r="F6" s="8" t="n">
        <f aca="false">COUNTIFS(Tasks!$B$4:$B$403,$A6,Tasks!$H$4:$H$403,"Partially Completed")</f>
        <v>2</v>
      </c>
      <c r="G6" s="8" t="n">
        <f aca="false">COUNTIFS(Tasks!$B$4:$B$403,$A6,Tasks!$H$4:$H$403,"")</f>
        <v>2</v>
      </c>
      <c r="H6" s="5" t="n">
        <f aca="false">SUM(B6:G6)</f>
        <v>29</v>
      </c>
      <c r="I6" s="9" t="n">
        <f aca="true">COUNTIFS(Tasks!$B$4:$B$403,$A6,Tasks!$K$4:$K$403,"&lt;"&amp;TODAY(),Tasks!$H$4:$H$403,"&lt;&gt;Complete")</f>
        <v>5</v>
      </c>
      <c r="J6" s="8" t="n">
        <f aca="false">COUNTIFS(Tasks!$B$4:$B$403,$A6,Tasks!$I$4:$I$403,"")</f>
        <v>3</v>
      </c>
    </row>
    <row r="7" customFormat="false" ht="15" hidden="false" customHeight="false" outlineLevel="0" collapsed="false">
      <c r="A7" s="8" t="s">
        <v>55</v>
      </c>
      <c r="B7" s="8" t="n">
        <f aca="false">COUNTIFS(Tasks!$B$4:$B$403,$A7,Tasks!$H$4:$H$403,"Not Started")</f>
        <v>2</v>
      </c>
      <c r="C7" s="8" t="n">
        <f aca="false">COUNTIFS(Tasks!$B$4:$B$403,$A7,Tasks!$H$4:$H$403,"In Progress")</f>
        <v>4</v>
      </c>
      <c r="D7" s="8" t="n">
        <f aca="false">COUNTIFS(Tasks!$B$4:$B$403,$A7,Tasks!$H$4:$H$403,"Blocked")</f>
        <v>0</v>
      </c>
      <c r="E7" s="8" t="n">
        <f aca="false">COUNTIFS(Tasks!$B$4:$B$403,$A7,Tasks!$H$4:$H$403,"Complete")</f>
        <v>0</v>
      </c>
      <c r="F7" s="8" t="n">
        <f aca="false">COUNTIFS(Tasks!$B$4:$B$403,$A7,Tasks!$H$4:$H$403,"Partially Completed")</f>
        <v>0</v>
      </c>
      <c r="G7" s="8" t="n">
        <f aca="false">COUNTIFS(Tasks!$B$4:$B$403,$A7,Tasks!$H$4:$H$403,"")</f>
        <v>5</v>
      </c>
      <c r="H7" s="5" t="n">
        <f aca="false">SUM(B7:G7)</f>
        <v>11</v>
      </c>
      <c r="I7" s="9" t="n">
        <f aca="true">COUNTIFS(Tasks!$B$4:$B$403,$A7,Tasks!$K$4:$K$403,"&lt;"&amp;TODAY(),Tasks!$H$4:$H$403,"&lt;&gt;Complete")</f>
        <v>3</v>
      </c>
      <c r="J7" s="8" t="n">
        <f aca="false">COUNTIFS(Tasks!$B$4:$B$403,$A7,Tasks!$I$4:$I$403,"")</f>
        <v>5</v>
      </c>
    </row>
    <row r="8" customFormat="false" ht="15" hidden="false" customHeight="false" outlineLevel="0" collapsed="false">
      <c r="A8" s="8" t="s">
        <v>56</v>
      </c>
      <c r="B8" s="8" t="n">
        <f aca="false">COUNTIFS(Tasks!$B$4:$B$403,$A8,Tasks!$H$4:$H$403,"Not Started")</f>
        <v>13</v>
      </c>
      <c r="C8" s="8" t="n">
        <f aca="false">COUNTIFS(Tasks!$B$4:$B$403,$A8,Tasks!$H$4:$H$403,"In Progress")</f>
        <v>2</v>
      </c>
      <c r="D8" s="8" t="n">
        <f aca="false">COUNTIFS(Tasks!$B$4:$B$403,$A8,Tasks!$H$4:$H$403,"Blocked")</f>
        <v>0</v>
      </c>
      <c r="E8" s="8" t="n">
        <f aca="false">COUNTIFS(Tasks!$B$4:$B$403,$A8,Tasks!$H$4:$H$403,"Complete")</f>
        <v>0</v>
      </c>
      <c r="F8" s="8" t="n">
        <f aca="false">COUNTIFS(Tasks!$B$4:$B$403,$A8,Tasks!$H$4:$H$403,"Partially Completed")</f>
        <v>7</v>
      </c>
      <c r="G8" s="8" t="n">
        <f aca="false">COUNTIFS(Tasks!$B$4:$B$403,$A8,Tasks!$H$4:$H$403,"")</f>
        <v>0</v>
      </c>
      <c r="H8" s="5" t="n">
        <f aca="false">SUM(B8:G8)</f>
        <v>22</v>
      </c>
      <c r="I8" s="9" t="n">
        <f aca="true">COUNTIFS(Tasks!$B$4:$B$403,$A8,Tasks!$K$4:$K$403,"&lt;"&amp;TODAY(),Tasks!$H$4:$H$403,"&lt;&gt;Complete")</f>
        <v>22</v>
      </c>
      <c r="J8" s="8" t="n">
        <f aca="false">COUNTIFS(Tasks!$B$4:$B$403,$A8,Tasks!$I$4:$I$403,"")</f>
        <v>0</v>
      </c>
    </row>
    <row r="9" customFormat="false" ht="15" hidden="false" customHeight="false" outlineLevel="0" collapsed="false">
      <c r="A9" s="8" t="s">
        <v>57</v>
      </c>
      <c r="B9" s="8" t="n">
        <f aca="false">COUNTIFS(Tasks!$B$4:$B$403,$A9,Tasks!$H$4:$H$403,"Not Started")</f>
        <v>14</v>
      </c>
      <c r="C9" s="8" t="n">
        <f aca="false">COUNTIFS(Tasks!$B$4:$B$403,$A9,Tasks!$H$4:$H$403,"In Progress")</f>
        <v>0</v>
      </c>
      <c r="D9" s="8" t="n">
        <f aca="false">COUNTIFS(Tasks!$B$4:$B$403,$A9,Tasks!$H$4:$H$403,"Blocked")</f>
        <v>0</v>
      </c>
      <c r="E9" s="8" t="n">
        <f aca="false">COUNTIFS(Tasks!$B$4:$B$403,$A9,Tasks!$H$4:$H$403,"Complete")</f>
        <v>0</v>
      </c>
      <c r="F9" s="8" t="n">
        <f aca="false">COUNTIFS(Tasks!$B$4:$B$403,$A9,Tasks!$H$4:$H$403,"Partially Completed")</f>
        <v>0</v>
      </c>
      <c r="G9" s="8" t="n">
        <f aca="false">COUNTIFS(Tasks!$B$4:$B$403,$A9,Tasks!$H$4:$H$403,"")</f>
        <v>0</v>
      </c>
      <c r="H9" s="5" t="n">
        <f aca="false">SUM(B9:G9)</f>
        <v>14</v>
      </c>
      <c r="I9" s="9" t="n">
        <f aca="true">COUNTIFS(Tasks!$B$4:$B$403,$A9,Tasks!$K$4:$K$403,"&lt;"&amp;TODAY(),Tasks!$H$4:$H$403,"&lt;&gt;Complete")</f>
        <v>6</v>
      </c>
      <c r="J9" s="8" t="n">
        <f aca="false">COUNTIFS(Tasks!$B$4:$B$403,$A9,Tasks!$I$4:$I$403,"")</f>
        <v>8</v>
      </c>
    </row>
    <row r="10" customFormat="false" ht="15" hidden="false" customHeight="false" outlineLevel="0" collapsed="false">
      <c r="A10" s="5" t="s">
        <v>50</v>
      </c>
      <c r="B10" s="5" t="n">
        <f aca="false">SUM(B5:B9)</f>
        <v>91</v>
      </c>
      <c r="C10" s="5" t="n">
        <f aca="false">SUM(C5:C9)</f>
        <v>11</v>
      </c>
      <c r="D10" s="5" t="n">
        <f aca="false">SUM(D5:D9)</f>
        <v>1</v>
      </c>
      <c r="E10" s="5" t="n">
        <f aca="false">SUM(E5:E9)</f>
        <v>0</v>
      </c>
      <c r="F10" s="5" t="n">
        <f aca="false">SUM(F5:F9)</f>
        <v>9</v>
      </c>
      <c r="G10" s="5" t="n">
        <f aca="false">SUM(G5:G9)</f>
        <v>7</v>
      </c>
      <c r="H10" s="5" t="n">
        <f aca="false">SUM(H5:H9)</f>
        <v>119</v>
      </c>
      <c r="I10" s="5" t="n">
        <f aca="false">SUM(I5:I9)</f>
        <v>42</v>
      </c>
      <c r="J10" s="5" t="n">
        <f aca="false">SUM(J5:J9)</f>
        <v>16</v>
      </c>
    </row>
    <row r="13" customFormat="false" ht="30" hidden="false" customHeight="true" outlineLevel="0" collapsed="false">
      <c r="A13" s="7" t="s">
        <v>58</v>
      </c>
      <c r="B13" s="7" t="s">
        <v>59</v>
      </c>
      <c r="C13" s="7" t="s">
        <v>44</v>
      </c>
      <c r="D13" s="7" t="s">
        <v>45</v>
      </c>
      <c r="E13" s="7" t="s">
        <v>46</v>
      </c>
      <c r="F13" s="7" t="s">
        <v>47</v>
      </c>
      <c r="G13" s="7" t="s">
        <v>48</v>
      </c>
      <c r="H13" s="7" t="s">
        <v>49</v>
      </c>
      <c r="I13" s="7" t="s">
        <v>50</v>
      </c>
      <c r="J13" s="7" t="s">
        <v>51</v>
      </c>
      <c r="K13" s="7" t="s">
        <v>52</v>
      </c>
    </row>
    <row r="14" customFormat="false" ht="15" hidden="false" customHeight="false" outlineLevel="0" collapsed="false">
      <c r="A14" s="8" t="s">
        <v>60</v>
      </c>
      <c r="B14" s="2" t="str">
        <f aca="false">IFERROR(INDEX(Lists!$B$4:$B$12,MATCH($A14,Lists!$A$4:$A$12,0)),"")</f>
        <v>TBD</v>
      </c>
      <c r="C14" s="8" t="n">
        <f aca="false">COUNTIFS(Tasks!$F$4:$F$403,$A14,Tasks!$H$4:$H$403,"Not Started")</f>
        <v>6</v>
      </c>
      <c r="D14" s="8" t="n">
        <f aca="false">COUNTIFS(Tasks!$F$4:$F$403,$A14,Tasks!$H$4:$H$403,"In Progress")</f>
        <v>5</v>
      </c>
      <c r="E14" s="8" t="n">
        <f aca="false">COUNTIFS(Tasks!$F$4:$F$403,$A14,Tasks!$H$4:$H$403,"Blocked")</f>
        <v>1</v>
      </c>
      <c r="F14" s="8" t="n">
        <f aca="false">COUNTIFS(Tasks!$F$4:$F$403,$A14,Tasks!$H$4:$H$403,"Complete")</f>
        <v>0</v>
      </c>
      <c r="G14" s="8" t="n">
        <f aca="false">COUNTIFS(Tasks!$F$4:$F$403,$A14,Tasks!$H$4:$H$403,"Partially Completed")</f>
        <v>0</v>
      </c>
      <c r="H14" s="8" t="n">
        <f aca="false">COUNTIFS(Tasks!$F$4:$F$403,$A14,Tasks!$H$4:$H$403,"")</f>
        <v>5</v>
      </c>
      <c r="I14" s="5" t="n">
        <f aca="false">SUM(C14:H14)</f>
        <v>17</v>
      </c>
      <c r="J14" s="9" t="n">
        <f aca="true">COUNTIFS(Tasks!$F$4:$F$403,$A14,Tasks!$K$4:$K$403,"&lt;"&amp;TODAY(),Tasks!$H$4:$H$403,"&lt;&gt;Complete")</f>
        <v>3</v>
      </c>
      <c r="K14" s="8" t="n">
        <f aca="false">COUNTIFS(Tasks!$F$4:$F$403,$A14,Tasks!$I$4:$I$403,"")</f>
        <v>5</v>
      </c>
    </row>
    <row r="15" customFormat="false" ht="15" hidden="false" customHeight="false" outlineLevel="0" collapsed="false">
      <c r="A15" s="8" t="s">
        <v>61</v>
      </c>
      <c r="B15" s="2" t="str">
        <f aca="false">IFERROR(INDEX(Lists!$B$4:$B$12,MATCH($A15,Lists!$A$4:$A$12,0)),"")</f>
        <v>TBD</v>
      </c>
      <c r="C15" s="8" t="n">
        <f aca="false">COUNTIFS(Tasks!$F$4:$F$403,$A15,Tasks!$H$4:$H$403,"Not Started")</f>
        <v>8</v>
      </c>
      <c r="D15" s="8" t="n">
        <f aca="false">COUNTIFS(Tasks!$F$4:$F$403,$A15,Tasks!$H$4:$H$403,"In Progress")</f>
        <v>0</v>
      </c>
      <c r="E15" s="8" t="n">
        <f aca="false">COUNTIFS(Tasks!$F$4:$F$403,$A15,Tasks!$H$4:$H$403,"Blocked")</f>
        <v>0</v>
      </c>
      <c r="F15" s="8" t="n">
        <f aca="false">COUNTIFS(Tasks!$F$4:$F$403,$A15,Tasks!$H$4:$H$403,"Complete")</f>
        <v>0</v>
      </c>
      <c r="G15" s="8" t="n">
        <f aca="false">COUNTIFS(Tasks!$F$4:$F$403,$A15,Tasks!$H$4:$H$403,"Partially Completed")</f>
        <v>0</v>
      </c>
      <c r="H15" s="8" t="n">
        <f aca="false">COUNTIFS(Tasks!$F$4:$F$403,$A15,Tasks!$H$4:$H$403,"")</f>
        <v>0</v>
      </c>
      <c r="I15" s="5" t="n">
        <f aca="false">SUM(C15:H15)</f>
        <v>8</v>
      </c>
      <c r="J15" s="9" t="n">
        <f aca="true">COUNTIFS(Tasks!$F$4:$F$403,$A15,Tasks!$K$4:$K$403,"&lt;"&amp;TODAY(),Tasks!$H$4:$H$403,"&lt;&gt;Complete")</f>
        <v>2</v>
      </c>
      <c r="K15" s="8" t="n">
        <f aca="false">COUNTIFS(Tasks!$F$4:$F$403,$A15,Tasks!$I$4:$I$403,"")</f>
        <v>0</v>
      </c>
    </row>
    <row r="16" customFormat="false" ht="15" hidden="false" customHeight="false" outlineLevel="0" collapsed="false">
      <c r="A16" s="8" t="s">
        <v>62</v>
      </c>
      <c r="B16" s="2" t="str">
        <f aca="false">IFERROR(INDEX(Lists!$B$4:$B$12,MATCH($A16,Lists!$A$4:$A$12,0)),"")</f>
        <v>TBD</v>
      </c>
      <c r="C16" s="8" t="n">
        <f aca="false">COUNTIFS(Tasks!$F$4:$F$403,$A16,Tasks!$H$4:$H$403,"Not Started")</f>
        <v>11</v>
      </c>
      <c r="D16" s="8" t="n">
        <f aca="false">COUNTIFS(Tasks!$F$4:$F$403,$A16,Tasks!$H$4:$H$403,"In Progress")</f>
        <v>0</v>
      </c>
      <c r="E16" s="8" t="n">
        <f aca="false">COUNTIFS(Tasks!$F$4:$F$403,$A16,Tasks!$H$4:$H$403,"Blocked")</f>
        <v>0</v>
      </c>
      <c r="F16" s="8" t="n">
        <f aca="false">COUNTIFS(Tasks!$F$4:$F$403,$A16,Tasks!$H$4:$H$403,"Complete")</f>
        <v>0</v>
      </c>
      <c r="G16" s="8" t="n">
        <f aca="false">COUNTIFS(Tasks!$F$4:$F$403,$A16,Tasks!$H$4:$H$403,"Partially Completed")</f>
        <v>0</v>
      </c>
      <c r="H16" s="8" t="n">
        <f aca="false">COUNTIFS(Tasks!$F$4:$F$403,$A16,Tasks!$H$4:$H$403,"")</f>
        <v>0</v>
      </c>
      <c r="I16" s="5" t="n">
        <f aca="false">SUM(C16:H16)</f>
        <v>11</v>
      </c>
      <c r="J16" s="9" t="n">
        <f aca="true">COUNTIFS(Tasks!$F$4:$F$403,$A16,Tasks!$K$4:$K$403,"&lt;"&amp;TODAY(),Tasks!$H$4:$H$403,"&lt;&gt;Complete")</f>
        <v>4</v>
      </c>
      <c r="K16" s="8" t="n">
        <f aca="false">COUNTIFS(Tasks!$F$4:$F$403,$A16,Tasks!$I$4:$I$403,"")</f>
        <v>0</v>
      </c>
    </row>
    <row r="17" customFormat="false" ht="15" hidden="false" customHeight="false" outlineLevel="0" collapsed="false">
      <c r="A17" s="8" t="s">
        <v>63</v>
      </c>
      <c r="B17" s="2" t="str">
        <f aca="false">IFERROR(INDEX(Lists!$B$4:$B$12,MATCH($A17,Lists!$A$4:$A$12,0)),"")</f>
        <v>TBD</v>
      </c>
      <c r="C17" s="8" t="n">
        <f aca="false">COUNTIFS(Tasks!$F$4:$F$403,$A17,Tasks!$H$4:$H$403,"Not Started")</f>
        <v>8</v>
      </c>
      <c r="D17" s="8" t="n">
        <f aca="false">COUNTIFS(Tasks!$F$4:$F$403,$A17,Tasks!$H$4:$H$403,"In Progress")</f>
        <v>0</v>
      </c>
      <c r="E17" s="8" t="n">
        <f aca="false">COUNTIFS(Tasks!$F$4:$F$403,$A17,Tasks!$H$4:$H$403,"Blocked")</f>
        <v>0</v>
      </c>
      <c r="F17" s="8" t="n">
        <f aca="false">COUNTIFS(Tasks!$F$4:$F$403,$A17,Tasks!$H$4:$H$403,"Complete")</f>
        <v>0</v>
      </c>
      <c r="G17" s="8" t="n">
        <f aca="false">COUNTIFS(Tasks!$F$4:$F$403,$A17,Tasks!$H$4:$H$403,"Partially Completed")</f>
        <v>0</v>
      </c>
      <c r="H17" s="8" t="n">
        <f aca="false">COUNTIFS(Tasks!$F$4:$F$403,$A17,Tasks!$H$4:$H$403,"")</f>
        <v>0</v>
      </c>
      <c r="I17" s="5" t="n">
        <f aca="false">SUM(C17:H17)</f>
        <v>8</v>
      </c>
      <c r="J17" s="9" t="n">
        <f aca="true">COUNTIFS(Tasks!$F$4:$F$403,$A17,Tasks!$K$4:$K$403,"&lt;"&amp;TODAY(),Tasks!$H$4:$H$403,"&lt;&gt;Complete")</f>
        <v>0</v>
      </c>
      <c r="K17" s="8" t="n">
        <f aca="false">COUNTIFS(Tasks!$F$4:$F$403,$A17,Tasks!$I$4:$I$403,"")</f>
        <v>0</v>
      </c>
    </row>
    <row r="18" customFormat="false" ht="15" hidden="false" customHeight="false" outlineLevel="0" collapsed="false">
      <c r="A18" s="8" t="s">
        <v>64</v>
      </c>
      <c r="B18" s="2" t="str">
        <f aca="false">IFERROR(INDEX(Lists!$B$4:$B$12,MATCH($A18,Lists!$A$4:$A$12,0)),"")</f>
        <v>TBD</v>
      </c>
      <c r="C18" s="8" t="n">
        <f aca="false">COUNTIFS(Tasks!$F$4:$F$403,$A18,Tasks!$H$4:$H$403,"Not Started")</f>
        <v>4</v>
      </c>
      <c r="D18" s="8" t="n">
        <f aca="false">COUNTIFS(Tasks!$F$4:$F$403,$A18,Tasks!$H$4:$H$403,"In Progress")</f>
        <v>0</v>
      </c>
      <c r="E18" s="8" t="n">
        <f aca="false">COUNTIFS(Tasks!$F$4:$F$403,$A18,Tasks!$H$4:$H$403,"Blocked")</f>
        <v>0</v>
      </c>
      <c r="F18" s="8" t="n">
        <f aca="false">COUNTIFS(Tasks!$F$4:$F$403,$A18,Tasks!$H$4:$H$403,"Complete")</f>
        <v>0</v>
      </c>
      <c r="G18" s="8" t="n">
        <f aca="false">COUNTIFS(Tasks!$F$4:$F$403,$A18,Tasks!$H$4:$H$403,"Partially Completed")</f>
        <v>0</v>
      </c>
      <c r="H18" s="8" t="n">
        <f aca="false">COUNTIFS(Tasks!$F$4:$F$403,$A18,Tasks!$H$4:$H$403,"")</f>
        <v>0</v>
      </c>
      <c r="I18" s="5" t="n">
        <f aca="false">SUM(C18:H18)</f>
        <v>4</v>
      </c>
      <c r="J18" s="9" t="n">
        <f aca="true">COUNTIFS(Tasks!$F$4:$F$403,$A18,Tasks!$K$4:$K$403,"&lt;"&amp;TODAY(),Tasks!$H$4:$H$403,"&lt;&gt;Complete")</f>
        <v>0</v>
      </c>
      <c r="K18" s="8" t="n">
        <f aca="false">COUNTIFS(Tasks!$F$4:$F$403,$A18,Tasks!$I$4:$I$403,"")</f>
        <v>0</v>
      </c>
    </row>
    <row r="19" customFormat="false" ht="15" hidden="false" customHeight="false" outlineLevel="0" collapsed="false">
      <c r="A19" s="8" t="s">
        <v>65</v>
      </c>
      <c r="B19" s="2" t="str">
        <f aca="false">IFERROR(INDEX(Lists!$B$4:$B$12,MATCH($A19,Lists!$A$4:$A$12,0)),"")</f>
        <v>TBD</v>
      </c>
      <c r="C19" s="8" t="n">
        <f aca="false">COUNTIFS(Tasks!$F$4:$F$403,$A19,Tasks!$H$4:$H$403,"Not Started")</f>
        <v>21</v>
      </c>
      <c r="D19" s="8" t="n">
        <f aca="false">COUNTIFS(Tasks!$F$4:$F$403,$A19,Tasks!$H$4:$H$403,"In Progress")</f>
        <v>4</v>
      </c>
      <c r="E19" s="8" t="n">
        <f aca="false">COUNTIFS(Tasks!$F$4:$F$403,$A19,Tasks!$H$4:$H$403,"Blocked")</f>
        <v>0</v>
      </c>
      <c r="F19" s="8" t="n">
        <f aca="false">COUNTIFS(Tasks!$F$4:$F$403,$A19,Tasks!$H$4:$H$403,"Complete")</f>
        <v>0</v>
      </c>
      <c r="G19" s="8" t="n">
        <f aca="false">COUNTIFS(Tasks!$F$4:$F$403,$A19,Tasks!$H$4:$H$403,"Partially Completed")</f>
        <v>2</v>
      </c>
      <c r="H19" s="8" t="n">
        <f aca="false">COUNTIFS(Tasks!$F$4:$F$403,$A19,Tasks!$H$4:$H$403,"")</f>
        <v>2</v>
      </c>
      <c r="I19" s="5" t="n">
        <f aca="false">SUM(C19:H19)</f>
        <v>29</v>
      </c>
      <c r="J19" s="9" t="n">
        <f aca="true">COUNTIFS(Tasks!$F$4:$F$403,$A19,Tasks!$K$4:$K$403,"&lt;"&amp;TODAY(),Tasks!$H$4:$H$403,"&lt;&gt;Complete")</f>
        <v>5</v>
      </c>
      <c r="K19" s="8" t="n">
        <f aca="false">COUNTIFS(Tasks!$F$4:$F$403,$A19,Tasks!$I$4:$I$403,"")</f>
        <v>3</v>
      </c>
    </row>
    <row r="20" customFormat="false" ht="15" hidden="false" customHeight="false" outlineLevel="0" collapsed="false">
      <c r="A20" s="8" t="s">
        <v>66</v>
      </c>
      <c r="B20" s="2" t="str">
        <f aca="false">IFERROR(INDEX(Lists!$B$4:$B$12,MATCH($A20,Lists!$A$4:$A$12,0)),"")</f>
        <v>TBD</v>
      </c>
      <c r="C20" s="8" t="n">
        <f aca="false">COUNTIFS(Tasks!$F$4:$F$403,$A20,Tasks!$H$4:$H$403,"Not Started")</f>
        <v>13</v>
      </c>
      <c r="D20" s="8" t="n">
        <f aca="false">COUNTIFS(Tasks!$F$4:$F$403,$A20,Tasks!$H$4:$H$403,"In Progress")</f>
        <v>2</v>
      </c>
      <c r="E20" s="8" t="n">
        <f aca="false">COUNTIFS(Tasks!$F$4:$F$403,$A20,Tasks!$H$4:$H$403,"Blocked")</f>
        <v>0</v>
      </c>
      <c r="F20" s="8" t="n">
        <f aca="false">COUNTIFS(Tasks!$F$4:$F$403,$A20,Tasks!$H$4:$H$403,"Complete")</f>
        <v>0</v>
      </c>
      <c r="G20" s="8" t="n">
        <f aca="false">COUNTIFS(Tasks!$F$4:$F$403,$A20,Tasks!$H$4:$H$403,"Partially Completed")</f>
        <v>7</v>
      </c>
      <c r="H20" s="8" t="n">
        <f aca="false">COUNTIFS(Tasks!$F$4:$F$403,$A20,Tasks!$H$4:$H$403,"")</f>
        <v>0</v>
      </c>
      <c r="I20" s="5" t="n">
        <f aca="false">SUM(C20:H20)</f>
        <v>22</v>
      </c>
      <c r="J20" s="9" t="n">
        <f aca="true">COUNTIFS(Tasks!$F$4:$F$403,$A20,Tasks!$K$4:$K$403,"&lt;"&amp;TODAY(),Tasks!$H$4:$H$403,"&lt;&gt;Complete")</f>
        <v>22</v>
      </c>
      <c r="K20" s="8" t="n">
        <f aca="false">COUNTIFS(Tasks!$F$4:$F$403,$A20,Tasks!$I$4:$I$403,"")</f>
        <v>0</v>
      </c>
    </row>
    <row r="21" customFormat="false" ht="15" hidden="false" customHeight="false" outlineLevel="0" collapsed="false">
      <c r="A21" s="8" t="s">
        <v>67</v>
      </c>
      <c r="B21" s="2" t="str">
        <f aca="false">IFERROR(INDEX(Lists!$B$4:$B$12,MATCH($A21,Lists!$A$4:$A$12,0)),"")</f>
        <v>TBD</v>
      </c>
      <c r="C21" s="8" t="n">
        <f aca="false">COUNTIFS(Tasks!$F$4:$F$403,$A21,Tasks!$H$4:$H$403,"Not Started")</f>
        <v>14</v>
      </c>
      <c r="D21" s="8" t="n">
        <f aca="false">COUNTIFS(Tasks!$F$4:$F$403,$A21,Tasks!$H$4:$H$403,"In Progress")</f>
        <v>0</v>
      </c>
      <c r="E21" s="8" t="n">
        <f aca="false">COUNTIFS(Tasks!$F$4:$F$403,$A21,Tasks!$H$4:$H$403,"Blocked")</f>
        <v>0</v>
      </c>
      <c r="F21" s="8" t="n">
        <f aca="false">COUNTIFS(Tasks!$F$4:$F$403,$A21,Tasks!$H$4:$H$403,"Complete")</f>
        <v>0</v>
      </c>
      <c r="G21" s="8" t="n">
        <f aca="false">COUNTIFS(Tasks!$F$4:$F$403,$A21,Tasks!$H$4:$H$403,"Partially Completed")</f>
        <v>0</v>
      </c>
      <c r="H21" s="8" t="n">
        <f aca="false">COUNTIFS(Tasks!$F$4:$F$403,$A21,Tasks!$H$4:$H$403,"")</f>
        <v>0</v>
      </c>
      <c r="I21" s="5" t="n">
        <f aca="false">SUM(C21:H21)</f>
        <v>14</v>
      </c>
      <c r="J21" s="9" t="n">
        <f aca="true">COUNTIFS(Tasks!$F$4:$F$403,$A21,Tasks!$K$4:$K$403,"&lt;"&amp;TODAY(),Tasks!$H$4:$H$403,"&lt;&gt;Complete")</f>
        <v>6</v>
      </c>
      <c r="K21" s="8" t="n">
        <f aca="false">COUNTIFS(Tasks!$F$4:$F$403,$A21,Tasks!$I$4:$I$403,"")</f>
        <v>8</v>
      </c>
    </row>
    <row r="22" customFormat="false" ht="15" hidden="false" customHeight="false" outlineLevel="0" collapsed="false">
      <c r="A22" s="8" t="s">
        <v>68</v>
      </c>
      <c r="B22" s="2" t="str">
        <f aca="false">IFERROR(INDEX(Lists!$B$4:$B$12,MATCH($A22,Lists!$A$4:$A$12,0)),"")</f>
        <v>TBD</v>
      </c>
      <c r="C22" s="8" t="n">
        <f aca="false">COUNTIFS(Tasks!$F$4:$F$403,$A22,Tasks!$H$4:$H$403,"Not Started")</f>
        <v>6</v>
      </c>
      <c r="D22" s="8" t="n">
        <f aca="false">COUNTIFS(Tasks!$F$4:$F$403,$A22,Tasks!$H$4:$H$403,"In Progress")</f>
        <v>0</v>
      </c>
      <c r="E22" s="8" t="n">
        <f aca="false">COUNTIFS(Tasks!$F$4:$F$403,$A22,Tasks!$H$4:$H$403,"Blocked")</f>
        <v>0</v>
      </c>
      <c r="F22" s="8" t="n">
        <f aca="false">COUNTIFS(Tasks!$F$4:$F$403,$A22,Tasks!$H$4:$H$403,"Complete")</f>
        <v>0</v>
      </c>
      <c r="G22" s="8" t="n">
        <f aca="false">COUNTIFS(Tasks!$F$4:$F$403,$A22,Tasks!$H$4:$H$403,"Partially Completed")</f>
        <v>0</v>
      </c>
      <c r="H22" s="8" t="n">
        <f aca="false">COUNTIFS(Tasks!$F$4:$F$403,$A22,Tasks!$H$4:$H$403,"")</f>
        <v>0</v>
      </c>
      <c r="I22" s="5" t="n">
        <f aca="false">SUM(C22:H22)</f>
        <v>6</v>
      </c>
      <c r="J22" s="9" t="n">
        <f aca="true">COUNTIFS(Tasks!$F$4:$F$403,$A22,Tasks!$K$4:$K$403,"&lt;"&amp;TODAY(),Tasks!$H$4:$H$403,"&lt;&gt;Complete")</f>
        <v>0</v>
      </c>
      <c r="K22" s="8" t="n">
        <f aca="false">COUNTIFS(Tasks!$F$4:$F$403,$A22,Tasks!$I$4:$I$403,"")</f>
        <v>0</v>
      </c>
    </row>
    <row r="23" customFormat="false" ht="15" hidden="false" customHeight="false" outlineLevel="0" collapsed="false">
      <c r="A23" s="5" t="s">
        <v>50</v>
      </c>
      <c r="C23" s="5" t="n">
        <f aca="false">SUM(C14:C22)</f>
        <v>91</v>
      </c>
      <c r="D23" s="5" t="n">
        <f aca="false">SUM(D14:D22)</f>
        <v>11</v>
      </c>
      <c r="E23" s="5" t="n">
        <f aca="false">SUM(E14:E22)</f>
        <v>1</v>
      </c>
      <c r="F23" s="5" t="n">
        <f aca="false">SUM(F14:F22)</f>
        <v>0</v>
      </c>
      <c r="G23" s="5" t="n">
        <f aca="false">SUM(G14:G22)</f>
        <v>9</v>
      </c>
      <c r="H23" s="5" t="n">
        <f aca="false">SUM(H14:H22)</f>
        <v>7</v>
      </c>
      <c r="I23" s="5" t="n">
        <f aca="false">SUM(I14:I22)</f>
        <v>119</v>
      </c>
      <c r="J23" s="5" t="n">
        <f aca="false">SUM(J14:J22)</f>
        <v>42</v>
      </c>
      <c r="K23" s="5" t="n">
        <f aca="false">SUM(K14:K22)</f>
        <v>16</v>
      </c>
    </row>
    <row r="26" customFormat="false" ht="15" hidden="false" customHeight="false" outlineLevel="0" collapsed="false">
      <c r="A26" s="10" t="s">
        <v>7</v>
      </c>
      <c r="B26" s="10" t="s">
        <v>69</v>
      </c>
      <c r="C26" s="10" t="s">
        <v>70</v>
      </c>
      <c r="D26" s="10" t="s">
        <v>71</v>
      </c>
      <c r="E26" s="10" t="s">
        <v>72</v>
      </c>
      <c r="F26" s="10" t="s">
        <v>73</v>
      </c>
    </row>
    <row r="27" customFormat="false" ht="15" hidden="false" customHeight="false" outlineLevel="0" collapsed="false">
      <c r="A27" s="8" t="s">
        <v>74</v>
      </c>
      <c r="B27" s="8" t="n">
        <f aca="false">COUNTIFS(Problems!$F$4:$F$203,$A27,Problems!$G$4:$G$203,"Open")</f>
        <v>1</v>
      </c>
      <c r="C27" s="8" t="n">
        <f aca="false">COUNTIFS(Problems!$F$4:$F$203,$A27,Problems!$G$4:$G$203,"Investigating")</f>
        <v>0</v>
      </c>
      <c r="D27" s="8" t="n">
        <f aca="false">COUNTIFS(Problems!$F$4:$F$203,$A27,Problems!$G$4:$G$203,"Resolved")</f>
        <v>0</v>
      </c>
      <c r="E27" s="8" t="n">
        <f aca="false">COUNTIFS(Problems!$F$4:$F$203,$A27,Problems!$G$4:$G$203,"Won't fix")</f>
        <v>0</v>
      </c>
      <c r="F27" s="9" t="n">
        <f aca="false">B27+C27</f>
        <v>1</v>
      </c>
    </row>
    <row r="28" customFormat="false" ht="15" hidden="false" customHeight="false" outlineLevel="0" collapsed="false">
      <c r="A28" s="8" t="s">
        <v>75</v>
      </c>
      <c r="B28" s="8" t="n">
        <f aca="false">COUNTIFS(Problems!$F$4:$F$203,$A28,Problems!$G$4:$G$203,"Open")</f>
        <v>2</v>
      </c>
      <c r="C28" s="8" t="n">
        <f aca="false">COUNTIFS(Problems!$F$4:$F$203,$A28,Problems!$G$4:$G$203,"Investigating")</f>
        <v>3</v>
      </c>
      <c r="D28" s="8" t="n">
        <f aca="false">COUNTIFS(Problems!$F$4:$F$203,$A28,Problems!$G$4:$G$203,"Resolved")</f>
        <v>0</v>
      </c>
      <c r="E28" s="8" t="n">
        <f aca="false">COUNTIFS(Problems!$F$4:$F$203,$A28,Problems!$G$4:$G$203,"Won't fix")</f>
        <v>0</v>
      </c>
      <c r="F28" s="9" t="n">
        <f aca="false">B28+C28</f>
        <v>5</v>
      </c>
    </row>
    <row r="29" customFormat="false" ht="15" hidden="false" customHeight="false" outlineLevel="0" collapsed="false">
      <c r="A29" s="8" t="s">
        <v>76</v>
      </c>
      <c r="B29" s="8" t="n">
        <f aca="false">COUNTIFS(Problems!$F$4:$F$203,$A29,Problems!$G$4:$G$203,"Open")</f>
        <v>4</v>
      </c>
      <c r="C29" s="8" t="n">
        <f aca="false">COUNTIFS(Problems!$F$4:$F$203,$A29,Problems!$G$4:$G$203,"Investigating")</f>
        <v>0</v>
      </c>
      <c r="D29" s="8" t="n">
        <f aca="false">COUNTIFS(Problems!$F$4:$F$203,$A29,Problems!$G$4:$G$203,"Resolved")</f>
        <v>0</v>
      </c>
      <c r="E29" s="8" t="n">
        <f aca="false">COUNTIFS(Problems!$F$4:$F$203,$A29,Problems!$G$4:$G$203,"Won't fix")</f>
        <v>0</v>
      </c>
      <c r="F29" s="9" t="n">
        <f aca="false">B29+C29</f>
        <v>4</v>
      </c>
    </row>
    <row r="32" customFormat="false" ht="15" hidden="false" customHeight="false" outlineLevel="0" collapsed="false">
      <c r="A32" s="10" t="s">
        <v>9</v>
      </c>
      <c r="B32" s="10" t="s">
        <v>77</v>
      </c>
    </row>
    <row r="33" customFormat="false" ht="15" hidden="false" customHeight="false" outlineLevel="0" collapsed="false">
      <c r="A33" s="8" t="s">
        <v>78</v>
      </c>
      <c r="B33" s="8" t="n">
        <f aca="false">COUNTIF(Interfaces!$J$4:$J$103,$A33)</f>
        <v>14</v>
      </c>
    </row>
    <row r="34" customFormat="false" ht="15" hidden="false" customHeight="false" outlineLevel="0" collapsed="false">
      <c r="A34" s="8" t="s">
        <v>79</v>
      </c>
      <c r="B34" s="8" t="n">
        <f aca="false">COUNTIF(Interfaces!$J$4:$J$103,$A34)</f>
        <v>0</v>
      </c>
    </row>
    <row r="35" customFormat="false" ht="15" hidden="false" customHeight="false" outlineLevel="0" collapsed="false">
      <c r="A35" s="8" t="s">
        <v>80</v>
      </c>
      <c r="B35" s="8" t="n">
        <f aca="false">COUNTIF(Interfaces!$J$4:$J$103,$A35)</f>
        <v>0</v>
      </c>
    </row>
    <row r="36" customFormat="false" ht="15" hidden="false" customHeight="false" outlineLevel="0" collapsed="false">
      <c r="A36" s="8" t="s">
        <v>81</v>
      </c>
      <c r="B36" s="8" t="n">
        <f aca="false">COUNTIF(Interfaces!$J$4:$J$103,$A36)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38"/>
    <col collapsed="false" customWidth="true" hidden="false" outlineLevel="0" max="5" min="5" style="0" width="44"/>
    <col collapsed="false" customWidth="true" hidden="false" outlineLevel="0" max="6" min="6" style="0" width="17"/>
    <col collapsed="false" customWidth="true" hidden="false" outlineLevel="0" max="7" min="7" style="0" width="13"/>
    <col collapsed="false" customWidth="true" hidden="false" outlineLevel="0" max="8" min="8" style="0" width="15"/>
    <col collapsed="false" customWidth="true" hidden="false" outlineLevel="0" max="9" min="9" style="0" width="11"/>
    <col collapsed="false" customWidth="true" hidden="false" outlineLevel="0" max="10" min="10" style="0" width="7"/>
    <col collapsed="false" customWidth="true" hidden="false" outlineLevel="0" max="11" min="11" style="0" width="11"/>
    <col collapsed="false" customWidth="true" hidden="false" outlineLevel="0" max="12" min="12" style="0" width="18"/>
    <col collapsed="false" customWidth="true" hidden="false" outlineLevel="0" max="13" min="13" style="0" width="36"/>
    <col collapsed="false" customWidth="true" hidden="false" outlineLevel="0" max="14" min="14" style="0" width="20"/>
    <col collapsed="false" customWidth="true" hidden="false" outlineLevel="0" max="15" min="15" style="0" width="30"/>
    <col collapsed="false" customWidth="true" hidden="false" outlineLevel="0" max="16" min="16" style="0" width="26"/>
  </cols>
  <sheetData>
    <row r="1" customFormat="false" ht="17.35" hidden="false" customHeight="false" outlineLevel="0" collapsed="false">
      <c r="A1" s="1" t="s">
        <v>3</v>
      </c>
    </row>
    <row r="2" customFormat="false" ht="15" hidden="false" customHeight="false" outlineLevel="0" collapsed="false">
      <c r="A2" s="2" t="s">
        <v>82</v>
      </c>
    </row>
    <row r="3" customFormat="false" ht="30" hidden="false" customHeight="true" outlineLevel="0" collapsed="false">
      <c r="A3" s="11" t="s">
        <v>83</v>
      </c>
      <c r="B3" s="11" t="s">
        <v>43</v>
      </c>
      <c r="C3" s="11" t="s">
        <v>84</v>
      </c>
      <c r="D3" s="11" t="s">
        <v>85</v>
      </c>
      <c r="E3" s="11" t="s">
        <v>86</v>
      </c>
      <c r="F3" s="11" t="s">
        <v>58</v>
      </c>
      <c r="G3" s="11" t="s">
        <v>59</v>
      </c>
      <c r="H3" s="11" t="s">
        <v>87</v>
      </c>
      <c r="I3" s="11" t="s">
        <v>88</v>
      </c>
      <c r="J3" s="11" t="s">
        <v>89</v>
      </c>
      <c r="K3" s="11" t="s">
        <v>90</v>
      </c>
      <c r="L3" s="11" t="s">
        <v>91</v>
      </c>
      <c r="M3" s="11" t="s">
        <v>92</v>
      </c>
      <c r="N3" s="11" t="s">
        <v>93</v>
      </c>
      <c r="O3" s="11" t="s">
        <v>94</v>
      </c>
      <c r="P3" s="11" t="s">
        <v>95</v>
      </c>
    </row>
    <row r="4" customFormat="false" ht="46.25" hidden="false" customHeight="false" outlineLevel="0" collapsed="false">
      <c r="A4" s="12" t="s">
        <v>96</v>
      </c>
      <c r="B4" s="12" t="s">
        <v>55</v>
      </c>
      <c r="C4" s="12" t="s">
        <v>97</v>
      </c>
      <c r="D4" s="4" t="s">
        <v>98</v>
      </c>
      <c r="E4" s="4" t="s">
        <v>99</v>
      </c>
      <c r="F4" s="12" t="s">
        <v>60</v>
      </c>
      <c r="G4" s="13" t="str">
        <f aca="false">IF($F4="","",IFERROR(INDEX(Lists!$B$4:$B$12,MATCH($F4,Lists!$A$4:$A$12,0)),""))</f>
        <v>TBD</v>
      </c>
      <c r="H4" s="12" t="s">
        <v>44</v>
      </c>
      <c r="I4" s="14" t="n">
        <v>46307</v>
      </c>
      <c r="J4" s="12" t="n">
        <v>2</v>
      </c>
      <c r="K4" s="15" t="n">
        <f aca="false">IF(OR($I4="",$J4=""),"",$I4+7*$J4-3)</f>
        <v>46318</v>
      </c>
      <c r="L4" s="12"/>
      <c r="M4" s="4" t="s">
        <v>100</v>
      </c>
      <c r="N4" s="12"/>
      <c r="O4" s="4"/>
      <c r="P4" s="12"/>
    </row>
    <row r="5" customFormat="false" ht="35.05" hidden="false" customHeight="false" outlineLevel="0" collapsed="false">
      <c r="A5" s="12" t="s">
        <v>101</v>
      </c>
      <c r="B5" s="12" t="s">
        <v>55</v>
      </c>
      <c r="C5" s="12" t="s">
        <v>97</v>
      </c>
      <c r="D5" s="4" t="s">
        <v>102</v>
      </c>
      <c r="E5" s="4" t="s">
        <v>103</v>
      </c>
      <c r="F5" s="12" t="s">
        <v>60</v>
      </c>
      <c r="G5" s="13" t="str">
        <f aca="false">IF($F5="","",IFERROR(INDEX(Lists!$B$4:$B$12,MATCH($F5,Lists!$A$4:$A$12,0)),""))</f>
        <v>TBD</v>
      </c>
      <c r="H5" s="12" t="s">
        <v>45</v>
      </c>
      <c r="I5" s="14" t="n">
        <v>46195</v>
      </c>
      <c r="J5" s="12" t="n">
        <v>2</v>
      </c>
      <c r="K5" s="15" t="n">
        <f aca="false">IF(OR($I5="",$J5=""),"",$I5+7*$J5-3)</f>
        <v>46206</v>
      </c>
      <c r="L5" s="12"/>
      <c r="M5" s="4" t="s">
        <v>104</v>
      </c>
      <c r="N5" s="12"/>
      <c r="O5" s="4"/>
      <c r="P5" s="12" t="s">
        <v>105</v>
      </c>
    </row>
    <row r="6" customFormat="false" ht="35.05" hidden="false" customHeight="false" outlineLevel="0" collapsed="false">
      <c r="A6" s="12" t="s">
        <v>106</v>
      </c>
      <c r="B6" s="12" t="s">
        <v>55</v>
      </c>
      <c r="C6" s="12" t="s">
        <v>97</v>
      </c>
      <c r="D6" s="4" t="s">
        <v>107</v>
      </c>
      <c r="E6" s="4" t="s">
        <v>108</v>
      </c>
      <c r="F6" s="12" t="s">
        <v>60</v>
      </c>
      <c r="G6" s="13" t="str">
        <f aca="false">IF($F6="","",IFERROR(INDEX(Lists!$B$4:$B$12,MATCH($F6,Lists!$A$4:$A$12,0)),""))</f>
        <v>TBD</v>
      </c>
      <c r="H6" s="12" t="s">
        <v>45</v>
      </c>
      <c r="I6" s="14" t="n">
        <v>46195</v>
      </c>
      <c r="J6" s="12" t="n">
        <v>2</v>
      </c>
      <c r="K6" s="15" t="n">
        <f aca="false">IF(OR($I6="",$J6=""),"",$I6+7*$J6-3)</f>
        <v>46206</v>
      </c>
      <c r="L6" s="12"/>
      <c r="M6" s="4"/>
      <c r="N6" s="12"/>
      <c r="O6" s="4"/>
      <c r="P6" s="12" t="s">
        <v>109</v>
      </c>
    </row>
    <row r="7" customFormat="false" ht="15" hidden="false" customHeight="false" outlineLevel="0" collapsed="false">
      <c r="A7" s="12" t="s">
        <v>110</v>
      </c>
      <c r="B7" s="12" t="s">
        <v>55</v>
      </c>
      <c r="C7" s="12" t="s">
        <v>97</v>
      </c>
      <c r="D7" s="4" t="s">
        <v>111</v>
      </c>
      <c r="E7" s="4" t="s">
        <v>112</v>
      </c>
      <c r="F7" s="12" t="s">
        <v>60</v>
      </c>
      <c r="G7" s="13" t="str">
        <f aca="false">IF($F7="","",IFERROR(INDEX(Lists!$B$4:$B$12,MATCH($F7,Lists!$A$4:$A$12,0)),""))</f>
        <v>TBD</v>
      </c>
      <c r="H7" s="12"/>
      <c r="I7" s="14"/>
      <c r="J7" s="12"/>
      <c r="K7" s="15" t="str">
        <f aca="false">IF(OR($I7="",$J7=""),"",$I7+7*$J7-3)</f>
        <v/>
      </c>
      <c r="L7" s="12"/>
      <c r="M7" s="4"/>
      <c r="N7" s="12"/>
      <c r="O7" s="4" t="s">
        <v>113</v>
      </c>
      <c r="P7" s="12" t="s">
        <v>114</v>
      </c>
    </row>
    <row r="8" customFormat="false" ht="15" hidden="false" customHeight="false" outlineLevel="0" collapsed="false">
      <c r="A8" s="12" t="s">
        <v>115</v>
      </c>
      <c r="B8" s="12" t="s">
        <v>55</v>
      </c>
      <c r="C8" s="12" t="s">
        <v>97</v>
      </c>
      <c r="D8" s="4" t="s">
        <v>116</v>
      </c>
      <c r="E8" s="4" t="s">
        <v>112</v>
      </c>
      <c r="F8" s="12" t="s">
        <v>60</v>
      </c>
      <c r="G8" s="13" t="str">
        <f aca="false">IF($F8="","",IFERROR(INDEX(Lists!$B$4:$B$12,MATCH($F8,Lists!$A$4:$A$12,0)),""))</f>
        <v>TBD</v>
      </c>
      <c r="H8" s="12"/>
      <c r="I8" s="14"/>
      <c r="J8" s="12"/>
      <c r="K8" s="15" t="str">
        <f aca="false">IF(OR($I8="",$J8=""),"",$I8+7*$J8-3)</f>
        <v/>
      </c>
      <c r="L8" s="12"/>
      <c r="M8" s="4"/>
      <c r="N8" s="12"/>
      <c r="O8" s="4" t="s">
        <v>113</v>
      </c>
      <c r="P8" s="12" t="s">
        <v>114</v>
      </c>
    </row>
    <row r="9" customFormat="false" ht="15" hidden="false" customHeight="false" outlineLevel="0" collapsed="false">
      <c r="A9" s="12" t="s">
        <v>117</v>
      </c>
      <c r="B9" s="12" t="s">
        <v>55</v>
      </c>
      <c r="C9" s="12" t="s">
        <v>97</v>
      </c>
      <c r="D9" s="4" t="s">
        <v>118</v>
      </c>
      <c r="E9" s="4" t="s">
        <v>112</v>
      </c>
      <c r="F9" s="12" t="s">
        <v>60</v>
      </c>
      <c r="G9" s="13" t="str">
        <f aca="false">IF($F9="","",IFERROR(INDEX(Lists!$B$4:$B$12,MATCH($F9,Lists!$A$4:$A$12,0)),""))</f>
        <v>TBD</v>
      </c>
      <c r="H9" s="12"/>
      <c r="I9" s="14"/>
      <c r="J9" s="12"/>
      <c r="K9" s="15" t="str">
        <f aca="false">IF(OR($I9="",$J9=""),"",$I9+7*$J9-3)</f>
        <v/>
      </c>
      <c r="L9" s="12"/>
      <c r="M9" s="4"/>
      <c r="N9" s="12"/>
      <c r="O9" s="4" t="s">
        <v>113</v>
      </c>
      <c r="P9" s="12" t="s">
        <v>114</v>
      </c>
    </row>
    <row r="10" customFormat="false" ht="15" hidden="false" customHeight="false" outlineLevel="0" collapsed="false">
      <c r="A10" s="12" t="s">
        <v>119</v>
      </c>
      <c r="B10" s="12" t="s">
        <v>55</v>
      </c>
      <c r="C10" s="12" t="s">
        <v>97</v>
      </c>
      <c r="D10" s="4" t="s">
        <v>120</v>
      </c>
      <c r="E10" s="4" t="s">
        <v>112</v>
      </c>
      <c r="F10" s="12" t="s">
        <v>60</v>
      </c>
      <c r="G10" s="13" t="str">
        <f aca="false">IF($F10="","",IFERROR(INDEX(Lists!$B$4:$B$12,MATCH($F10,Lists!$A$4:$A$12,0)),""))</f>
        <v>TBD</v>
      </c>
      <c r="H10" s="12"/>
      <c r="I10" s="14"/>
      <c r="J10" s="12"/>
      <c r="K10" s="15" t="str">
        <f aca="false">IF(OR($I10="",$J10=""),"",$I10+7*$J10-3)</f>
        <v/>
      </c>
      <c r="L10" s="12"/>
      <c r="M10" s="4"/>
      <c r="N10" s="12"/>
      <c r="O10" s="4" t="s">
        <v>113</v>
      </c>
      <c r="P10" s="12" t="s">
        <v>114</v>
      </c>
    </row>
    <row r="11" customFormat="false" ht="15" hidden="false" customHeight="false" outlineLevel="0" collapsed="false">
      <c r="A11" s="12" t="s">
        <v>121</v>
      </c>
      <c r="B11" s="12" t="s">
        <v>55</v>
      </c>
      <c r="C11" s="12" t="s">
        <v>97</v>
      </c>
      <c r="D11" s="4" t="s">
        <v>122</v>
      </c>
      <c r="E11" s="4" t="s">
        <v>112</v>
      </c>
      <c r="F11" s="12" t="s">
        <v>60</v>
      </c>
      <c r="G11" s="13" t="str">
        <f aca="false">IF($F11="","",IFERROR(INDEX(Lists!$B$4:$B$12,MATCH($F11,Lists!$A$4:$A$12,0)),""))</f>
        <v>TBD</v>
      </c>
      <c r="H11" s="12"/>
      <c r="I11" s="14"/>
      <c r="J11" s="12"/>
      <c r="K11" s="15" t="str">
        <f aca="false">IF(OR($I11="",$J11=""),"",$I11+7*$J11-3)</f>
        <v/>
      </c>
      <c r="L11" s="12"/>
      <c r="M11" s="4"/>
      <c r="N11" s="12"/>
      <c r="O11" s="4" t="s">
        <v>113</v>
      </c>
      <c r="P11" s="12" t="s">
        <v>114</v>
      </c>
    </row>
    <row r="12" customFormat="false" ht="46.25" hidden="false" customHeight="false" outlineLevel="0" collapsed="false">
      <c r="A12" s="12" t="s">
        <v>123</v>
      </c>
      <c r="B12" s="12" t="s">
        <v>55</v>
      </c>
      <c r="C12" s="12" t="s">
        <v>97</v>
      </c>
      <c r="D12" s="4" t="s">
        <v>124</v>
      </c>
      <c r="E12" s="4" t="s">
        <v>125</v>
      </c>
      <c r="F12" s="12" t="s">
        <v>60</v>
      </c>
      <c r="G12" s="13" t="str">
        <f aca="false">IF($F12="","",IFERROR(INDEX(Lists!$B$4:$B$12,MATCH($F12,Lists!$A$4:$A$12,0)),""))</f>
        <v>TBD</v>
      </c>
      <c r="H12" s="12" t="s">
        <v>45</v>
      </c>
      <c r="I12" s="14" t="n">
        <v>46202</v>
      </c>
      <c r="J12" s="12" t="n">
        <v>1</v>
      </c>
      <c r="K12" s="15" t="n">
        <f aca="false">IF(OR($I12="",$J12=""),"",$I12+7*$J12-3)</f>
        <v>46206</v>
      </c>
      <c r="L12" s="12"/>
      <c r="M12" s="4" t="s">
        <v>126</v>
      </c>
      <c r="N12" s="12"/>
      <c r="O12" s="4"/>
      <c r="P12" s="12" t="s">
        <v>127</v>
      </c>
    </row>
    <row r="13" customFormat="false" ht="23.85" hidden="false" customHeight="false" outlineLevel="0" collapsed="false">
      <c r="A13" s="12" t="s">
        <v>128</v>
      </c>
      <c r="B13" s="12" t="s">
        <v>55</v>
      </c>
      <c r="C13" s="12" t="s">
        <v>97</v>
      </c>
      <c r="D13" s="4" t="s">
        <v>129</v>
      </c>
      <c r="E13" s="4" t="s">
        <v>130</v>
      </c>
      <c r="F13" s="12" t="s">
        <v>60</v>
      </c>
      <c r="G13" s="13" t="str">
        <f aca="false">IF($F13="","",IFERROR(INDEX(Lists!$B$4:$B$12,MATCH($F13,Lists!$A$4:$A$12,0)),""))</f>
        <v>TBD</v>
      </c>
      <c r="H13" s="12" t="s">
        <v>45</v>
      </c>
      <c r="I13" s="14" t="n">
        <v>46307</v>
      </c>
      <c r="J13" s="12" t="n">
        <v>2</v>
      </c>
      <c r="K13" s="15" t="n">
        <f aca="false">IF(OR($I13="",$J13=""),"",$I13+7*$J13-3)</f>
        <v>46318</v>
      </c>
      <c r="L13" s="12"/>
      <c r="M13" s="4" t="s">
        <v>131</v>
      </c>
      <c r="N13" s="12"/>
      <c r="O13" s="4"/>
      <c r="P13" s="12"/>
    </row>
    <row r="14" customFormat="false" ht="23.85" hidden="false" customHeight="false" outlineLevel="0" collapsed="false">
      <c r="A14" s="12" t="s">
        <v>132</v>
      </c>
      <c r="B14" s="12" t="s">
        <v>55</v>
      </c>
      <c r="C14" s="12" t="s">
        <v>97</v>
      </c>
      <c r="D14" s="4" t="s">
        <v>133</v>
      </c>
      <c r="E14" s="4" t="s">
        <v>134</v>
      </c>
      <c r="F14" s="12" t="s">
        <v>60</v>
      </c>
      <c r="G14" s="13" t="str">
        <f aca="false">IF($F14="","",IFERROR(INDEX(Lists!$B$4:$B$12,MATCH($F14,Lists!$A$4:$A$12,0)),""))</f>
        <v>TBD</v>
      </c>
      <c r="H14" s="12" t="s">
        <v>44</v>
      </c>
      <c r="I14" s="14" t="n">
        <v>46307</v>
      </c>
      <c r="J14" s="12" t="n">
        <v>2</v>
      </c>
      <c r="K14" s="15" t="n">
        <f aca="false">IF(OR($I14="",$J14=""),"",$I14+7*$J14-3)</f>
        <v>46318</v>
      </c>
      <c r="L14" s="12" t="s">
        <v>128</v>
      </c>
      <c r="M14" s="4" t="s">
        <v>135</v>
      </c>
      <c r="N14" s="12"/>
      <c r="O14" s="4"/>
      <c r="P14" s="12"/>
    </row>
    <row r="15" customFormat="false" ht="23.85" hidden="false" customHeight="false" outlineLevel="0" collapsed="false">
      <c r="A15" s="12" t="s">
        <v>136</v>
      </c>
      <c r="B15" s="12" t="s">
        <v>54</v>
      </c>
      <c r="C15" s="12" t="s">
        <v>65</v>
      </c>
      <c r="D15" s="4" t="s">
        <v>137</v>
      </c>
      <c r="E15" s="4" t="s">
        <v>138</v>
      </c>
      <c r="F15" s="12" t="s">
        <v>65</v>
      </c>
      <c r="G15" s="13" t="str">
        <f aca="false">IF($F15="","",IFERROR(INDEX(Lists!$B$4:$B$12,MATCH($F15,Lists!$A$4:$A$12,0)),""))</f>
        <v>TBD</v>
      </c>
      <c r="H15" s="12" t="s">
        <v>48</v>
      </c>
      <c r="I15" s="14" t="n">
        <v>46314</v>
      </c>
      <c r="J15" s="12" t="n">
        <v>6</v>
      </c>
      <c r="K15" s="15" t="n">
        <f aca="false">IF(OR($I15="",$J15=""),"",$I15+7*$J15-3)</f>
        <v>46353</v>
      </c>
      <c r="L15" s="12" t="s">
        <v>139</v>
      </c>
      <c r="M15" s="4" t="s">
        <v>140</v>
      </c>
      <c r="N15" s="12"/>
      <c r="O15" s="4" t="s">
        <v>141</v>
      </c>
      <c r="P15" s="12" t="s">
        <v>142</v>
      </c>
    </row>
    <row r="16" customFormat="false" ht="23.85" hidden="false" customHeight="false" outlineLevel="0" collapsed="false">
      <c r="A16" s="12" t="s">
        <v>143</v>
      </c>
      <c r="B16" s="12" t="s">
        <v>54</v>
      </c>
      <c r="C16" s="12" t="s">
        <v>65</v>
      </c>
      <c r="D16" s="4" t="s">
        <v>144</v>
      </c>
      <c r="E16" s="4" t="s">
        <v>145</v>
      </c>
      <c r="F16" s="12" t="s">
        <v>65</v>
      </c>
      <c r="G16" s="13" t="str">
        <f aca="false">IF($F16="","",IFERROR(INDEX(Lists!$B$4:$B$12,MATCH($F16,Lists!$A$4:$A$12,0)),""))</f>
        <v>TBD</v>
      </c>
      <c r="H16" s="12" t="s">
        <v>48</v>
      </c>
      <c r="I16" s="14" t="n">
        <v>46202</v>
      </c>
      <c r="J16" s="12" t="n">
        <v>1</v>
      </c>
      <c r="K16" s="15" t="n">
        <f aca="false">IF(OR($I16="",$J16=""),"",$I16+7*$J16-3)</f>
        <v>46206</v>
      </c>
      <c r="L16" s="12"/>
      <c r="M16" s="4"/>
      <c r="N16" s="12"/>
      <c r="O16" s="4" t="s">
        <v>146</v>
      </c>
      <c r="P16" s="12" t="s">
        <v>147</v>
      </c>
    </row>
    <row r="17" customFormat="false" ht="23.85" hidden="false" customHeight="false" outlineLevel="0" collapsed="false">
      <c r="A17" s="12" t="s">
        <v>148</v>
      </c>
      <c r="B17" s="12" t="s">
        <v>54</v>
      </c>
      <c r="C17" s="12" t="s">
        <v>65</v>
      </c>
      <c r="D17" s="4" t="s">
        <v>149</v>
      </c>
      <c r="E17" s="4" t="s">
        <v>150</v>
      </c>
      <c r="F17" s="12" t="s">
        <v>65</v>
      </c>
      <c r="G17" s="13" t="str">
        <f aca="false">IF($F17="","",IFERROR(INDEX(Lists!$B$4:$B$12,MATCH($F17,Lists!$A$4:$A$12,0)),""))</f>
        <v>TBD</v>
      </c>
      <c r="H17" s="12" t="s">
        <v>44</v>
      </c>
      <c r="I17" s="14"/>
      <c r="J17" s="12"/>
      <c r="K17" s="15" t="str">
        <f aca="false">IF(OR($I17="",$J17=""),"",$I17+7*$J17-3)</f>
        <v/>
      </c>
      <c r="L17" s="12"/>
      <c r="M17" s="4"/>
      <c r="N17" s="12"/>
      <c r="O17" s="4" t="s">
        <v>151</v>
      </c>
      <c r="P17" s="12" t="s">
        <v>152</v>
      </c>
    </row>
    <row r="18" customFormat="false" ht="15" hidden="false" customHeight="false" outlineLevel="0" collapsed="false">
      <c r="A18" s="12" t="s">
        <v>153</v>
      </c>
      <c r="B18" s="12" t="s">
        <v>54</v>
      </c>
      <c r="C18" s="12" t="s">
        <v>65</v>
      </c>
      <c r="D18" s="4" t="s">
        <v>154</v>
      </c>
      <c r="E18" s="4" t="s">
        <v>155</v>
      </c>
      <c r="F18" s="12" t="s">
        <v>65</v>
      </c>
      <c r="G18" s="13" t="str">
        <f aca="false">IF($F18="","",IFERROR(INDEX(Lists!$B$4:$B$12,MATCH($F18,Lists!$A$4:$A$12,0)),""))</f>
        <v>TBD</v>
      </c>
      <c r="H18" s="12" t="s">
        <v>44</v>
      </c>
      <c r="I18" s="14" t="n">
        <v>46321</v>
      </c>
      <c r="J18" s="12" t="n">
        <v>4</v>
      </c>
      <c r="K18" s="15" t="n">
        <f aca="false">IF(OR($I18="",$J18=""),"",$I18+7*$J18-3)</f>
        <v>46346</v>
      </c>
      <c r="L18" s="12" t="s">
        <v>132</v>
      </c>
      <c r="M18" s="4"/>
      <c r="N18" s="12"/>
      <c r="O18" s="4"/>
      <c r="P18" s="12"/>
    </row>
    <row r="19" customFormat="false" ht="35.05" hidden="false" customHeight="false" outlineLevel="0" collapsed="false">
      <c r="A19" s="12" t="s">
        <v>156</v>
      </c>
      <c r="B19" s="12" t="s">
        <v>54</v>
      </c>
      <c r="C19" s="12" t="s">
        <v>65</v>
      </c>
      <c r="D19" s="4" t="s">
        <v>157</v>
      </c>
      <c r="E19" s="4" t="s">
        <v>158</v>
      </c>
      <c r="F19" s="12" t="s">
        <v>65</v>
      </c>
      <c r="G19" s="13" t="str">
        <f aca="false">IF($F19="","",IFERROR(INDEX(Lists!$B$4:$B$12,MATCH($F19,Lists!$A$4:$A$12,0)),""))</f>
        <v>TBD</v>
      </c>
      <c r="H19" s="12"/>
      <c r="I19" s="14" t="n">
        <v>46314</v>
      </c>
      <c r="J19" s="12" t="n">
        <v>1</v>
      </c>
      <c r="K19" s="15" t="n">
        <f aca="false">IF(OR($I19="",$J19=""),"",$I19+7*$J19-3)</f>
        <v>46318</v>
      </c>
      <c r="L19" s="12"/>
      <c r="M19" s="4"/>
      <c r="N19" s="12"/>
      <c r="O19" s="4" t="s">
        <v>113</v>
      </c>
      <c r="P19" s="12" t="s">
        <v>159</v>
      </c>
    </row>
    <row r="20" customFormat="false" ht="23.85" hidden="false" customHeight="false" outlineLevel="0" collapsed="false">
      <c r="A20" s="12" t="s">
        <v>160</v>
      </c>
      <c r="B20" s="12" t="s">
        <v>54</v>
      </c>
      <c r="C20" s="12" t="s">
        <v>65</v>
      </c>
      <c r="D20" s="4" t="s">
        <v>161</v>
      </c>
      <c r="E20" s="4" t="s">
        <v>162</v>
      </c>
      <c r="F20" s="12" t="s">
        <v>65</v>
      </c>
      <c r="G20" s="13" t="str">
        <f aca="false">IF($F20="","",IFERROR(INDEX(Lists!$B$4:$B$12,MATCH($F20,Lists!$A$4:$A$12,0)),""))</f>
        <v>TBD</v>
      </c>
      <c r="H20" s="12"/>
      <c r="I20" s="14" t="n">
        <v>46314</v>
      </c>
      <c r="J20" s="12" t="n">
        <v>1</v>
      </c>
      <c r="K20" s="15" t="n">
        <f aca="false">IF(OR($I20="",$J20=""),"",$I20+7*$J20-3)</f>
        <v>46318</v>
      </c>
      <c r="L20" s="12"/>
      <c r="M20" s="4"/>
      <c r="N20" s="12"/>
      <c r="O20" s="4" t="s">
        <v>113</v>
      </c>
      <c r="P20" s="12" t="s">
        <v>159</v>
      </c>
    </row>
    <row r="21" customFormat="false" ht="35.05" hidden="false" customHeight="false" outlineLevel="0" collapsed="false">
      <c r="A21" s="12" t="s">
        <v>163</v>
      </c>
      <c r="B21" s="12" t="s">
        <v>54</v>
      </c>
      <c r="C21" s="12" t="s">
        <v>65</v>
      </c>
      <c r="D21" s="4" t="s">
        <v>164</v>
      </c>
      <c r="E21" s="4" t="s">
        <v>165</v>
      </c>
      <c r="F21" s="12" t="s">
        <v>65</v>
      </c>
      <c r="G21" s="13" t="str">
        <f aca="false">IF($F21="","",IFERROR(INDEX(Lists!$B$4:$B$12,MATCH($F21,Lists!$A$4:$A$12,0)),""))</f>
        <v>TBD</v>
      </c>
      <c r="H21" s="12" t="s">
        <v>45</v>
      </c>
      <c r="I21" s="14" t="n">
        <v>46307</v>
      </c>
      <c r="J21" s="12" t="n">
        <v>10</v>
      </c>
      <c r="K21" s="15" t="n">
        <f aca="false">IF(OR($I21="",$J21=""),"",$I21+7*$J21-3)</f>
        <v>46374</v>
      </c>
      <c r="L21" s="12"/>
      <c r="M21" s="4" t="s">
        <v>166</v>
      </c>
      <c r="N21" s="12"/>
      <c r="O21" s="4" t="s">
        <v>167</v>
      </c>
      <c r="P21" s="12" t="s">
        <v>168</v>
      </c>
    </row>
    <row r="22" customFormat="false" ht="15" hidden="false" customHeight="false" outlineLevel="0" collapsed="false">
      <c r="A22" s="12" t="s">
        <v>169</v>
      </c>
      <c r="B22" s="12" t="s">
        <v>54</v>
      </c>
      <c r="C22" s="12" t="s">
        <v>65</v>
      </c>
      <c r="D22" s="4" t="s">
        <v>170</v>
      </c>
      <c r="E22" s="4" t="s">
        <v>171</v>
      </c>
      <c r="F22" s="12" t="s">
        <v>65</v>
      </c>
      <c r="G22" s="13" t="str">
        <f aca="false">IF($F22="","",IFERROR(INDEX(Lists!$B$4:$B$12,MATCH($F22,Lists!$A$4:$A$12,0)),""))</f>
        <v>TBD</v>
      </c>
      <c r="H22" s="12" t="s">
        <v>45</v>
      </c>
      <c r="I22" s="14" t="n">
        <v>46202</v>
      </c>
      <c r="J22" s="12" t="n">
        <v>1</v>
      </c>
      <c r="K22" s="15" t="n">
        <f aca="false">IF(OR($I22="",$J22=""),"",$I22+7*$J22-3)</f>
        <v>46206</v>
      </c>
      <c r="L22" s="12"/>
      <c r="M22" s="4"/>
      <c r="N22" s="12"/>
      <c r="O22" s="4"/>
      <c r="P22" s="12" t="s">
        <v>172</v>
      </c>
    </row>
    <row r="23" customFormat="false" ht="15" hidden="false" customHeight="false" outlineLevel="0" collapsed="false">
      <c r="A23" s="12" t="s">
        <v>173</v>
      </c>
      <c r="B23" s="12" t="s">
        <v>54</v>
      </c>
      <c r="C23" s="12" t="s">
        <v>65</v>
      </c>
      <c r="D23" s="4" t="s">
        <v>174</v>
      </c>
      <c r="E23" s="4" t="s">
        <v>175</v>
      </c>
      <c r="F23" s="12" t="s">
        <v>65</v>
      </c>
      <c r="G23" s="13" t="str">
        <f aca="false">IF($F23="","",IFERROR(INDEX(Lists!$B$4:$B$12,MATCH($F23,Lists!$A$4:$A$12,0)),""))</f>
        <v>TBD</v>
      </c>
      <c r="H23" s="12" t="s">
        <v>44</v>
      </c>
      <c r="I23" s="14" t="n">
        <v>46202</v>
      </c>
      <c r="J23" s="12" t="n">
        <v>1</v>
      </c>
      <c r="K23" s="15" t="n">
        <f aca="false">IF(OR($I23="",$J23=""),"",$I23+7*$J23-3)</f>
        <v>46206</v>
      </c>
      <c r="L23" s="12"/>
      <c r="M23" s="4"/>
      <c r="N23" s="12"/>
      <c r="O23" s="4"/>
      <c r="P23" s="12" t="s">
        <v>176</v>
      </c>
    </row>
    <row r="24" customFormat="false" ht="23.85" hidden="false" customHeight="false" outlineLevel="0" collapsed="false">
      <c r="A24" s="12" t="s">
        <v>177</v>
      </c>
      <c r="B24" s="12" t="s">
        <v>54</v>
      </c>
      <c r="C24" s="12" t="s">
        <v>65</v>
      </c>
      <c r="D24" s="4" t="s">
        <v>178</v>
      </c>
      <c r="E24" s="4" t="s">
        <v>179</v>
      </c>
      <c r="F24" s="12" t="s">
        <v>65</v>
      </c>
      <c r="G24" s="13" t="str">
        <f aca="false">IF($F24="","",IFERROR(INDEX(Lists!$B$4:$B$12,MATCH($F24,Lists!$A$4:$A$12,0)),""))</f>
        <v>TBD</v>
      </c>
      <c r="H24" s="12" t="s">
        <v>45</v>
      </c>
      <c r="I24" s="14" t="n">
        <v>46307</v>
      </c>
      <c r="J24" s="12" t="n">
        <v>8</v>
      </c>
      <c r="K24" s="15" t="n">
        <f aca="false">IF(OR($I24="",$J24=""),"",$I24+7*$J24-3)</f>
        <v>46360</v>
      </c>
      <c r="L24" s="12"/>
      <c r="M24" s="4" t="s">
        <v>180</v>
      </c>
      <c r="N24" s="12"/>
      <c r="O24" s="4" t="s">
        <v>181</v>
      </c>
      <c r="P24" s="12"/>
    </row>
    <row r="25" customFormat="false" ht="23.85" hidden="false" customHeight="false" outlineLevel="0" collapsed="false">
      <c r="A25" s="12" t="s">
        <v>182</v>
      </c>
      <c r="B25" s="12" t="s">
        <v>54</v>
      </c>
      <c r="C25" s="12" t="s">
        <v>65</v>
      </c>
      <c r="D25" s="4" t="s">
        <v>183</v>
      </c>
      <c r="E25" s="4" t="s">
        <v>184</v>
      </c>
      <c r="F25" s="12" t="s">
        <v>65</v>
      </c>
      <c r="G25" s="13" t="str">
        <f aca="false">IF($F25="","",IFERROR(INDEX(Lists!$B$4:$B$12,MATCH($F25,Lists!$A$4:$A$12,0)),""))</f>
        <v>TBD</v>
      </c>
      <c r="H25" s="12" t="s">
        <v>44</v>
      </c>
      <c r="I25" s="14" t="n">
        <v>46202</v>
      </c>
      <c r="J25" s="12" t="n">
        <v>1</v>
      </c>
      <c r="K25" s="15" t="n">
        <f aca="false">IF(OR($I25="",$J25=""),"",$I25+7*$J25-3)</f>
        <v>46206</v>
      </c>
      <c r="L25" s="12"/>
      <c r="M25" s="4"/>
      <c r="N25" s="12"/>
      <c r="O25" s="4"/>
      <c r="P25" s="12" t="s">
        <v>185</v>
      </c>
    </row>
    <row r="26" customFormat="false" ht="23.85" hidden="false" customHeight="false" outlineLevel="0" collapsed="false">
      <c r="A26" s="12" t="s">
        <v>186</v>
      </c>
      <c r="B26" s="12" t="s">
        <v>54</v>
      </c>
      <c r="C26" s="12" t="s">
        <v>65</v>
      </c>
      <c r="D26" s="4" t="s">
        <v>187</v>
      </c>
      <c r="E26" s="4" t="s">
        <v>188</v>
      </c>
      <c r="F26" s="12" t="s">
        <v>65</v>
      </c>
      <c r="G26" s="13" t="str">
        <f aca="false">IF($F26="","",IFERROR(INDEX(Lists!$B$4:$B$12,MATCH($F26,Lists!$A$4:$A$12,0)),""))</f>
        <v>TBD</v>
      </c>
      <c r="H26" s="12" t="s">
        <v>44</v>
      </c>
      <c r="I26" s="14" t="n">
        <v>46209</v>
      </c>
      <c r="J26" s="12" t="n">
        <v>2</v>
      </c>
      <c r="K26" s="15" t="n">
        <f aca="false">IF(OR($I26="",$J26=""),"",$I26+7*$J26-3)</f>
        <v>46220</v>
      </c>
      <c r="L26" s="12"/>
      <c r="M26" s="4"/>
      <c r="N26" s="12"/>
      <c r="O26" s="4" t="s">
        <v>189</v>
      </c>
      <c r="P26" s="12" t="s">
        <v>190</v>
      </c>
    </row>
    <row r="27" customFormat="false" ht="35.05" hidden="false" customHeight="false" outlineLevel="0" collapsed="false">
      <c r="A27" s="12" t="s">
        <v>191</v>
      </c>
      <c r="B27" s="12" t="s">
        <v>54</v>
      </c>
      <c r="C27" s="12" t="s">
        <v>65</v>
      </c>
      <c r="D27" s="4" t="s">
        <v>192</v>
      </c>
      <c r="E27" s="4" t="s">
        <v>193</v>
      </c>
      <c r="F27" s="12" t="s">
        <v>65</v>
      </c>
      <c r="G27" s="13" t="str">
        <f aca="false">IF($F27="","",IFERROR(INDEX(Lists!$B$4:$B$12,MATCH($F27,Lists!$A$4:$A$12,0)),""))</f>
        <v>TBD</v>
      </c>
      <c r="H27" s="12" t="s">
        <v>45</v>
      </c>
      <c r="I27" s="14" t="n">
        <v>46307</v>
      </c>
      <c r="J27" s="12" t="n">
        <v>6</v>
      </c>
      <c r="K27" s="15" t="n">
        <f aca="false">IF(OR($I27="",$J27=""),"",$I27+7*$J27-3)</f>
        <v>46346</v>
      </c>
      <c r="L27" s="12" t="s">
        <v>177</v>
      </c>
      <c r="M27" s="4" t="s">
        <v>194</v>
      </c>
      <c r="N27" s="12"/>
      <c r="O27" s="4" t="s">
        <v>195</v>
      </c>
      <c r="P27" s="12"/>
    </row>
    <row r="28" customFormat="false" ht="23.85" hidden="false" customHeight="false" outlineLevel="0" collapsed="false">
      <c r="A28" s="12" t="s">
        <v>196</v>
      </c>
      <c r="B28" s="12" t="s">
        <v>54</v>
      </c>
      <c r="C28" s="12" t="s">
        <v>65</v>
      </c>
      <c r="D28" s="4" t="s">
        <v>197</v>
      </c>
      <c r="E28" s="4" t="s">
        <v>198</v>
      </c>
      <c r="F28" s="12" t="s">
        <v>65</v>
      </c>
      <c r="G28" s="13" t="str">
        <f aca="false">IF($F28="","",IFERROR(INDEX(Lists!$B$4:$B$12,MATCH($F28,Lists!$A$4:$A$12,0)),""))</f>
        <v>TBD</v>
      </c>
      <c r="H28" s="12" t="s">
        <v>44</v>
      </c>
      <c r="I28" s="14" t="n">
        <v>46342</v>
      </c>
      <c r="J28" s="12" t="n">
        <v>3</v>
      </c>
      <c r="K28" s="15" t="n">
        <f aca="false">IF(OR($I28="",$J28=""),"",$I28+7*$J28-3)</f>
        <v>46360</v>
      </c>
      <c r="L28" s="12" t="s">
        <v>191</v>
      </c>
      <c r="M28" s="4" t="s">
        <v>199</v>
      </c>
      <c r="N28" s="12"/>
      <c r="O28" s="4"/>
      <c r="P28" s="12"/>
    </row>
    <row r="29" customFormat="false" ht="23.85" hidden="false" customHeight="false" outlineLevel="0" collapsed="false">
      <c r="A29" s="12" t="s">
        <v>200</v>
      </c>
      <c r="B29" s="12" t="s">
        <v>54</v>
      </c>
      <c r="C29" s="12" t="s">
        <v>65</v>
      </c>
      <c r="D29" s="4" t="s">
        <v>201</v>
      </c>
      <c r="E29" s="4" t="s">
        <v>202</v>
      </c>
      <c r="F29" s="12" t="s">
        <v>65</v>
      </c>
      <c r="G29" s="13" t="str">
        <f aca="false">IF($F29="","",IFERROR(INDEX(Lists!$B$4:$B$12,MATCH($F29,Lists!$A$4:$A$12,0)),""))</f>
        <v>TBD</v>
      </c>
      <c r="H29" s="12" t="s">
        <v>44</v>
      </c>
      <c r="I29" s="14" t="n">
        <v>46335</v>
      </c>
      <c r="J29" s="12" t="n">
        <v>7</v>
      </c>
      <c r="K29" s="15" t="n">
        <f aca="false">IF(OR($I29="",$J29=""),"",$I29+7*$J29-3)</f>
        <v>46381</v>
      </c>
      <c r="L29" s="12" t="s">
        <v>191</v>
      </c>
      <c r="M29" s="4" t="s">
        <v>203</v>
      </c>
      <c r="N29" s="12"/>
      <c r="O29" s="4"/>
      <c r="P29" s="12" t="s">
        <v>204</v>
      </c>
    </row>
    <row r="30" customFormat="false" ht="23.85" hidden="false" customHeight="false" outlineLevel="0" collapsed="false">
      <c r="A30" s="12" t="s">
        <v>205</v>
      </c>
      <c r="B30" s="12" t="s">
        <v>54</v>
      </c>
      <c r="C30" s="12" t="s">
        <v>65</v>
      </c>
      <c r="D30" s="4" t="s">
        <v>206</v>
      </c>
      <c r="E30" s="4" t="s">
        <v>207</v>
      </c>
      <c r="F30" s="12" t="s">
        <v>65</v>
      </c>
      <c r="G30" s="13" t="str">
        <f aca="false">IF($F30="","",IFERROR(INDEX(Lists!$B$4:$B$12,MATCH($F30,Lists!$A$4:$A$12,0)),""))</f>
        <v>TBD</v>
      </c>
      <c r="H30" s="12" t="s">
        <v>44</v>
      </c>
      <c r="I30" s="14"/>
      <c r="J30" s="12"/>
      <c r="K30" s="15" t="str">
        <f aca="false">IF(OR($I30="",$J30=""),"",$I30+7*$J30-3)</f>
        <v/>
      </c>
      <c r="L30" s="12"/>
      <c r="M30" s="4"/>
      <c r="N30" s="12"/>
      <c r="O30" s="4" t="s">
        <v>151</v>
      </c>
      <c r="P30" s="12" t="s">
        <v>208</v>
      </c>
    </row>
    <row r="31" customFormat="false" ht="23.85" hidden="false" customHeight="false" outlineLevel="0" collapsed="false">
      <c r="A31" s="12" t="s">
        <v>209</v>
      </c>
      <c r="B31" s="12" t="s">
        <v>54</v>
      </c>
      <c r="C31" s="12" t="s">
        <v>65</v>
      </c>
      <c r="D31" s="4" t="s">
        <v>210</v>
      </c>
      <c r="E31" s="4" t="s">
        <v>211</v>
      </c>
      <c r="F31" s="12" t="s">
        <v>65</v>
      </c>
      <c r="G31" s="13" t="str">
        <f aca="false">IF($F31="","",IFERROR(INDEX(Lists!$B$4:$B$12,MATCH($F31,Lists!$A$4:$A$12,0)),""))</f>
        <v>TBD</v>
      </c>
      <c r="H31" s="12" t="s">
        <v>44</v>
      </c>
      <c r="I31" s="14" t="n">
        <v>46349</v>
      </c>
      <c r="J31" s="12" t="n">
        <v>5</v>
      </c>
      <c r="K31" s="15" t="n">
        <f aca="false">IF(OR($I31="",$J31=""),"",$I31+7*$J31-3)</f>
        <v>46381</v>
      </c>
      <c r="L31" s="12" t="s">
        <v>212</v>
      </c>
      <c r="M31" s="4" t="s">
        <v>213</v>
      </c>
      <c r="N31" s="12"/>
      <c r="O31" s="4"/>
      <c r="P31" s="12"/>
    </row>
    <row r="32" customFormat="false" ht="23.85" hidden="false" customHeight="false" outlineLevel="0" collapsed="false">
      <c r="A32" s="12" t="s">
        <v>214</v>
      </c>
      <c r="B32" s="12" t="s">
        <v>54</v>
      </c>
      <c r="C32" s="12" t="s">
        <v>65</v>
      </c>
      <c r="D32" s="4" t="s">
        <v>215</v>
      </c>
      <c r="E32" s="4" t="s">
        <v>216</v>
      </c>
      <c r="F32" s="12" t="s">
        <v>65</v>
      </c>
      <c r="G32" s="13" t="str">
        <f aca="false">IF($F32="","",IFERROR(INDEX(Lists!$B$4:$B$12,MATCH($F32,Lists!$A$4:$A$12,0)),""))</f>
        <v>TBD</v>
      </c>
      <c r="H32" s="12" t="s">
        <v>44</v>
      </c>
      <c r="I32" s="14" t="n">
        <v>46384</v>
      </c>
      <c r="J32" s="12" t="n">
        <v>5</v>
      </c>
      <c r="K32" s="15" t="n">
        <f aca="false">IF(OR($I32="",$J32=""),"",$I32+7*$J32-3)</f>
        <v>46416</v>
      </c>
      <c r="L32" s="12" t="s">
        <v>217</v>
      </c>
      <c r="M32" s="4" t="s">
        <v>218</v>
      </c>
      <c r="N32" s="12"/>
      <c r="O32" s="4" t="s">
        <v>151</v>
      </c>
      <c r="P32" s="12" t="s">
        <v>219</v>
      </c>
    </row>
    <row r="33" customFormat="false" ht="23.85" hidden="false" customHeight="false" outlineLevel="0" collapsed="false">
      <c r="A33" s="12" t="s">
        <v>220</v>
      </c>
      <c r="B33" s="12" t="s">
        <v>54</v>
      </c>
      <c r="C33" s="12" t="s">
        <v>65</v>
      </c>
      <c r="D33" s="4" t="s">
        <v>221</v>
      </c>
      <c r="E33" s="4" t="s">
        <v>222</v>
      </c>
      <c r="F33" s="12" t="s">
        <v>65</v>
      </c>
      <c r="G33" s="13" t="str">
        <f aca="false">IF($F33="","",IFERROR(INDEX(Lists!$B$4:$B$12,MATCH($F33,Lists!$A$4:$A$12,0)),""))</f>
        <v>TBD</v>
      </c>
      <c r="H33" s="12" t="s">
        <v>44</v>
      </c>
      <c r="I33" s="14"/>
      <c r="J33" s="12"/>
      <c r="K33" s="15" t="str">
        <f aca="false">IF(OR($I33="",$J33=""),"",$I33+7*$J33-3)</f>
        <v/>
      </c>
      <c r="L33" s="12"/>
      <c r="M33" s="4"/>
      <c r="N33" s="12"/>
      <c r="O33" s="4" t="s">
        <v>151</v>
      </c>
      <c r="P33" s="12" t="s">
        <v>223</v>
      </c>
    </row>
    <row r="34" customFormat="false" ht="23.85" hidden="false" customHeight="false" outlineLevel="0" collapsed="false">
      <c r="A34" s="12" t="s">
        <v>224</v>
      </c>
      <c r="B34" s="12" t="s">
        <v>54</v>
      </c>
      <c r="C34" s="12" t="s">
        <v>65</v>
      </c>
      <c r="D34" s="4" t="s">
        <v>225</v>
      </c>
      <c r="E34" s="4" t="s">
        <v>226</v>
      </c>
      <c r="F34" s="12" t="s">
        <v>65</v>
      </c>
      <c r="G34" s="13" t="str">
        <f aca="false">IF($F34="","",IFERROR(INDEX(Lists!$B$4:$B$12,MATCH($F34,Lists!$A$4:$A$12,0)),""))</f>
        <v>TBD</v>
      </c>
      <c r="H34" s="12" t="s">
        <v>44</v>
      </c>
      <c r="I34" s="14" t="n">
        <v>46384</v>
      </c>
      <c r="J34" s="12" t="n">
        <v>4</v>
      </c>
      <c r="K34" s="15" t="n">
        <f aca="false">IF(OR($I34="",$J34=""),"",$I34+7*$J34-3)</f>
        <v>46409</v>
      </c>
      <c r="L34" s="12"/>
      <c r="M34" s="4"/>
      <c r="N34" s="12"/>
      <c r="O34" s="4"/>
      <c r="P34" s="12"/>
    </row>
    <row r="35" customFormat="false" ht="15" hidden="false" customHeight="false" outlineLevel="0" collapsed="false">
      <c r="A35" s="12" t="s">
        <v>227</v>
      </c>
      <c r="B35" s="12" t="s">
        <v>54</v>
      </c>
      <c r="C35" s="12" t="s">
        <v>65</v>
      </c>
      <c r="D35" s="4" t="s">
        <v>228</v>
      </c>
      <c r="E35" s="4"/>
      <c r="F35" s="12" t="s">
        <v>65</v>
      </c>
      <c r="G35" s="13" t="str">
        <f aca="false">IF($F35="","",IFERROR(INDEX(Lists!$B$4:$B$12,MATCH($F35,Lists!$A$4:$A$12,0)),""))</f>
        <v>TBD</v>
      </c>
      <c r="H35" s="12" t="s">
        <v>44</v>
      </c>
      <c r="I35" s="14" t="n">
        <v>46398</v>
      </c>
      <c r="J35" s="12" t="n">
        <v>2</v>
      </c>
      <c r="K35" s="15" t="n">
        <f aca="false">IF(OR($I35="",$J35=""),"",$I35+7*$J35-3)</f>
        <v>46409</v>
      </c>
      <c r="L35" s="12"/>
      <c r="M35" s="4"/>
      <c r="N35" s="12"/>
      <c r="O35" s="4"/>
      <c r="P35" s="12"/>
    </row>
    <row r="36" customFormat="false" ht="23.85" hidden="false" customHeight="false" outlineLevel="0" collapsed="false">
      <c r="A36" s="12" t="s">
        <v>229</v>
      </c>
      <c r="B36" s="12" t="s">
        <v>54</v>
      </c>
      <c r="C36" s="12" t="s">
        <v>230</v>
      </c>
      <c r="D36" s="4" t="s">
        <v>231</v>
      </c>
      <c r="E36" s="4" t="s">
        <v>232</v>
      </c>
      <c r="F36" s="12" t="s">
        <v>65</v>
      </c>
      <c r="G36" s="13" t="str">
        <f aca="false">IF($F36="","",IFERROR(INDEX(Lists!$B$4:$B$12,MATCH($F36,Lists!$A$4:$A$12,0)),""))</f>
        <v>TBD</v>
      </c>
      <c r="H36" s="12" t="s">
        <v>44</v>
      </c>
      <c r="I36" s="14" t="n">
        <v>46314</v>
      </c>
      <c r="J36" s="12" t="n">
        <v>3</v>
      </c>
      <c r="K36" s="15" t="n">
        <f aca="false">IF(OR($I36="",$J36=""),"",$I36+7*$J36-3)</f>
        <v>46332</v>
      </c>
      <c r="L36" s="12" t="s">
        <v>191</v>
      </c>
      <c r="M36" s="4"/>
      <c r="N36" s="12"/>
      <c r="O36" s="4"/>
      <c r="P36" s="12"/>
    </row>
    <row r="37" customFormat="false" ht="23.85" hidden="false" customHeight="false" outlineLevel="0" collapsed="false">
      <c r="A37" s="12" t="s">
        <v>233</v>
      </c>
      <c r="B37" s="12" t="s">
        <v>54</v>
      </c>
      <c r="C37" s="12" t="s">
        <v>230</v>
      </c>
      <c r="D37" s="4" t="s">
        <v>234</v>
      </c>
      <c r="E37" s="4" t="s">
        <v>235</v>
      </c>
      <c r="F37" s="12" t="s">
        <v>65</v>
      </c>
      <c r="G37" s="13" t="str">
        <f aca="false">IF($F37="","",IFERROR(INDEX(Lists!$B$4:$B$12,MATCH($F37,Lists!$A$4:$A$12,0)),""))</f>
        <v>TBD</v>
      </c>
      <c r="H37" s="12" t="s">
        <v>44</v>
      </c>
      <c r="I37" s="14" t="n">
        <v>46342</v>
      </c>
      <c r="J37" s="12" t="n">
        <v>3</v>
      </c>
      <c r="K37" s="15" t="n">
        <f aca="false">IF(OR($I37="",$J37=""),"",$I37+7*$J37-3)</f>
        <v>46360</v>
      </c>
      <c r="L37" s="12" t="s">
        <v>136</v>
      </c>
      <c r="M37" s="4"/>
      <c r="N37" s="12"/>
      <c r="O37" s="4"/>
      <c r="P37" s="12"/>
    </row>
    <row r="38" customFormat="false" ht="15" hidden="false" customHeight="false" outlineLevel="0" collapsed="false">
      <c r="A38" s="12" t="s">
        <v>236</v>
      </c>
      <c r="B38" s="12" t="s">
        <v>54</v>
      </c>
      <c r="C38" s="12" t="s">
        <v>230</v>
      </c>
      <c r="D38" s="4" t="s">
        <v>237</v>
      </c>
      <c r="E38" s="4" t="s">
        <v>238</v>
      </c>
      <c r="F38" s="12" t="s">
        <v>65</v>
      </c>
      <c r="G38" s="13" t="str">
        <f aca="false">IF($F38="","",IFERROR(INDEX(Lists!$B$4:$B$12,MATCH($F38,Lists!$A$4:$A$12,0)),""))</f>
        <v>TBD</v>
      </c>
      <c r="H38" s="12" t="s">
        <v>44</v>
      </c>
      <c r="I38" s="14" t="n">
        <v>46363</v>
      </c>
      <c r="J38" s="12" t="n">
        <v>3</v>
      </c>
      <c r="K38" s="15" t="n">
        <f aca="false">IF(OR($I38="",$J38=""),"",$I38+7*$J38-3)</f>
        <v>46381</v>
      </c>
      <c r="L38" s="12" t="s">
        <v>209</v>
      </c>
      <c r="M38" s="4"/>
      <c r="N38" s="12"/>
      <c r="O38" s="4"/>
      <c r="P38" s="12"/>
    </row>
    <row r="39" customFormat="false" ht="23.85" hidden="false" customHeight="false" outlineLevel="0" collapsed="false">
      <c r="A39" s="12" t="s">
        <v>239</v>
      </c>
      <c r="B39" s="12" t="s">
        <v>54</v>
      </c>
      <c r="C39" s="12" t="s">
        <v>230</v>
      </c>
      <c r="D39" s="4" t="s">
        <v>240</v>
      </c>
      <c r="E39" s="4" t="s">
        <v>241</v>
      </c>
      <c r="F39" s="12" t="s">
        <v>65</v>
      </c>
      <c r="G39" s="13" t="str">
        <f aca="false">IF($F39="","",IFERROR(INDEX(Lists!$B$4:$B$12,MATCH($F39,Lists!$A$4:$A$12,0)),""))</f>
        <v>TBD</v>
      </c>
      <c r="H39" s="12" t="s">
        <v>44</v>
      </c>
      <c r="I39" s="14" t="n">
        <v>46363</v>
      </c>
      <c r="J39" s="12" t="n">
        <v>5</v>
      </c>
      <c r="K39" s="15" t="n">
        <f aca="false">IF(OR($I39="",$J39=""),"",$I39+7*$J39-3)</f>
        <v>46395</v>
      </c>
      <c r="L39" s="12" t="s">
        <v>242</v>
      </c>
      <c r="M39" s="4"/>
      <c r="N39" s="12"/>
      <c r="O39" s="4"/>
      <c r="P39" s="12"/>
    </row>
    <row r="40" customFormat="false" ht="23.85" hidden="false" customHeight="false" outlineLevel="0" collapsed="false">
      <c r="A40" s="12" t="s">
        <v>243</v>
      </c>
      <c r="B40" s="12" t="s">
        <v>54</v>
      </c>
      <c r="C40" s="12" t="s">
        <v>230</v>
      </c>
      <c r="D40" s="4" t="s">
        <v>244</v>
      </c>
      <c r="E40" s="4" t="s">
        <v>245</v>
      </c>
      <c r="F40" s="12" t="s">
        <v>65</v>
      </c>
      <c r="G40" s="13" t="str">
        <f aca="false">IF($F40="","",IFERROR(INDEX(Lists!$B$4:$B$12,MATCH($F40,Lists!$A$4:$A$12,0)),""))</f>
        <v>TBD</v>
      </c>
      <c r="H40" s="12" t="s">
        <v>44</v>
      </c>
      <c r="I40" s="14" t="n">
        <v>46363</v>
      </c>
      <c r="J40" s="12" t="n">
        <v>5</v>
      </c>
      <c r="K40" s="15" t="n">
        <f aca="false">IF(OR($I40="",$J40=""),"",$I40+7*$J40-3)</f>
        <v>46395</v>
      </c>
      <c r="L40" s="12" t="s">
        <v>191</v>
      </c>
      <c r="M40" s="4"/>
      <c r="N40" s="12"/>
      <c r="O40" s="4"/>
      <c r="P40" s="12"/>
    </row>
    <row r="41" customFormat="false" ht="15" hidden="false" customHeight="false" outlineLevel="0" collapsed="false">
      <c r="A41" s="12" t="s">
        <v>246</v>
      </c>
      <c r="B41" s="12" t="s">
        <v>54</v>
      </c>
      <c r="C41" s="12" t="s">
        <v>230</v>
      </c>
      <c r="D41" s="4" t="s">
        <v>247</v>
      </c>
      <c r="E41" s="4" t="s">
        <v>248</v>
      </c>
      <c r="F41" s="12" t="s">
        <v>65</v>
      </c>
      <c r="G41" s="13" t="str">
        <f aca="false">IF($F41="","",IFERROR(INDEX(Lists!$B$4:$B$12,MATCH($F41,Lists!$A$4:$A$12,0)),""))</f>
        <v>TBD</v>
      </c>
      <c r="H41" s="12" t="s">
        <v>44</v>
      </c>
      <c r="I41" s="14" t="n">
        <v>46398</v>
      </c>
      <c r="J41" s="12" t="n">
        <v>2</v>
      </c>
      <c r="K41" s="15" t="n">
        <f aca="false">IF(OR($I41="",$J41=""),"",$I41+7*$J41-3)</f>
        <v>46409</v>
      </c>
      <c r="L41" s="12" t="s">
        <v>249</v>
      </c>
      <c r="M41" s="4"/>
      <c r="N41" s="12"/>
      <c r="O41" s="4"/>
      <c r="P41" s="12"/>
    </row>
    <row r="42" customFormat="false" ht="23.85" hidden="false" customHeight="false" outlineLevel="0" collapsed="false">
      <c r="A42" s="12" t="s">
        <v>250</v>
      </c>
      <c r="B42" s="12" t="s">
        <v>54</v>
      </c>
      <c r="C42" s="12" t="s">
        <v>230</v>
      </c>
      <c r="D42" s="4" t="s">
        <v>251</v>
      </c>
      <c r="E42" s="4" t="s">
        <v>252</v>
      </c>
      <c r="F42" s="12" t="s">
        <v>65</v>
      </c>
      <c r="G42" s="13" t="str">
        <f aca="false">IF($F42="","",IFERROR(INDEX(Lists!$B$4:$B$12,MATCH($F42,Lists!$A$4:$A$12,0)),""))</f>
        <v>TBD</v>
      </c>
      <c r="H42" s="12" t="s">
        <v>44</v>
      </c>
      <c r="I42" s="14" t="n">
        <v>46398</v>
      </c>
      <c r="J42" s="12" t="n">
        <v>4</v>
      </c>
      <c r="K42" s="15" t="n">
        <f aca="false">IF(OR($I42="",$J42=""),"",$I42+7*$J42-3)</f>
        <v>46423</v>
      </c>
      <c r="L42" s="12" t="s">
        <v>246</v>
      </c>
      <c r="M42" s="4"/>
      <c r="N42" s="12"/>
      <c r="O42" s="4"/>
      <c r="P42" s="12"/>
    </row>
    <row r="43" customFormat="false" ht="15" hidden="false" customHeight="false" outlineLevel="0" collapsed="false">
      <c r="A43" s="12" t="s">
        <v>253</v>
      </c>
      <c r="B43" s="12" t="s">
        <v>54</v>
      </c>
      <c r="C43" s="12" t="s">
        <v>254</v>
      </c>
      <c r="D43" s="4" t="s">
        <v>255</v>
      </c>
      <c r="E43" s="4"/>
      <c r="F43" s="12" t="s">
        <v>65</v>
      </c>
      <c r="G43" s="13" t="str">
        <f aca="false">IF($F43="","",IFERROR(INDEX(Lists!$B$4:$B$12,MATCH($F43,Lists!$A$4:$A$12,0)),""))</f>
        <v>TBD</v>
      </c>
      <c r="H43" s="12" t="s">
        <v>44</v>
      </c>
      <c r="I43" s="14" t="n">
        <v>46426</v>
      </c>
      <c r="J43" s="12" t="n">
        <v>1</v>
      </c>
      <c r="K43" s="15" t="n">
        <f aca="false">IF(OR($I43="",$J43=""),"",$I43+7*$J43-3)</f>
        <v>46430</v>
      </c>
      <c r="L43" s="12" t="s">
        <v>256</v>
      </c>
      <c r="M43" s="4"/>
      <c r="N43" s="12"/>
      <c r="O43" s="4"/>
      <c r="P43" s="12"/>
    </row>
    <row r="44" customFormat="false" ht="23.85" hidden="false" customHeight="false" outlineLevel="0" collapsed="false">
      <c r="A44" s="12" t="s">
        <v>257</v>
      </c>
      <c r="B44" s="12" t="s">
        <v>53</v>
      </c>
      <c r="C44" s="12" t="s">
        <v>60</v>
      </c>
      <c r="D44" s="4" t="s">
        <v>258</v>
      </c>
      <c r="E44" s="4" t="s">
        <v>259</v>
      </c>
      <c r="F44" s="12" t="s">
        <v>60</v>
      </c>
      <c r="G44" s="13" t="str">
        <f aca="false">IF($F44="","",IFERROR(INDEX(Lists!$B$4:$B$12,MATCH($F44,Lists!$A$4:$A$12,0)),""))</f>
        <v>TBD</v>
      </c>
      <c r="H44" s="12" t="s">
        <v>44</v>
      </c>
      <c r="I44" s="14" t="n">
        <v>46307</v>
      </c>
      <c r="J44" s="12" t="n">
        <v>2</v>
      </c>
      <c r="K44" s="15" t="n">
        <f aca="false">IF(OR($I44="",$J44=""),"",$I44+7*$J44-3)</f>
        <v>46318</v>
      </c>
      <c r="L44" s="12" t="s">
        <v>96</v>
      </c>
      <c r="M44" s="4"/>
      <c r="N44" s="12"/>
      <c r="O44" s="4"/>
      <c r="P44" s="12"/>
    </row>
    <row r="45" customFormat="false" ht="23.85" hidden="false" customHeight="false" outlineLevel="0" collapsed="false">
      <c r="A45" s="12" t="s">
        <v>260</v>
      </c>
      <c r="B45" s="12" t="s">
        <v>53</v>
      </c>
      <c r="C45" s="12" t="s">
        <v>60</v>
      </c>
      <c r="D45" s="4" t="s">
        <v>261</v>
      </c>
      <c r="E45" s="4" t="s">
        <v>262</v>
      </c>
      <c r="F45" s="12" t="s">
        <v>60</v>
      </c>
      <c r="G45" s="13" t="str">
        <f aca="false">IF($F45="","",IFERROR(INDEX(Lists!$B$4:$B$12,MATCH($F45,Lists!$A$4:$A$12,0)),""))</f>
        <v>TBD</v>
      </c>
      <c r="H45" s="12" t="s">
        <v>44</v>
      </c>
      <c r="I45" s="14" t="n">
        <v>46314</v>
      </c>
      <c r="J45" s="12" t="n">
        <v>4</v>
      </c>
      <c r="K45" s="15" t="n">
        <f aca="false">IF(OR($I45="",$J45=""),"",$I45+7*$J45-3)</f>
        <v>46339</v>
      </c>
      <c r="L45" s="12" t="s">
        <v>263</v>
      </c>
      <c r="M45" s="4" t="s">
        <v>264</v>
      </c>
      <c r="N45" s="12"/>
      <c r="O45" s="4"/>
      <c r="P45" s="12"/>
    </row>
    <row r="46" customFormat="false" ht="35.05" hidden="false" customHeight="false" outlineLevel="0" collapsed="false">
      <c r="A46" s="12" t="s">
        <v>265</v>
      </c>
      <c r="B46" s="12" t="s">
        <v>53</v>
      </c>
      <c r="C46" s="12" t="s">
        <v>60</v>
      </c>
      <c r="D46" s="4" t="s">
        <v>266</v>
      </c>
      <c r="E46" s="4" t="s">
        <v>267</v>
      </c>
      <c r="F46" s="12" t="s">
        <v>60</v>
      </c>
      <c r="G46" s="13" t="str">
        <f aca="false">IF($F46="","",IFERROR(INDEX(Lists!$B$4:$B$12,MATCH($F46,Lists!$A$4:$A$12,0)),""))</f>
        <v>TBD</v>
      </c>
      <c r="H46" s="12" t="s">
        <v>46</v>
      </c>
      <c r="I46" s="14" t="n">
        <v>46307</v>
      </c>
      <c r="J46" s="12" t="n">
        <v>2</v>
      </c>
      <c r="K46" s="15" t="n">
        <f aca="false">IF(OR($I46="",$J46=""),"",$I46+7*$J46-3)</f>
        <v>46318</v>
      </c>
      <c r="L46" s="12"/>
      <c r="M46" s="4" t="s">
        <v>268</v>
      </c>
      <c r="N46" s="12"/>
      <c r="O46" s="4" t="s">
        <v>269</v>
      </c>
      <c r="P46" s="12"/>
    </row>
    <row r="47" customFormat="false" ht="35.05" hidden="false" customHeight="false" outlineLevel="0" collapsed="false">
      <c r="A47" s="12" t="s">
        <v>270</v>
      </c>
      <c r="B47" s="12" t="s">
        <v>53</v>
      </c>
      <c r="C47" s="12" t="s">
        <v>60</v>
      </c>
      <c r="D47" s="4" t="s">
        <v>271</v>
      </c>
      <c r="E47" s="4" t="s">
        <v>272</v>
      </c>
      <c r="F47" s="12" t="s">
        <v>60</v>
      </c>
      <c r="G47" s="13" t="str">
        <f aca="false">IF($F47="","",IFERROR(INDEX(Lists!$B$4:$B$12,MATCH($F47,Lists!$A$4:$A$12,0)),""))</f>
        <v>TBD</v>
      </c>
      <c r="H47" s="12" t="s">
        <v>45</v>
      </c>
      <c r="I47" s="14" t="n">
        <v>46321</v>
      </c>
      <c r="J47" s="12" t="n">
        <v>3</v>
      </c>
      <c r="K47" s="15" t="n">
        <f aca="false">IF(OR($I47="",$J47=""),"",$I47+7*$J47-3)</f>
        <v>46339</v>
      </c>
      <c r="L47" s="12" t="s">
        <v>265</v>
      </c>
      <c r="M47" s="4" t="s">
        <v>273</v>
      </c>
      <c r="N47" s="12" t="s">
        <v>274</v>
      </c>
      <c r="O47" s="4"/>
      <c r="P47" s="12"/>
    </row>
    <row r="48" customFormat="false" ht="23.85" hidden="false" customHeight="false" outlineLevel="0" collapsed="false">
      <c r="A48" s="12" t="s">
        <v>275</v>
      </c>
      <c r="B48" s="12" t="s">
        <v>53</v>
      </c>
      <c r="C48" s="12" t="s">
        <v>60</v>
      </c>
      <c r="D48" s="4" t="s">
        <v>276</v>
      </c>
      <c r="E48" s="4" t="s">
        <v>277</v>
      </c>
      <c r="F48" s="12" t="s">
        <v>60</v>
      </c>
      <c r="G48" s="13" t="str">
        <f aca="false">IF($F48="","",IFERROR(INDEX(Lists!$B$4:$B$12,MATCH($F48,Lists!$A$4:$A$12,0)),""))</f>
        <v>TBD</v>
      </c>
      <c r="H48" s="12" t="s">
        <v>44</v>
      </c>
      <c r="I48" s="14" t="n">
        <v>46314</v>
      </c>
      <c r="J48" s="12" t="n">
        <v>3</v>
      </c>
      <c r="K48" s="15" t="n">
        <f aca="false">IF(OR($I48="",$J48=""),"",$I48+7*$J48-3)</f>
        <v>46332</v>
      </c>
      <c r="L48" s="12"/>
      <c r="M48" s="4" t="s">
        <v>278</v>
      </c>
      <c r="N48" s="12" t="s">
        <v>279</v>
      </c>
      <c r="O48" s="4"/>
      <c r="P48" s="12"/>
    </row>
    <row r="49" customFormat="false" ht="23.85" hidden="false" customHeight="false" outlineLevel="0" collapsed="false">
      <c r="A49" s="12" t="s">
        <v>280</v>
      </c>
      <c r="B49" s="12" t="s">
        <v>53</v>
      </c>
      <c r="C49" s="12" t="s">
        <v>60</v>
      </c>
      <c r="D49" s="4" t="s">
        <v>281</v>
      </c>
      <c r="E49" s="4" t="s">
        <v>282</v>
      </c>
      <c r="F49" s="12" t="s">
        <v>60</v>
      </c>
      <c r="G49" s="13" t="str">
        <f aca="false">IF($F49="","",IFERROR(INDEX(Lists!$B$4:$B$12,MATCH($F49,Lists!$A$4:$A$12,0)),""))</f>
        <v>TBD</v>
      </c>
      <c r="H49" s="12" t="s">
        <v>44</v>
      </c>
      <c r="I49" s="14" t="n">
        <v>46321</v>
      </c>
      <c r="J49" s="12" t="n">
        <v>2</v>
      </c>
      <c r="K49" s="15" t="n">
        <f aca="false">IF(OR($I49="",$J49=""),"",$I49+7*$J49-3)</f>
        <v>46332</v>
      </c>
      <c r="L49" s="12"/>
      <c r="M49" s="4" t="s">
        <v>283</v>
      </c>
      <c r="N49" s="12"/>
      <c r="O49" s="4"/>
      <c r="P49" s="12"/>
    </row>
    <row r="50" customFormat="false" ht="23.85" hidden="false" customHeight="false" outlineLevel="0" collapsed="false">
      <c r="A50" s="12" t="s">
        <v>284</v>
      </c>
      <c r="B50" s="12" t="s">
        <v>53</v>
      </c>
      <c r="C50" s="12" t="s">
        <v>61</v>
      </c>
      <c r="D50" s="4" t="s">
        <v>285</v>
      </c>
      <c r="E50" s="4" t="s">
        <v>286</v>
      </c>
      <c r="F50" s="12" t="s">
        <v>61</v>
      </c>
      <c r="G50" s="13" t="str">
        <f aca="false">IF($F50="","",IFERROR(INDEX(Lists!$B$4:$B$12,MATCH($F50,Lists!$A$4:$A$12,0)),""))</f>
        <v>TBD</v>
      </c>
      <c r="H50" s="12" t="s">
        <v>44</v>
      </c>
      <c r="I50" s="14" t="n">
        <v>46307</v>
      </c>
      <c r="J50" s="12" t="n">
        <v>2</v>
      </c>
      <c r="K50" s="15" t="n">
        <f aca="false">IF(OR($I50="",$J50=""),"",$I50+7*$J50-3)</f>
        <v>46318</v>
      </c>
      <c r="L50" s="12" t="s">
        <v>260</v>
      </c>
      <c r="M50" s="4"/>
      <c r="N50" s="12"/>
      <c r="O50" s="4"/>
      <c r="P50" s="12"/>
    </row>
    <row r="51" customFormat="false" ht="23.85" hidden="false" customHeight="false" outlineLevel="0" collapsed="false">
      <c r="A51" s="12" t="s">
        <v>287</v>
      </c>
      <c r="B51" s="12" t="s">
        <v>53</v>
      </c>
      <c r="C51" s="12" t="s">
        <v>61</v>
      </c>
      <c r="D51" s="4" t="s">
        <v>288</v>
      </c>
      <c r="E51" s="4" t="s">
        <v>289</v>
      </c>
      <c r="F51" s="12" t="s">
        <v>61</v>
      </c>
      <c r="G51" s="13" t="str">
        <f aca="false">IF($F51="","",IFERROR(INDEX(Lists!$B$4:$B$12,MATCH($F51,Lists!$A$4:$A$12,0)),""))</f>
        <v>TBD</v>
      </c>
      <c r="H51" s="12" t="s">
        <v>44</v>
      </c>
      <c r="I51" s="14" t="n">
        <v>46314</v>
      </c>
      <c r="J51" s="12" t="n">
        <v>4</v>
      </c>
      <c r="K51" s="15" t="n">
        <f aca="false">IF(OR($I51="",$J51=""),"",$I51+7*$J51-3)</f>
        <v>46339</v>
      </c>
      <c r="L51" s="12" t="s">
        <v>284</v>
      </c>
      <c r="M51" s="4"/>
      <c r="N51" s="12"/>
      <c r="O51" s="4"/>
      <c r="P51" s="12"/>
    </row>
    <row r="52" customFormat="false" ht="35.05" hidden="false" customHeight="false" outlineLevel="0" collapsed="false">
      <c r="A52" s="12" t="s">
        <v>290</v>
      </c>
      <c r="B52" s="12" t="s">
        <v>53</v>
      </c>
      <c r="C52" s="12" t="s">
        <v>61</v>
      </c>
      <c r="D52" s="4" t="s">
        <v>291</v>
      </c>
      <c r="E52" s="4" t="s">
        <v>292</v>
      </c>
      <c r="F52" s="12" t="s">
        <v>61</v>
      </c>
      <c r="G52" s="13" t="str">
        <f aca="false">IF($F52="","",IFERROR(INDEX(Lists!$B$4:$B$12,MATCH($F52,Lists!$A$4:$A$12,0)),""))</f>
        <v>TBD</v>
      </c>
      <c r="H52" s="12" t="s">
        <v>44</v>
      </c>
      <c r="I52" s="14" t="n">
        <v>46328</v>
      </c>
      <c r="J52" s="12" t="n">
        <v>4</v>
      </c>
      <c r="K52" s="15" t="n">
        <f aca="false">IF(OR($I52="",$J52=""),"",$I52+7*$J52-3)</f>
        <v>46353</v>
      </c>
      <c r="L52" s="12" t="s">
        <v>287</v>
      </c>
      <c r="M52" s="4"/>
      <c r="N52" s="12"/>
      <c r="O52" s="4"/>
      <c r="P52" s="12" t="s">
        <v>293</v>
      </c>
    </row>
    <row r="53" customFormat="false" ht="23.85" hidden="false" customHeight="false" outlineLevel="0" collapsed="false">
      <c r="A53" s="12" t="s">
        <v>294</v>
      </c>
      <c r="B53" s="12" t="s">
        <v>53</v>
      </c>
      <c r="C53" s="12" t="s">
        <v>61</v>
      </c>
      <c r="D53" s="4" t="s">
        <v>295</v>
      </c>
      <c r="E53" s="4" t="s">
        <v>296</v>
      </c>
      <c r="F53" s="12" t="s">
        <v>61</v>
      </c>
      <c r="G53" s="13" t="str">
        <f aca="false">IF($F53="","",IFERROR(INDEX(Lists!$B$4:$B$12,MATCH($F53,Lists!$A$4:$A$12,0)),""))</f>
        <v>TBD</v>
      </c>
      <c r="H53" s="12" t="s">
        <v>44</v>
      </c>
      <c r="I53" s="14" t="n">
        <v>46202</v>
      </c>
      <c r="J53" s="12" t="n">
        <v>1</v>
      </c>
      <c r="K53" s="15" t="n">
        <f aca="false">IF(OR($I53="",$J53=""),"",$I53+7*$J53-3)</f>
        <v>46206</v>
      </c>
      <c r="L53" s="12"/>
      <c r="M53" s="4"/>
      <c r="N53" s="12"/>
      <c r="O53" s="4"/>
      <c r="P53" s="12" t="s">
        <v>297</v>
      </c>
    </row>
    <row r="54" customFormat="false" ht="15" hidden="false" customHeight="false" outlineLevel="0" collapsed="false">
      <c r="A54" s="12" t="s">
        <v>298</v>
      </c>
      <c r="B54" s="12" t="s">
        <v>53</v>
      </c>
      <c r="C54" s="12" t="s">
        <v>61</v>
      </c>
      <c r="D54" s="4" t="s">
        <v>299</v>
      </c>
      <c r="E54" s="4" t="s">
        <v>300</v>
      </c>
      <c r="F54" s="12" t="s">
        <v>61</v>
      </c>
      <c r="G54" s="13" t="str">
        <f aca="false">IF($F54="","",IFERROR(INDEX(Lists!$B$4:$B$12,MATCH($F54,Lists!$A$4:$A$12,0)),""))</f>
        <v>TBD</v>
      </c>
      <c r="H54" s="12" t="s">
        <v>44</v>
      </c>
      <c r="I54" s="14" t="n">
        <v>46202</v>
      </c>
      <c r="J54" s="12" t="n">
        <v>1</v>
      </c>
      <c r="K54" s="15" t="n">
        <f aca="false">IF(OR($I54="",$J54=""),"",$I54+7*$J54-3)</f>
        <v>46206</v>
      </c>
      <c r="L54" s="12"/>
      <c r="M54" s="4"/>
      <c r="N54" s="12"/>
      <c r="O54" s="4"/>
      <c r="P54" s="12" t="s">
        <v>301</v>
      </c>
    </row>
    <row r="55" customFormat="false" ht="23.85" hidden="false" customHeight="false" outlineLevel="0" collapsed="false">
      <c r="A55" s="12" t="s">
        <v>302</v>
      </c>
      <c r="B55" s="12" t="s">
        <v>53</v>
      </c>
      <c r="C55" s="12" t="s">
        <v>61</v>
      </c>
      <c r="D55" s="4" t="s">
        <v>303</v>
      </c>
      <c r="E55" s="4" t="s">
        <v>304</v>
      </c>
      <c r="F55" s="12" t="s">
        <v>61</v>
      </c>
      <c r="G55" s="13" t="str">
        <f aca="false">IF($F55="","",IFERROR(INDEX(Lists!$B$4:$B$12,MATCH($F55,Lists!$A$4:$A$12,0)),""))</f>
        <v>TBD</v>
      </c>
      <c r="H55" s="12" t="s">
        <v>44</v>
      </c>
      <c r="I55" s="14" t="n">
        <v>46349</v>
      </c>
      <c r="J55" s="12" t="n">
        <v>2</v>
      </c>
      <c r="K55" s="15" t="n">
        <f aca="false">IF(OR($I55="",$J55=""),"",$I55+7*$J55-3)</f>
        <v>46360</v>
      </c>
      <c r="L55" s="12" t="s">
        <v>290</v>
      </c>
      <c r="M55" s="4" t="s">
        <v>305</v>
      </c>
      <c r="N55" s="12"/>
      <c r="O55" s="4"/>
      <c r="P55" s="12"/>
    </row>
    <row r="56" customFormat="false" ht="23.85" hidden="false" customHeight="false" outlineLevel="0" collapsed="false">
      <c r="A56" s="12" t="s">
        <v>306</v>
      </c>
      <c r="B56" s="12" t="s">
        <v>53</v>
      </c>
      <c r="C56" s="12" t="s">
        <v>61</v>
      </c>
      <c r="D56" s="4" t="s">
        <v>307</v>
      </c>
      <c r="E56" s="4" t="s">
        <v>308</v>
      </c>
      <c r="F56" s="12" t="s">
        <v>61</v>
      </c>
      <c r="G56" s="13" t="str">
        <f aca="false">IF($F56="","",IFERROR(INDEX(Lists!$B$4:$B$12,MATCH($F56,Lists!$A$4:$A$12,0)),""))</f>
        <v>TBD</v>
      </c>
      <c r="H56" s="12" t="s">
        <v>44</v>
      </c>
      <c r="I56" s="14" t="n">
        <v>46356</v>
      </c>
      <c r="J56" s="12" t="n">
        <v>4</v>
      </c>
      <c r="K56" s="15" t="n">
        <f aca="false">IF(OR($I56="",$J56=""),"",$I56+7*$J56-3)</f>
        <v>46381</v>
      </c>
      <c r="L56" s="12" t="s">
        <v>309</v>
      </c>
      <c r="M56" s="4"/>
      <c r="N56" s="12"/>
      <c r="O56" s="4"/>
      <c r="P56" s="12"/>
    </row>
    <row r="57" customFormat="false" ht="23.85" hidden="false" customHeight="false" outlineLevel="0" collapsed="false">
      <c r="A57" s="12" t="s">
        <v>310</v>
      </c>
      <c r="B57" s="12" t="s">
        <v>53</v>
      </c>
      <c r="C57" s="12" t="s">
        <v>61</v>
      </c>
      <c r="D57" s="4" t="s">
        <v>311</v>
      </c>
      <c r="E57" s="4" t="s">
        <v>312</v>
      </c>
      <c r="F57" s="12" t="s">
        <v>61</v>
      </c>
      <c r="G57" s="13" t="str">
        <f aca="false">IF($F57="","",IFERROR(INDEX(Lists!$B$4:$B$12,MATCH($F57,Lists!$A$4:$A$12,0)),""))</f>
        <v>TBD</v>
      </c>
      <c r="H57" s="12" t="s">
        <v>44</v>
      </c>
      <c r="I57" s="14" t="n">
        <v>46377</v>
      </c>
      <c r="J57" s="12" t="n">
        <v>2</v>
      </c>
      <c r="K57" s="15" t="n">
        <f aca="false">IF(OR($I57="",$J57=""),"",$I57+7*$J57-3)</f>
        <v>46388</v>
      </c>
      <c r="L57" s="12" t="s">
        <v>313</v>
      </c>
      <c r="M57" s="4"/>
      <c r="N57" s="12"/>
      <c r="O57" s="4"/>
      <c r="P57" s="12"/>
    </row>
    <row r="58" customFormat="false" ht="23.85" hidden="false" customHeight="false" outlineLevel="0" collapsed="false">
      <c r="A58" s="12" t="s">
        <v>314</v>
      </c>
      <c r="B58" s="12" t="s">
        <v>53</v>
      </c>
      <c r="C58" s="12" t="s">
        <v>62</v>
      </c>
      <c r="D58" s="4" t="s">
        <v>315</v>
      </c>
      <c r="E58" s="4" t="s">
        <v>316</v>
      </c>
      <c r="F58" s="12" t="s">
        <v>62</v>
      </c>
      <c r="G58" s="13" t="str">
        <f aca="false">IF($F58="","",IFERROR(INDEX(Lists!$B$4:$B$12,MATCH($F58,Lists!$A$4:$A$12,0)),""))</f>
        <v>TBD</v>
      </c>
      <c r="H58" s="12" t="s">
        <v>44</v>
      </c>
      <c r="I58" s="14" t="n">
        <v>46307</v>
      </c>
      <c r="J58" s="12" t="n">
        <v>3</v>
      </c>
      <c r="K58" s="15" t="n">
        <f aca="false">IF(OR($I58="",$J58=""),"",$I58+7*$J58-3)</f>
        <v>46325</v>
      </c>
      <c r="L58" s="12"/>
      <c r="M58" s="4"/>
      <c r="N58" s="12"/>
      <c r="O58" s="4"/>
      <c r="P58" s="12"/>
    </row>
    <row r="59" customFormat="false" ht="23.85" hidden="false" customHeight="false" outlineLevel="0" collapsed="false">
      <c r="A59" s="12" t="s">
        <v>317</v>
      </c>
      <c r="B59" s="12" t="s">
        <v>53</v>
      </c>
      <c r="C59" s="12" t="s">
        <v>62</v>
      </c>
      <c r="D59" s="4" t="s">
        <v>318</v>
      </c>
      <c r="E59" s="4" t="s">
        <v>319</v>
      </c>
      <c r="F59" s="12" t="s">
        <v>62</v>
      </c>
      <c r="G59" s="13" t="str">
        <f aca="false">IF($F59="","",IFERROR(INDEX(Lists!$B$4:$B$12,MATCH($F59,Lists!$A$4:$A$12,0)),""))</f>
        <v>TBD</v>
      </c>
      <c r="H59" s="12" t="s">
        <v>44</v>
      </c>
      <c r="I59" s="14" t="n">
        <v>46328</v>
      </c>
      <c r="J59" s="12" t="n">
        <v>4</v>
      </c>
      <c r="K59" s="15" t="n">
        <f aca="false">IF(OR($I59="",$J59=""),"",$I59+7*$J59-3)</f>
        <v>46353</v>
      </c>
      <c r="L59" s="12" t="s">
        <v>320</v>
      </c>
      <c r="M59" s="4"/>
      <c r="N59" s="12"/>
      <c r="O59" s="4" t="s">
        <v>321</v>
      </c>
      <c r="P59" s="12" t="s">
        <v>322</v>
      </c>
    </row>
    <row r="60" customFormat="false" ht="46.25" hidden="false" customHeight="false" outlineLevel="0" collapsed="false">
      <c r="A60" s="12" t="s">
        <v>323</v>
      </c>
      <c r="B60" s="12" t="s">
        <v>53</v>
      </c>
      <c r="C60" s="12" t="s">
        <v>62</v>
      </c>
      <c r="D60" s="4" t="s">
        <v>324</v>
      </c>
      <c r="E60" s="4" t="s">
        <v>325</v>
      </c>
      <c r="F60" s="12" t="s">
        <v>62</v>
      </c>
      <c r="G60" s="13" t="str">
        <f aca="false">IF($F60="","",IFERROR(INDEX(Lists!$B$4:$B$12,MATCH($F60,Lists!$A$4:$A$12,0)),""))</f>
        <v>TBD</v>
      </c>
      <c r="H60" s="12" t="s">
        <v>44</v>
      </c>
      <c r="I60" s="14" t="n">
        <v>46209</v>
      </c>
      <c r="J60" s="12" t="n">
        <v>2</v>
      </c>
      <c r="K60" s="15" t="n">
        <f aca="false">IF(OR($I60="",$J60=""),"",$I60+7*$J60-3)</f>
        <v>46220</v>
      </c>
      <c r="L60" s="12"/>
      <c r="M60" s="4"/>
      <c r="N60" s="12"/>
      <c r="O60" s="4"/>
      <c r="P60" s="12" t="s">
        <v>326</v>
      </c>
    </row>
    <row r="61" customFormat="false" ht="23.85" hidden="false" customHeight="false" outlineLevel="0" collapsed="false">
      <c r="A61" s="12" t="s">
        <v>327</v>
      </c>
      <c r="B61" s="12" t="s">
        <v>53</v>
      </c>
      <c r="C61" s="12" t="s">
        <v>62</v>
      </c>
      <c r="D61" s="4" t="s">
        <v>328</v>
      </c>
      <c r="E61" s="4" t="s">
        <v>329</v>
      </c>
      <c r="F61" s="12" t="s">
        <v>62</v>
      </c>
      <c r="G61" s="13" t="str">
        <f aca="false">IF($F61="","",IFERROR(INDEX(Lists!$B$4:$B$12,MATCH($F61,Lists!$A$4:$A$12,0)),""))</f>
        <v>TBD</v>
      </c>
      <c r="H61" s="12" t="s">
        <v>44</v>
      </c>
      <c r="I61" s="14" t="n">
        <v>46209</v>
      </c>
      <c r="J61" s="12" t="n">
        <v>2</v>
      </c>
      <c r="K61" s="15" t="n">
        <f aca="false">IF(OR($I61="",$J61=""),"",$I61+7*$J61-3)</f>
        <v>46220</v>
      </c>
      <c r="L61" s="12"/>
      <c r="M61" s="4"/>
      <c r="N61" s="12"/>
      <c r="O61" s="4"/>
      <c r="P61" s="12" t="s">
        <v>330</v>
      </c>
    </row>
    <row r="62" customFormat="false" ht="23.85" hidden="false" customHeight="false" outlineLevel="0" collapsed="false">
      <c r="A62" s="12" t="s">
        <v>331</v>
      </c>
      <c r="B62" s="12" t="s">
        <v>53</v>
      </c>
      <c r="C62" s="12" t="s">
        <v>62</v>
      </c>
      <c r="D62" s="4" t="s">
        <v>332</v>
      </c>
      <c r="E62" s="4" t="s">
        <v>333</v>
      </c>
      <c r="F62" s="12" t="s">
        <v>62</v>
      </c>
      <c r="G62" s="13" t="str">
        <f aca="false">IF($F62="","",IFERROR(INDEX(Lists!$B$4:$B$12,MATCH($F62,Lists!$A$4:$A$12,0)),""))</f>
        <v>TBD</v>
      </c>
      <c r="H62" s="12" t="s">
        <v>44</v>
      </c>
      <c r="I62" s="14" t="n">
        <v>46335</v>
      </c>
      <c r="J62" s="12" t="n">
        <v>4</v>
      </c>
      <c r="K62" s="15" t="n">
        <f aca="false">IF(OR($I62="",$J62=""),"",$I62+7*$J62-3)</f>
        <v>46360</v>
      </c>
      <c r="L62" s="12" t="s">
        <v>317</v>
      </c>
      <c r="M62" s="4"/>
      <c r="N62" s="12"/>
      <c r="O62" s="4"/>
      <c r="P62" s="12"/>
    </row>
    <row r="63" customFormat="false" ht="23.85" hidden="false" customHeight="false" outlineLevel="0" collapsed="false">
      <c r="A63" s="12" t="s">
        <v>334</v>
      </c>
      <c r="B63" s="12" t="s">
        <v>53</v>
      </c>
      <c r="C63" s="12" t="s">
        <v>62</v>
      </c>
      <c r="D63" s="4" t="s">
        <v>335</v>
      </c>
      <c r="E63" s="4" t="s">
        <v>336</v>
      </c>
      <c r="F63" s="12" t="s">
        <v>62</v>
      </c>
      <c r="G63" s="13" t="str">
        <f aca="false">IF($F63="","",IFERROR(INDEX(Lists!$B$4:$B$12,MATCH($F63,Lists!$A$4:$A$12,0)),""))</f>
        <v>TBD</v>
      </c>
      <c r="H63" s="12" t="s">
        <v>44</v>
      </c>
      <c r="I63" s="14" t="n">
        <v>46356</v>
      </c>
      <c r="J63" s="12" t="n">
        <v>4</v>
      </c>
      <c r="K63" s="15" t="n">
        <f aca="false">IF(OR($I63="",$J63=""),"",$I63+7*$J63-3)</f>
        <v>46381</v>
      </c>
      <c r="L63" s="12" t="s">
        <v>337</v>
      </c>
      <c r="M63" s="4"/>
      <c r="N63" s="12"/>
      <c r="O63" s="4"/>
      <c r="P63" s="12" t="s">
        <v>338</v>
      </c>
    </row>
    <row r="64" customFormat="false" ht="23.85" hidden="false" customHeight="false" outlineLevel="0" collapsed="false">
      <c r="A64" s="12" t="s">
        <v>339</v>
      </c>
      <c r="B64" s="12" t="s">
        <v>53</v>
      </c>
      <c r="C64" s="12" t="s">
        <v>62</v>
      </c>
      <c r="D64" s="4" t="s">
        <v>340</v>
      </c>
      <c r="E64" s="4" t="s">
        <v>341</v>
      </c>
      <c r="F64" s="12" t="s">
        <v>62</v>
      </c>
      <c r="G64" s="13" t="str">
        <f aca="false">IF($F64="","",IFERROR(INDEX(Lists!$B$4:$B$12,MATCH($F64,Lists!$A$4:$A$12,0)),""))</f>
        <v>TBD</v>
      </c>
      <c r="H64" s="12" t="s">
        <v>44</v>
      </c>
      <c r="I64" s="14" t="n">
        <v>46223</v>
      </c>
      <c r="J64" s="12" t="n">
        <v>1</v>
      </c>
      <c r="K64" s="15" t="n">
        <f aca="false">IF(OR($I64="",$J64=""),"",$I64+7*$J64-3)</f>
        <v>46227</v>
      </c>
      <c r="L64" s="12"/>
      <c r="M64" s="4"/>
      <c r="N64" s="12"/>
      <c r="O64" s="4"/>
      <c r="P64" s="12" t="s">
        <v>342</v>
      </c>
    </row>
    <row r="65" customFormat="false" ht="23.85" hidden="false" customHeight="false" outlineLevel="0" collapsed="false">
      <c r="A65" s="12" t="s">
        <v>343</v>
      </c>
      <c r="B65" s="12" t="s">
        <v>53</v>
      </c>
      <c r="C65" s="12" t="s">
        <v>62</v>
      </c>
      <c r="D65" s="4" t="s">
        <v>344</v>
      </c>
      <c r="E65" s="4" t="s">
        <v>345</v>
      </c>
      <c r="F65" s="12" t="s">
        <v>62</v>
      </c>
      <c r="G65" s="13" t="str">
        <f aca="false">IF($F65="","",IFERROR(INDEX(Lists!$B$4:$B$12,MATCH($F65,Lists!$A$4:$A$12,0)),""))</f>
        <v>TBD</v>
      </c>
      <c r="H65" s="12" t="s">
        <v>44</v>
      </c>
      <c r="I65" s="14" t="n">
        <v>46370</v>
      </c>
      <c r="J65" s="12" t="n">
        <v>3</v>
      </c>
      <c r="K65" s="15" t="n">
        <f aca="false">IF(OR($I65="",$J65=""),"",$I65+7*$J65-3)</f>
        <v>46388</v>
      </c>
      <c r="L65" s="12" t="s">
        <v>334</v>
      </c>
      <c r="M65" s="4"/>
      <c r="N65" s="12"/>
      <c r="O65" s="4"/>
      <c r="P65" s="12"/>
    </row>
    <row r="66" customFormat="false" ht="35.05" hidden="false" customHeight="false" outlineLevel="0" collapsed="false">
      <c r="A66" s="12" t="s">
        <v>346</v>
      </c>
      <c r="B66" s="12" t="s">
        <v>53</v>
      </c>
      <c r="C66" s="12" t="s">
        <v>62</v>
      </c>
      <c r="D66" s="4" t="s">
        <v>347</v>
      </c>
      <c r="E66" s="4" t="s">
        <v>348</v>
      </c>
      <c r="F66" s="12" t="s">
        <v>62</v>
      </c>
      <c r="G66" s="13" t="str">
        <f aca="false">IF($F66="","",IFERROR(INDEX(Lists!$B$4:$B$12,MATCH($F66,Lists!$A$4:$A$12,0)),""))</f>
        <v>TBD</v>
      </c>
      <c r="H66" s="12" t="s">
        <v>44</v>
      </c>
      <c r="I66" s="14" t="n">
        <v>46223</v>
      </c>
      <c r="J66" s="12" t="n">
        <v>2</v>
      </c>
      <c r="K66" s="15" t="n">
        <f aca="false">IF(OR($I66="",$J66=""),"",$I66+7*$J66-3)</f>
        <v>46234</v>
      </c>
      <c r="L66" s="12"/>
      <c r="M66" s="4"/>
      <c r="N66" s="12"/>
      <c r="O66" s="4"/>
      <c r="P66" s="12" t="s">
        <v>349</v>
      </c>
    </row>
    <row r="67" customFormat="false" ht="15" hidden="false" customHeight="false" outlineLevel="0" collapsed="false">
      <c r="A67" s="12" t="s">
        <v>350</v>
      </c>
      <c r="B67" s="12" t="s">
        <v>53</v>
      </c>
      <c r="C67" s="12" t="s">
        <v>62</v>
      </c>
      <c r="D67" s="4" t="s">
        <v>351</v>
      </c>
      <c r="E67" s="4" t="s">
        <v>352</v>
      </c>
      <c r="F67" s="12" t="s">
        <v>62</v>
      </c>
      <c r="G67" s="13" t="str">
        <f aca="false">IF($F67="","",IFERROR(INDEX(Lists!$B$4:$B$12,MATCH($F67,Lists!$A$4:$A$12,0)),""))</f>
        <v>TBD</v>
      </c>
      <c r="H67" s="12" t="s">
        <v>44</v>
      </c>
      <c r="I67" s="14" t="n">
        <v>46370</v>
      </c>
      <c r="J67" s="12" t="n">
        <v>3</v>
      </c>
      <c r="K67" s="15" t="n">
        <f aca="false">IF(OR($I67="",$J67=""),"",$I67+7*$J67-3)</f>
        <v>46388</v>
      </c>
      <c r="L67" s="12" t="s">
        <v>353</v>
      </c>
      <c r="M67" s="4"/>
      <c r="N67" s="12"/>
      <c r="O67" s="4"/>
      <c r="P67" s="12"/>
    </row>
    <row r="68" customFormat="false" ht="23.85" hidden="false" customHeight="false" outlineLevel="0" collapsed="false">
      <c r="A68" s="12" t="s">
        <v>354</v>
      </c>
      <c r="B68" s="12" t="s">
        <v>53</v>
      </c>
      <c r="C68" s="12" t="s">
        <v>62</v>
      </c>
      <c r="D68" s="4" t="s">
        <v>355</v>
      </c>
      <c r="E68" s="4" t="s">
        <v>356</v>
      </c>
      <c r="F68" s="12" t="s">
        <v>62</v>
      </c>
      <c r="G68" s="13" t="str">
        <f aca="false">IF($F68="","",IFERROR(INDEX(Lists!$B$4:$B$12,MATCH($F68,Lists!$A$4:$A$12,0)),""))</f>
        <v>TBD</v>
      </c>
      <c r="H68" s="12" t="s">
        <v>44</v>
      </c>
      <c r="I68" s="14" t="n">
        <v>46349</v>
      </c>
      <c r="J68" s="12" t="n">
        <v>4</v>
      </c>
      <c r="K68" s="15" t="n">
        <f aca="false">IF(OR($I68="",$J68=""),"",$I68+7*$J68-3)</f>
        <v>46374</v>
      </c>
      <c r="L68" s="12" t="s">
        <v>357</v>
      </c>
      <c r="M68" s="4" t="s">
        <v>358</v>
      </c>
      <c r="N68" s="12"/>
      <c r="O68" s="4"/>
      <c r="P68" s="12"/>
    </row>
    <row r="69" customFormat="false" ht="23.85" hidden="false" customHeight="false" outlineLevel="0" collapsed="false">
      <c r="A69" s="12" t="s">
        <v>359</v>
      </c>
      <c r="B69" s="12" t="s">
        <v>53</v>
      </c>
      <c r="C69" s="12" t="s">
        <v>63</v>
      </c>
      <c r="D69" s="4" t="s">
        <v>360</v>
      </c>
      <c r="E69" s="4" t="s">
        <v>361</v>
      </c>
      <c r="F69" s="12" t="s">
        <v>63</v>
      </c>
      <c r="G69" s="13" t="str">
        <f aca="false">IF($F69="","",IFERROR(INDEX(Lists!$B$4:$B$12,MATCH($F69,Lists!$A$4:$A$12,0)),""))</f>
        <v>TBD</v>
      </c>
      <c r="H69" s="12" t="s">
        <v>44</v>
      </c>
      <c r="I69" s="14" t="n">
        <v>46307</v>
      </c>
      <c r="J69" s="12" t="n">
        <v>3</v>
      </c>
      <c r="K69" s="15" t="n">
        <f aca="false">IF(OR($I69="",$J69=""),"",$I69+7*$J69-3)</f>
        <v>46325</v>
      </c>
      <c r="L69" s="12" t="s">
        <v>265</v>
      </c>
      <c r="M69" s="4"/>
      <c r="N69" s="12"/>
      <c r="O69" s="4"/>
      <c r="P69" s="12"/>
    </row>
    <row r="70" customFormat="false" ht="15" hidden="false" customHeight="false" outlineLevel="0" collapsed="false">
      <c r="A70" s="12" t="s">
        <v>362</v>
      </c>
      <c r="B70" s="12" t="s">
        <v>53</v>
      </c>
      <c r="C70" s="12" t="s">
        <v>63</v>
      </c>
      <c r="D70" s="4" t="s">
        <v>363</v>
      </c>
      <c r="E70" s="4" t="s">
        <v>364</v>
      </c>
      <c r="F70" s="12" t="s">
        <v>63</v>
      </c>
      <c r="G70" s="13" t="str">
        <f aca="false">IF($F70="","",IFERROR(INDEX(Lists!$B$4:$B$12,MATCH($F70,Lists!$A$4:$A$12,0)),""))</f>
        <v>TBD</v>
      </c>
      <c r="H70" s="12" t="s">
        <v>44</v>
      </c>
      <c r="I70" s="14" t="n">
        <v>46321</v>
      </c>
      <c r="J70" s="12" t="n">
        <v>3</v>
      </c>
      <c r="K70" s="15" t="n">
        <f aca="false">IF(OR($I70="",$J70=""),"",$I70+7*$J70-3)</f>
        <v>46339</v>
      </c>
      <c r="L70" s="12" t="s">
        <v>359</v>
      </c>
      <c r="M70" s="4"/>
      <c r="N70" s="12"/>
      <c r="O70" s="4"/>
      <c r="P70" s="12"/>
    </row>
    <row r="71" customFormat="false" ht="15" hidden="false" customHeight="false" outlineLevel="0" collapsed="false">
      <c r="A71" s="12" t="s">
        <v>365</v>
      </c>
      <c r="B71" s="12" t="s">
        <v>53</v>
      </c>
      <c r="C71" s="12" t="s">
        <v>63</v>
      </c>
      <c r="D71" s="4" t="s">
        <v>366</v>
      </c>
      <c r="E71" s="4" t="s">
        <v>367</v>
      </c>
      <c r="F71" s="12" t="s">
        <v>63</v>
      </c>
      <c r="G71" s="13" t="str">
        <f aca="false">IF($F71="","",IFERROR(INDEX(Lists!$B$4:$B$12,MATCH($F71,Lists!$A$4:$A$12,0)),""))</f>
        <v>TBD</v>
      </c>
      <c r="H71" s="12" t="s">
        <v>44</v>
      </c>
      <c r="I71" s="14" t="n">
        <v>46335</v>
      </c>
      <c r="J71" s="12" t="n">
        <v>3</v>
      </c>
      <c r="K71" s="15" t="n">
        <f aca="false">IF(OR($I71="",$J71=""),"",$I71+7*$J71-3)</f>
        <v>46353</v>
      </c>
      <c r="L71" s="12" t="s">
        <v>306</v>
      </c>
      <c r="M71" s="4"/>
      <c r="N71" s="12"/>
      <c r="O71" s="4"/>
      <c r="P71" s="12"/>
    </row>
    <row r="72" customFormat="false" ht="15" hidden="false" customHeight="false" outlineLevel="0" collapsed="false">
      <c r="A72" s="12" t="s">
        <v>368</v>
      </c>
      <c r="B72" s="12" t="s">
        <v>53</v>
      </c>
      <c r="C72" s="12" t="s">
        <v>63</v>
      </c>
      <c r="D72" s="4" t="s">
        <v>369</v>
      </c>
      <c r="E72" s="4" t="s">
        <v>370</v>
      </c>
      <c r="F72" s="12" t="s">
        <v>63</v>
      </c>
      <c r="G72" s="13" t="str">
        <f aca="false">IF($F72="","",IFERROR(INDEX(Lists!$B$4:$B$12,MATCH($F72,Lists!$A$4:$A$12,0)),""))</f>
        <v>TBD</v>
      </c>
      <c r="H72" s="12" t="s">
        <v>44</v>
      </c>
      <c r="I72" s="14" t="n">
        <v>46328</v>
      </c>
      <c r="J72" s="12" t="n">
        <v>3</v>
      </c>
      <c r="K72" s="15" t="n">
        <f aca="false">IF(OR($I72="",$J72=""),"",$I72+7*$J72-3)</f>
        <v>46346</v>
      </c>
      <c r="L72" s="12" t="s">
        <v>371</v>
      </c>
      <c r="M72" s="4"/>
      <c r="N72" s="12"/>
      <c r="O72" s="4"/>
      <c r="P72" s="12"/>
    </row>
    <row r="73" customFormat="false" ht="23.85" hidden="false" customHeight="false" outlineLevel="0" collapsed="false">
      <c r="A73" s="12" t="s">
        <v>372</v>
      </c>
      <c r="B73" s="12" t="s">
        <v>53</v>
      </c>
      <c r="C73" s="12" t="s">
        <v>63</v>
      </c>
      <c r="D73" s="4" t="s">
        <v>373</v>
      </c>
      <c r="E73" s="4" t="s">
        <v>374</v>
      </c>
      <c r="F73" s="12" t="s">
        <v>63</v>
      </c>
      <c r="G73" s="13" t="str">
        <f aca="false">IF($F73="","",IFERROR(INDEX(Lists!$B$4:$B$12,MATCH($F73,Lists!$A$4:$A$12,0)),""))</f>
        <v>TBD</v>
      </c>
      <c r="H73" s="12" t="s">
        <v>44</v>
      </c>
      <c r="I73" s="14" t="n">
        <v>46349</v>
      </c>
      <c r="J73" s="12" t="n">
        <v>3</v>
      </c>
      <c r="K73" s="15" t="n">
        <f aca="false">IF(OR($I73="",$J73=""),"",$I73+7*$J73-3)</f>
        <v>46367</v>
      </c>
      <c r="L73" s="12" t="s">
        <v>365</v>
      </c>
      <c r="M73" s="4"/>
      <c r="N73" s="12"/>
      <c r="O73" s="4"/>
      <c r="P73" s="12"/>
    </row>
    <row r="74" customFormat="false" ht="15" hidden="false" customHeight="false" outlineLevel="0" collapsed="false">
      <c r="A74" s="12" t="s">
        <v>375</v>
      </c>
      <c r="B74" s="12" t="s">
        <v>53</v>
      </c>
      <c r="C74" s="12" t="s">
        <v>63</v>
      </c>
      <c r="D74" s="4" t="s">
        <v>376</v>
      </c>
      <c r="E74" s="4" t="s">
        <v>377</v>
      </c>
      <c r="F74" s="12" t="s">
        <v>63</v>
      </c>
      <c r="G74" s="13" t="str">
        <f aca="false">IF($F74="","",IFERROR(INDEX(Lists!$B$4:$B$12,MATCH($F74,Lists!$A$4:$A$12,0)),""))</f>
        <v>TBD</v>
      </c>
      <c r="H74" s="12" t="s">
        <v>44</v>
      </c>
      <c r="I74" s="14" t="n">
        <v>46370</v>
      </c>
      <c r="J74" s="12" t="n">
        <v>3</v>
      </c>
      <c r="K74" s="15" t="n">
        <f aca="false">IF(OR($I74="",$J74=""),"",$I74+7*$J74-3)</f>
        <v>46388</v>
      </c>
      <c r="L74" s="12" t="s">
        <v>359</v>
      </c>
      <c r="M74" s="4"/>
      <c r="N74" s="12"/>
      <c r="O74" s="4"/>
      <c r="P74" s="12"/>
    </row>
    <row r="75" customFormat="false" ht="15" hidden="false" customHeight="false" outlineLevel="0" collapsed="false">
      <c r="A75" s="12" t="s">
        <v>378</v>
      </c>
      <c r="B75" s="12" t="s">
        <v>53</v>
      </c>
      <c r="C75" s="12" t="s">
        <v>63</v>
      </c>
      <c r="D75" s="4" t="s">
        <v>379</v>
      </c>
      <c r="E75" s="4" t="s">
        <v>380</v>
      </c>
      <c r="F75" s="12" t="s">
        <v>63</v>
      </c>
      <c r="G75" s="13" t="str">
        <f aca="false">IF($F75="","",IFERROR(INDEX(Lists!$B$4:$B$12,MATCH($F75,Lists!$A$4:$A$12,0)),""))</f>
        <v>TBD</v>
      </c>
      <c r="H75" s="12" t="s">
        <v>44</v>
      </c>
      <c r="I75" s="14" t="n">
        <v>46391</v>
      </c>
      <c r="J75" s="12" t="n">
        <v>2</v>
      </c>
      <c r="K75" s="15" t="n">
        <f aca="false">IF(OR($I75="",$J75=""),"",$I75+7*$J75-3)</f>
        <v>46402</v>
      </c>
      <c r="L75" s="12" t="s">
        <v>362</v>
      </c>
      <c r="M75" s="4"/>
      <c r="N75" s="12"/>
      <c r="O75" s="4"/>
      <c r="P75" s="12"/>
    </row>
    <row r="76" customFormat="false" ht="15" hidden="false" customHeight="false" outlineLevel="0" collapsed="false">
      <c r="A76" s="12" t="s">
        <v>381</v>
      </c>
      <c r="B76" s="12" t="s">
        <v>53</v>
      </c>
      <c r="C76" s="12" t="s">
        <v>63</v>
      </c>
      <c r="D76" s="4" t="s">
        <v>382</v>
      </c>
      <c r="E76" s="4" t="s">
        <v>383</v>
      </c>
      <c r="F76" s="12" t="s">
        <v>63</v>
      </c>
      <c r="G76" s="13" t="str">
        <f aca="false">IF($F76="","",IFERROR(INDEX(Lists!$B$4:$B$12,MATCH($F76,Lists!$A$4:$A$12,0)),""))</f>
        <v>TBD</v>
      </c>
      <c r="H76" s="12" t="s">
        <v>44</v>
      </c>
      <c r="I76" s="14" t="n">
        <v>46356</v>
      </c>
      <c r="J76" s="12" t="n">
        <v>2</v>
      </c>
      <c r="K76" s="15" t="n">
        <f aca="false">IF(OR($I76="",$J76=""),"",$I76+7*$J76-3)</f>
        <v>46367</v>
      </c>
      <c r="L76" s="12" t="s">
        <v>368</v>
      </c>
      <c r="M76" s="4"/>
      <c r="N76" s="12"/>
      <c r="O76" s="4"/>
      <c r="P76" s="12"/>
    </row>
    <row r="77" customFormat="false" ht="15" hidden="false" customHeight="false" outlineLevel="0" collapsed="false">
      <c r="A77" s="12" t="s">
        <v>384</v>
      </c>
      <c r="B77" s="12" t="s">
        <v>53</v>
      </c>
      <c r="C77" s="12" t="s">
        <v>64</v>
      </c>
      <c r="D77" s="4" t="s">
        <v>385</v>
      </c>
      <c r="E77" s="4"/>
      <c r="F77" s="12" t="s">
        <v>64</v>
      </c>
      <c r="G77" s="13" t="str">
        <f aca="false">IF($F77="","",IFERROR(INDEX(Lists!$B$4:$B$12,MATCH($F77,Lists!$A$4:$A$12,0)),""))</f>
        <v>TBD</v>
      </c>
      <c r="H77" s="12" t="s">
        <v>44</v>
      </c>
      <c r="I77" s="14" t="n">
        <v>46363</v>
      </c>
      <c r="J77" s="12" t="n">
        <v>2</v>
      </c>
      <c r="K77" s="15" t="n">
        <f aca="false">IF(OR($I77="",$J77=""),"",$I77+7*$J77-3)</f>
        <v>46374</v>
      </c>
      <c r="L77" s="12" t="s">
        <v>381</v>
      </c>
      <c r="M77" s="4"/>
      <c r="N77" s="12"/>
      <c r="O77" s="4"/>
      <c r="P77" s="12"/>
    </row>
    <row r="78" customFormat="false" ht="15" hidden="false" customHeight="false" outlineLevel="0" collapsed="false">
      <c r="A78" s="12" t="s">
        <v>386</v>
      </c>
      <c r="B78" s="12" t="s">
        <v>53</v>
      </c>
      <c r="C78" s="12" t="s">
        <v>64</v>
      </c>
      <c r="D78" s="4" t="s">
        <v>387</v>
      </c>
      <c r="E78" s="4"/>
      <c r="F78" s="12" t="s">
        <v>64</v>
      </c>
      <c r="G78" s="13" t="str">
        <f aca="false">IF($F78="","",IFERROR(INDEX(Lists!$B$4:$B$12,MATCH($F78,Lists!$A$4:$A$12,0)),""))</f>
        <v>TBD</v>
      </c>
      <c r="H78" s="12" t="s">
        <v>44</v>
      </c>
      <c r="I78" s="14" t="n">
        <v>46370</v>
      </c>
      <c r="J78" s="12" t="n">
        <v>3</v>
      </c>
      <c r="K78" s="15" t="n">
        <f aca="false">IF(OR($I78="",$J78=""),"",$I78+7*$J78-3)</f>
        <v>46388</v>
      </c>
      <c r="L78" s="12" t="s">
        <v>384</v>
      </c>
      <c r="M78" s="4"/>
      <c r="N78" s="12"/>
      <c r="O78" s="4"/>
      <c r="P78" s="12"/>
    </row>
    <row r="79" customFormat="false" ht="15" hidden="false" customHeight="false" outlineLevel="0" collapsed="false">
      <c r="A79" s="12" t="s">
        <v>388</v>
      </c>
      <c r="B79" s="12" t="s">
        <v>53</v>
      </c>
      <c r="C79" s="12" t="s">
        <v>64</v>
      </c>
      <c r="D79" s="4" t="s">
        <v>389</v>
      </c>
      <c r="E79" s="4" t="s">
        <v>390</v>
      </c>
      <c r="F79" s="12" t="s">
        <v>64</v>
      </c>
      <c r="G79" s="13" t="str">
        <f aca="false">IF($F79="","",IFERROR(INDEX(Lists!$B$4:$B$12,MATCH($F79,Lists!$A$4:$A$12,0)),""))</f>
        <v>TBD</v>
      </c>
      <c r="H79" s="12" t="s">
        <v>44</v>
      </c>
      <c r="I79" s="14" t="n">
        <v>46384</v>
      </c>
      <c r="J79" s="12" t="n">
        <v>2</v>
      </c>
      <c r="K79" s="15" t="n">
        <f aca="false">IF(OR($I79="",$J79=""),"",$I79+7*$J79-3)</f>
        <v>46395</v>
      </c>
      <c r="L79" s="12" t="s">
        <v>386</v>
      </c>
      <c r="M79" s="4"/>
      <c r="N79" s="12"/>
      <c r="O79" s="4"/>
      <c r="P79" s="12"/>
    </row>
    <row r="80" customFormat="false" ht="15" hidden="false" customHeight="false" outlineLevel="0" collapsed="false">
      <c r="A80" s="12" t="s">
        <v>391</v>
      </c>
      <c r="B80" s="12" t="s">
        <v>53</v>
      </c>
      <c r="C80" s="12" t="s">
        <v>64</v>
      </c>
      <c r="D80" s="4" t="s">
        <v>392</v>
      </c>
      <c r="E80" s="4" t="s">
        <v>393</v>
      </c>
      <c r="F80" s="12" t="s">
        <v>64</v>
      </c>
      <c r="G80" s="13" t="str">
        <f aca="false">IF($F80="","",IFERROR(INDEX(Lists!$B$4:$B$12,MATCH($F80,Lists!$A$4:$A$12,0)),""))</f>
        <v>TBD</v>
      </c>
      <c r="H80" s="12" t="s">
        <v>44</v>
      </c>
      <c r="I80" s="14" t="n">
        <v>46391</v>
      </c>
      <c r="J80" s="12" t="n">
        <v>3</v>
      </c>
      <c r="K80" s="15" t="n">
        <f aca="false">IF(OR($I80="",$J80=""),"",$I80+7*$J80-3)</f>
        <v>46409</v>
      </c>
      <c r="L80" s="12" t="s">
        <v>394</v>
      </c>
      <c r="M80" s="4"/>
      <c r="N80" s="12"/>
      <c r="O80" s="4"/>
      <c r="P80" s="12"/>
    </row>
    <row r="81" customFormat="false" ht="23.85" hidden="false" customHeight="false" outlineLevel="0" collapsed="false">
      <c r="A81" s="12" t="s">
        <v>395</v>
      </c>
      <c r="B81" s="12" t="s">
        <v>53</v>
      </c>
      <c r="C81" s="12" t="s">
        <v>254</v>
      </c>
      <c r="D81" s="4" t="s">
        <v>396</v>
      </c>
      <c r="E81" s="4" t="s">
        <v>397</v>
      </c>
      <c r="F81" s="12" t="s">
        <v>68</v>
      </c>
      <c r="G81" s="13" t="str">
        <f aca="false">IF($F81="","",IFERROR(INDEX(Lists!$B$4:$B$12,MATCH($F81,Lists!$A$4:$A$12,0)),""))</f>
        <v>TBD</v>
      </c>
      <c r="H81" s="12" t="s">
        <v>44</v>
      </c>
      <c r="I81" s="14" t="n">
        <v>46349</v>
      </c>
      <c r="J81" s="12" t="n">
        <v>1</v>
      </c>
      <c r="K81" s="15" t="n">
        <f aca="false">IF(OR($I81="",$J81=""),"",$I81+7*$J81-3)</f>
        <v>46353</v>
      </c>
      <c r="L81" s="12" t="s">
        <v>398</v>
      </c>
      <c r="M81" s="4"/>
      <c r="N81" s="12"/>
      <c r="O81" s="4"/>
      <c r="P81" s="12"/>
    </row>
    <row r="82" customFormat="false" ht="23.85" hidden="false" customHeight="false" outlineLevel="0" collapsed="false">
      <c r="A82" s="12" t="s">
        <v>399</v>
      </c>
      <c r="B82" s="12" t="s">
        <v>53</v>
      </c>
      <c r="C82" s="12" t="s">
        <v>254</v>
      </c>
      <c r="D82" s="4" t="s">
        <v>400</v>
      </c>
      <c r="E82" s="4" t="s">
        <v>401</v>
      </c>
      <c r="F82" s="12" t="s">
        <v>68</v>
      </c>
      <c r="G82" s="13" t="str">
        <f aca="false">IF($F82="","",IFERROR(INDEX(Lists!$B$4:$B$12,MATCH($F82,Lists!$A$4:$A$12,0)),""))</f>
        <v>TBD</v>
      </c>
      <c r="H82" s="12" t="s">
        <v>44</v>
      </c>
      <c r="I82" s="14" t="n">
        <v>46363</v>
      </c>
      <c r="J82" s="12" t="n">
        <v>1</v>
      </c>
      <c r="K82" s="15" t="n">
        <f aca="false">IF(OR($I82="",$J82=""),"",$I82+7*$J82-3)</f>
        <v>46367</v>
      </c>
      <c r="L82" s="12" t="s">
        <v>402</v>
      </c>
      <c r="M82" s="4"/>
      <c r="N82" s="12"/>
      <c r="O82" s="4"/>
      <c r="P82" s="12"/>
    </row>
    <row r="83" customFormat="false" ht="23.85" hidden="false" customHeight="false" outlineLevel="0" collapsed="false">
      <c r="A83" s="12" t="s">
        <v>403</v>
      </c>
      <c r="B83" s="12" t="s">
        <v>53</v>
      </c>
      <c r="C83" s="12" t="s">
        <v>254</v>
      </c>
      <c r="D83" s="4" t="s">
        <v>404</v>
      </c>
      <c r="E83" s="4" t="s">
        <v>405</v>
      </c>
      <c r="F83" s="12" t="s">
        <v>68</v>
      </c>
      <c r="G83" s="13" t="str">
        <f aca="false">IF($F83="","",IFERROR(INDEX(Lists!$B$4:$B$12,MATCH($F83,Lists!$A$4:$A$12,0)),""))</f>
        <v>TBD</v>
      </c>
      <c r="H83" s="12" t="s">
        <v>44</v>
      </c>
      <c r="I83" s="14" t="n">
        <v>46391</v>
      </c>
      <c r="J83" s="12" t="n">
        <v>1</v>
      </c>
      <c r="K83" s="15" t="n">
        <f aca="false">IF(OR($I83="",$J83=""),"",$I83+7*$J83-3)</f>
        <v>46395</v>
      </c>
      <c r="L83" s="12" t="s">
        <v>350</v>
      </c>
      <c r="M83" s="4"/>
      <c r="N83" s="12"/>
      <c r="O83" s="4"/>
      <c r="P83" s="12"/>
    </row>
    <row r="84" customFormat="false" ht="15" hidden="false" customHeight="false" outlineLevel="0" collapsed="false">
      <c r="A84" s="12" t="s">
        <v>406</v>
      </c>
      <c r="B84" s="12" t="s">
        <v>53</v>
      </c>
      <c r="C84" s="12" t="s">
        <v>254</v>
      </c>
      <c r="D84" s="4" t="s">
        <v>407</v>
      </c>
      <c r="E84" s="4" t="s">
        <v>408</v>
      </c>
      <c r="F84" s="12" t="s">
        <v>68</v>
      </c>
      <c r="G84" s="13" t="str">
        <f aca="false">IF($F84="","",IFERROR(INDEX(Lists!$B$4:$B$12,MATCH($F84,Lists!$A$4:$A$12,0)),""))</f>
        <v>TBD</v>
      </c>
      <c r="H84" s="12" t="s">
        <v>44</v>
      </c>
      <c r="I84" s="14" t="n">
        <v>46391</v>
      </c>
      <c r="J84" s="12" t="n">
        <v>1</v>
      </c>
      <c r="K84" s="15" t="n">
        <f aca="false">IF(OR($I84="",$J84=""),"",$I84+7*$J84-3)</f>
        <v>46395</v>
      </c>
      <c r="L84" s="12" t="s">
        <v>306</v>
      </c>
      <c r="M84" s="4"/>
      <c r="N84" s="12"/>
      <c r="O84" s="4"/>
      <c r="P84" s="12"/>
    </row>
    <row r="85" customFormat="false" ht="15" hidden="false" customHeight="false" outlineLevel="0" collapsed="false">
      <c r="A85" s="12" t="s">
        <v>409</v>
      </c>
      <c r="B85" s="12" t="s">
        <v>53</v>
      </c>
      <c r="C85" s="12" t="s">
        <v>254</v>
      </c>
      <c r="D85" s="4" t="s">
        <v>410</v>
      </c>
      <c r="E85" s="4" t="s">
        <v>411</v>
      </c>
      <c r="F85" s="12" t="s">
        <v>68</v>
      </c>
      <c r="G85" s="13" t="str">
        <f aca="false">IF($F85="","",IFERROR(INDEX(Lists!$B$4:$B$12,MATCH($F85,Lists!$A$4:$A$12,0)),""))</f>
        <v>TBD</v>
      </c>
      <c r="H85" s="12" t="s">
        <v>44</v>
      </c>
      <c r="I85" s="14" t="n">
        <v>46398</v>
      </c>
      <c r="J85" s="12" t="n">
        <v>1</v>
      </c>
      <c r="K85" s="15" t="n">
        <f aca="false">IF(OR($I85="",$J85=""),"",$I85+7*$J85-3)</f>
        <v>46402</v>
      </c>
      <c r="L85" s="12" t="s">
        <v>354</v>
      </c>
      <c r="M85" s="4"/>
      <c r="N85" s="12"/>
      <c r="O85" s="4"/>
      <c r="P85" s="12"/>
    </row>
    <row r="86" customFormat="false" ht="15" hidden="false" customHeight="false" outlineLevel="0" collapsed="false">
      <c r="A86" s="12" t="s">
        <v>412</v>
      </c>
      <c r="B86" s="12" t="s">
        <v>53</v>
      </c>
      <c r="C86" s="12" t="s">
        <v>254</v>
      </c>
      <c r="D86" s="4" t="s">
        <v>413</v>
      </c>
      <c r="E86" s="4" t="s">
        <v>414</v>
      </c>
      <c r="F86" s="12" t="s">
        <v>68</v>
      </c>
      <c r="G86" s="13" t="str">
        <f aca="false">IF($F86="","",IFERROR(INDEX(Lists!$B$4:$B$12,MATCH($F86,Lists!$A$4:$A$12,0)),""))</f>
        <v>TBD</v>
      </c>
      <c r="H86" s="12" t="s">
        <v>44</v>
      </c>
      <c r="I86" s="14" t="n">
        <v>46405</v>
      </c>
      <c r="J86" s="12" t="n">
        <v>1</v>
      </c>
      <c r="K86" s="15" t="n">
        <f aca="false">IF(OR($I86="",$J86=""),"",$I86+7*$J86-3)</f>
        <v>46409</v>
      </c>
      <c r="L86" s="12" t="s">
        <v>388</v>
      </c>
      <c r="M86" s="4"/>
      <c r="N86" s="12"/>
      <c r="O86" s="4"/>
      <c r="P86" s="12"/>
    </row>
    <row r="87" customFormat="false" ht="23.85" hidden="false" customHeight="false" outlineLevel="0" collapsed="false">
      <c r="A87" s="12" t="s">
        <v>415</v>
      </c>
      <c r="B87" s="12" t="s">
        <v>56</v>
      </c>
      <c r="C87" s="12" t="s">
        <v>416</v>
      </c>
      <c r="D87" s="4" t="s">
        <v>417</v>
      </c>
      <c r="E87" s="4" t="s">
        <v>418</v>
      </c>
      <c r="F87" s="12" t="s">
        <v>66</v>
      </c>
      <c r="G87" s="13" t="str">
        <f aca="false">IF($F87="","",IFERROR(INDEX(Lists!$B$4:$B$12,MATCH($F87,Lists!$A$4:$A$12,0)),""))</f>
        <v>TBD</v>
      </c>
      <c r="H87" s="12" t="s">
        <v>48</v>
      </c>
      <c r="I87" s="14" t="n">
        <v>46195</v>
      </c>
      <c r="J87" s="12" t="n">
        <v>1</v>
      </c>
      <c r="K87" s="15" t="n">
        <f aca="false">IF(OR($I87="",$J87=""),"",$I87+7*$J87-3)</f>
        <v>46199</v>
      </c>
      <c r="L87" s="12"/>
      <c r="M87" s="4"/>
      <c r="N87" s="12"/>
      <c r="O87" s="4"/>
      <c r="P87" s="12" t="s">
        <v>419</v>
      </c>
    </row>
    <row r="88" customFormat="false" ht="23.85" hidden="false" customHeight="false" outlineLevel="0" collapsed="false">
      <c r="A88" s="12" t="s">
        <v>420</v>
      </c>
      <c r="B88" s="12" t="s">
        <v>56</v>
      </c>
      <c r="C88" s="12" t="s">
        <v>416</v>
      </c>
      <c r="D88" s="4" t="s">
        <v>421</v>
      </c>
      <c r="E88" s="4" t="s">
        <v>422</v>
      </c>
      <c r="F88" s="12" t="s">
        <v>66</v>
      </c>
      <c r="G88" s="13" t="str">
        <f aca="false">IF($F88="","",IFERROR(INDEX(Lists!$B$4:$B$12,MATCH($F88,Lists!$A$4:$A$12,0)),""))</f>
        <v>TBD</v>
      </c>
      <c r="H88" s="12" t="s">
        <v>48</v>
      </c>
      <c r="I88" s="14" t="n">
        <v>46195</v>
      </c>
      <c r="J88" s="12" t="n">
        <v>1</v>
      </c>
      <c r="K88" s="15" t="n">
        <f aca="false">IF(OR($I88="",$J88=""),"",$I88+7*$J88-3)</f>
        <v>46199</v>
      </c>
      <c r="L88" s="12"/>
      <c r="M88" s="4"/>
      <c r="N88" s="12"/>
      <c r="O88" s="4"/>
      <c r="P88" s="12" t="s">
        <v>423</v>
      </c>
    </row>
    <row r="89" customFormat="false" ht="23.85" hidden="false" customHeight="false" outlineLevel="0" collapsed="false">
      <c r="A89" s="12" t="s">
        <v>424</v>
      </c>
      <c r="B89" s="12" t="s">
        <v>56</v>
      </c>
      <c r="C89" s="12" t="s">
        <v>416</v>
      </c>
      <c r="D89" s="4" t="s">
        <v>425</v>
      </c>
      <c r="E89" s="4" t="s">
        <v>426</v>
      </c>
      <c r="F89" s="12" t="s">
        <v>66</v>
      </c>
      <c r="G89" s="13" t="str">
        <f aca="false">IF($F89="","",IFERROR(INDEX(Lists!$B$4:$B$12,MATCH($F89,Lists!$A$4:$A$12,0)),""))</f>
        <v>TBD</v>
      </c>
      <c r="H89" s="12" t="s">
        <v>48</v>
      </c>
      <c r="I89" s="14" t="n">
        <v>46195</v>
      </c>
      <c r="J89" s="12" t="n">
        <v>1</v>
      </c>
      <c r="K89" s="15" t="n">
        <f aca="false">IF(OR($I89="",$J89=""),"",$I89+7*$J89-3)</f>
        <v>46199</v>
      </c>
      <c r="L89" s="12"/>
      <c r="M89" s="4"/>
      <c r="N89" s="12"/>
      <c r="O89" s="4"/>
      <c r="P89" s="12" t="s">
        <v>427</v>
      </c>
    </row>
    <row r="90" customFormat="false" ht="35.05" hidden="false" customHeight="false" outlineLevel="0" collapsed="false">
      <c r="A90" s="12" t="s">
        <v>428</v>
      </c>
      <c r="B90" s="12" t="s">
        <v>56</v>
      </c>
      <c r="C90" s="12" t="s">
        <v>416</v>
      </c>
      <c r="D90" s="4" t="s">
        <v>429</v>
      </c>
      <c r="E90" s="4" t="s">
        <v>430</v>
      </c>
      <c r="F90" s="12" t="s">
        <v>66</v>
      </c>
      <c r="G90" s="13" t="str">
        <f aca="false">IF($F90="","",IFERROR(INDEX(Lists!$B$4:$B$12,MATCH($F90,Lists!$A$4:$A$12,0)),""))</f>
        <v>TBD</v>
      </c>
      <c r="H90" s="12" t="s">
        <v>48</v>
      </c>
      <c r="I90" s="14" t="n">
        <v>46195</v>
      </c>
      <c r="J90" s="12" t="n">
        <v>1</v>
      </c>
      <c r="K90" s="15" t="n">
        <f aca="false">IF(OR($I90="",$J90=""),"",$I90+7*$J90-3)</f>
        <v>46199</v>
      </c>
      <c r="L90" s="12"/>
      <c r="M90" s="4"/>
      <c r="N90" s="12"/>
      <c r="O90" s="4"/>
      <c r="P90" s="12" t="s">
        <v>431</v>
      </c>
    </row>
    <row r="91" customFormat="false" ht="23.85" hidden="false" customHeight="false" outlineLevel="0" collapsed="false">
      <c r="A91" s="12" t="s">
        <v>432</v>
      </c>
      <c r="B91" s="12" t="s">
        <v>56</v>
      </c>
      <c r="C91" s="12" t="s">
        <v>416</v>
      </c>
      <c r="D91" s="4" t="s">
        <v>433</v>
      </c>
      <c r="E91" s="4" t="s">
        <v>434</v>
      </c>
      <c r="F91" s="12" t="s">
        <v>66</v>
      </c>
      <c r="G91" s="13" t="str">
        <f aca="false">IF($F91="","",IFERROR(INDEX(Lists!$B$4:$B$12,MATCH($F91,Lists!$A$4:$A$12,0)),""))</f>
        <v>TBD</v>
      </c>
      <c r="H91" s="12" t="s">
        <v>48</v>
      </c>
      <c r="I91" s="14" t="n">
        <v>46195</v>
      </c>
      <c r="J91" s="12" t="n">
        <v>1</v>
      </c>
      <c r="K91" s="15" t="n">
        <f aca="false">IF(OR($I91="",$J91=""),"",$I91+7*$J91-3)</f>
        <v>46199</v>
      </c>
      <c r="L91" s="12"/>
      <c r="M91" s="4"/>
      <c r="N91" s="12"/>
      <c r="O91" s="4"/>
      <c r="P91" s="12" t="s">
        <v>435</v>
      </c>
    </row>
    <row r="92" customFormat="false" ht="23.85" hidden="false" customHeight="false" outlineLevel="0" collapsed="false">
      <c r="A92" s="12" t="s">
        <v>436</v>
      </c>
      <c r="B92" s="12" t="s">
        <v>56</v>
      </c>
      <c r="C92" s="12" t="s">
        <v>416</v>
      </c>
      <c r="D92" s="4" t="s">
        <v>437</v>
      </c>
      <c r="E92" s="4" t="s">
        <v>438</v>
      </c>
      <c r="F92" s="12" t="s">
        <v>66</v>
      </c>
      <c r="G92" s="13" t="str">
        <f aca="false">IF($F92="","",IFERROR(INDEX(Lists!$B$4:$B$12,MATCH($F92,Lists!$A$4:$A$12,0)),""))</f>
        <v>TBD</v>
      </c>
      <c r="H92" s="12" t="s">
        <v>48</v>
      </c>
      <c r="I92" s="14" t="n">
        <v>46195</v>
      </c>
      <c r="J92" s="12" t="n">
        <v>1</v>
      </c>
      <c r="K92" s="15" t="n">
        <f aca="false">IF(OR($I92="",$J92=""),"",$I92+7*$J92-3)</f>
        <v>46199</v>
      </c>
      <c r="L92" s="12"/>
      <c r="M92" s="4"/>
      <c r="N92" s="12"/>
      <c r="O92" s="4"/>
      <c r="P92" s="12" t="s">
        <v>439</v>
      </c>
    </row>
    <row r="93" customFormat="false" ht="23.85" hidden="false" customHeight="false" outlineLevel="0" collapsed="false">
      <c r="A93" s="12" t="s">
        <v>440</v>
      </c>
      <c r="B93" s="12" t="s">
        <v>56</v>
      </c>
      <c r="C93" s="12" t="s">
        <v>416</v>
      </c>
      <c r="D93" s="4" t="s">
        <v>441</v>
      </c>
      <c r="E93" s="4" t="s">
        <v>442</v>
      </c>
      <c r="F93" s="12" t="s">
        <v>66</v>
      </c>
      <c r="G93" s="13" t="str">
        <f aca="false">IF($F93="","",IFERROR(INDEX(Lists!$B$4:$B$12,MATCH($F93,Lists!$A$4:$A$12,0)),""))</f>
        <v>TBD</v>
      </c>
      <c r="H93" s="12" t="s">
        <v>45</v>
      </c>
      <c r="I93" s="14" t="n">
        <v>46195</v>
      </c>
      <c r="J93" s="12" t="n">
        <v>1</v>
      </c>
      <c r="K93" s="15" t="n">
        <f aca="false">IF(OR($I93="",$J93=""),"",$I93+7*$J93-3)</f>
        <v>46199</v>
      </c>
      <c r="L93" s="12"/>
      <c r="M93" s="4"/>
      <c r="N93" s="12"/>
      <c r="O93" s="4"/>
      <c r="P93" s="12" t="s">
        <v>443</v>
      </c>
    </row>
    <row r="94" customFormat="false" ht="23.85" hidden="false" customHeight="false" outlineLevel="0" collapsed="false">
      <c r="A94" s="12" t="s">
        <v>444</v>
      </c>
      <c r="B94" s="12" t="s">
        <v>56</v>
      </c>
      <c r="C94" s="12" t="s">
        <v>416</v>
      </c>
      <c r="D94" s="4" t="s">
        <v>445</v>
      </c>
      <c r="E94" s="4" t="s">
        <v>446</v>
      </c>
      <c r="F94" s="12" t="s">
        <v>66</v>
      </c>
      <c r="G94" s="13" t="str">
        <f aca="false">IF($F94="","",IFERROR(INDEX(Lists!$B$4:$B$12,MATCH($F94,Lists!$A$4:$A$12,0)),""))</f>
        <v>TBD</v>
      </c>
      <c r="H94" s="12" t="s">
        <v>48</v>
      </c>
      <c r="I94" s="14" t="n">
        <v>46195</v>
      </c>
      <c r="J94" s="12" t="n">
        <v>1</v>
      </c>
      <c r="K94" s="15" t="n">
        <f aca="false">IF(OR($I94="",$J94=""),"",$I94+7*$J94-3)</f>
        <v>46199</v>
      </c>
      <c r="L94" s="12"/>
      <c r="M94" s="4"/>
      <c r="N94" s="12"/>
      <c r="O94" s="4"/>
      <c r="P94" s="12" t="s">
        <v>447</v>
      </c>
    </row>
    <row r="95" customFormat="false" ht="23.85" hidden="false" customHeight="false" outlineLevel="0" collapsed="false">
      <c r="A95" s="12" t="s">
        <v>448</v>
      </c>
      <c r="B95" s="12" t="s">
        <v>56</v>
      </c>
      <c r="C95" s="12" t="s">
        <v>416</v>
      </c>
      <c r="D95" s="4" t="s">
        <v>449</v>
      </c>
      <c r="E95" s="4" t="s">
        <v>450</v>
      </c>
      <c r="F95" s="12" t="s">
        <v>66</v>
      </c>
      <c r="G95" s="13" t="str">
        <f aca="false">IF($F95="","",IFERROR(INDEX(Lists!$B$4:$B$12,MATCH($F95,Lists!$A$4:$A$12,0)),""))</f>
        <v>TBD</v>
      </c>
      <c r="H95" s="12" t="s">
        <v>45</v>
      </c>
      <c r="I95" s="14" t="n">
        <v>46195</v>
      </c>
      <c r="J95" s="12" t="n">
        <v>1</v>
      </c>
      <c r="K95" s="15" t="n">
        <f aca="false">IF(OR($I95="",$J95=""),"",$I95+7*$J95-3)</f>
        <v>46199</v>
      </c>
      <c r="L95" s="12"/>
      <c r="M95" s="4"/>
      <c r="N95" s="12"/>
      <c r="O95" s="4"/>
      <c r="P95" s="12" t="s">
        <v>451</v>
      </c>
    </row>
    <row r="96" customFormat="false" ht="35.05" hidden="false" customHeight="false" outlineLevel="0" collapsed="false">
      <c r="A96" s="12" t="s">
        <v>452</v>
      </c>
      <c r="B96" s="12" t="s">
        <v>56</v>
      </c>
      <c r="C96" s="12" t="s">
        <v>416</v>
      </c>
      <c r="D96" s="4" t="s">
        <v>453</v>
      </c>
      <c r="E96" s="4" t="s">
        <v>454</v>
      </c>
      <c r="F96" s="12" t="s">
        <v>66</v>
      </c>
      <c r="G96" s="13" t="str">
        <f aca="false">IF($F96="","",IFERROR(INDEX(Lists!$B$4:$B$12,MATCH($F96,Lists!$A$4:$A$12,0)),""))</f>
        <v>TBD</v>
      </c>
      <c r="H96" s="12" t="s">
        <v>44</v>
      </c>
      <c r="I96" s="14" t="n">
        <v>46195</v>
      </c>
      <c r="J96" s="12" t="n">
        <v>1</v>
      </c>
      <c r="K96" s="15" t="n">
        <f aca="false">IF(OR($I96="",$J96=""),"",$I96+7*$J96-3)</f>
        <v>46199</v>
      </c>
      <c r="L96" s="12"/>
      <c r="M96" s="4"/>
      <c r="N96" s="12"/>
      <c r="O96" s="4"/>
      <c r="P96" s="12" t="s">
        <v>455</v>
      </c>
    </row>
    <row r="97" customFormat="false" ht="23.85" hidden="false" customHeight="false" outlineLevel="0" collapsed="false">
      <c r="A97" s="12" t="s">
        <v>456</v>
      </c>
      <c r="B97" s="12" t="s">
        <v>56</v>
      </c>
      <c r="C97" s="12" t="s">
        <v>416</v>
      </c>
      <c r="D97" s="4" t="s">
        <v>457</v>
      </c>
      <c r="E97" s="4" t="s">
        <v>458</v>
      </c>
      <c r="F97" s="12" t="s">
        <v>66</v>
      </c>
      <c r="G97" s="13" t="str">
        <f aca="false">IF($F97="","",IFERROR(INDEX(Lists!$B$4:$B$12,MATCH($F97,Lists!$A$4:$A$12,0)),""))</f>
        <v>TBD</v>
      </c>
      <c r="H97" s="12" t="s">
        <v>44</v>
      </c>
      <c r="I97" s="14" t="n">
        <v>46195</v>
      </c>
      <c r="J97" s="12" t="n">
        <v>1</v>
      </c>
      <c r="K97" s="15" t="n">
        <f aca="false">IF(OR($I97="",$J97=""),"",$I97+7*$J97-3)</f>
        <v>46199</v>
      </c>
      <c r="L97" s="12"/>
      <c r="M97" s="4"/>
      <c r="N97" s="12"/>
      <c r="O97" s="4"/>
      <c r="P97" s="12" t="s">
        <v>459</v>
      </c>
    </row>
    <row r="98" customFormat="false" ht="23.85" hidden="false" customHeight="false" outlineLevel="0" collapsed="false">
      <c r="A98" s="12" t="s">
        <v>460</v>
      </c>
      <c r="B98" s="12" t="s">
        <v>56</v>
      </c>
      <c r="C98" s="12" t="s">
        <v>416</v>
      </c>
      <c r="D98" s="4" t="s">
        <v>461</v>
      </c>
      <c r="E98" s="4" t="s">
        <v>462</v>
      </c>
      <c r="F98" s="12" t="s">
        <v>66</v>
      </c>
      <c r="G98" s="13" t="str">
        <f aca="false">IF($F98="","",IFERROR(INDEX(Lists!$B$4:$B$12,MATCH($F98,Lists!$A$4:$A$12,0)),""))</f>
        <v>TBD</v>
      </c>
      <c r="H98" s="12" t="s">
        <v>44</v>
      </c>
      <c r="I98" s="14" t="n">
        <v>46195</v>
      </c>
      <c r="J98" s="12" t="n">
        <v>1</v>
      </c>
      <c r="K98" s="15" t="n">
        <f aca="false">IF(OR($I98="",$J98=""),"",$I98+7*$J98-3)</f>
        <v>46199</v>
      </c>
      <c r="L98" s="12"/>
      <c r="M98" s="4"/>
      <c r="N98" s="12"/>
      <c r="O98" s="4"/>
      <c r="P98" s="12" t="s">
        <v>463</v>
      </c>
    </row>
    <row r="99" customFormat="false" ht="23.85" hidden="false" customHeight="false" outlineLevel="0" collapsed="false">
      <c r="A99" s="12" t="s">
        <v>464</v>
      </c>
      <c r="B99" s="12" t="s">
        <v>56</v>
      </c>
      <c r="C99" s="12" t="s">
        <v>416</v>
      </c>
      <c r="D99" s="4" t="s">
        <v>465</v>
      </c>
      <c r="E99" s="4" t="s">
        <v>466</v>
      </c>
      <c r="F99" s="12" t="s">
        <v>66</v>
      </c>
      <c r="G99" s="13" t="str">
        <f aca="false">IF($F99="","",IFERROR(INDEX(Lists!$B$4:$B$12,MATCH($F99,Lists!$A$4:$A$12,0)),""))</f>
        <v>TBD</v>
      </c>
      <c r="H99" s="12" t="s">
        <v>44</v>
      </c>
      <c r="I99" s="14" t="n">
        <v>46202</v>
      </c>
      <c r="J99" s="12" t="n">
        <v>1</v>
      </c>
      <c r="K99" s="15" t="n">
        <f aca="false">IF(OR($I99="",$J99=""),"",$I99+7*$J99-3)</f>
        <v>46206</v>
      </c>
      <c r="L99" s="12"/>
      <c r="M99" s="4"/>
      <c r="N99" s="12"/>
      <c r="O99" s="4"/>
      <c r="P99" s="12" t="s">
        <v>467</v>
      </c>
    </row>
    <row r="100" customFormat="false" ht="35.05" hidden="false" customHeight="false" outlineLevel="0" collapsed="false">
      <c r="A100" s="12" t="s">
        <v>468</v>
      </c>
      <c r="B100" s="12" t="s">
        <v>56</v>
      </c>
      <c r="C100" s="12" t="s">
        <v>416</v>
      </c>
      <c r="D100" s="4" t="s">
        <v>469</v>
      </c>
      <c r="E100" s="4" t="s">
        <v>470</v>
      </c>
      <c r="F100" s="12" t="s">
        <v>66</v>
      </c>
      <c r="G100" s="13" t="str">
        <f aca="false">IF($F100="","",IFERROR(INDEX(Lists!$B$4:$B$12,MATCH($F100,Lists!$A$4:$A$12,0)),""))</f>
        <v>TBD</v>
      </c>
      <c r="H100" s="12" t="s">
        <v>44</v>
      </c>
      <c r="I100" s="14" t="n">
        <v>46202</v>
      </c>
      <c r="J100" s="12" t="n">
        <v>2</v>
      </c>
      <c r="K100" s="15" t="n">
        <f aca="false">IF(OR($I100="",$J100=""),"",$I100+7*$J100-3)</f>
        <v>46213</v>
      </c>
      <c r="L100" s="12"/>
      <c r="M100" s="4"/>
      <c r="N100" s="12"/>
      <c r="O100" s="4"/>
      <c r="P100" s="12" t="s">
        <v>471</v>
      </c>
    </row>
    <row r="101" customFormat="false" ht="23.85" hidden="false" customHeight="false" outlineLevel="0" collapsed="false">
      <c r="A101" s="12" t="s">
        <v>472</v>
      </c>
      <c r="B101" s="12" t="s">
        <v>56</v>
      </c>
      <c r="C101" s="12" t="s">
        <v>416</v>
      </c>
      <c r="D101" s="4" t="s">
        <v>473</v>
      </c>
      <c r="E101" s="4" t="s">
        <v>474</v>
      </c>
      <c r="F101" s="12" t="s">
        <v>66</v>
      </c>
      <c r="G101" s="13" t="str">
        <f aca="false">IF($F101="","",IFERROR(INDEX(Lists!$B$4:$B$12,MATCH($F101,Lists!$A$4:$A$12,0)),""))</f>
        <v>TBD</v>
      </c>
      <c r="H101" s="12" t="s">
        <v>44</v>
      </c>
      <c r="I101" s="14" t="n">
        <v>46202</v>
      </c>
      <c r="J101" s="12" t="n">
        <v>1</v>
      </c>
      <c r="K101" s="15" t="n">
        <f aca="false">IF(OR($I101="",$J101=""),"",$I101+7*$J101-3)</f>
        <v>46206</v>
      </c>
      <c r="L101" s="12"/>
      <c r="M101" s="4"/>
      <c r="N101" s="12"/>
      <c r="O101" s="4"/>
      <c r="P101" s="12" t="s">
        <v>475</v>
      </c>
    </row>
    <row r="102" customFormat="false" ht="23.85" hidden="false" customHeight="false" outlineLevel="0" collapsed="false">
      <c r="A102" s="12" t="s">
        <v>476</v>
      </c>
      <c r="B102" s="12" t="s">
        <v>56</v>
      </c>
      <c r="C102" s="12" t="s">
        <v>416</v>
      </c>
      <c r="D102" s="4" t="s">
        <v>477</v>
      </c>
      <c r="E102" s="4" t="s">
        <v>478</v>
      </c>
      <c r="F102" s="12" t="s">
        <v>66</v>
      </c>
      <c r="G102" s="13" t="str">
        <f aca="false">IF($F102="","",IFERROR(INDEX(Lists!$B$4:$B$12,MATCH($F102,Lists!$A$4:$A$12,0)),""))</f>
        <v>TBD</v>
      </c>
      <c r="H102" s="12" t="s">
        <v>44</v>
      </c>
      <c r="I102" s="14" t="n">
        <v>46209</v>
      </c>
      <c r="J102" s="12" t="n">
        <v>1</v>
      </c>
      <c r="K102" s="15" t="n">
        <f aca="false">IF(OR($I102="",$J102=""),"",$I102+7*$J102-3)</f>
        <v>46213</v>
      </c>
      <c r="L102" s="12"/>
      <c r="M102" s="4"/>
      <c r="N102" s="12"/>
      <c r="O102" s="4"/>
      <c r="P102" s="12" t="s">
        <v>479</v>
      </c>
    </row>
    <row r="103" customFormat="false" ht="23.85" hidden="false" customHeight="false" outlineLevel="0" collapsed="false">
      <c r="A103" s="12" t="s">
        <v>480</v>
      </c>
      <c r="B103" s="12" t="s">
        <v>56</v>
      </c>
      <c r="C103" s="12" t="s">
        <v>416</v>
      </c>
      <c r="D103" s="4" t="s">
        <v>481</v>
      </c>
      <c r="E103" s="4" t="s">
        <v>482</v>
      </c>
      <c r="F103" s="12" t="s">
        <v>66</v>
      </c>
      <c r="G103" s="13" t="str">
        <f aca="false">IF($F103="","",IFERROR(INDEX(Lists!$B$4:$B$12,MATCH($F103,Lists!$A$4:$A$12,0)),""))</f>
        <v>TBD</v>
      </c>
      <c r="H103" s="12" t="s">
        <v>44</v>
      </c>
      <c r="I103" s="14" t="n">
        <v>46216</v>
      </c>
      <c r="J103" s="12" t="n">
        <v>1</v>
      </c>
      <c r="K103" s="15" t="n">
        <f aca="false">IF(OR($I103="",$J103=""),"",$I103+7*$J103-3)</f>
        <v>46220</v>
      </c>
      <c r="L103" s="12"/>
      <c r="M103" s="4"/>
      <c r="N103" s="12"/>
      <c r="O103" s="4"/>
      <c r="P103" s="12" t="s">
        <v>483</v>
      </c>
    </row>
    <row r="104" customFormat="false" ht="23.85" hidden="false" customHeight="false" outlineLevel="0" collapsed="false">
      <c r="A104" s="12" t="s">
        <v>484</v>
      </c>
      <c r="B104" s="12" t="s">
        <v>56</v>
      </c>
      <c r="C104" s="12" t="s">
        <v>416</v>
      </c>
      <c r="D104" s="4" t="s">
        <v>485</v>
      </c>
      <c r="E104" s="4" t="s">
        <v>486</v>
      </c>
      <c r="F104" s="12" t="s">
        <v>66</v>
      </c>
      <c r="G104" s="13" t="str">
        <f aca="false">IF($F104="","",IFERROR(INDEX(Lists!$B$4:$B$12,MATCH($F104,Lists!$A$4:$A$12,0)),""))</f>
        <v>TBD</v>
      </c>
      <c r="H104" s="12" t="s">
        <v>44</v>
      </c>
      <c r="I104" s="14" t="n">
        <v>46216</v>
      </c>
      <c r="J104" s="12" t="n">
        <v>1</v>
      </c>
      <c r="K104" s="15" t="n">
        <f aca="false">IF(OR($I104="",$J104=""),"",$I104+7*$J104-3)</f>
        <v>46220</v>
      </c>
      <c r="L104" s="12"/>
      <c r="M104" s="4"/>
      <c r="N104" s="12"/>
      <c r="O104" s="4"/>
      <c r="P104" s="12" t="s">
        <v>487</v>
      </c>
    </row>
    <row r="105" customFormat="false" ht="23.85" hidden="false" customHeight="false" outlineLevel="0" collapsed="false">
      <c r="A105" s="12" t="s">
        <v>488</v>
      </c>
      <c r="B105" s="12" t="s">
        <v>56</v>
      </c>
      <c r="C105" s="12" t="s">
        <v>416</v>
      </c>
      <c r="D105" s="4" t="s">
        <v>489</v>
      </c>
      <c r="E105" s="4" t="s">
        <v>490</v>
      </c>
      <c r="F105" s="12" t="s">
        <v>66</v>
      </c>
      <c r="G105" s="13" t="str">
        <f aca="false">IF($F105="","",IFERROR(INDEX(Lists!$B$4:$B$12,MATCH($F105,Lists!$A$4:$A$12,0)),""))</f>
        <v>TBD</v>
      </c>
      <c r="H105" s="12" t="s">
        <v>44</v>
      </c>
      <c r="I105" s="14" t="n">
        <v>46216</v>
      </c>
      <c r="J105" s="12" t="n">
        <v>1</v>
      </c>
      <c r="K105" s="15" t="n">
        <f aca="false">IF(OR($I105="",$J105=""),"",$I105+7*$J105-3)</f>
        <v>46220</v>
      </c>
      <c r="L105" s="12"/>
      <c r="M105" s="4"/>
      <c r="N105" s="12"/>
      <c r="O105" s="4"/>
      <c r="P105" s="12" t="s">
        <v>491</v>
      </c>
    </row>
    <row r="106" customFormat="false" ht="23.85" hidden="false" customHeight="false" outlineLevel="0" collapsed="false">
      <c r="A106" s="12" t="s">
        <v>492</v>
      </c>
      <c r="B106" s="12" t="s">
        <v>56</v>
      </c>
      <c r="C106" s="12" t="s">
        <v>416</v>
      </c>
      <c r="D106" s="4" t="s">
        <v>493</v>
      </c>
      <c r="E106" s="4" t="s">
        <v>494</v>
      </c>
      <c r="F106" s="12" t="s">
        <v>66</v>
      </c>
      <c r="G106" s="13" t="str">
        <f aca="false">IF($F106="","",IFERROR(INDEX(Lists!$B$4:$B$12,MATCH($F106,Lists!$A$4:$A$12,0)),""))</f>
        <v>TBD</v>
      </c>
      <c r="H106" s="12" t="s">
        <v>44</v>
      </c>
      <c r="I106" s="14" t="n">
        <v>46223</v>
      </c>
      <c r="J106" s="12" t="n">
        <v>2</v>
      </c>
      <c r="K106" s="15" t="n">
        <f aca="false">IF(OR($I106="",$J106=""),"",$I106+7*$J106-3)</f>
        <v>46234</v>
      </c>
      <c r="L106" s="12"/>
      <c r="M106" s="4"/>
      <c r="N106" s="12"/>
      <c r="O106" s="4"/>
      <c r="P106" s="12" t="s">
        <v>495</v>
      </c>
    </row>
    <row r="107" customFormat="false" ht="23.85" hidden="false" customHeight="false" outlineLevel="0" collapsed="false">
      <c r="A107" s="12" t="s">
        <v>496</v>
      </c>
      <c r="B107" s="12" t="s">
        <v>56</v>
      </c>
      <c r="C107" s="12" t="s">
        <v>416</v>
      </c>
      <c r="D107" s="4" t="s">
        <v>497</v>
      </c>
      <c r="E107" s="4" t="s">
        <v>498</v>
      </c>
      <c r="F107" s="12" t="s">
        <v>66</v>
      </c>
      <c r="G107" s="13" t="str">
        <f aca="false">IF($F107="","",IFERROR(INDEX(Lists!$B$4:$B$12,MATCH($F107,Lists!$A$4:$A$12,0)),""))</f>
        <v>TBD</v>
      </c>
      <c r="H107" s="12" t="s">
        <v>44</v>
      </c>
      <c r="I107" s="14" t="n">
        <v>46223</v>
      </c>
      <c r="J107" s="12" t="n">
        <v>1</v>
      </c>
      <c r="K107" s="15" t="n">
        <f aca="false">IF(OR($I107="",$J107=""),"",$I107+7*$J107-3)</f>
        <v>46227</v>
      </c>
      <c r="L107" s="12"/>
      <c r="M107" s="4"/>
      <c r="N107" s="12"/>
      <c r="O107" s="4"/>
      <c r="P107" s="12" t="s">
        <v>499</v>
      </c>
    </row>
    <row r="108" customFormat="false" ht="23.85" hidden="false" customHeight="false" outlineLevel="0" collapsed="false">
      <c r="A108" s="12" t="s">
        <v>500</v>
      </c>
      <c r="B108" s="12" t="s">
        <v>56</v>
      </c>
      <c r="C108" s="12" t="s">
        <v>416</v>
      </c>
      <c r="D108" s="4" t="s">
        <v>501</v>
      </c>
      <c r="E108" s="4" t="s">
        <v>502</v>
      </c>
      <c r="F108" s="12" t="s">
        <v>66</v>
      </c>
      <c r="G108" s="13" t="str">
        <f aca="false">IF($F108="","",IFERROR(INDEX(Lists!$B$4:$B$12,MATCH($F108,Lists!$A$4:$A$12,0)),""))</f>
        <v>TBD</v>
      </c>
      <c r="H108" s="12" t="s">
        <v>44</v>
      </c>
      <c r="I108" s="14" t="n">
        <v>46230</v>
      </c>
      <c r="J108" s="12" t="n">
        <v>1</v>
      </c>
      <c r="K108" s="15" t="n">
        <f aca="false">IF(OR($I108="",$J108=""),"",$I108+7*$J108-3)</f>
        <v>46234</v>
      </c>
      <c r="L108" s="12"/>
      <c r="M108" s="4"/>
      <c r="N108" s="12"/>
      <c r="O108" s="4"/>
      <c r="P108" s="12" t="s">
        <v>503</v>
      </c>
    </row>
    <row r="109" customFormat="false" ht="23.85" hidden="false" customHeight="false" outlineLevel="0" collapsed="false">
      <c r="A109" s="12" t="s">
        <v>504</v>
      </c>
      <c r="B109" s="12" t="s">
        <v>57</v>
      </c>
      <c r="C109" s="12" t="s">
        <v>505</v>
      </c>
      <c r="D109" s="4" t="s">
        <v>506</v>
      </c>
      <c r="E109" s="4" t="s">
        <v>507</v>
      </c>
      <c r="F109" s="12" t="s">
        <v>67</v>
      </c>
      <c r="G109" s="13" t="str">
        <f aca="false">IF($F109="","",IFERROR(INDEX(Lists!$B$4:$B$12,MATCH($F109,Lists!$A$4:$A$12,0)),""))</f>
        <v>TBD</v>
      </c>
      <c r="H109" s="12" t="s">
        <v>44</v>
      </c>
      <c r="I109" s="14" t="n">
        <v>46195</v>
      </c>
      <c r="J109" s="12" t="n">
        <v>2</v>
      </c>
      <c r="K109" s="15" t="n">
        <f aca="false">IF(OR($I109="",$J109=""),"",$I109+7*$J109-3)</f>
        <v>46206</v>
      </c>
      <c r="L109" s="12"/>
      <c r="M109" s="4"/>
      <c r="N109" s="12"/>
      <c r="O109" s="4"/>
      <c r="P109" s="12" t="s">
        <v>508</v>
      </c>
    </row>
    <row r="110" customFormat="false" ht="23.85" hidden="false" customHeight="false" outlineLevel="0" collapsed="false">
      <c r="A110" s="12" t="s">
        <v>509</v>
      </c>
      <c r="B110" s="12" t="s">
        <v>57</v>
      </c>
      <c r="C110" s="12" t="s">
        <v>505</v>
      </c>
      <c r="D110" s="4" t="s">
        <v>510</v>
      </c>
      <c r="E110" s="4" t="s">
        <v>511</v>
      </c>
      <c r="F110" s="12" t="s">
        <v>67</v>
      </c>
      <c r="G110" s="13" t="str">
        <f aca="false">IF($F110="","",IFERROR(INDEX(Lists!$B$4:$B$12,MATCH($F110,Lists!$A$4:$A$12,0)),""))</f>
        <v>TBD</v>
      </c>
      <c r="H110" s="12" t="s">
        <v>44</v>
      </c>
      <c r="I110" s="14" t="n">
        <v>46195</v>
      </c>
      <c r="J110" s="12" t="n">
        <v>2</v>
      </c>
      <c r="K110" s="15" t="n">
        <f aca="false">IF(OR($I110="",$J110=""),"",$I110+7*$J110-3)</f>
        <v>46206</v>
      </c>
      <c r="L110" s="12"/>
      <c r="M110" s="4"/>
      <c r="N110" s="12"/>
      <c r="O110" s="4"/>
      <c r="P110" s="12" t="s">
        <v>512</v>
      </c>
    </row>
    <row r="111" customFormat="false" ht="15" hidden="false" customHeight="false" outlineLevel="0" collapsed="false">
      <c r="A111" s="12" t="s">
        <v>513</v>
      </c>
      <c r="B111" s="12" t="s">
        <v>57</v>
      </c>
      <c r="C111" s="12" t="s">
        <v>505</v>
      </c>
      <c r="D111" s="4" t="s">
        <v>514</v>
      </c>
      <c r="E111" s="4" t="s">
        <v>515</v>
      </c>
      <c r="F111" s="12" t="s">
        <v>67</v>
      </c>
      <c r="G111" s="13" t="str">
        <f aca="false">IF($F111="","",IFERROR(INDEX(Lists!$B$4:$B$12,MATCH($F111,Lists!$A$4:$A$12,0)),""))</f>
        <v>TBD</v>
      </c>
      <c r="H111" s="12" t="s">
        <v>44</v>
      </c>
      <c r="I111" s="14" t="n">
        <v>46202</v>
      </c>
      <c r="J111" s="12" t="n">
        <v>1</v>
      </c>
      <c r="K111" s="15" t="n">
        <f aca="false">IF(OR($I111="",$J111=""),"",$I111+7*$J111-3)</f>
        <v>46206</v>
      </c>
      <c r="L111" s="12"/>
      <c r="M111" s="4"/>
      <c r="N111" s="12"/>
      <c r="O111" s="4"/>
      <c r="P111" s="12" t="s">
        <v>516</v>
      </c>
    </row>
    <row r="112" customFormat="false" ht="23.85" hidden="false" customHeight="false" outlineLevel="0" collapsed="false">
      <c r="A112" s="12" t="s">
        <v>517</v>
      </c>
      <c r="B112" s="12" t="s">
        <v>57</v>
      </c>
      <c r="C112" s="12" t="s">
        <v>505</v>
      </c>
      <c r="D112" s="4" t="s">
        <v>518</v>
      </c>
      <c r="E112" s="4" t="s">
        <v>519</v>
      </c>
      <c r="F112" s="12" t="s">
        <v>67</v>
      </c>
      <c r="G112" s="13" t="str">
        <f aca="false">IF($F112="","",IFERROR(INDEX(Lists!$B$4:$B$12,MATCH($F112,Lists!$A$4:$A$12,0)),""))</f>
        <v>TBD</v>
      </c>
      <c r="H112" s="12" t="s">
        <v>44</v>
      </c>
      <c r="I112" s="14" t="n">
        <v>46209</v>
      </c>
      <c r="J112" s="12" t="n">
        <v>2</v>
      </c>
      <c r="K112" s="15" t="n">
        <f aca="false">IF(OR($I112="",$J112=""),"",$I112+7*$J112-3)</f>
        <v>46220</v>
      </c>
      <c r="L112" s="12"/>
      <c r="M112" s="4"/>
      <c r="N112" s="12"/>
      <c r="O112" s="4"/>
      <c r="P112" s="12" t="s">
        <v>520</v>
      </c>
    </row>
    <row r="113" customFormat="false" ht="15" hidden="false" customHeight="false" outlineLevel="0" collapsed="false">
      <c r="A113" s="12" t="s">
        <v>521</v>
      </c>
      <c r="B113" s="12" t="s">
        <v>57</v>
      </c>
      <c r="C113" s="12" t="s">
        <v>505</v>
      </c>
      <c r="D113" s="4" t="s">
        <v>522</v>
      </c>
      <c r="E113" s="4" t="s">
        <v>523</v>
      </c>
      <c r="F113" s="12" t="s">
        <v>67</v>
      </c>
      <c r="G113" s="13" t="str">
        <f aca="false">IF($F113="","",IFERROR(INDEX(Lists!$B$4:$B$12,MATCH($F113,Lists!$A$4:$A$12,0)),""))</f>
        <v>TBD</v>
      </c>
      <c r="H113" s="12" t="s">
        <v>44</v>
      </c>
      <c r="I113" s="14" t="n">
        <v>46209</v>
      </c>
      <c r="J113" s="12" t="n">
        <v>2</v>
      </c>
      <c r="K113" s="15" t="n">
        <f aca="false">IF(OR($I113="",$J113=""),"",$I113+7*$J113-3)</f>
        <v>46220</v>
      </c>
      <c r="L113" s="12"/>
      <c r="M113" s="4"/>
      <c r="N113" s="12"/>
      <c r="O113" s="4"/>
      <c r="P113" s="12" t="s">
        <v>524</v>
      </c>
    </row>
    <row r="114" customFormat="false" ht="15" hidden="false" customHeight="false" outlineLevel="0" collapsed="false">
      <c r="A114" s="12" t="s">
        <v>525</v>
      </c>
      <c r="B114" s="12" t="s">
        <v>57</v>
      </c>
      <c r="C114" s="12" t="s">
        <v>505</v>
      </c>
      <c r="D114" s="4" t="s">
        <v>526</v>
      </c>
      <c r="E114" s="4" t="s">
        <v>527</v>
      </c>
      <c r="F114" s="12" t="s">
        <v>67</v>
      </c>
      <c r="G114" s="13" t="str">
        <f aca="false">IF($F114="","",IFERROR(INDEX(Lists!$B$4:$B$12,MATCH($F114,Lists!$A$4:$A$12,0)),""))</f>
        <v>TBD</v>
      </c>
      <c r="H114" s="12" t="s">
        <v>44</v>
      </c>
      <c r="I114" s="14" t="n">
        <v>46216</v>
      </c>
      <c r="J114" s="12" t="n">
        <v>1</v>
      </c>
      <c r="K114" s="15" t="n">
        <f aca="false">IF(OR($I114="",$J114=""),"",$I114+7*$J114-3)</f>
        <v>46220</v>
      </c>
      <c r="L114" s="12"/>
      <c r="M114" s="4"/>
      <c r="N114" s="12"/>
      <c r="O114" s="4"/>
      <c r="P114" s="12" t="s">
        <v>528</v>
      </c>
    </row>
    <row r="115" customFormat="false" ht="23.85" hidden="false" customHeight="false" outlineLevel="0" collapsed="false">
      <c r="A115" s="12" t="s">
        <v>529</v>
      </c>
      <c r="B115" s="12" t="s">
        <v>57</v>
      </c>
      <c r="C115" s="12" t="s">
        <v>505</v>
      </c>
      <c r="D115" s="4" t="s">
        <v>530</v>
      </c>
      <c r="E115" s="4" t="s">
        <v>531</v>
      </c>
      <c r="F115" s="12" t="s">
        <v>67</v>
      </c>
      <c r="G115" s="13" t="str">
        <f aca="false">IF($F115="","",IFERROR(INDEX(Lists!$B$4:$B$12,MATCH($F115,Lists!$A$4:$A$12,0)),""))</f>
        <v>TBD</v>
      </c>
      <c r="H115" s="12" t="s">
        <v>44</v>
      </c>
      <c r="I115" s="14"/>
      <c r="J115" s="12"/>
      <c r="K115" s="15" t="str">
        <f aca="false">IF(OR($I115="",$J115=""),"",$I115+7*$J115-3)</f>
        <v/>
      </c>
      <c r="L115" s="12"/>
      <c r="M115" s="4"/>
      <c r="N115" s="12"/>
      <c r="O115" s="4" t="s">
        <v>151</v>
      </c>
      <c r="P115" s="12" t="s">
        <v>532</v>
      </c>
    </row>
    <row r="116" customFormat="false" ht="23.85" hidden="false" customHeight="false" outlineLevel="0" collapsed="false">
      <c r="A116" s="12" t="s">
        <v>533</v>
      </c>
      <c r="B116" s="12" t="s">
        <v>57</v>
      </c>
      <c r="C116" s="12" t="s">
        <v>505</v>
      </c>
      <c r="D116" s="4" t="s">
        <v>534</v>
      </c>
      <c r="E116" s="4" t="s">
        <v>535</v>
      </c>
      <c r="F116" s="12" t="s">
        <v>67</v>
      </c>
      <c r="G116" s="13" t="str">
        <f aca="false">IF($F116="","",IFERROR(INDEX(Lists!$B$4:$B$12,MATCH($F116,Lists!$A$4:$A$12,0)),""))</f>
        <v>TBD</v>
      </c>
      <c r="H116" s="12" t="s">
        <v>44</v>
      </c>
      <c r="I116" s="14"/>
      <c r="J116" s="12"/>
      <c r="K116" s="15" t="str">
        <f aca="false">IF(OR($I116="",$J116=""),"",$I116+7*$J116-3)</f>
        <v/>
      </c>
      <c r="L116" s="12"/>
      <c r="M116" s="4"/>
      <c r="N116" s="12"/>
      <c r="O116" s="4" t="s">
        <v>151</v>
      </c>
      <c r="P116" s="12" t="s">
        <v>536</v>
      </c>
    </row>
    <row r="117" customFormat="false" ht="23.85" hidden="false" customHeight="false" outlineLevel="0" collapsed="false">
      <c r="A117" s="12" t="s">
        <v>537</v>
      </c>
      <c r="B117" s="12" t="s">
        <v>57</v>
      </c>
      <c r="C117" s="12" t="s">
        <v>505</v>
      </c>
      <c r="D117" s="4" t="s">
        <v>538</v>
      </c>
      <c r="E117" s="4" t="s">
        <v>539</v>
      </c>
      <c r="F117" s="12" t="s">
        <v>67</v>
      </c>
      <c r="G117" s="13" t="str">
        <f aca="false">IF($F117="","",IFERROR(INDEX(Lists!$B$4:$B$12,MATCH($F117,Lists!$A$4:$A$12,0)),""))</f>
        <v>TBD</v>
      </c>
      <c r="H117" s="12" t="s">
        <v>44</v>
      </c>
      <c r="I117" s="14"/>
      <c r="J117" s="12"/>
      <c r="K117" s="15" t="str">
        <f aca="false">IF(OR($I117="",$J117=""),"",$I117+7*$J117-3)</f>
        <v/>
      </c>
      <c r="L117" s="12"/>
      <c r="M117" s="4"/>
      <c r="N117" s="12"/>
      <c r="O117" s="4" t="s">
        <v>151</v>
      </c>
      <c r="P117" s="12" t="s">
        <v>540</v>
      </c>
    </row>
    <row r="118" customFormat="false" ht="23.85" hidden="false" customHeight="false" outlineLevel="0" collapsed="false">
      <c r="A118" s="12" t="s">
        <v>541</v>
      </c>
      <c r="B118" s="12" t="s">
        <v>57</v>
      </c>
      <c r="C118" s="12" t="s">
        <v>505</v>
      </c>
      <c r="D118" s="4" t="s">
        <v>542</v>
      </c>
      <c r="E118" s="4" t="s">
        <v>543</v>
      </c>
      <c r="F118" s="12" t="s">
        <v>67</v>
      </c>
      <c r="G118" s="13" t="str">
        <f aca="false">IF($F118="","",IFERROR(INDEX(Lists!$B$4:$B$12,MATCH($F118,Lists!$A$4:$A$12,0)),""))</f>
        <v>TBD</v>
      </c>
      <c r="H118" s="12" t="s">
        <v>44</v>
      </c>
      <c r="I118" s="14"/>
      <c r="J118" s="12"/>
      <c r="K118" s="15" t="str">
        <f aca="false">IF(OR($I118="",$J118=""),"",$I118+7*$J118-3)</f>
        <v/>
      </c>
      <c r="L118" s="12"/>
      <c r="M118" s="4"/>
      <c r="N118" s="12"/>
      <c r="O118" s="4" t="s">
        <v>151</v>
      </c>
      <c r="P118" s="12" t="s">
        <v>544</v>
      </c>
    </row>
    <row r="119" customFormat="false" ht="23.85" hidden="false" customHeight="false" outlineLevel="0" collapsed="false">
      <c r="A119" s="12" t="s">
        <v>545</v>
      </c>
      <c r="B119" s="12" t="s">
        <v>57</v>
      </c>
      <c r="C119" s="12" t="s">
        <v>505</v>
      </c>
      <c r="D119" s="4" t="s">
        <v>546</v>
      </c>
      <c r="E119" s="4" t="s">
        <v>547</v>
      </c>
      <c r="F119" s="12" t="s">
        <v>67</v>
      </c>
      <c r="G119" s="13" t="str">
        <f aca="false">IF($F119="","",IFERROR(INDEX(Lists!$B$4:$B$12,MATCH($F119,Lists!$A$4:$A$12,0)),""))</f>
        <v>TBD</v>
      </c>
      <c r="H119" s="12" t="s">
        <v>44</v>
      </c>
      <c r="I119" s="14"/>
      <c r="J119" s="12"/>
      <c r="K119" s="15" t="str">
        <f aca="false">IF(OR($I119="",$J119=""),"",$I119+7*$J119-3)</f>
        <v/>
      </c>
      <c r="L119" s="12"/>
      <c r="M119" s="4"/>
      <c r="N119" s="12"/>
      <c r="O119" s="4" t="s">
        <v>151</v>
      </c>
      <c r="P119" s="12" t="s">
        <v>548</v>
      </c>
    </row>
    <row r="120" customFormat="false" ht="23.85" hidden="false" customHeight="false" outlineLevel="0" collapsed="false">
      <c r="A120" s="12" t="s">
        <v>549</v>
      </c>
      <c r="B120" s="12" t="s">
        <v>57</v>
      </c>
      <c r="C120" s="12" t="s">
        <v>505</v>
      </c>
      <c r="D120" s="4" t="s">
        <v>550</v>
      </c>
      <c r="E120" s="4" t="s">
        <v>551</v>
      </c>
      <c r="F120" s="12" t="s">
        <v>67</v>
      </c>
      <c r="G120" s="13" t="str">
        <f aca="false">IF($F120="","",IFERROR(INDEX(Lists!$B$4:$B$12,MATCH($F120,Lists!$A$4:$A$12,0)),""))</f>
        <v>TBD</v>
      </c>
      <c r="H120" s="12" t="s">
        <v>44</v>
      </c>
      <c r="I120" s="14"/>
      <c r="J120" s="12"/>
      <c r="K120" s="15" t="str">
        <f aca="false">IF(OR($I120="",$J120=""),"",$I120+7*$J120-3)</f>
        <v/>
      </c>
      <c r="L120" s="12"/>
      <c r="M120" s="4"/>
      <c r="N120" s="12"/>
      <c r="O120" s="4" t="s">
        <v>151</v>
      </c>
      <c r="P120" s="12" t="s">
        <v>552</v>
      </c>
    </row>
    <row r="121" customFormat="false" ht="23.85" hidden="false" customHeight="false" outlineLevel="0" collapsed="false">
      <c r="A121" s="12" t="s">
        <v>553</v>
      </c>
      <c r="B121" s="12" t="s">
        <v>57</v>
      </c>
      <c r="C121" s="12" t="s">
        <v>505</v>
      </c>
      <c r="D121" s="4" t="s">
        <v>554</v>
      </c>
      <c r="E121" s="4" t="s">
        <v>555</v>
      </c>
      <c r="F121" s="12" t="s">
        <v>67</v>
      </c>
      <c r="G121" s="13" t="str">
        <f aca="false">IF($F121="","",IFERROR(INDEX(Lists!$B$4:$B$12,MATCH($F121,Lists!$A$4:$A$12,0)),""))</f>
        <v>TBD</v>
      </c>
      <c r="H121" s="12" t="s">
        <v>44</v>
      </c>
      <c r="I121" s="14"/>
      <c r="J121" s="12"/>
      <c r="K121" s="15" t="str">
        <f aca="false">IF(OR($I121="",$J121=""),"",$I121+7*$J121-3)</f>
        <v/>
      </c>
      <c r="L121" s="12"/>
      <c r="M121" s="4"/>
      <c r="N121" s="12"/>
      <c r="O121" s="4" t="s">
        <v>151</v>
      </c>
      <c r="P121" s="12" t="s">
        <v>556</v>
      </c>
    </row>
    <row r="122" customFormat="false" ht="23.85" hidden="false" customHeight="false" outlineLevel="0" collapsed="false">
      <c r="A122" s="12" t="s">
        <v>557</v>
      </c>
      <c r="B122" s="12" t="s">
        <v>57</v>
      </c>
      <c r="C122" s="12" t="s">
        <v>505</v>
      </c>
      <c r="D122" s="4" t="s">
        <v>558</v>
      </c>
      <c r="E122" s="4" t="s">
        <v>559</v>
      </c>
      <c r="F122" s="12" t="s">
        <v>67</v>
      </c>
      <c r="G122" s="13" t="str">
        <f aca="false">IF($F122="","",IFERROR(INDEX(Lists!$B$4:$B$12,MATCH($F122,Lists!$A$4:$A$12,0)),""))</f>
        <v>TBD</v>
      </c>
      <c r="H122" s="12" t="s">
        <v>44</v>
      </c>
      <c r="I122" s="14"/>
      <c r="J122" s="12"/>
      <c r="K122" s="15" t="str">
        <f aca="false">IF(OR($I122="",$J122=""),"",$I122+7*$J122-3)</f>
        <v/>
      </c>
      <c r="L122" s="12"/>
      <c r="M122" s="4"/>
      <c r="N122" s="12"/>
      <c r="O122" s="4" t="s">
        <v>151</v>
      </c>
      <c r="P122" s="12" t="s">
        <v>560</v>
      </c>
    </row>
    <row r="123" customFormat="false" ht="15" hidden="false" customHeight="false" outlineLevel="0" collapsed="false">
      <c r="A123" s="12"/>
      <c r="B123" s="12"/>
      <c r="C123" s="12"/>
      <c r="D123" s="4"/>
      <c r="E123" s="4"/>
      <c r="F123" s="12"/>
      <c r="G123" s="13" t="str">
        <f aca="false">IF($F123="","",IFERROR(INDEX(Lists!$B$4:$B$12,MATCH($F123,Lists!$A$4:$A$12,0)),""))</f>
        <v/>
      </c>
      <c r="H123" s="12"/>
      <c r="I123" s="14"/>
      <c r="J123" s="12"/>
      <c r="K123" s="15" t="str">
        <f aca="false">IF(OR($I123="",$J123=""),"",$I123+7*$J123-3)</f>
        <v/>
      </c>
      <c r="L123" s="12"/>
      <c r="M123" s="4"/>
      <c r="N123" s="12"/>
      <c r="O123" s="4"/>
      <c r="P123" s="12"/>
    </row>
    <row r="124" customFormat="false" ht="15" hidden="false" customHeight="false" outlineLevel="0" collapsed="false">
      <c r="A124" s="12"/>
      <c r="B124" s="12"/>
      <c r="C124" s="12"/>
      <c r="D124" s="4"/>
      <c r="E124" s="4"/>
      <c r="F124" s="12"/>
      <c r="G124" s="13" t="str">
        <f aca="false">IF($F124="","",IFERROR(INDEX(Lists!$B$4:$B$12,MATCH($F124,Lists!$A$4:$A$12,0)),""))</f>
        <v/>
      </c>
      <c r="H124" s="12"/>
      <c r="I124" s="14"/>
      <c r="J124" s="12"/>
      <c r="K124" s="15" t="str">
        <f aca="false">IF(OR($I124="",$J124=""),"",$I124+7*$J124-3)</f>
        <v/>
      </c>
      <c r="L124" s="12"/>
      <c r="M124" s="4"/>
      <c r="N124" s="12"/>
      <c r="O124" s="4"/>
      <c r="P124" s="12"/>
    </row>
    <row r="125" customFormat="false" ht="15" hidden="false" customHeight="false" outlineLevel="0" collapsed="false">
      <c r="A125" s="12"/>
      <c r="B125" s="12"/>
      <c r="C125" s="12"/>
      <c r="D125" s="4"/>
      <c r="E125" s="4"/>
      <c r="F125" s="12"/>
      <c r="G125" s="13" t="str">
        <f aca="false">IF($F125="","",IFERROR(INDEX(Lists!$B$4:$B$12,MATCH($F125,Lists!$A$4:$A$12,0)),""))</f>
        <v/>
      </c>
      <c r="H125" s="12"/>
      <c r="I125" s="14"/>
      <c r="J125" s="12"/>
      <c r="K125" s="15" t="str">
        <f aca="false">IF(OR($I125="",$J125=""),"",$I125+7*$J125-3)</f>
        <v/>
      </c>
      <c r="L125" s="12"/>
      <c r="M125" s="4"/>
      <c r="N125" s="12"/>
      <c r="O125" s="4"/>
      <c r="P125" s="12"/>
    </row>
    <row r="126" customFormat="false" ht="15" hidden="false" customHeight="false" outlineLevel="0" collapsed="false">
      <c r="A126" s="12"/>
      <c r="B126" s="12"/>
      <c r="C126" s="12"/>
      <c r="D126" s="4"/>
      <c r="E126" s="4"/>
      <c r="F126" s="12"/>
      <c r="G126" s="13" t="str">
        <f aca="false">IF($F126="","",IFERROR(INDEX(Lists!$B$4:$B$12,MATCH($F126,Lists!$A$4:$A$12,0)),""))</f>
        <v/>
      </c>
      <c r="H126" s="12"/>
      <c r="I126" s="14"/>
      <c r="J126" s="12"/>
      <c r="K126" s="15" t="str">
        <f aca="false">IF(OR($I126="",$J126=""),"",$I126+7*$J126-3)</f>
        <v/>
      </c>
      <c r="L126" s="12"/>
      <c r="M126" s="4"/>
      <c r="N126" s="12"/>
      <c r="O126" s="4"/>
      <c r="P126" s="12"/>
    </row>
    <row r="127" customFormat="false" ht="15" hidden="false" customHeight="false" outlineLevel="0" collapsed="false">
      <c r="A127" s="12"/>
      <c r="B127" s="12"/>
      <c r="C127" s="12"/>
      <c r="D127" s="4"/>
      <c r="E127" s="4"/>
      <c r="F127" s="12"/>
      <c r="G127" s="13" t="str">
        <f aca="false">IF($F127="","",IFERROR(INDEX(Lists!$B$4:$B$12,MATCH($F127,Lists!$A$4:$A$12,0)),""))</f>
        <v/>
      </c>
      <c r="H127" s="12"/>
      <c r="I127" s="14"/>
      <c r="J127" s="12"/>
      <c r="K127" s="15" t="str">
        <f aca="false">IF(OR($I127="",$J127=""),"",$I127+7*$J127-3)</f>
        <v/>
      </c>
      <c r="L127" s="12"/>
      <c r="M127" s="4"/>
      <c r="N127" s="12"/>
      <c r="O127" s="4"/>
      <c r="P127" s="12"/>
    </row>
    <row r="128" customFormat="false" ht="15" hidden="false" customHeight="false" outlineLevel="0" collapsed="false">
      <c r="A128" s="12"/>
      <c r="B128" s="12"/>
      <c r="C128" s="12"/>
      <c r="D128" s="4"/>
      <c r="E128" s="4"/>
      <c r="F128" s="12"/>
      <c r="G128" s="13" t="str">
        <f aca="false">IF($F128="","",IFERROR(INDEX(Lists!$B$4:$B$12,MATCH($F128,Lists!$A$4:$A$12,0)),""))</f>
        <v/>
      </c>
      <c r="H128" s="12"/>
      <c r="I128" s="14"/>
      <c r="J128" s="12"/>
      <c r="K128" s="15" t="str">
        <f aca="false">IF(OR($I128="",$J128=""),"",$I128+7*$J128-3)</f>
        <v/>
      </c>
      <c r="L128" s="12"/>
      <c r="M128" s="4"/>
      <c r="N128" s="12"/>
      <c r="O128" s="4"/>
      <c r="P128" s="12"/>
    </row>
    <row r="129" customFormat="false" ht="15" hidden="false" customHeight="false" outlineLevel="0" collapsed="false">
      <c r="A129" s="12"/>
      <c r="B129" s="12"/>
      <c r="C129" s="12"/>
      <c r="D129" s="4"/>
      <c r="E129" s="4"/>
      <c r="F129" s="12"/>
      <c r="G129" s="13" t="str">
        <f aca="false">IF($F129="","",IFERROR(INDEX(Lists!$B$4:$B$12,MATCH($F129,Lists!$A$4:$A$12,0)),""))</f>
        <v/>
      </c>
      <c r="H129" s="12"/>
      <c r="I129" s="14"/>
      <c r="J129" s="12"/>
      <c r="K129" s="15" t="str">
        <f aca="false">IF(OR($I129="",$J129=""),"",$I129+7*$J129-3)</f>
        <v/>
      </c>
      <c r="L129" s="12"/>
      <c r="M129" s="4"/>
      <c r="N129" s="12"/>
      <c r="O129" s="4"/>
      <c r="P129" s="12"/>
    </row>
    <row r="130" customFormat="false" ht="15" hidden="false" customHeight="false" outlineLevel="0" collapsed="false">
      <c r="A130" s="12"/>
      <c r="B130" s="12"/>
      <c r="C130" s="12"/>
      <c r="D130" s="4"/>
      <c r="E130" s="4"/>
      <c r="F130" s="12"/>
      <c r="G130" s="13" t="str">
        <f aca="false">IF($F130="","",IFERROR(INDEX(Lists!$B$4:$B$12,MATCH($F130,Lists!$A$4:$A$12,0)),""))</f>
        <v/>
      </c>
      <c r="H130" s="12"/>
      <c r="I130" s="14"/>
      <c r="J130" s="12"/>
      <c r="K130" s="15" t="str">
        <f aca="false">IF(OR($I130="",$J130=""),"",$I130+7*$J130-3)</f>
        <v/>
      </c>
      <c r="L130" s="12"/>
      <c r="M130" s="4"/>
      <c r="N130" s="12"/>
      <c r="O130" s="4"/>
      <c r="P130" s="12"/>
    </row>
    <row r="131" customFormat="false" ht="15" hidden="false" customHeight="false" outlineLevel="0" collapsed="false">
      <c r="A131" s="12"/>
      <c r="B131" s="12"/>
      <c r="C131" s="12"/>
      <c r="D131" s="4"/>
      <c r="E131" s="4"/>
      <c r="F131" s="12"/>
      <c r="G131" s="13" t="str">
        <f aca="false">IF($F131="","",IFERROR(INDEX(Lists!$B$4:$B$12,MATCH($F131,Lists!$A$4:$A$12,0)),""))</f>
        <v/>
      </c>
      <c r="H131" s="12"/>
      <c r="I131" s="14"/>
      <c r="J131" s="12"/>
      <c r="K131" s="15" t="str">
        <f aca="false">IF(OR($I131="",$J131=""),"",$I131+7*$J131-3)</f>
        <v/>
      </c>
      <c r="L131" s="12"/>
      <c r="M131" s="4"/>
      <c r="N131" s="12"/>
      <c r="O131" s="4"/>
      <c r="P131" s="12"/>
    </row>
    <row r="132" customFormat="false" ht="15" hidden="false" customHeight="false" outlineLevel="0" collapsed="false">
      <c r="A132" s="12"/>
      <c r="B132" s="12"/>
      <c r="C132" s="12"/>
      <c r="D132" s="4"/>
      <c r="E132" s="4"/>
      <c r="F132" s="12"/>
      <c r="G132" s="13" t="str">
        <f aca="false">IF($F132="","",IFERROR(INDEX(Lists!$B$4:$B$12,MATCH($F132,Lists!$A$4:$A$12,0)),""))</f>
        <v/>
      </c>
      <c r="H132" s="12"/>
      <c r="I132" s="14"/>
      <c r="J132" s="12"/>
      <c r="K132" s="15" t="str">
        <f aca="false">IF(OR($I132="",$J132=""),"",$I132+7*$J132-3)</f>
        <v/>
      </c>
      <c r="L132" s="12"/>
      <c r="M132" s="4"/>
      <c r="N132" s="12"/>
      <c r="O132" s="4"/>
      <c r="P132" s="12"/>
    </row>
    <row r="133" customFormat="false" ht="15" hidden="false" customHeight="false" outlineLevel="0" collapsed="false">
      <c r="A133" s="12"/>
      <c r="B133" s="12"/>
      <c r="C133" s="12"/>
      <c r="D133" s="4"/>
      <c r="E133" s="4"/>
      <c r="F133" s="12"/>
      <c r="G133" s="13" t="str">
        <f aca="false">IF($F133="","",IFERROR(INDEX(Lists!$B$4:$B$12,MATCH($F133,Lists!$A$4:$A$12,0)),""))</f>
        <v/>
      </c>
      <c r="H133" s="12"/>
      <c r="I133" s="14"/>
      <c r="J133" s="12"/>
      <c r="K133" s="15" t="str">
        <f aca="false">IF(OR($I133="",$J133=""),"",$I133+7*$J133-3)</f>
        <v/>
      </c>
      <c r="L133" s="12"/>
      <c r="M133" s="4"/>
      <c r="N133" s="12"/>
      <c r="O133" s="4"/>
      <c r="P133" s="12"/>
    </row>
    <row r="134" customFormat="false" ht="15" hidden="false" customHeight="false" outlineLevel="0" collapsed="false">
      <c r="A134" s="12"/>
      <c r="B134" s="12"/>
      <c r="C134" s="12"/>
      <c r="D134" s="4"/>
      <c r="E134" s="4"/>
      <c r="F134" s="12"/>
      <c r="G134" s="13" t="str">
        <f aca="false">IF($F134="","",IFERROR(INDEX(Lists!$B$4:$B$12,MATCH($F134,Lists!$A$4:$A$12,0)),""))</f>
        <v/>
      </c>
      <c r="H134" s="12"/>
      <c r="I134" s="14"/>
      <c r="J134" s="12"/>
      <c r="K134" s="15" t="str">
        <f aca="false">IF(OR($I134="",$J134=""),"",$I134+7*$J134-3)</f>
        <v/>
      </c>
      <c r="L134" s="12"/>
      <c r="M134" s="4"/>
      <c r="N134" s="12"/>
      <c r="O134" s="4"/>
      <c r="P134" s="12"/>
    </row>
    <row r="135" customFormat="false" ht="15" hidden="false" customHeight="false" outlineLevel="0" collapsed="false">
      <c r="A135" s="12"/>
      <c r="B135" s="12"/>
      <c r="C135" s="12"/>
      <c r="D135" s="4"/>
      <c r="E135" s="4"/>
      <c r="F135" s="12"/>
      <c r="G135" s="13" t="str">
        <f aca="false">IF($F135="","",IFERROR(INDEX(Lists!$B$4:$B$12,MATCH($F135,Lists!$A$4:$A$12,0)),""))</f>
        <v/>
      </c>
      <c r="H135" s="12"/>
      <c r="I135" s="14"/>
      <c r="J135" s="12"/>
      <c r="K135" s="15" t="str">
        <f aca="false">IF(OR($I135="",$J135=""),"",$I135+7*$J135-3)</f>
        <v/>
      </c>
      <c r="L135" s="12"/>
      <c r="M135" s="4"/>
      <c r="N135" s="12"/>
      <c r="O135" s="4"/>
      <c r="P135" s="12"/>
    </row>
    <row r="136" customFormat="false" ht="15" hidden="false" customHeight="false" outlineLevel="0" collapsed="false">
      <c r="A136" s="12"/>
      <c r="B136" s="12"/>
      <c r="C136" s="12"/>
      <c r="D136" s="4"/>
      <c r="E136" s="4"/>
      <c r="F136" s="12"/>
      <c r="G136" s="13" t="str">
        <f aca="false">IF($F136="","",IFERROR(INDEX(Lists!$B$4:$B$12,MATCH($F136,Lists!$A$4:$A$12,0)),""))</f>
        <v/>
      </c>
      <c r="H136" s="12"/>
      <c r="I136" s="14"/>
      <c r="J136" s="12"/>
      <c r="K136" s="15" t="str">
        <f aca="false">IF(OR($I136="",$J136=""),"",$I136+7*$J136-3)</f>
        <v/>
      </c>
      <c r="L136" s="12"/>
      <c r="M136" s="4"/>
      <c r="N136" s="12"/>
      <c r="O136" s="4"/>
      <c r="P136" s="12"/>
    </row>
    <row r="137" customFormat="false" ht="15" hidden="false" customHeight="false" outlineLevel="0" collapsed="false">
      <c r="A137" s="12"/>
      <c r="B137" s="12"/>
      <c r="C137" s="12"/>
      <c r="D137" s="4"/>
      <c r="E137" s="4"/>
      <c r="F137" s="12"/>
      <c r="G137" s="13" t="str">
        <f aca="false">IF($F137="","",IFERROR(INDEX(Lists!$B$4:$B$12,MATCH($F137,Lists!$A$4:$A$12,0)),""))</f>
        <v/>
      </c>
      <c r="H137" s="12"/>
      <c r="I137" s="14"/>
      <c r="J137" s="12"/>
      <c r="K137" s="15" t="str">
        <f aca="false">IF(OR($I137="",$J137=""),"",$I137+7*$J137-3)</f>
        <v/>
      </c>
      <c r="L137" s="12"/>
      <c r="M137" s="4"/>
      <c r="N137" s="12"/>
      <c r="O137" s="4"/>
      <c r="P137" s="12"/>
    </row>
    <row r="138" customFormat="false" ht="15" hidden="false" customHeight="false" outlineLevel="0" collapsed="false">
      <c r="A138" s="12"/>
      <c r="B138" s="12"/>
      <c r="C138" s="12"/>
      <c r="D138" s="4"/>
      <c r="E138" s="4"/>
      <c r="F138" s="12"/>
      <c r="G138" s="13" t="str">
        <f aca="false">IF($F138="","",IFERROR(INDEX(Lists!$B$4:$B$12,MATCH($F138,Lists!$A$4:$A$12,0)),""))</f>
        <v/>
      </c>
      <c r="H138" s="12"/>
      <c r="I138" s="14"/>
      <c r="J138" s="12"/>
      <c r="K138" s="15" t="str">
        <f aca="false">IF(OR($I138="",$J138=""),"",$I138+7*$J138-3)</f>
        <v/>
      </c>
      <c r="L138" s="12"/>
      <c r="M138" s="4"/>
      <c r="N138" s="12"/>
      <c r="O138" s="4"/>
      <c r="P138" s="12"/>
    </row>
    <row r="139" customFormat="false" ht="15" hidden="false" customHeight="false" outlineLevel="0" collapsed="false">
      <c r="A139" s="12"/>
      <c r="B139" s="12"/>
      <c r="C139" s="12"/>
      <c r="D139" s="4"/>
      <c r="E139" s="4"/>
      <c r="F139" s="12"/>
      <c r="G139" s="13" t="str">
        <f aca="false">IF($F139="","",IFERROR(INDEX(Lists!$B$4:$B$12,MATCH($F139,Lists!$A$4:$A$12,0)),""))</f>
        <v/>
      </c>
      <c r="H139" s="12"/>
      <c r="I139" s="14"/>
      <c r="J139" s="12"/>
      <c r="K139" s="15" t="str">
        <f aca="false">IF(OR($I139="",$J139=""),"",$I139+7*$J139-3)</f>
        <v/>
      </c>
      <c r="L139" s="12"/>
      <c r="M139" s="4"/>
      <c r="N139" s="12"/>
      <c r="O139" s="4"/>
      <c r="P139" s="12"/>
    </row>
    <row r="140" customFormat="false" ht="15" hidden="false" customHeight="false" outlineLevel="0" collapsed="false">
      <c r="A140" s="12"/>
      <c r="B140" s="12"/>
      <c r="C140" s="12"/>
      <c r="D140" s="4"/>
      <c r="E140" s="4"/>
      <c r="F140" s="12"/>
      <c r="G140" s="13" t="str">
        <f aca="false">IF($F140="","",IFERROR(INDEX(Lists!$B$4:$B$12,MATCH($F140,Lists!$A$4:$A$12,0)),""))</f>
        <v/>
      </c>
      <c r="H140" s="12"/>
      <c r="I140" s="14"/>
      <c r="J140" s="12"/>
      <c r="K140" s="15" t="str">
        <f aca="false">IF(OR($I140="",$J140=""),"",$I140+7*$J140-3)</f>
        <v/>
      </c>
      <c r="L140" s="12"/>
      <c r="M140" s="4"/>
      <c r="N140" s="12"/>
      <c r="O140" s="4"/>
      <c r="P140" s="12"/>
    </row>
    <row r="141" customFormat="false" ht="15" hidden="false" customHeight="false" outlineLevel="0" collapsed="false">
      <c r="A141" s="12"/>
      <c r="B141" s="12"/>
      <c r="C141" s="12"/>
      <c r="D141" s="4"/>
      <c r="E141" s="4"/>
      <c r="F141" s="12"/>
      <c r="G141" s="13" t="str">
        <f aca="false">IF($F141="","",IFERROR(INDEX(Lists!$B$4:$B$12,MATCH($F141,Lists!$A$4:$A$12,0)),""))</f>
        <v/>
      </c>
      <c r="H141" s="12"/>
      <c r="I141" s="14"/>
      <c r="J141" s="12"/>
      <c r="K141" s="15" t="str">
        <f aca="false">IF(OR($I141="",$J141=""),"",$I141+7*$J141-3)</f>
        <v/>
      </c>
      <c r="L141" s="12"/>
      <c r="M141" s="4"/>
      <c r="N141" s="12"/>
      <c r="O141" s="4"/>
      <c r="P141" s="12"/>
    </row>
    <row r="142" customFormat="false" ht="15" hidden="false" customHeight="false" outlineLevel="0" collapsed="false">
      <c r="A142" s="12"/>
      <c r="B142" s="12"/>
      <c r="C142" s="12"/>
      <c r="D142" s="4"/>
      <c r="E142" s="4"/>
      <c r="F142" s="12"/>
      <c r="G142" s="13" t="str">
        <f aca="false">IF($F142="","",IFERROR(INDEX(Lists!$B$4:$B$12,MATCH($F142,Lists!$A$4:$A$12,0)),""))</f>
        <v/>
      </c>
      <c r="H142" s="12"/>
      <c r="I142" s="14"/>
      <c r="J142" s="12"/>
      <c r="K142" s="15" t="str">
        <f aca="false">IF(OR($I142="",$J142=""),"",$I142+7*$J142-3)</f>
        <v/>
      </c>
      <c r="L142" s="12"/>
      <c r="M142" s="4"/>
      <c r="N142" s="12"/>
      <c r="O142" s="4"/>
      <c r="P142" s="12"/>
    </row>
    <row r="143" customFormat="false" ht="15" hidden="false" customHeight="false" outlineLevel="0" collapsed="false">
      <c r="A143" s="12"/>
      <c r="B143" s="12"/>
      <c r="C143" s="12"/>
      <c r="D143" s="4"/>
      <c r="E143" s="4"/>
      <c r="F143" s="12"/>
      <c r="G143" s="13" t="str">
        <f aca="false">IF($F143="","",IFERROR(INDEX(Lists!$B$4:$B$12,MATCH($F143,Lists!$A$4:$A$12,0)),""))</f>
        <v/>
      </c>
      <c r="H143" s="12"/>
      <c r="I143" s="14"/>
      <c r="J143" s="12"/>
      <c r="K143" s="15" t="str">
        <f aca="false">IF(OR($I143="",$J143=""),"",$I143+7*$J143-3)</f>
        <v/>
      </c>
      <c r="L143" s="12"/>
      <c r="M143" s="4"/>
      <c r="N143" s="12"/>
      <c r="O143" s="4"/>
      <c r="P143" s="12"/>
    </row>
    <row r="144" customFormat="false" ht="15" hidden="false" customHeight="false" outlineLevel="0" collapsed="false">
      <c r="A144" s="12"/>
      <c r="B144" s="12"/>
      <c r="C144" s="12"/>
      <c r="D144" s="4"/>
      <c r="E144" s="4"/>
      <c r="F144" s="12"/>
      <c r="G144" s="13" t="str">
        <f aca="false">IF($F144="","",IFERROR(INDEX(Lists!$B$4:$B$12,MATCH($F144,Lists!$A$4:$A$12,0)),""))</f>
        <v/>
      </c>
      <c r="H144" s="12"/>
      <c r="I144" s="14"/>
      <c r="J144" s="12"/>
      <c r="K144" s="15" t="str">
        <f aca="false">IF(OR($I144="",$J144=""),"",$I144+7*$J144-3)</f>
        <v/>
      </c>
      <c r="L144" s="12"/>
      <c r="M144" s="4"/>
      <c r="N144" s="12"/>
      <c r="O144" s="4"/>
      <c r="P144" s="12"/>
    </row>
    <row r="145" customFormat="false" ht="15" hidden="false" customHeight="false" outlineLevel="0" collapsed="false">
      <c r="A145" s="12"/>
      <c r="B145" s="12"/>
      <c r="C145" s="12"/>
      <c r="D145" s="4"/>
      <c r="E145" s="4"/>
      <c r="F145" s="12"/>
      <c r="G145" s="13" t="str">
        <f aca="false">IF($F145="","",IFERROR(INDEX(Lists!$B$4:$B$12,MATCH($F145,Lists!$A$4:$A$12,0)),""))</f>
        <v/>
      </c>
      <c r="H145" s="12"/>
      <c r="I145" s="14"/>
      <c r="J145" s="12"/>
      <c r="K145" s="15" t="str">
        <f aca="false">IF(OR($I145="",$J145=""),"",$I145+7*$J145-3)</f>
        <v/>
      </c>
      <c r="L145" s="12"/>
      <c r="M145" s="4"/>
      <c r="N145" s="12"/>
      <c r="O145" s="4"/>
      <c r="P145" s="12"/>
    </row>
    <row r="146" customFormat="false" ht="15" hidden="false" customHeight="false" outlineLevel="0" collapsed="false">
      <c r="A146" s="12"/>
      <c r="B146" s="12"/>
      <c r="C146" s="12"/>
      <c r="D146" s="4"/>
      <c r="E146" s="4"/>
      <c r="F146" s="12"/>
      <c r="G146" s="13" t="str">
        <f aca="false">IF($F146="","",IFERROR(INDEX(Lists!$B$4:$B$12,MATCH($F146,Lists!$A$4:$A$12,0)),""))</f>
        <v/>
      </c>
      <c r="H146" s="12"/>
      <c r="I146" s="14"/>
      <c r="J146" s="12"/>
      <c r="K146" s="15" t="str">
        <f aca="false">IF(OR($I146="",$J146=""),"",$I146+7*$J146-3)</f>
        <v/>
      </c>
      <c r="L146" s="12"/>
      <c r="M146" s="4"/>
      <c r="N146" s="12"/>
      <c r="O146" s="4"/>
      <c r="P146" s="12"/>
    </row>
    <row r="147" customFormat="false" ht="15" hidden="false" customHeight="false" outlineLevel="0" collapsed="false">
      <c r="A147" s="12"/>
      <c r="B147" s="12"/>
      <c r="C147" s="12"/>
      <c r="D147" s="4"/>
      <c r="E147" s="4"/>
      <c r="F147" s="12"/>
      <c r="G147" s="13" t="str">
        <f aca="false">IF($F147="","",IFERROR(INDEX(Lists!$B$4:$B$12,MATCH($F147,Lists!$A$4:$A$12,0)),""))</f>
        <v/>
      </c>
      <c r="H147" s="12"/>
      <c r="I147" s="14"/>
      <c r="J147" s="12"/>
      <c r="K147" s="15" t="str">
        <f aca="false">IF(OR($I147="",$J147=""),"",$I147+7*$J147-3)</f>
        <v/>
      </c>
      <c r="L147" s="12"/>
      <c r="M147" s="4"/>
      <c r="N147" s="12"/>
      <c r="O147" s="4"/>
      <c r="P147" s="12"/>
    </row>
    <row r="148" customFormat="false" ht="15" hidden="false" customHeight="false" outlineLevel="0" collapsed="false">
      <c r="A148" s="12"/>
      <c r="B148" s="12"/>
      <c r="C148" s="12"/>
      <c r="D148" s="4"/>
      <c r="E148" s="4"/>
      <c r="F148" s="12"/>
      <c r="G148" s="13" t="str">
        <f aca="false">IF($F148="","",IFERROR(INDEX(Lists!$B$4:$B$12,MATCH($F148,Lists!$A$4:$A$12,0)),""))</f>
        <v/>
      </c>
      <c r="H148" s="12"/>
      <c r="I148" s="14"/>
      <c r="J148" s="12"/>
      <c r="K148" s="15" t="str">
        <f aca="false">IF(OR($I148="",$J148=""),"",$I148+7*$J148-3)</f>
        <v/>
      </c>
      <c r="L148" s="12"/>
      <c r="M148" s="4"/>
      <c r="N148" s="12"/>
      <c r="O148" s="4"/>
      <c r="P148" s="12"/>
    </row>
    <row r="149" customFormat="false" ht="15" hidden="false" customHeight="false" outlineLevel="0" collapsed="false">
      <c r="A149" s="12"/>
      <c r="B149" s="12"/>
      <c r="C149" s="12"/>
      <c r="D149" s="4"/>
      <c r="E149" s="4"/>
      <c r="F149" s="12"/>
      <c r="G149" s="13" t="str">
        <f aca="false">IF($F149="","",IFERROR(INDEX(Lists!$B$4:$B$12,MATCH($F149,Lists!$A$4:$A$12,0)),""))</f>
        <v/>
      </c>
      <c r="H149" s="12"/>
      <c r="I149" s="14"/>
      <c r="J149" s="12"/>
      <c r="K149" s="15" t="str">
        <f aca="false">IF(OR($I149="",$J149=""),"",$I149+7*$J149-3)</f>
        <v/>
      </c>
      <c r="L149" s="12"/>
      <c r="M149" s="4"/>
      <c r="N149" s="12"/>
      <c r="O149" s="4"/>
      <c r="P149" s="12"/>
    </row>
    <row r="150" customFormat="false" ht="15" hidden="false" customHeight="false" outlineLevel="0" collapsed="false">
      <c r="A150" s="12"/>
      <c r="B150" s="12"/>
      <c r="C150" s="12"/>
      <c r="D150" s="4"/>
      <c r="E150" s="4"/>
      <c r="F150" s="12"/>
      <c r="G150" s="13" t="str">
        <f aca="false">IF($F150="","",IFERROR(INDEX(Lists!$B$4:$B$12,MATCH($F150,Lists!$A$4:$A$12,0)),""))</f>
        <v/>
      </c>
      <c r="H150" s="12"/>
      <c r="I150" s="14"/>
      <c r="J150" s="12"/>
      <c r="K150" s="15" t="str">
        <f aca="false">IF(OR($I150="",$J150=""),"",$I150+7*$J150-3)</f>
        <v/>
      </c>
      <c r="L150" s="12"/>
      <c r="M150" s="4"/>
      <c r="N150" s="12"/>
      <c r="O150" s="4"/>
      <c r="P150" s="12"/>
    </row>
    <row r="151" customFormat="false" ht="15" hidden="false" customHeight="false" outlineLevel="0" collapsed="false">
      <c r="A151" s="12"/>
      <c r="B151" s="12"/>
      <c r="C151" s="12"/>
      <c r="D151" s="4"/>
      <c r="E151" s="4"/>
      <c r="F151" s="12"/>
      <c r="G151" s="13" t="str">
        <f aca="false">IF($F151="","",IFERROR(INDEX(Lists!$B$4:$B$12,MATCH($F151,Lists!$A$4:$A$12,0)),""))</f>
        <v/>
      </c>
      <c r="H151" s="12"/>
      <c r="I151" s="14"/>
      <c r="J151" s="12"/>
      <c r="K151" s="15" t="str">
        <f aca="false">IF(OR($I151="",$J151=""),"",$I151+7*$J151-3)</f>
        <v/>
      </c>
      <c r="L151" s="12"/>
      <c r="M151" s="4"/>
      <c r="N151" s="12"/>
      <c r="O151" s="4"/>
      <c r="P151" s="12"/>
    </row>
    <row r="152" customFormat="false" ht="15" hidden="false" customHeight="false" outlineLevel="0" collapsed="false">
      <c r="A152" s="12"/>
      <c r="B152" s="12"/>
      <c r="C152" s="12"/>
      <c r="D152" s="4"/>
      <c r="E152" s="4"/>
      <c r="F152" s="12"/>
      <c r="G152" s="13" t="str">
        <f aca="false">IF($F152="","",IFERROR(INDEX(Lists!$B$4:$B$12,MATCH($F152,Lists!$A$4:$A$12,0)),""))</f>
        <v/>
      </c>
      <c r="H152" s="12"/>
      <c r="I152" s="14"/>
      <c r="J152" s="12"/>
      <c r="K152" s="15" t="str">
        <f aca="false">IF(OR($I152="",$J152=""),"",$I152+7*$J152-3)</f>
        <v/>
      </c>
      <c r="L152" s="12"/>
      <c r="M152" s="4"/>
      <c r="N152" s="12"/>
      <c r="O152" s="4"/>
      <c r="P152" s="12"/>
    </row>
    <row r="153" customFormat="false" ht="15" hidden="false" customHeight="false" outlineLevel="0" collapsed="false">
      <c r="A153" s="12"/>
      <c r="B153" s="12"/>
      <c r="C153" s="12"/>
      <c r="D153" s="4"/>
      <c r="E153" s="4"/>
      <c r="F153" s="12"/>
      <c r="G153" s="13" t="str">
        <f aca="false">IF($F153="","",IFERROR(INDEX(Lists!$B$4:$B$12,MATCH($F153,Lists!$A$4:$A$12,0)),""))</f>
        <v/>
      </c>
      <c r="H153" s="12"/>
      <c r="I153" s="14"/>
      <c r="J153" s="12"/>
      <c r="K153" s="15" t="str">
        <f aca="false">IF(OR($I153="",$J153=""),"",$I153+7*$J153-3)</f>
        <v/>
      </c>
      <c r="L153" s="12"/>
      <c r="M153" s="4"/>
      <c r="N153" s="12"/>
      <c r="O153" s="4"/>
      <c r="P153" s="12"/>
    </row>
    <row r="154" customFormat="false" ht="15" hidden="false" customHeight="false" outlineLevel="0" collapsed="false">
      <c r="A154" s="12"/>
      <c r="B154" s="12"/>
      <c r="C154" s="12"/>
      <c r="D154" s="4"/>
      <c r="E154" s="4"/>
      <c r="F154" s="12"/>
      <c r="G154" s="13" t="str">
        <f aca="false">IF($F154="","",IFERROR(INDEX(Lists!$B$4:$B$12,MATCH($F154,Lists!$A$4:$A$12,0)),""))</f>
        <v/>
      </c>
      <c r="H154" s="12"/>
      <c r="I154" s="14"/>
      <c r="J154" s="12"/>
      <c r="K154" s="15" t="str">
        <f aca="false">IF(OR($I154="",$J154=""),"",$I154+7*$J154-3)</f>
        <v/>
      </c>
      <c r="L154" s="12"/>
      <c r="M154" s="4"/>
      <c r="N154" s="12"/>
      <c r="O154" s="4"/>
      <c r="P154" s="12"/>
    </row>
    <row r="155" customFormat="false" ht="15" hidden="false" customHeight="false" outlineLevel="0" collapsed="false">
      <c r="A155" s="12"/>
      <c r="B155" s="12"/>
      <c r="C155" s="12"/>
      <c r="D155" s="4"/>
      <c r="E155" s="4"/>
      <c r="F155" s="12"/>
      <c r="G155" s="13" t="str">
        <f aca="false">IF($F155="","",IFERROR(INDEX(Lists!$B$4:$B$12,MATCH($F155,Lists!$A$4:$A$12,0)),""))</f>
        <v/>
      </c>
      <c r="H155" s="12"/>
      <c r="I155" s="14"/>
      <c r="J155" s="12"/>
      <c r="K155" s="15" t="str">
        <f aca="false">IF(OR($I155="",$J155=""),"",$I155+7*$J155-3)</f>
        <v/>
      </c>
      <c r="L155" s="12"/>
      <c r="M155" s="4"/>
      <c r="N155" s="12"/>
      <c r="O155" s="4"/>
      <c r="P155" s="12"/>
    </row>
    <row r="156" customFormat="false" ht="15" hidden="false" customHeight="false" outlineLevel="0" collapsed="false">
      <c r="A156" s="12"/>
      <c r="B156" s="12"/>
      <c r="C156" s="12"/>
      <c r="D156" s="4"/>
      <c r="E156" s="4"/>
      <c r="F156" s="12"/>
      <c r="G156" s="13" t="str">
        <f aca="false">IF($F156="","",IFERROR(INDEX(Lists!$B$4:$B$12,MATCH($F156,Lists!$A$4:$A$12,0)),""))</f>
        <v/>
      </c>
      <c r="H156" s="12"/>
      <c r="I156" s="14"/>
      <c r="J156" s="12"/>
      <c r="K156" s="15" t="str">
        <f aca="false">IF(OR($I156="",$J156=""),"",$I156+7*$J156-3)</f>
        <v/>
      </c>
      <c r="L156" s="12"/>
      <c r="M156" s="4"/>
      <c r="N156" s="12"/>
      <c r="O156" s="4"/>
      <c r="P156" s="12"/>
    </row>
    <row r="157" customFormat="false" ht="15" hidden="false" customHeight="false" outlineLevel="0" collapsed="false">
      <c r="A157" s="12"/>
      <c r="B157" s="12"/>
      <c r="C157" s="12"/>
      <c r="D157" s="4"/>
      <c r="E157" s="4"/>
      <c r="F157" s="12"/>
      <c r="G157" s="13" t="str">
        <f aca="false">IF($F157="","",IFERROR(INDEX(Lists!$B$4:$B$12,MATCH($F157,Lists!$A$4:$A$12,0)),""))</f>
        <v/>
      </c>
      <c r="H157" s="12"/>
      <c r="I157" s="14"/>
      <c r="J157" s="12"/>
      <c r="K157" s="15" t="str">
        <f aca="false">IF(OR($I157="",$J157=""),"",$I157+7*$J157-3)</f>
        <v/>
      </c>
      <c r="L157" s="12"/>
      <c r="M157" s="4"/>
      <c r="N157" s="12"/>
      <c r="O157" s="4"/>
      <c r="P157" s="12"/>
    </row>
    <row r="158" customFormat="false" ht="15" hidden="false" customHeight="false" outlineLevel="0" collapsed="false">
      <c r="A158" s="12"/>
      <c r="B158" s="12"/>
      <c r="C158" s="12"/>
      <c r="D158" s="4"/>
      <c r="E158" s="4"/>
      <c r="F158" s="12"/>
      <c r="G158" s="13" t="str">
        <f aca="false">IF($F158="","",IFERROR(INDEX(Lists!$B$4:$B$12,MATCH($F158,Lists!$A$4:$A$12,0)),""))</f>
        <v/>
      </c>
      <c r="H158" s="12"/>
      <c r="I158" s="14"/>
      <c r="J158" s="12"/>
      <c r="K158" s="15" t="str">
        <f aca="false">IF(OR($I158="",$J158=""),"",$I158+7*$J158-3)</f>
        <v/>
      </c>
      <c r="L158" s="12"/>
      <c r="M158" s="4"/>
      <c r="N158" s="12"/>
      <c r="O158" s="4"/>
      <c r="P158" s="12"/>
    </row>
    <row r="159" customFormat="false" ht="15" hidden="false" customHeight="false" outlineLevel="0" collapsed="false">
      <c r="A159" s="12"/>
      <c r="B159" s="12"/>
      <c r="C159" s="12"/>
      <c r="D159" s="4"/>
      <c r="E159" s="4"/>
      <c r="F159" s="12"/>
      <c r="G159" s="13" t="str">
        <f aca="false">IF($F159="","",IFERROR(INDEX(Lists!$B$4:$B$12,MATCH($F159,Lists!$A$4:$A$12,0)),""))</f>
        <v/>
      </c>
      <c r="H159" s="12"/>
      <c r="I159" s="14"/>
      <c r="J159" s="12"/>
      <c r="K159" s="15" t="str">
        <f aca="false">IF(OR($I159="",$J159=""),"",$I159+7*$J159-3)</f>
        <v/>
      </c>
      <c r="L159" s="12"/>
      <c r="M159" s="4"/>
      <c r="N159" s="12"/>
      <c r="O159" s="4"/>
      <c r="P159" s="12"/>
    </row>
    <row r="160" customFormat="false" ht="15" hidden="false" customHeight="false" outlineLevel="0" collapsed="false">
      <c r="A160" s="12"/>
      <c r="B160" s="12"/>
      <c r="C160" s="12"/>
      <c r="D160" s="4"/>
      <c r="E160" s="4"/>
      <c r="F160" s="12"/>
      <c r="G160" s="13" t="str">
        <f aca="false">IF($F160="","",IFERROR(INDEX(Lists!$B$4:$B$12,MATCH($F160,Lists!$A$4:$A$12,0)),""))</f>
        <v/>
      </c>
      <c r="H160" s="12"/>
      <c r="I160" s="14"/>
      <c r="J160" s="12"/>
      <c r="K160" s="15" t="str">
        <f aca="false">IF(OR($I160="",$J160=""),"",$I160+7*$J160-3)</f>
        <v/>
      </c>
      <c r="L160" s="12"/>
      <c r="M160" s="4"/>
      <c r="N160" s="12"/>
      <c r="O160" s="4"/>
      <c r="P160" s="12"/>
    </row>
    <row r="161" customFormat="false" ht="15" hidden="false" customHeight="false" outlineLevel="0" collapsed="false">
      <c r="A161" s="12"/>
      <c r="B161" s="12"/>
      <c r="C161" s="12"/>
      <c r="D161" s="4"/>
      <c r="E161" s="4"/>
      <c r="F161" s="12"/>
      <c r="G161" s="13" t="str">
        <f aca="false">IF($F161="","",IFERROR(INDEX(Lists!$B$4:$B$12,MATCH($F161,Lists!$A$4:$A$12,0)),""))</f>
        <v/>
      </c>
      <c r="H161" s="12"/>
      <c r="I161" s="14"/>
      <c r="J161" s="12"/>
      <c r="K161" s="15" t="str">
        <f aca="false">IF(OR($I161="",$J161=""),"",$I161+7*$J161-3)</f>
        <v/>
      </c>
      <c r="L161" s="12"/>
      <c r="M161" s="4"/>
      <c r="N161" s="12"/>
      <c r="O161" s="4"/>
      <c r="P161" s="12"/>
    </row>
    <row r="162" customFormat="false" ht="15" hidden="false" customHeight="false" outlineLevel="0" collapsed="false">
      <c r="A162" s="12"/>
      <c r="B162" s="12"/>
      <c r="C162" s="12"/>
      <c r="D162" s="4"/>
      <c r="E162" s="4"/>
      <c r="F162" s="12"/>
      <c r="G162" s="13" t="str">
        <f aca="false">IF($F162="","",IFERROR(INDEX(Lists!$B$4:$B$12,MATCH($F162,Lists!$A$4:$A$12,0)),""))</f>
        <v/>
      </c>
      <c r="H162" s="12"/>
      <c r="I162" s="14"/>
      <c r="J162" s="12"/>
      <c r="K162" s="15" t="str">
        <f aca="false">IF(OR($I162="",$J162=""),"",$I162+7*$J162-3)</f>
        <v/>
      </c>
      <c r="L162" s="12"/>
      <c r="M162" s="4"/>
      <c r="N162" s="12"/>
      <c r="O162" s="4"/>
      <c r="P162" s="12"/>
    </row>
    <row r="163" customFormat="false" ht="15" hidden="false" customHeight="false" outlineLevel="0" collapsed="false">
      <c r="A163" s="12"/>
      <c r="B163" s="12"/>
      <c r="C163" s="12"/>
      <c r="D163" s="4"/>
      <c r="E163" s="4"/>
      <c r="F163" s="12"/>
      <c r="G163" s="13" t="str">
        <f aca="false">IF($F163="","",IFERROR(INDEX(Lists!$B$4:$B$12,MATCH($F163,Lists!$A$4:$A$12,0)),""))</f>
        <v/>
      </c>
      <c r="H163" s="12"/>
      <c r="I163" s="14"/>
      <c r="J163" s="12"/>
      <c r="K163" s="15" t="str">
        <f aca="false">IF(OR($I163="",$J163=""),"",$I163+7*$J163-3)</f>
        <v/>
      </c>
      <c r="L163" s="12"/>
      <c r="M163" s="4"/>
      <c r="N163" s="12"/>
      <c r="O163" s="4"/>
      <c r="P163" s="12"/>
    </row>
    <row r="164" customFormat="false" ht="15" hidden="false" customHeight="false" outlineLevel="0" collapsed="false">
      <c r="A164" s="12"/>
      <c r="B164" s="12"/>
      <c r="C164" s="12"/>
      <c r="D164" s="4"/>
      <c r="E164" s="4"/>
      <c r="F164" s="12"/>
      <c r="G164" s="13" t="str">
        <f aca="false">IF($F164="","",IFERROR(INDEX(Lists!$B$4:$B$12,MATCH($F164,Lists!$A$4:$A$12,0)),""))</f>
        <v/>
      </c>
      <c r="H164" s="12"/>
      <c r="I164" s="14"/>
      <c r="J164" s="12"/>
      <c r="K164" s="15" t="str">
        <f aca="false">IF(OR($I164="",$J164=""),"",$I164+7*$J164-3)</f>
        <v/>
      </c>
      <c r="L164" s="12"/>
      <c r="M164" s="4"/>
      <c r="N164" s="12"/>
      <c r="O164" s="4"/>
      <c r="P164" s="12"/>
    </row>
    <row r="165" customFormat="false" ht="15" hidden="false" customHeight="false" outlineLevel="0" collapsed="false">
      <c r="A165" s="12"/>
      <c r="B165" s="12"/>
      <c r="C165" s="12"/>
      <c r="D165" s="4"/>
      <c r="E165" s="4"/>
      <c r="F165" s="12"/>
      <c r="G165" s="13" t="str">
        <f aca="false">IF($F165="","",IFERROR(INDEX(Lists!$B$4:$B$12,MATCH($F165,Lists!$A$4:$A$12,0)),""))</f>
        <v/>
      </c>
      <c r="H165" s="12"/>
      <c r="I165" s="14"/>
      <c r="J165" s="12"/>
      <c r="K165" s="15" t="str">
        <f aca="false">IF(OR($I165="",$J165=""),"",$I165+7*$J165-3)</f>
        <v/>
      </c>
      <c r="L165" s="12"/>
      <c r="M165" s="4"/>
      <c r="N165" s="12"/>
      <c r="O165" s="4"/>
      <c r="P165" s="12"/>
    </row>
    <row r="166" customFormat="false" ht="15" hidden="false" customHeight="false" outlineLevel="0" collapsed="false">
      <c r="A166" s="12"/>
      <c r="B166" s="12"/>
      <c r="C166" s="12"/>
      <c r="D166" s="4"/>
      <c r="E166" s="4"/>
      <c r="F166" s="12"/>
      <c r="G166" s="13" t="str">
        <f aca="false">IF($F166="","",IFERROR(INDEX(Lists!$B$4:$B$12,MATCH($F166,Lists!$A$4:$A$12,0)),""))</f>
        <v/>
      </c>
      <c r="H166" s="12"/>
      <c r="I166" s="14"/>
      <c r="J166" s="12"/>
      <c r="K166" s="15" t="str">
        <f aca="false">IF(OR($I166="",$J166=""),"",$I166+7*$J166-3)</f>
        <v/>
      </c>
      <c r="L166" s="12"/>
      <c r="M166" s="4"/>
      <c r="N166" s="12"/>
      <c r="O166" s="4"/>
      <c r="P166" s="12"/>
    </row>
    <row r="167" customFormat="false" ht="15" hidden="false" customHeight="false" outlineLevel="0" collapsed="false">
      <c r="A167" s="12"/>
      <c r="B167" s="12"/>
      <c r="C167" s="12"/>
      <c r="D167" s="4"/>
      <c r="E167" s="4"/>
      <c r="F167" s="12"/>
      <c r="G167" s="13" t="str">
        <f aca="false">IF($F167="","",IFERROR(INDEX(Lists!$B$4:$B$12,MATCH($F167,Lists!$A$4:$A$12,0)),""))</f>
        <v/>
      </c>
      <c r="H167" s="12"/>
      <c r="I167" s="14"/>
      <c r="J167" s="12"/>
      <c r="K167" s="15" t="str">
        <f aca="false">IF(OR($I167="",$J167=""),"",$I167+7*$J167-3)</f>
        <v/>
      </c>
      <c r="L167" s="12"/>
      <c r="M167" s="4"/>
      <c r="N167" s="12"/>
      <c r="O167" s="4"/>
      <c r="P167" s="12"/>
    </row>
    <row r="168" customFormat="false" ht="15" hidden="false" customHeight="false" outlineLevel="0" collapsed="false">
      <c r="A168" s="12"/>
      <c r="B168" s="12"/>
      <c r="C168" s="12"/>
      <c r="D168" s="4"/>
      <c r="E168" s="4"/>
      <c r="F168" s="12"/>
      <c r="G168" s="13" t="str">
        <f aca="false">IF($F168="","",IFERROR(INDEX(Lists!$B$4:$B$12,MATCH($F168,Lists!$A$4:$A$12,0)),""))</f>
        <v/>
      </c>
      <c r="H168" s="12"/>
      <c r="I168" s="14"/>
      <c r="J168" s="12"/>
      <c r="K168" s="15" t="str">
        <f aca="false">IF(OR($I168="",$J168=""),"",$I168+7*$J168-3)</f>
        <v/>
      </c>
      <c r="L168" s="12"/>
      <c r="M168" s="4"/>
      <c r="N168" s="12"/>
      <c r="O168" s="4"/>
      <c r="P168" s="12"/>
    </row>
    <row r="169" customFormat="false" ht="15" hidden="false" customHeight="false" outlineLevel="0" collapsed="false">
      <c r="A169" s="12"/>
      <c r="B169" s="12"/>
      <c r="C169" s="12"/>
      <c r="D169" s="4"/>
      <c r="E169" s="4"/>
      <c r="F169" s="12"/>
      <c r="G169" s="13" t="str">
        <f aca="false">IF($F169="","",IFERROR(INDEX(Lists!$B$4:$B$12,MATCH($F169,Lists!$A$4:$A$12,0)),""))</f>
        <v/>
      </c>
      <c r="H169" s="12"/>
      <c r="I169" s="14"/>
      <c r="J169" s="12"/>
      <c r="K169" s="15" t="str">
        <f aca="false">IF(OR($I169="",$J169=""),"",$I169+7*$J169-3)</f>
        <v/>
      </c>
      <c r="L169" s="12"/>
      <c r="M169" s="4"/>
      <c r="N169" s="12"/>
      <c r="O169" s="4"/>
      <c r="P169" s="12"/>
    </row>
    <row r="170" customFormat="false" ht="15" hidden="false" customHeight="false" outlineLevel="0" collapsed="false">
      <c r="A170" s="12"/>
      <c r="B170" s="12"/>
      <c r="C170" s="12"/>
      <c r="D170" s="4"/>
      <c r="E170" s="4"/>
      <c r="F170" s="12"/>
      <c r="G170" s="13" t="str">
        <f aca="false">IF($F170="","",IFERROR(INDEX(Lists!$B$4:$B$12,MATCH($F170,Lists!$A$4:$A$12,0)),""))</f>
        <v/>
      </c>
      <c r="H170" s="12"/>
      <c r="I170" s="14"/>
      <c r="J170" s="12"/>
      <c r="K170" s="15" t="str">
        <f aca="false">IF(OR($I170="",$J170=""),"",$I170+7*$J170-3)</f>
        <v/>
      </c>
      <c r="L170" s="12"/>
      <c r="M170" s="4"/>
      <c r="N170" s="12"/>
      <c r="O170" s="4"/>
      <c r="P170" s="12"/>
    </row>
    <row r="171" customFormat="false" ht="15" hidden="false" customHeight="false" outlineLevel="0" collapsed="false">
      <c r="A171" s="12"/>
      <c r="B171" s="12"/>
      <c r="C171" s="12"/>
      <c r="D171" s="4"/>
      <c r="E171" s="4"/>
      <c r="F171" s="12"/>
      <c r="G171" s="13" t="str">
        <f aca="false">IF($F171="","",IFERROR(INDEX(Lists!$B$4:$B$12,MATCH($F171,Lists!$A$4:$A$12,0)),""))</f>
        <v/>
      </c>
      <c r="H171" s="12"/>
      <c r="I171" s="14"/>
      <c r="J171" s="12"/>
      <c r="K171" s="15" t="str">
        <f aca="false">IF(OR($I171="",$J171=""),"",$I171+7*$J171-3)</f>
        <v/>
      </c>
      <c r="L171" s="12"/>
      <c r="M171" s="4"/>
      <c r="N171" s="12"/>
      <c r="O171" s="4"/>
      <c r="P171" s="12"/>
    </row>
    <row r="172" customFormat="false" ht="15" hidden="false" customHeight="false" outlineLevel="0" collapsed="false">
      <c r="A172" s="12"/>
      <c r="B172" s="12"/>
      <c r="C172" s="12"/>
      <c r="D172" s="4"/>
      <c r="E172" s="4"/>
      <c r="F172" s="12"/>
      <c r="G172" s="13" t="str">
        <f aca="false">IF($F172="","",IFERROR(INDEX(Lists!$B$4:$B$12,MATCH($F172,Lists!$A$4:$A$12,0)),""))</f>
        <v/>
      </c>
      <c r="H172" s="12"/>
      <c r="I172" s="14"/>
      <c r="J172" s="12"/>
      <c r="K172" s="15" t="str">
        <f aca="false">IF(OR($I172="",$J172=""),"",$I172+7*$J172-3)</f>
        <v/>
      </c>
      <c r="L172" s="12"/>
      <c r="M172" s="4"/>
      <c r="N172" s="12"/>
      <c r="O172" s="4"/>
      <c r="P172" s="12"/>
    </row>
    <row r="173" customFormat="false" ht="15" hidden="false" customHeight="false" outlineLevel="0" collapsed="false">
      <c r="A173" s="12"/>
      <c r="B173" s="12"/>
      <c r="C173" s="12"/>
      <c r="D173" s="4"/>
      <c r="E173" s="4"/>
      <c r="F173" s="12"/>
      <c r="G173" s="13" t="str">
        <f aca="false">IF($F173="","",IFERROR(INDEX(Lists!$B$4:$B$12,MATCH($F173,Lists!$A$4:$A$12,0)),""))</f>
        <v/>
      </c>
      <c r="H173" s="12"/>
      <c r="I173" s="14"/>
      <c r="J173" s="12"/>
      <c r="K173" s="15" t="str">
        <f aca="false">IF(OR($I173="",$J173=""),"",$I173+7*$J173-3)</f>
        <v/>
      </c>
      <c r="L173" s="12"/>
      <c r="M173" s="4"/>
      <c r="N173" s="12"/>
      <c r="O173" s="4"/>
      <c r="P173" s="12"/>
    </row>
    <row r="174" customFormat="false" ht="15" hidden="false" customHeight="false" outlineLevel="0" collapsed="false">
      <c r="A174" s="12"/>
      <c r="B174" s="12"/>
      <c r="C174" s="12"/>
      <c r="D174" s="4"/>
      <c r="E174" s="4"/>
      <c r="F174" s="12"/>
      <c r="G174" s="13" t="str">
        <f aca="false">IF($F174="","",IFERROR(INDEX(Lists!$B$4:$B$12,MATCH($F174,Lists!$A$4:$A$12,0)),""))</f>
        <v/>
      </c>
      <c r="H174" s="12"/>
      <c r="I174" s="14"/>
      <c r="J174" s="12"/>
      <c r="K174" s="15" t="str">
        <f aca="false">IF(OR($I174="",$J174=""),"",$I174+7*$J174-3)</f>
        <v/>
      </c>
      <c r="L174" s="12"/>
      <c r="M174" s="4"/>
      <c r="N174" s="12"/>
      <c r="O174" s="4"/>
      <c r="P174" s="12"/>
    </row>
    <row r="175" customFormat="false" ht="15" hidden="false" customHeight="false" outlineLevel="0" collapsed="false">
      <c r="A175" s="12"/>
      <c r="B175" s="12"/>
      <c r="C175" s="12"/>
      <c r="D175" s="4"/>
      <c r="E175" s="4"/>
      <c r="F175" s="12"/>
      <c r="G175" s="13" t="str">
        <f aca="false">IF($F175="","",IFERROR(INDEX(Lists!$B$4:$B$12,MATCH($F175,Lists!$A$4:$A$12,0)),""))</f>
        <v/>
      </c>
      <c r="H175" s="12"/>
      <c r="I175" s="14"/>
      <c r="J175" s="12"/>
      <c r="K175" s="15" t="str">
        <f aca="false">IF(OR($I175="",$J175=""),"",$I175+7*$J175-3)</f>
        <v/>
      </c>
      <c r="L175" s="12"/>
      <c r="M175" s="4"/>
      <c r="N175" s="12"/>
      <c r="O175" s="4"/>
      <c r="P175" s="12"/>
    </row>
    <row r="176" customFormat="false" ht="15" hidden="false" customHeight="false" outlineLevel="0" collapsed="false">
      <c r="A176" s="12"/>
      <c r="B176" s="12"/>
      <c r="C176" s="12"/>
      <c r="D176" s="4"/>
      <c r="E176" s="4"/>
      <c r="F176" s="12"/>
      <c r="G176" s="13" t="str">
        <f aca="false">IF($F176="","",IFERROR(INDEX(Lists!$B$4:$B$12,MATCH($F176,Lists!$A$4:$A$12,0)),""))</f>
        <v/>
      </c>
      <c r="H176" s="12"/>
      <c r="I176" s="14"/>
      <c r="J176" s="12"/>
      <c r="K176" s="15" t="str">
        <f aca="false">IF(OR($I176="",$J176=""),"",$I176+7*$J176-3)</f>
        <v/>
      </c>
      <c r="L176" s="12"/>
      <c r="M176" s="4"/>
      <c r="N176" s="12"/>
      <c r="O176" s="4"/>
      <c r="P176" s="12"/>
    </row>
    <row r="177" customFormat="false" ht="15" hidden="false" customHeight="false" outlineLevel="0" collapsed="false">
      <c r="A177" s="12"/>
      <c r="B177" s="12"/>
      <c r="C177" s="12"/>
      <c r="D177" s="4"/>
      <c r="E177" s="4"/>
      <c r="F177" s="12"/>
      <c r="G177" s="13" t="str">
        <f aca="false">IF($F177="","",IFERROR(INDEX(Lists!$B$4:$B$12,MATCH($F177,Lists!$A$4:$A$12,0)),""))</f>
        <v/>
      </c>
      <c r="H177" s="12"/>
      <c r="I177" s="14"/>
      <c r="J177" s="12"/>
      <c r="K177" s="15" t="str">
        <f aca="false">IF(OR($I177="",$J177=""),"",$I177+7*$J177-3)</f>
        <v/>
      </c>
      <c r="L177" s="12"/>
      <c r="M177" s="4"/>
      <c r="N177" s="12"/>
      <c r="O177" s="4"/>
      <c r="P177" s="12"/>
    </row>
    <row r="178" customFormat="false" ht="15" hidden="false" customHeight="false" outlineLevel="0" collapsed="false">
      <c r="A178" s="12"/>
      <c r="B178" s="12"/>
      <c r="C178" s="12"/>
      <c r="D178" s="4"/>
      <c r="E178" s="4"/>
      <c r="F178" s="12"/>
      <c r="G178" s="13" t="str">
        <f aca="false">IF($F178="","",IFERROR(INDEX(Lists!$B$4:$B$12,MATCH($F178,Lists!$A$4:$A$12,0)),""))</f>
        <v/>
      </c>
      <c r="H178" s="12"/>
      <c r="I178" s="14"/>
      <c r="J178" s="12"/>
      <c r="K178" s="15" t="str">
        <f aca="false">IF(OR($I178="",$J178=""),"",$I178+7*$J178-3)</f>
        <v/>
      </c>
      <c r="L178" s="12"/>
      <c r="M178" s="4"/>
      <c r="N178" s="12"/>
      <c r="O178" s="4"/>
      <c r="P178" s="12"/>
    </row>
    <row r="179" customFormat="false" ht="15" hidden="false" customHeight="false" outlineLevel="0" collapsed="false">
      <c r="A179" s="12"/>
      <c r="B179" s="12"/>
      <c r="C179" s="12"/>
      <c r="D179" s="4"/>
      <c r="E179" s="4"/>
      <c r="F179" s="12"/>
      <c r="G179" s="13" t="str">
        <f aca="false">IF($F179="","",IFERROR(INDEX(Lists!$B$4:$B$12,MATCH($F179,Lists!$A$4:$A$12,0)),""))</f>
        <v/>
      </c>
      <c r="H179" s="12"/>
      <c r="I179" s="14"/>
      <c r="J179" s="12"/>
      <c r="K179" s="15" t="str">
        <f aca="false">IF(OR($I179="",$J179=""),"",$I179+7*$J179-3)</f>
        <v/>
      </c>
      <c r="L179" s="12"/>
      <c r="M179" s="4"/>
      <c r="N179" s="12"/>
      <c r="O179" s="4"/>
      <c r="P179" s="12"/>
    </row>
    <row r="180" customFormat="false" ht="15" hidden="false" customHeight="false" outlineLevel="0" collapsed="false">
      <c r="A180" s="12"/>
      <c r="B180" s="12"/>
      <c r="C180" s="12"/>
      <c r="D180" s="4"/>
      <c r="E180" s="4"/>
      <c r="F180" s="12"/>
      <c r="G180" s="13" t="str">
        <f aca="false">IF($F180="","",IFERROR(INDEX(Lists!$B$4:$B$12,MATCH($F180,Lists!$A$4:$A$12,0)),""))</f>
        <v/>
      </c>
      <c r="H180" s="12"/>
      <c r="I180" s="14"/>
      <c r="J180" s="12"/>
      <c r="K180" s="15" t="str">
        <f aca="false">IF(OR($I180="",$J180=""),"",$I180+7*$J180-3)</f>
        <v/>
      </c>
      <c r="L180" s="12"/>
      <c r="M180" s="4"/>
      <c r="N180" s="12"/>
      <c r="O180" s="4"/>
      <c r="P180" s="12"/>
    </row>
    <row r="181" customFormat="false" ht="15" hidden="false" customHeight="false" outlineLevel="0" collapsed="false">
      <c r="A181" s="12"/>
      <c r="B181" s="12"/>
      <c r="C181" s="12"/>
      <c r="D181" s="4"/>
      <c r="E181" s="4"/>
      <c r="F181" s="12"/>
      <c r="G181" s="13" t="str">
        <f aca="false">IF($F181="","",IFERROR(INDEX(Lists!$B$4:$B$12,MATCH($F181,Lists!$A$4:$A$12,0)),""))</f>
        <v/>
      </c>
      <c r="H181" s="12"/>
      <c r="I181" s="14"/>
      <c r="J181" s="12"/>
      <c r="K181" s="15" t="str">
        <f aca="false">IF(OR($I181="",$J181=""),"",$I181+7*$J181-3)</f>
        <v/>
      </c>
      <c r="L181" s="12"/>
      <c r="M181" s="4"/>
      <c r="N181" s="12"/>
      <c r="O181" s="4"/>
      <c r="P181" s="12"/>
    </row>
    <row r="182" customFormat="false" ht="15" hidden="false" customHeight="false" outlineLevel="0" collapsed="false">
      <c r="A182" s="12"/>
      <c r="B182" s="12"/>
      <c r="C182" s="12"/>
      <c r="D182" s="4"/>
      <c r="E182" s="4"/>
      <c r="F182" s="12"/>
      <c r="G182" s="13" t="str">
        <f aca="false">IF($F182="","",IFERROR(INDEX(Lists!$B$4:$B$12,MATCH($F182,Lists!$A$4:$A$12,0)),""))</f>
        <v/>
      </c>
      <c r="H182" s="12"/>
      <c r="I182" s="14"/>
      <c r="J182" s="12"/>
      <c r="K182" s="15" t="str">
        <f aca="false">IF(OR($I182="",$J182=""),"",$I182+7*$J182-3)</f>
        <v/>
      </c>
      <c r="L182" s="12"/>
      <c r="M182" s="4"/>
      <c r="N182" s="12"/>
      <c r="O182" s="4"/>
      <c r="P182" s="12"/>
    </row>
    <row r="183" customFormat="false" ht="15" hidden="false" customHeight="false" outlineLevel="0" collapsed="false">
      <c r="A183" s="12"/>
      <c r="B183" s="12"/>
      <c r="C183" s="12"/>
      <c r="D183" s="4"/>
      <c r="E183" s="4"/>
      <c r="F183" s="12"/>
      <c r="G183" s="13" t="str">
        <f aca="false">IF($F183="","",IFERROR(INDEX(Lists!$B$4:$B$12,MATCH($F183,Lists!$A$4:$A$12,0)),""))</f>
        <v/>
      </c>
      <c r="H183" s="12"/>
      <c r="I183" s="14"/>
      <c r="J183" s="12"/>
      <c r="K183" s="15" t="str">
        <f aca="false">IF(OR($I183="",$J183=""),"",$I183+7*$J183-3)</f>
        <v/>
      </c>
      <c r="L183" s="12"/>
      <c r="M183" s="4"/>
      <c r="N183" s="12"/>
      <c r="O183" s="4"/>
      <c r="P183" s="12"/>
    </row>
    <row r="184" customFormat="false" ht="15" hidden="false" customHeight="false" outlineLevel="0" collapsed="false">
      <c r="A184" s="12"/>
      <c r="B184" s="12"/>
      <c r="C184" s="12"/>
      <c r="D184" s="4"/>
      <c r="E184" s="4"/>
      <c r="F184" s="12"/>
      <c r="G184" s="13" t="str">
        <f aca="false">IF($F184="","",IFERROR(INDEX(Lists!$B$4:$B$12,MATCH($F184,Lists!$A$4:$A$12,0)),""))</f>
        <v/>
      </c>
      <c r="H184" s="12"/>
      <c r="I184" s="14"/>
      <c r="J184" s="12"/>
      <c r="K184" s="15" t="str">
        <f aca="false">IF(OR($I184="",$J184=""),"",$I184+7*$J184-3)</f>
        <v/>
      </c>
      <c r="L184" s="12"/>
      <c r="M184" s="4"/>
      <c r="N184" s="12"/>
      <c r="O184" s="4"/>
      <c r="P184" s="12"/>
    </row>
    <row r="185" customFormat="false" ht="15" hidden="false" customHeight="false" outlineLevel="0" collapsed="false">
      <c r="A185" s="12"/>
      <c r="B185" s="12"/>
      <c r="C185" s="12"/>
      <c r="D185" s="4"/>
      <c r="E185" s="4"/>
      <c r="F185" s="12"/>
      <c r="G185" s="13" t="str">
        <f aca="false">IF($F185="","",IFERROR(INDEX(Lists!$B$4:$B$12,MATCH($F185,Lists!$A$4:$A$12,0)),""))</f>
        <v/>
      </c>
      <c r="H185" s="12"/>
      <c r="I185" s="14"/>
      <c r="J185" s="12"/>
      <c r="K185" s="15" t="str">
        <f aca="false">IF(OR($I185="",$J185=""),"",$I185+7*$J185-3)</f>
        <v/>
      </c>
      <c r="L185" s="12"/>
      <c r="M185" s="4"/>
      <c r="N185" s="12"/>
      <c r="O185" s="4"/>
      <c r="P185" s="12"/>
    </row>
    <row r="186" customFormat="false" ht="15" hidden="false" customHeight="false" outlineLevel="0" collapsed="false">
      <c r="A186" s="12"/>
      <c r="B186" s="12"/>
      <c r="C186" s="12"/>
      <c r="D186" s="4"/>
      <c r="E186" s="4"/>
      <c r="F186" s="12"/>
      <c r="G186" s="13" t="str">
        <f aca="false">IF($F186="","",IFERROR(INDEX(Lists!$B$4:$B$12,MATCH($F186,Lists!$A$4:$A$12,0)),""))</f>
        <v/>
      </c>
      <c r="H186" s="12"/>
      <c r="I186" s="14"/>
      <c r="J186" s="12"/>
      <c r="K186" s="15" t="str">
        <f aca="false">IF(OR($I186="",$J186=""),"",$I186+7*$J186-3)</f>
        <v/>
      </c>
      <c r="L186" s="12"/>
      <c r="M186" s="4"/>
      <c r="N186" s="12"/>
      <c r="O186" s="4"/>
      <c r="P186" s="12"/>
    </row>
    <row r="187" customFormat="false" ht="15" hidden="false" customHeight="false" outlineLevel="0" collapsed="false">
      <c r="A187" s="12"/>
      <c r="B187" s="12"/>
      <c r="C187" s="12"/>
      <c r="D187" s="4"/>
      <c r="E187" s="4"/>
      <c r="F187" s="12"/>
      <c r="G187" s="13" t="str">
        <f aca="false">IF($F187="","",IFERROR(INDEX(Lists!$B$4:$B$12,MATCH($F187,Lists!$A$4:$A$12,0)),""))</f>
        <v/>
      </c>
      <c r="H187" s="12"/>
      <c r="I187" s="14"/>
      <c r="J187" s="12"/>
      <c r="K187" s="15" t="str">
        <f aca="false">IF(OR($I187="",$J187=""),"",$I187+7*$J187-3)</f>
        <v/>
      </c>
      <c r="L187" s="12"/>
      <c r="M187" s="4"/>
      <c r="N187" s="12"/>
      <c r="O187" s="4"/>
      <c r="P187" s="12"/>
    </row>
    <row r="188" customFormat="false" ht="15" hidden="false" customHeight="false" outlineLevel="0" collapsed="false">
      <c r="A188" s="12"/>
      <c r="B188" s="12"/>
      <c r="C188" s="12"/>
      <c r="D188" s="4"/>
      <c r="E188" s="4"/>
      <c r="F188" s="12"/>
      <c r="G188" s="13" t="str">
        <f aca="false">IF($F188="","",IFERROR(INDEX(Lists!$B$4:$B$12,MATCH($F188,Lists!$A$4:$A$12,0)),""))</f>
        <v/>
      </c>
      <c r="H188" s="12"/>
      <c r="I188" s="14"/>
      <c r="J188" s="12"/>
      <c r="K188" s="15" t="str">
        <f aca="false">IF(OR($I188="",$J188=""),"",$I188+7*$J188-3)</f>
        <v/>
      </c>
      <c r="L188" s="12"/>
      <c r="M188" s="4"/>
      <c r="N188" s="12"/>
      <c r="O188" s="4"/>
      <c r="P188" s="12"/>
    </row>
    <row r="189" customFormat="false" ht="15" hidden="false" customHeight="false" outlineLevel="0" collapsed="false">
      <c r="A189" s="12"/>
      <c r="B189" s="12"/>
      <c r="C189" s="12"/>
      <c r="D189" s="4"/>
      <c r="E189" s="4"/>
      <c r="F189" s="12"/>
      <c r="G189" s="13" t="str">
        <f aca="false">IF($F189="","",IFERROR(INDEX(Lists!$B$4:$B$12,MATCH($F189,Lists!$A$4:$A$12,0)),""))</f>
        <v/>
      </c>
      <c r="H189" s="12"/>
      <c r="I189" s="14"/>
      <c r="J189" s="12"/>
      <c r="K189" s="15" t="str">
        <f aca="false">IF(OR($I189="",$J189=""),"",$I189+7*$J189-3)</f>
        <v/>
      </c>
      <c r="L189" s="12"/>
      <c r="M189" s="4"/>
      <c r="N189" s="12"/>
      <c r="O189" s="4"/>
      <c r="P189" s="12"/>
    </row>
    <row r="190" customFormat="false" ht="15" hidden="false" customHeight="false" outlineLevel="0" collapsed="false">
      <c r="A190" s="12"/>
      <c r="B190" s="12"/>
      <c r="C190" s="12"/>
      <c r="D190" s="4"/>
      <c r="E190" s="4"/>
      <c r="F190" s="12"/>
      <c r="G190" s="13" t="str">
        <f aca="false">IF($F190="","",IFERROR(INDEX(Lists!$B$4:$B$12,MATCH($F190,Lists!$A$4:$A$12,0)),""))</f>
        <v/>
      </c>
      <c r="H190" s="12"/>
      <c r="I190" s="14"/>
      <c r="J190" s="12"/>
      <c r="K190" s="15" t="str">
        <f aca="false">IF(OR($I190="",$J190=""),"",$I190+7*$J190-3)</f>
        <v/>
      </c>
      <c r="L190" s="12"/>
      <c r="M190" s="4"/>
      <c r="N190" s="12"/>
      <c r="O190" s="4"/>
      <c r="P190" s="12"/>
    </row>
    <row r="191" customFormat="false" ht="15" hidden="false" customHeight="false" outlineLevel="0" collapsed="false">
      <c r="A191" s="12"/>
      <c r="B191" s="12"/>
      <c r="C191" s="12"/>
      <c r="D191" s="4"/>
      <c r="E191" s="4"/>
      <c r="F191" s="12"/>
      <c r="G191" s="13" t="str">
        <f aca="false">IF($F191="","",IFERROR(INDEX(Lists!$B$4:$B$12,MATCH($F191,Lists!$A$4:$A$12,0)),""))</f>
        <v/>
      </c>
      <c r="H191" s="12"/>
      <c r="I191" s="14"/>
      <c r="J191" s="12"/>
      <c r="K191" s="15" t="str">
        <f aca="false">IF(OR($I191="",$J191=""),"",$I191+7*$J191-3)</f>
        <v/>
      </c>
      <c r="L191" s="12"/>
      <c r="M191" s="4"/>
      <c r="N191" s="12"/>
      <c r="O191" s="4"/>
      <c r="P191" s="12"/>
    </row>
    <row r="192" customFormat="false" ht="15" hidden="false" customHeight="false" outlineLevel="0" collapsed="false">
      <c r="A192" s="12"/>
      <c r="B192" s="12"/>
      <c r="C192" s="12"/>
      <c r="D192" s="4"/>
      <c r="E192" s="4"/>
      <c r="F192" s="12"/>
      <c r="G192" s="13" t="str">
        <f aca="false">IF($F192="","",IFERROR(INDEX(Lists!$B$4:$B$12,MATCH($F192,Lists!$A$4:$A$12,0)),""))</f>
        <v/>
      </c>
      <c r="H192" s="12"/>
      <c r="I192" s="14"/>
      <c r="J192" s="12"/>
      <c r="K192" s="15" t="str">
        <f aca="false">IF(OR($I192="",$J192=""),"",$I192+7*$J192-3)</f>
        <v/>
      </c>
      <c r="L192" s="12"/>
      <c r="M192" s="4"/>
      <c r="N192" s="12"/>
      <c r="O192" s="4"/>
      <c r="P192" s="12"/>
    </row>
    <row r="193" customFormat="false" ht="15" hidden="false" customHeight="false" outlineLevel="0" collapsed="false">
      <c r="A193" s="12"/>
      <c r="B193" s="12"/>
      <c r="C193" s="12"/>
      <c r="D193" s="4"/>
      <c r="E193" s="4"/>
      <c r="F193" s="12"/>
      <c r="G193" s="13" t="str">
        <f aca="false">IF($F193="","",IFERROR(INDEX(Lists!$B$4:$B$12,MATCH($F193,Lists!$A$4:$A$12,0)),""))</f>
        <v/>
      </c>
      <c r="H193" s="12"/>
      <c r="I193" s="14"/>
      <c r="J193" s="12"/>
      <c r="K193" s="15" t="str">
        <f aca="false">IF(OR($I193="",$J193=""),"",$I193+7*$J193-3)</f>
        <v/>
      </c>
      <c r="L193" s="12"/>
      <c r="M193" s="4"/>
      <c r="N193" s="12"/>
      <c r="O193" s="4"/>
      <c r="P193" s="12"/>
    </row>
    <row r="194" customFormat="false" ht="15" hidden="false" customHeight="false" outlineLevel="0" collapsed="false">
      <c r="A194" s="12"/>
      <c r="B194" s="12"/>
      <c r="C194" s="12"/>
      <c r="D194" s="4"/>
      <c r="E194" s="4"/>
      <c r="F194" s="12"/>
      <c r="G194" s="13" t="str">
        <f aca="false">IF($F194="","",IFERROR(INDEX(Lists!$B$4:$B$12,MATCH($F194,Lists!$A$4:$A$12,0)),""))</f>
        <v/>
      </c>
      <c r="H194" s="12"/>
      <c r="I194" s="14"/>
      <c r="J194" s="12"/>
      <c r="K194" s="15" t="str">
        <f aca="false">IF(OR($I194="",$J194=""),"",$I194+7*$J194-3)</f>
        <v/>
      </c>
      <c r="L194" s="12"/>
      <c r="M194" s="4"/>
      <c r="N194" s="12"/>
      <c r="O194" s="4"/>
      <c r="P194" s="12"/>
    </row>
    <row r="195" customFormat="false" ht="15" hidden="false" customHeight="false" outlineLevel="0" collapsed="false">
      <c r="A195" s="12"/>
      <c r="B195" s="12"/>
      <c r="C195" s="12"/>
      <c r="D195" s="4"/>
      <c r="E195" s="4"/>
      <c r="F195" s="12"/>
      <c r="G195" s="13" t="str">
        <f aca="false">IF($F195="","",IFERROR(INDEX(Lists!$B$4:$B$12,MATCH($F195,Lists!$A$4:$A$12,0)),""))</f>
        <v/>
      </c>
      <c r="H195" s="12"/>
      <c r="I195" s="14"/>
      <c r="J195" s="12"/>
      <c r="K195" s="15" t="str">
        <f aca="false">IF(OR($I195="",$J195=""),"",$I195+7*$J195-3)</f>
        <v/>
      </c>
      <c r="L195" s="12"/>
      <c r="M195" s="4"/>
      <c r="N195" s="12"/>
      <c r="O195" s="4"/>
      <c r="P195" s="12"/>
    </row>
    <row r="196" customFormat="false" ht="15" hidden="false" customHeight="false" outlineLevel="0" collapsed="false">
      <c r="A196" s="12"/>
      <c r="B196" s="12"/>
      <c r="C196" s="12"/>
      <c r="D196" s="4"/>
      <c r="E196" s="4"/>
      <c r="F196" s="12"/>
      <c r="G196" s="13" t="str">
        <f aca="false">IF($F196="","",IFERROR(INDEX(Lists!$B$4:$B$12,MATCH($F196,Lists!$A$4:$A$12,0)),""))</f>
        <v/>
      </c>
      <c r="H196" s="12"/>
      <c r="I196" s="14"/>
      <c r="J196" s="12"/>
      <c r="K196" s="15" t="str">
        <f aca="false">IF(OR($I196="",$J196=""),"",$I196+7*$J196-3)</f>
        <v/>
      </c>
      <c r="L196" s="12"/>
      <c r="M196" s="4"/>
      <c r="N196" s="12"/>
      <c r="O196" s="4"/>
      <c r="P196" s="12"/>
    </row>
    <row r="197" customFormat="false" ht="15" hidden="false" customHeight="false" outlineLevel="0" collapsed="false">
      <c r="A197" s="12"/>
      <c r="B197" s="12"/>
      <c r="C197" s="12"/>
      <c r="D197" s="4"/>
      <c r="E197" s="4"/>
      <c r="F197" s="12"/>
      <c r="G197" s="13" t="str">
        <f aca="false">IF($F197="","",IFERROR(INDEX(Lists!$B$4:$B$12,MATCH($F197,Lists!$A$4:$A$12,0)),""))</f>
        <v/>
      </c>
      <c r="H197" s="12"/>
      <c r="I197" s="14"/>
      <c r="J197" s="12"/>
      <c r="K197" s="15" t="str">
        <f aca="false">IF(OR($I197="",$J197=""),"",$I197+7*$J197-3)</f>
        <v/>
      </c>
      <c r="L197" s="12"/>
      <c r="M197" s="4"/>
      <c r="N197" s="12"/>
      <c r="O197" s="4"/>
      <c r="P197" s="12"/>
    </row>
    <row r="198" customFormat="false" ht="15" hidden="false" customHeight="false" outlineLevel="0" collapsed="false">
      <c r="A198" s="12"/>
      <c r="B198" s="12"/>
      <c r="C198" s="12"/>
      <c r="D198" s="4"/>
      <c r="E198" s="4"/>
      <c r="F198" s="12"/>
      <c r="G198" s="13" t="str">
        <f aca="false">IF($F198="","",IFERROR(INDEX(Lists!$B$4:$B$12,MATCH($F198,Lists!$A$4:$A$12,0)),""))</f>
        <v/>
      </c>
      <c r="H198" s="12"/>
      <c r="I198" s="14"/>
      <c r="J198" s="12"/>
      <c r="K198" s="15" t="str">
        <f aca="false">IF(OR($I198="",$J198=""),"",$I198+7*$J198-3)</f>
        <v/>
      </c>
      <c r="L198" s="12"/>
      <c r="M198" s="4"/>
      <c r="N198" s="12"/>
      <c r="O198" s="4"/>
      <c r="P198" s="12"/>
    </row>
    <row r="199" customFormat="false" ht="15" hidden="false" customHeight="false" outlineLevel="0" collapsed="false">
      <c r="A199" s="12"/>
      <c r="B199" s="12"/>
      <c r="C199" s="12"/>
      <c r="D199" s="4"/>
      <c r="E199" s="4"/>
      <c r="F199" s="12"/>
      <c r="G199" s="13" t="str">
        <f aca="false">IF($F199="","",IFERROR(INDEX(Lists!$B$4:$B$12,MATCH($F199,Lists!$A$4:$A$12,0)),""))</f>
        <v/>
      </c>
      <c r="H199" s="12"/>
      <c r="I199" s="14"/>
      <c r="J199" s="12"/>
      <c r="K199" s="15" t="str">
        <f aca="false">IF(OR($I199="",$J199=""),"",$I199+7*$J199-3)</f>
        <v/>
      </c>
      <c r="L199" s="12"/>
      <c r="M199" s="4"/>
      <c r="N199" s="12"/>
      <c r="O199" s="4"/>
      <c r="P199" s="12"/>
    </row>
    <row r="200" customFormat="false" ht="15" hidden="false" customHeight="false" outlineLevel="0" collapsed="false">
      <c r="A200" s="12"/>
      <c r="B200" s="12"/>
      <c r="C200" s="12"/>
      <c r="D200" s="4"/>
      <c r="E200" s="4"/>
      <c r="F200" s="12"/>
      <c r="G200" s="13" t="str">
        <f aca="false">IF($F200="","",IFERROR(INDEX(Lists!$B$4:$B$12,MATCH($F200,Lists!$A$4:$A$12,0)),""))</f>
        <v/>
      </c>
      <c r="H200" s="12"/>
      <c r="I200" s="14"/>
      <c r="J200" s="12"/>
      <c r="K200" s="15" t="str">
        <f aca="false">IF(OR($I200="",$J200=""),"",$I200+7*$J200-3)</f>
        <v/>
      </c>
      <c r="L200" s="12"/>
      <c r="M200" s="4"/>
      <c r="N200" s="12"/>
      <c r="O200" s="4"/>
      <c r="P200" s="12"/>
    </row>
    <row r="201" customFormat="false" ht="15" hidden="false" customHeight="false" outlineLevel="0" collapsed="false">
      <c r="A201" s="12"/>
      <c r="B201" s="12"/>
      <c r="C201" s="12"/>
      <c r="D201" s="4"/>
      <c r="E201" s="4"/>
      <c r="F201" s="12"/>
      <c r="G201" s="13" t="str">
        <f aca="false">IF($F201="","",IFERROR(INDEX(Lists!$B$4:$B$12,MATCH($F201,Lists!$A$4:$A$12,0)),""))</f>
        <v/>
      </c>
      <c r="H201" s="12"/>
      <c r="I201" s="14"/>
      <c r="J201" s="12"/>
      <c r="K201" s="15" t="str">
        <f aca="false">IF(OR($I201="",$J201=""),"",$I201+7*$J201-3)</f>
        <v/>
      </c>
      <c r="L201" s="12"/>
      <c r="M201" s="4"/>
      <c r="N201" s="12"/>
      <c r="O201" s="4"/>
      <c r="P201" s="12"/>
    </row>
    <row r="202" customFormat="false" ht="15" hidden="false" customHeight="false" outlineLevel="0" collapsed="false">
      <c r="A202" s="12"/>
      <c r="B202" s="12"/>
      <c r="C202" s="12"/>
      <c r="D202" s="4"/>
      <c r="E202" s="4"/>
      <c r="F202" s="12"/>
      <c r="G202" s="13" t="str">
        <f aca="false">IF($F202="","",IFERROR(INDEX(Lists!$B$4:$B$12,MATCH($F202,Lists!$A$4:$A$12,0)),""))</f>
        <v/>
      </c>
      <c r="H202" s="12"/>
      <c r="I202" s="14"/>
      <c r="J202" s="12"/>
      <c r="K202" s="15" t="str">
        <f aca="false">IF(OR($I202="",$J202=""),"",$I202+7*$J202-3)</f>
        <v/>
      </c>
      <c r="L202" s="12"/>
      <c r="M202" s="4"/>
      <c r="N202" s="12"/>
      <c r="O202" s="4"/>
      <c r="P202" s="12"/>
    </row>
    <row r="203" customFormat="false" ht="15" hidden="false" customHeight="false" outlineLevel="0" collapsed="false">
      <c r="A203" s="12"/>
      <c r="B203" s="12"/>
      <c r="C203" s="12"/>
      <c r="D203" s="4"/>
      <c r="E203" s="4"/>
      <c r="F203" s="12"/>
      <c r="G203" s="13" t="str">
        <f aca="false">IF($F203="","",IFERROR(INDEX(Lists!$B$4:$B$12,MATCH($F203,Lists!$A$4:$A$12,0)),""))</f>
        <v/>
      </c>
      <c r="H203" s="12"/>
      <c r="I203" s="14"/>
      <c r="J203" s="12"/>
      <c r="K203" s="15" t="str">
        <f aca="false">IF(OR($I203="",$J203=""),"",$I203+7*$J203-3)</f>
        <v/>
      </c>
      <c r="L203" s="12"/>
      <c r="M203" s="4"/>
      <c r="N203" s="12"/>
      <c r="O203" s="4"/>
      <c r="P203" s="12"/>
    </row>
    <row r="204" customFormat="false" ht="15" hidden="false" customHeight="false" outlineLevel="0" collapsed="false">
      <c r="A204" s="12"/>
      <c r="B204" s="12"/>
      <c r="C204" s="12"/>
      <c r="D204" s="4"/>
      <c r="E204" s="4"/>
      <c r="F204" s="12"/>
      <c r="G204" s="13" t="str">
        <f aca="false">IF($F204="","",IFERROR(INDEX(Lists!$B$4:$B$12,MATCH($F204,Lists!$A$4:$A$12,0)),""))</f>
        <v/>
      </c>
      <c r="H204" s="12"/>
      <c r="I204" s="14"/>
      <c r="J204" s="12"/>
      <c r="K204" s="15" t="str">
        <f aca="false">IF(OR($I204="",$J204=""),"",$I204+7*$J204-3)</f>
        <v/>
      </c>
      <c r="L204" s="12"/>
      <c r="M204" s="4"/>
      <c r="N204" s="12"/>
      <c r="O204" s="4"/>
      <c r="P204" s="12"/>
    </row>
    <row r="205" customFormat="false" ht="15" hidden="false" customHeight="false" outlineLevel="0" collapsed="false">
      <c r="A205" s="12"/>
      <c r="B205" s="12"/>
      <c r="C205" s="12"/>
      <c r="D205" s="4"/>
      <c r="E205" s="4"/>
      <c r="F205" s="12"/>
      <c r="G205" s="13" t="str">
        <f aca="false">IF($F205="","",IFERROR(INDEX(Lists!$B$4:$B$12,MATCH($F205,Lists!$A$4:$A$12,0)),""))</f>
        <v/>
      </c>
      <c r="H205" s="12"/>
      <c r="I205" s="14"/>
      <c r="J205" s="12"/>
      <c r="K205" s="15" t="str">
        <f aca="false">IF(OR($I205="",$J205=""),"",$I205+7*$J205-3)</f>
        <v/>
      </c>
      <c r="L205" s="12"/>
      <c r="M205" s="4"/>
      <c r="N205" s="12"/>
      <c r="O205" s="4"/>
      <c r="P205" s="12"/>
    </row>
    <row r="206" customFormat="false" ht="15" hidden="false" customHeight="false" outlineLevel="0" collapsed="false">
      <c r="A206" s="12"/>
      <c r="B206" s="12"/>
      <c r="C206" s="12"/>
      <c r="D206" s="4"/>
      <c r="E206" s="4"/>
      <c r="F206" s="12"/>
      <c r="G206" s="13" t="str">
        <f aca="false">IF($F206="","",IFERROR(INDEX(Lists!$B$4:$B$12,MATCH($F206,Lists!$A$4:$A$12,0)),""))</f>
        <v/>
      </c>
      <c r="H206" s="12"/>
      <c r="I206" s="14"/>
      <c r="J206" s="12"/>
      <c r="K206" s="15" t="str">
        <f aca="false">IF(OR($I206="",$J206=""),"",$I206+7*$J206-3)</f>
        <v/>
      </c>
      <c r="L206" s="12"/>
      <c r="M206" s="4"/>
      <c r="N206" s="12"/>
      <c r="O206" s="4"/>
      <c r="P206" s="12"/>
    </row>
    <row r="207" customFormat="false" ht="15" hidden="false" customHeight="false" outlineLevel="0" collapsed="false">
      <c r="A207" s="12"/>
      <c r="B207" s="12"/>
      <c r="C207" s="12"/>
      <c r="D207" s="4"/>
      <c r="E207" s="4"/>
      <c r="F207" s="12"/>
      <c r="G207" s="13" t="str">
        <f aca="false">IF($F207="","",IFERROR(INDEX(Lists!$B$4:$B$12,MATCH($F207,Lists!$A$4:$A$12,0)),""))</f>
        <v/>
      </c>
      <c r="H207" s="12"/>
      <c r="I207" s="14"/>
      <c r="J207" s="12"/>
      <c r="K207" s="15" t="str">
        <f aca="false">IF(OR($I207="",$J207=""),"",$I207+7*$J207-3)</f>
        <v/>
      </c>
      <c r="L207" s="12"/>
      <c r="M207" s="4"/>
      <c r="N207" s="12"/>
      <c r="O207" s="4"/>
      <c r="P207" s="12"/>
    </row>
    <row r="208" customFormat="false" ht="15" hidden="false" customHeight="false" outlineLevel="0" collapsed="false">
      <c r="A208" s="12"/>
      <c r="B208" s="12"/>
      <c r="C208" s="12"/>
      <c r="D208" s="4"/>
      <c r="E208" s="4"/>
      <c r="F208" s="12"/>
      <c r="G208" s="13" t="str">
        <f aca="false">IF($F208="","",IFERROR(INDEX(Lists!$B$4:$B$12,MATCH($F208,Lists!$A$4:$A$12,0)),""))</f>
        <v/>
      </c>
      <c r="H208" s="12"/>
      <c r="I208" s="14"/>
      <c r="J208" s="12"/>
      <c r="K208" s="15" t="str">
        <f aca="false">IF(OR($I208="",$J208=""),"",$I208+7*$J208-3)</f>
        <v/>
      </c>
      <c r="L208" s="12"/>
      <c r="M208" s="4"/>
      <c r="N208" s="12"/>
      <c r="O208" s="4"/>
      <c r="P208" s="12"/>
    </row>
    <row r="209" customFormat="false" ht="15" hidden="false" customHeight="false" outlineLevel="0" collapsed="false">
      <c r="A209" s="12"/>
      <c r="B209" s="12"/>
      <c r="C209" s="12"/>
      <c r="D209" s="4"/>
      <c r="E209" s="4"/>
      <c r="F209" s="12"/>
      <c r="G209" s="13" t="str">
        <f aca="false">IF($F209="","",IFERROR(INDEX(Lists!$B$4:$B$12,MATCH($F209,Lists!$A$4:$A$12,0)),""))</f>
        <v/>
      </c>
      <c r="H209" s="12"/>
      <c r="I209" s="14"/>
      <c r="J209" s="12"/>
      <c r="K209" s="15" t="str">
        <f aca="false">IF(OR($I209="",$J209=""),"",$I209+7*$J209-3)</f>
        <v/>
      </c>
      <c r="L209" s="12"/>
      <c r="M209" s="4"/>
      <c r="N209" s="12"/>
      <c r="O209" s="4"/>
      <c r="P209" s="12"/>
    </row>
    <row r="210" customFormat="false" ht="15" hidden="false" customHeight="false" outlineLevel="0" collapsed="false">
      <c r="A210" s="12"/>
      <c r="B210" s="12"/>
      <c r="C210" s="12"/>
      <c r="D210" s="4"/>
      <c r="E210" s="4"/>
      <c r="F210" s="12"/>
      <c r="G210" s="13" t="str">
        <f aca="false">IF($F210="","",IFERROR(INDEX(Lists!$B$4:$B$12,MATCH($F210,Lists!$A$4:$A$12,0)),""))</f>
        <v/>
      </c>
      <c r="H210" s="12"/>
      <c r="I210" s="14"/>
      <c r="J210" s="12"/>
      <c r="K210" s="15" t="str">
        <f aca="false">IF(OR($I210="",$J210=""),"",$I210+7*$J210-3)</f>
        <v/>
      </c>
      <c r="L210" s="12"/>
      <c r="M210" s="4"/>
      <c r="N210" s="12"/>
      <c r="O210" s="4"/>
      <c r="P210" s="12"/>
    </row>
    <row r="211" customFormat="false" ht="15" hidden="false" customHeight="false" outlineLevel="0" collapsed="false">
      <c r="A211" s="12"/>
      <c r="B211" s="12"/>
      <c r="C211" s="12"/>
      <c r="D211" s="4"/>
      <c r="E211" s="4"/>
      <c r="F211" s="12"/>
      <c r="G211" s="13" t="str">
        <f aca="false">IF($F211="","",IFERROR(INDEX(Lists!$B$4:$B$12,MATCH($F211,Lists!$A$4:$A$12,0)),""))</f>
        <v/>
      </c>
      <c r="H211" s="12"/>
      <c r="I211" s="14"/>
      <c r="J211" s="12"/>
      <c r="K211" s="15" t="str">
        <f aca="false">IF(OR($I211="",$J211=""),"",$I211+7*$J211-3)</f>
        <v/>
      </c>
      <c r="L211" s="12"/>
      <c r="M211" s="4"/>
      <c r="N211" s="12"/>
      <c r="O211" s="4"/>
      <c r="P211" s="12"/>
    </row>
    <row r="212" customFormat="false" ht="15" hidden="false" customHeight="false" outlineLevel="0" collapsed="false">
      <c r="A212" s="12"/>
      <c r="B212" s="12"/>
      <c r="C212" s="12"/>
      <c r="D212" s="4"/>
      <c r="E212" s="4"/>
      <c r="F212" s="12"/>
      <c r="G212" s="13" t="str">
        <f aca="false">IF($F212="","",IFERROR(INDEX(Lists!$B$4:$B$12,MATCH($F212,Lists!$A$4:$A$12,0)),""))</f>
        <v/>
      </c>
      <c r="H212" s="12"/>
      <c r="I212" s="14"/>
      <c r="J212" s="12"/>
      <c r="K212" s="15" t="str">
        <f aca="false">IF(OR($I212="",$J212=""),"",$I212+7*$J212-3)</f>
        <v/>
      </c>
      <c r="L212" s="12"/>
      <c r="M212" s="4"/>
      <c r="N212" s="12"/>
      <c r="O212" s="4"/>
      <c r="P212" s="12"/>
    </row>
    <row r="213" customFormat="false" ht="15" hidden="false" customHeight="false" outlineLevel="0" collapsed="false">
      <c r="A213" s="12"/>
      <c r="B213" s="12"/>
      <c r="C213" s="12"/>
      <c r="D213" s="4"/>
      <c r="E213" s="4"/>
      <c r="F213" s="12"/>
      <c r="G213" s="13" t="str">
        <f aca="false">IF($F213="","",IFERROR(INDEX(Lists!$B$4:$B$12,MATCH($F213,Lists!$A$4:$A$12,0)),""))</f>
        <v/>
      </c>
      <c r="H213" s="12"/>
      <c r="I213" s="14"/>
      <c r="J213" s="12"/>
      <c r="K213" s="15" t="str">
        <f aca="false">IF(OR($I213="",$J213=""),"",$I213+7*$J213-3)</f>
        <v/>
      </c>
      <c r="L213" s="12"/>
      <c r="M213" s="4"/>
      <c r="N213" s="12"/>
      <c r="O213" s="4"/>
      <c r="P213" s="12"/>
    </row>
    <row r="214" customFormat="false" ht="15" hidden="false" customHeight="false" outlineLevel="0" collapsed="false">
      <c r="A214" s="12"/>
      <c r="B214" s="12"/>
      <c r="C214" s="12"/>
      <c r="D214" s="4"/>
      <c r="E214" s="4"/>
      <c r="F214" s="12"/>
      <c r="G214" s="13" t="str">
        <f aca="false">IF($F214="","",IFERROR(INDEX(Lists!$B$4:$B$12,MATCH($F214,Lists!$A$4:$A$12,0)),""))</f>
        <v/>
      </c>
      <c r="H214" s="12"/>
      <c r="I214" s="14"/>
      <c r="J214" s="12"/>
      <c r="K214" s="15" t="str">
        <f aca="false">IF(OR($I214="",$J214=""),"",$I214+7*$J214-3)</f>
        <v/>
      </c>
      <c r="L214" s="12"/>
      <c r="M214" s="4"/>
      <c r="N214" s="12"/>
      <c r="O214" s="4"/>
      <c r="P214" s="12"/>
    </row>
    <row r="215" customFormat="false" ht="15" hidden="false" customHeight="false" outlineLevel="0" collapsed="false">
      <c r="A215" s="12"/>
      <c r="B215" s="12"/>
      <c r="C215" s="12"/>
      <c r="D215" s="4"/>
      <c r="E215" s="4"/>
      <c r="F215" s="12"/>
      <c r="G215" s="13" t="str">
        <f aca="false">IF($F215="","",IFERROR(INDEX(Lists!$B$4:$B$12,MATCH($F215,Lists!$A$4:$A$12,0)),""))</f>
        <v/>
      </c>
      <c r="H215" s="12"/>
      <c r="I215" s="14"/>
      <c r="J215" s="12"/>
      <c r="K215" s="15" t="str">
        <f aca="false">IF(OR($I215="",$J215=""),"",$I215+7*$J215-3)</f>
        <v/>
      </c>
      <c r="L215" s="12"/>
      <c r="M215" s="4"/>
      <c r="N215" s="12"/>
      <c r="O215" s="4"/>
      <c r="P215" s="12"/>
    </row>
    <row r="216" customFormat="false" ht="15" hidden="false" customHeight="false" outlineLevel="0" collapsed="false">
      <c r="A216" s="12"/>
      <c r="B216" s="12"/>
      <c r="C216" s="12"/>
      <c r="D216" s="4"/>
      <c r="E216" s="4"/>
      <c r="F216" s="12"/>
      <c r="G216" s="13" t="str">
        <f aca="false">IF($F216="","",IFERROR(INDEX(Lists!$B$4:$B$12,MATCH($F216,Lists!$A$4:$A$12,0)),""))</f>
        <v/>
      </c>
      <c r="H216" s="12"/>
      <c r="I216" s="14"/>
      <c r="J216" s="12"/>
      <c r="K216" s="15" t="str">
        <f aca="false">IF(OR($I216="",$J216=""),"",$I216+7*$J216-3)</f>
        <v/>
      </c>
      <c r="L216" s="12"/>
      <c r="M216" s="4"/>
      <c r="N216" s="12"/>
      <c r="O216" s="4"/>
      <c r="P216" s="12"/>
    </row>
    <row r="217" customFormat="false" ht="15" hidden="false" customHeight="false" outlineLevel="0" collapsed="false">
      <c r="A217" s="12"/>
      <c r="B217" s="12"/>
      <c r="C217" s="12"/>
      <c r="D217" s="4"/>
      <c r="E217" s="4"/>
      <c r="F217" s="12"/>
      <c r="G217" s="13" t="str">
        <f aca="false">IF($F217="","",IFERROR(INDEX(Lists!$B$4:$B$12,MATCH($F217,Lists!$A$4:$A$12,0)),""))</f>
        <v/>
      </c>
      <c r="H217" s="12"/>
      <c r="I217" s="14"/>
      <c r="J217" s="12"/>
      <c r="K217" s="15" t="str">
        <f aca="false">IF(OR($I217="",$J217=""),"",$I217+7*$J217-3)</f>
        <v/>
      </c>
      <c r="L217" s="12"/>
      <c r="M217" s="4"/>
      <c r="N217" s="12"/>
      <c r="O217" s="4"/>
      <c r="P217" s="12"/>
    </row>
    <row r="218" customFormat="false" ht="15" hidden="false" customHeight="false" outlineLevel="0" collapsed="false">
      <c r="A218" s="12"/>
      <c r="B218" s="12"/>
      <c r="C218" s="12"/>
      <c r="D218" s="4"/>
      <c r="E218" s="4"/>
      <c r="F218" s="12"/>
      <c r="G218" s="13" t="str">
        <f aca="false">IF($F218="","",IFERROR(INDEX(Lists!$B$4:$B$12,MATCH($F218,Lists!$A$4:$A$12,0)),""))</f>
        <v/>
      </c>
      <c r="H218" s="12"/>
      <c r="I218" s="14"/>
      <c r="J218" s="12"/>
      <c r="K218" s="15" t="str">
        <f aca="false">IF(OR($I218="",$J218=""),"",$I218+7*$J218-3)</f>
        <v/>
      </c>
      <c r="L218" s="12"/>
      <c r="M218" s="4"/>
      <c r="N218" s="12"/>
      <c r="O218" s="4"/>
      <c r="P218" s="12"/>
    </row>
    <row r="219" customFormat="false" ht="15" hidden="false" customHeight="false" outlineLevel="0" collapsed="false">
      <c r="A219" s="12"/>
      <c r="B219" s="12"/>
      <c r="C219" s="12"/>
      <c r="D219" s="4"/>
      <c r="E219" s="4"/>
      <c r="F219" s="12"/>
      <c r="G219" s="13" t="str">
        <f aca="false">IF($F219="","",IFERROR(INDEX(Lists!$B$4:$B$12,MATCH($F219,Lists!$A$4:$A$12,0)),""))</f>
        <v/>
      </c>
      <c r="H219" s="12"/>
      <c r="I219" s="14"/>
      <c r="J219" s="12"/>
      <c r="K219" s="15" t="str">
        <f aca="false">IF(OR($I219="",$J219=""),"",$I219+7*$J219-3)</f>
        <v/>
      </c>
      <c r="L219" s="12"/>
      <c r="M219" s="4"/>
      <c r="N219" s="12"/>
      <c r="O219" s="4"/>
      <c r="P219" s="12"/>
    </row>
    <row r="220" customFormat="false" ht="15" hidden="false" customHeight="false" outlineLevel="0" collapsed="false">
      <c r="A220" s="12"/>
      <c r="B220" s="12"/>
      <c r="C220" s="12"/>
      <c r="D220" s="4"/>
      <c r="E220" s="4"/>
      <c r="F220" s="12"/>
      <c r="G220" s="13" t="str">
        <f aca="false">IF($F220="","",IFERROR(INDEX(Lists!$B$4:$B$12,MATCH($F220,Lists!$A$4:$A$12,0)),""))</f>
        <v/>
      </c>
      <c r="H220" s="12"/>
      <c r="I220" s="14"/>
      <c r="J220" s="12"/>
      <c r="K220" s="15" t="str">
        <f aca="false">IF(OR($I220="",$J220=""),"",$I220+7*$J220-3)</f>
        <v/>
      </c>
      <c r="L220" s="12"/>
      <c r="M220" s="4"/>
      <c r="N220" s="12"/>
      <c r="O220" s="4"/>
      <c r="P220" s="12"/>
    </row>
    <row r="221" customFormat="false" ht="15" hidden="false" customHeight="false" outlineLevel="0" collapsed="false">
      <c r="A221" s="12"/>
      <c r="B221" s="12"/>
      <c r="C221" s="12"/>
      <c r="D221" s="4"/>
      <c r="E221" s="4"/>
      <c r="F221" s="12"/>
      <c r="G221" s="13" t="str">
        <f aca="false">IF($F221="","",IFERROR(INDEX(Lists!$B$4:$B$12,MATCH($F221,Lists!$A$4:$A$12,0)),""))</f>
        <v/>
      </c>
      <c r="H221" s="12"/>
      <c r="I221" s="14"/>
      <c r="J221" s="12"/>
      <c r="K221" s="15" t="str">
        <f aca="false">IF(OR($I221="",$J221=""),"",$I221+7*$J221-3)</f>
        <v/>
      </c>
      <c r="L221" s="12"/>
      <c r="M221" s="4"/>
      <c r="N221" s="12"/>
      <c r="O221" s="4"/>
      <c r="P221" s="12"/>
    </row>
    <row r="222" customFormat="false" ht="15" hidden="false" customHeight="false" outlineLevel="0" collapsed="false">
      <c r="A222" s="12"/>
      <c r="B222" s="12"/>
      <c r="C222" s="12"/>
      <c r="D222" s="4"/>
      <c r="E222" s="4"/>
      <c r="F222" s="12"/>
      <c r="G222" s="13" t="str">
        <f aca="false">IF($F222="","",IFERROR(INDEX(Lists!$B$4:$B$12,MATCH($F222,Lists!$A$4:$A$12,0)),""))</f>
        <v/>
      </c>
      <c r="H222" s="12"/>
      <c r="I222" s="14"/>
      <c r="J222" s="12"/>
      <c r="K222" s="15" t="str">
        <f aca="false">IF(OR($I222="",$J222=""),"",$I222+7*$J222-3)</f>
        <v/>
      </c>
      <c r="L222" s="12"/>
      <c r="M222" s="4"/>
      <c r="N222" s="12"/>
      <c r="O222" s="4"/>
      <c r="P222" s="12"/>
    </row>
    <row r="223" customFormat="false" ht="15" hidden="false" customHeight="false" outlineLevel="0" collapsed="false">
      <c r="A223" s="12"/>
      <c r="B223" s="12"/>
      <c r="C223" s="12"/>
      <c r="D223" s="4"/>
      <c r="E223" s="4"/>
      <c r="F223" s="12"/>
      <c r="G223" s="13" t="str">
        <f aca="false">IF($F223="","",IFERROR(INDEX(Lists!$B$4:$B$12,MATCH($F223,Lists!$A$4:$A$12,0)),""))</f>
        <v/>
      </c>
      <c r="H223" s="12"/>
      <c r="I223" s="14"/>
      <c r="J223" s="12"/>
      <c r="K223" s="15" t="str">
        <f aca="false">IF(OR($I223="",$J223=""),"",$I223+7*$J223-3)</f>
        <v/>
      </c>
      <c r="L223" s="12"/>
      <c r="M223" s="4"/>
      <c r="N223" s="12"/>
      <c r="O223" s="4"/>
      <c r="P223" s="12"/>
    </row>
    <row r="224" customFormat="false" ht="15" hidden="false" customHeight="false" outlineLevel="0" collapsed="false">
      <c r="A224" s="12"/>
      <c r="B224" s="12"/>
      <c r="C224" s="12"/>
      <c r="D224" s="4"/>
      <c r="E224" s="4"/>
      <c r="F224" s="12"/>
      <c r="G224" s="13" t="str">
        <f aca="false">IF($F224="","",IFERROR(INDEX(Lists!$B$4:$B$12,MATCH($F224,Lists!$A$4:$A$12,0)),""))</f>
        <v/>
      </c>
      <c r="H224" s="12"/>
      <c r="I224" s="14"/>
      <c r="J224" s="12"/>
      <c r="K224" s="15" t="str">
        <f aca="false">IF(OR($I224="",$J224=""),"",$I224+7*$J224-3)</f>
        <v/>
      </c>
      <c r="L224" s="12"/>
      <c r="M224" s="4"/>
      <c r="N224" s="12"/>
      <c r="O224" s="4"/>
      <c r="P224" s="12"/>
    </row>
    <row r="225" customFormat="false" ht="15" hidden="false" customHeight="false" outlineLevel="0" collapsed="false">
      <c r="A225" s="12"/>
      <c r="B225" s="12"/>
      <c r="C225" s="12"/>
      <c r="D225" s="4"/>
      <c r="E225" s="4"/>
      <c r="F225" s="12"/>
      <c r="G225" s="13" t="str">
        <f aca="false">IF($F225="","",IFERROR(INDEX(Lists!$B$4:$B$12,MATCH($F225,Lists!$A$4:$A$12,0)),""))</f>
        <v/>
      </c>
      <c r="H225" s="12"/>
      <c r="I225" s="14"/>
      <c r="J225" s="12"/>
      <c r="K225" s="15" t="str">
        <f aca="false">IF(OR($I225="",$J225=""),"",$I225+7*$J225-3)</f>
        <v/>
      </c>
      <c r="L225" s="12"/>
      <c r="M225" s="4"/>
      <c r="N225" s="12"/>
      <c r="O225" s="4"/>
      <c r="P225" s="12"/>
    </row>
    <row r="226" customFormat="false" ht="15" hidden="false" customHeight="false" outlineLevel="0" collapsed="false">
      <c r="A226" s="12"/>
      <c r="B226" s="12"/>
      <c r="C226" s="12"/>
      <c r="D226" s="4"/>
      <c r="E226" s="4"/>
      <c r="F226" s="12"/>
      <c r="G226" s="13" t="str">
        <f aca="false">IF($F226="","",IFERROR(INDEX(Lists!$B$4:$B$12,MATCH($F226,Lists!$A$4:$A$12,0)),""))</f>
        <v/>
      </c>
      <c r="H226" s="12"/>
      <c r="I226" s="14"/>
      <c r="J226" s="12"/>
      <c r="K226" s="15" t="str">
        <f aca="false">IF(OR($I226="",$J226=""),"",$I226+7*$J226-3)</f>
        <v/>
      </c>
      <c r="L226" s="12"/>
      <c r="M226" s="4"/>
      <c r="N226" s="12"/>
      <c r="O226" s="4"/>
      <c r="P226" s="12"/>
    </row>
    <row r="227" customFormat="false" ht="15" hidden="false" customHeight="false" outlineLevel="0" collapsed="false">
      <c r="A227" s="12"/>
      <c r="B227" s="12"/>
      <c r="C227" s="12"/>
      <c r="D227" s="4"/>
      <c r="E227" s="4"/>
      <c r="F227" s="12"/>
      <c r="G227" s="13" t="str">
        <f aca="false">IF($F227="","",IFERROR(INDEX(Lists!$B$4:$B$12,MATCH($F227,Lists!$A$4:$A$12,0)),""))</f>
        <v/>
      </c>
      <c r="H227" s="12"/>
      <c r="I227" s="14"/>
      <c r="J227" s="12"/>
      <c r="K227" s="15" t="str">
        <f aca="false">IF(OR($I227="",$J227=""),"",$I227+7*$J227-3)</f>
        <v/>
      </c>
      <c r="L227" s="12"/>
      <c r="M227" s="4"/>
      <c r="N227" s="12"/>
      <c r="O227" s="4"/>
      <c r="P227" s="12"/>
    </row>
    <row r="228" customFormat="false" ht="15" hidden="false" customHeight="false" outlineLevel="0" collapsed="false">
      <c r="A228" s="12"/>
      <c r="B228" s="12"/>
      <c r="C228" s="12"/>
      <c r="D228" s="4"/>
      <c r="E228" s="4"/>
      <c r="F228" s="12"/>
      <c r="G228" s="13" t="str">
        <f aca="false">IF($F228="","",IFERROR(INDEX(Lists!$B$4:$B$12,MATCH($F228,Lists!$A$4:$A$12,0)),""))</f>
        <v/>
      </c>
      <c r="H228" s="12"/>
      <c r="I228" s="14"/>
      <c r="J228" s="12"/>
      <c r="K228" s="15" t="str">
        <f aca="false">IF(OR($I228="",$J228=""),"",$I228+7*$J228-3)</f>
        <v/>
      </c>
      <c r="L228" s="12"/>
      <c r="M228" s="4"/>
      <c r="N228" s="12"/>
      <c r="O228" s="4"/>
      <c r="P228" s="12"/>
    </row>
    <row r="229" customFormat="false" ht="15" hidden="false" customHeight="false" outlineLevel="0" collapsed="false">
      <c r="A229" s="12"/>
      <c r="B229" s="12"/>
      <c r="C229" s="12"/>
      <c r="D229" s="4"/>
      <c r="E229" s="4"/>
      <c r="F229" s="12"/>
      <c r="G229" s="13" t="str">
        <f aca="false">IF($F229="","",IFERROR(INDEX(Lists!$B$4:$B$12,MATCH($F229,Lists!$A$4:$A$12,0)),""))</f>
        <v/>
      </c>
      <c r="H229" s="12"/>
      <c r="I229" s="14"/>
      <c r="J229" s="12"/>
      <c r="K229" s="15" t="str">
        <f aca="false">IF(OR($I229="",$J229=""),"",$I229+7*$J229-3)</f>
        <v/>
      </c>
      <c r="L229" s="12"/>
      <c r="M229" s="4"/>
      <c r="N229" s="12"/>
      <c r="O229" s="4"/>
      <c r="P229" s="12"/>
    </row>
    <row r="230" customFormat="false" ht="15" hidden="false" customHeight="false" outlineLevel="0" collapsed="false">
      <c r="A230" s="12"/>
      <c r="B230" s="12"/>
      <c r="C230" s="12"/>
      <c r="D230" s="4"/>
      <c r="E230" s="4"/>
      <c r="F230" s="12"/>
      <c r="G230" s="13" t="str">
        <f aca="false">IF($F230="","",IFERROR(INDEX(Lists!$B$4:$B$12,MATCH($F230,Lists!$A$4:$A$12,0)),""))</f>
        <v/>
      </c>
      <c r="H230" s="12"/>
      <c r="I230" s="14"/>
      <c r="J230" s="12"/>
      <c r="K230" s="15" t="str">
        <f aca="false">IF(OR($I230="",$J230=""),"",$I230+7*$J230-3)</f>
        <v/>
      </c>
      <c r="L230" s="12"/>
      <c r="M230" s="4"/>
      <c r="N230" s="12"/>
      <c r="O230" s="4"/>
      <c r="P230" s="12"/>
    </row>
    <row r="231" customFormat="false" ht="15" hidden="false" customHeight="false" outlineLevel="0" collapsed="false">
      <c r="A231" s="12"/>
      <c r="B231" s="12"/>
      <c r="C231" s="12"/>
      <c r="D231" s="4"/>
      <c r="E231" s="4"/>
      <c r="F231" s="12"/>
      <c r="G231" s="13" t="str">
        <f aca="false">IF($F231="","",IFERROR(INDEX(Lists!$B$4:$B$12,MATCH($F231,Lists!$A$4:$A$12,0)),""))</f>
        <v/>
      </c>
      <c r="H231" s="12"/>
      <c r="I231" s="14"/>
      <c r="J231" s="12"/>
      <c r="K231" s="15" t="str">
        <f aca="false">IF(OR($I231="",$J231=""),"",$I231+7*$J231-3)</f>
        <v/>
      </c>
      <c r="L231" s="12"/>
      <c r="M231" s="4"/>
      <c r="N231" s="12"/>
      <c r="O231" s="4"/>
      <c r="P231" s="12"/>
    </row>
    <row r="232" customFormat="false" ht="15" hidden="false" customHeight="false" outlineLevel="0" collapsed="false">
      <c r="A232" s="12"/>
      <c r="B232" s="12"/>
      <c r="C232" s="12"/>
      <c r="D232" s="4"/>
      <c r="E232" s="4"/>
      <c r="F232" s="12"/>
      <c r="G232" s="13" t="str">
        <f aca="false">IF($F232="","",IFERROR(INDEX(Lists!$B$4:$B$12,MATCH($F232,Lists!$A$4:$A$12,0)),""))</f>
        <v/>
      </c>
      <c r="H232" s="12"/>
      <c r="I232" s="14"/>
      <c r="J232" s="12"/>
      <c r="K232" s="15" t="str">
        <f aca="false">IF(OR($I232="",$J232=""),"",$I232+7*$J232-3)</f>
        <v/>
      </c>
      <c r="L232" s="12"/>
      <c r="M232" s="4"/>
      <c r="N232" s="12"/>
      <c r="O232" s="4"/>
      <c r="P232" s="12"/>
    </row>
    <row r="233" customFormat="false" ht="15" hidden="false" customHeight="false" outlineLevel="0" collapsed="false">
      <c r="A233" s="12"/>
      <c r="B233" s="12"/>
      <c r="C233" s="12"/>
      <c r="D233" s="4"/>
      <c r="E233" s="4"/>
      <c r="F233" s="12"/>
      <c r="G233" s="13" t="str">
        <f aca="false">IF($F233="","",IFERROR(INDEX(Lists!$B$4:$B$12,MATCH($F233,Lists!$A$4:$A$12,0)),""))</f>
        <v/>
      </c>
      <c r="H233" s="12"/>
      <c r="I233" s="14"/>
      <c r="J233" s="12"/>
      <c r="K233" s="15" t="str">
        <f aca="false">IF(OR($I233="",$J233=""),"",$I233+7*$J233-3)</f>
        <v/>
      </c>
      <c r="L233" s="12"/>
      <c r="M233" s="4"/>
      <c r="N233" s="12"/>
      <c r="O233" s="4"/>
      <c r="P233" s="12"/>
    </row>
    <row r="234" customFormat="false" ht="15" hidden="false" customHeight="false" outlineLevel="0" collapsed="false">
      <c r="A234" s="12"/>
      <c r="B234" s="12"/>
      <c r="C234" s="12"/>
      <c r="D234" s="4"/>
      <c r="E234" s="4"/>
      <c r="F234" s="12"/>
      <c r="G234" s="13" t="str">
        <f aca="false">IF($F234="","",IFERROR(INDEX(Lists!$B$4:$B$12,MATCH($F234,Lists!$A$4:$A$12,0)),""))</f>
        <v/>
      </c>
      <c r="H234" s="12"/>
      <c r="I234" s="14"/>
      <c r="J234" s="12"/>
      <c r="K234" s="15" t="str">
        <f aca="false">IF(OR($I234="",$J234=""),"",$I234+7*$J234-3)</f>
        <v/>
      </c>
      <c r="L234" s="12"/>
      <c r="M234" s="4"/>
      <c r="N234" s="12"/>
      <c r="O234" s="4"/>
      <c r="P234" s="12"/>
    </row>
    <row r="235" customFormat="false" ht="15" hidden="false" customHeight="false" outlineLevel="0" collapsed="false">
      <c r="A235" s="12"/>
      <c r="B235" s="12"/>
      <c r="C235" s="12"/>
      <c r="D235" s="4"/>
      <c r="E235" s="4"/>
      <c r="F235" s="12"/>
      <c r="G235" s="13" t="str">
        <f aca="false">IF($F235="","",IFERROR(INDEX(Lists!$B$4:$B$12,MATCH($F235,Lists!$A$4:$A$12,0)),""))</f>
        <v/>
      </c>
      <c r="H235" s="12"/>
      <c r="I235" s="14"/>
      <c r="J235" s="12"/>
      <c r="K235" s="15" t="str">
        <f aca="false">IF(OR($I235="",$J235=""),"",$I235+7*$J235-3)</f>
        <v/>
      </c>
      <c r="L235" s="12"/>
      <c r="M235" s="4"/>
      <c r="N235" s="12"/>
      <c r="O235" s="4"/>
      <c r="P235" s="12"/>
    </row>
    <row r="236" customFormat="false" ht="15" hidden="false" customHeight="false" outlineLevel="0" collapsed="false">
      <c r="A236" s="12"/>
      <c r="B236" s="12"/>
      <c r="C236" s="12"/>
      <c r="D236" s="4"/>
      <c r="E236" s="4"/>
      <c r="F236" s="12"/>
      <c r="G236" s="13" t="str">
        <f aca="false">IF($F236="","",IFERROR(INDEX(Lists!$B$4:$B$12,MATCH($F236,Lists!$A$4:$A$12,0)),""))</f>
        <v/>
      </c>
      <c r="H236" s="12"/>
      <c r="I236" s="14"/>
      <c r="J236" s="12"/>
      <c r="K236" s="15" t="str">
        <f aca="false">IF(OR($I236="",$J236=""),"",$I236+7*$J236-3)</f>
        <v/>
      </c>
      <c r="L236" s="12"/>
      <c r="M236" s="4"/>
      <c r="N236" s="12"/>
      <c r="O236" s="4"/>
      <c r="P236" s="12"/>
    </row>
    <row r="237" customFormat="false" ht="15" hidden="false" customHeight="false" outlineLevel="0" collapsed="false">
      <c r="A237" s="12"/>
      <c r="B237" s="12"/>
      <c r="C237" s="12"/>
      <c r="D237" s="4"/>
      <c r="E237" s="4"/>
      <c r="F237" s="12"/>
      <c r="G237" s="13" t="str">
        <f aca="false">IF($F237="","",IFERROR(INDEX(Lists!$B$4:$B$12,MATCH($F237,Lists!$A$4:$A$12,0)),""))</f>
        <v/>
      </c>
      <c r="H237" s="12"/>
      <c r="I237" s="14"/>
      <c r="J237" s="12"/>
      <c r="K237" s="15" t="str">
        <f aca="false">IF(OR($I237="",$J237=""),"",$I237+7*$J237-3)</f>
        <v/>
      </c>
      <c r="L237" s="12"/>
      <c r="M237" s="4"/>
      <c r="N237" s="12"/>
      <c r="O237" s="4"/>
      <c r="P237" s="12"/>
    </row>
    <row r="238" customFormat="false" ht="15" hidden="false" customHeight="false" outlineLevel="0" collapsed="false">
      <c r="A238" s="12"/>
      <c r="B238" s="12"/>
      <c r="C238" s="12"/>
      <c r="D238" s="4"/>
      <c r="E238" s="4"/>
      <c r="F238" s="12"/>
      <c r="G238" s="13" t="str">
        <f aca="false">IF($F238="","",IFERROR(INDEX(Lists!$B$4:$B$12,MATCH($F238,Lists!$A$4:$A$12,0)),""))</f>
        <v/>
      </c>
      <c r="H238" s="12"/>
      <c r="I238" s="14"/>
      <c r="J238" s="12"/>
      <c r="K238" s="15" t="str">
        <f aca="false">IF(OR($I238="",$J238=""),"",$I238+7*$J238-3)</f>
        <v/>
      </c>
      <c r="L238" s="12"/>
      <c r="M238" s="4"/>
      <c r="N238" s="12"/>
      <c r="O238" s="4"/>
      <c r="P238" s="12"/>
    </row>
    <row r="239" customFormat="false" ht="15" hidden="false" customHeight="false" outlineLevel="0" collapsed="false">
      <c r="A239" s="12"/>
      <c r="B239" s="12"/>
      <c r="C239" s="12"/>
      <c r="D239" s="4"/>
      <c r="E239" s="4"/>
      <c r="F239" s="12"/>
      <c r="G239" s="13" t="str">
        <f aca="false">IF($F239="","",IFERROR(INDEX(Lists!$B$4:$B$12,MATCH($F239,Lists!$A$4:$A$12,0)),""))</f>
        <v/>
      </c>
      <c r="H239" s="12"/>
      <c r="I239" s="14"/>
      <c r="J239" s="12"/>
      <c r="K239" s="15" t="str">
        <f aca="false">IF(OR($I239="",$J239=""),"",$I239+7*$J239-3)</f>
        <v/>
      </c>
      <c r="L239" s="12"/>
      <c r="M239" s="4"/>
      <c r="N239" s="12"/>
      <c r="O239" s="4"/>
      <c r="P239" s="12"/>
    </row>
    <row r="240" customFormat="false" ht="15" hidden="false" customHeight="false" outlineLevel="0" collapsed="false">
      <c r="A240" s="12"/>
      <c r="B240" s="12"/>
      <c r="C240" s="12"/>
      <c r="D240" s="4"/>
      <c r="E240" s="4"/>
      <c r="F240" s="12"/>
      <c r="G240" s="13" t="str">
        <f aca="false">IF($F240="","",IFERROR(INDEX(Lists!$B$4:$B$12,MATCH($F240,Lists!$A$4:$A$12,0)),""))</f>
        <v/>
      </c>
      <c r="H240" s="12"/>
      <c r="I240" s="14"/>
      <c r="J240" s="12"/>
      <c r="K240" s="15" t="str">
        <f aca="false">IF(OR($I240="",$J240=""),"",$I240+7*$J240-3)</f>
        <v/>
      </c>
      <c r="L240" s="12"/>
      <c r="M240" s="4"/>
      <c r="N240" s="12"/>
      <c r="O240" s="4"/>
      <c r="P240" s="12"/>
    </row>
    <row r="241" customFormat="false" ht="15" hidden="false" customHeight="false" outlineLevel="0" collapsed="false">
      <c r="A241" s="12"/>
      <c r="B241" s="12"/>
      <c r="C241" s="12"/>
      <c r="D241" s="4"/>
      <c r="E241" s="4"/>
      <c r="F241" s="12"/>
      <c r="G241" s="13" t="str">
        <f aca="false">IF($F241="","",IFERROR(INDEX(Lists!$B$4:$B$12,MATCH($F241,Lists!$A$4:$A$12,0)),""))</f>
        <v/>
      </c>
      <c r="H241" s="12"/>
      <c r="I241" s="14"/>
      <c r="J241" s="12"/>
      <c r="K241" s="15" t="str">
        <f aca="false">IF(OR($I241="",$J241=""),"",$I241+7*$J241-3)</f>
        <v/>
      </c>
      <c r="L241" s="12"/>
      <c r="M241" s="4"/>
      <c r="N241" s="12"/>
      <c r="O241" s="4"/>
      <c r="P241" s="12"/>
    </row>
    <row r="242" customFormat="false" ht="15" hidden="false" customHeight="false" outlineLevel="0" collapsed="false">
      <c r="A242" s="12"/>
      <c r="B242" s="12"/>
      <c r="C242" s="12"/>
      <c r="D242" s="4"/>
      <c r="E242" s="4"/>
      <c r="F242" s="12"/>
      <c r="G242" s="13" t="str">
        <f aca="false">IF($F242="","",IFERROR(INDEX(Lists!$B$4:$B$12,MATCH($F242,Lists!$A$4:$A$12,0)),""))</f>
        <v/>
      </c>
      <c r="H242" s="12"/>
      <c r="I242" s="14"/>
      <c r="J242" s="12"/>
      <c r="K242" s="15" t="str">
        <f aca="false">IF(OR($I242="",$J242=""),"",$I242+7*$J242-3)</f>
        <v/>
      </c>
      <c r="L242" s="12"/>
      <c r="M242" s="4"/>
      <c r="N242" s="12"/>
      <c r="O242" s="4"/>
      <c r="P242" s="12"/>
    </row>
    <row r="243" customFormat="false" ht="15" hidden="false" customHeight="false" outlineLevel="0" collapsed="false">
      <c r="A243" s="12"/>
      <c r="B243" s="12"/>
      <c r="C243" s="12"/>
      <c r="D243" s="4"/>
      <c r="E243" s="4"/>
      <c r="F243" s="12"/>
      <c r="G243" s="13" t="str">
        <f aca="false">IF($F243="","",IFERROR(INDEX(Lists!$B$4:$B$12,MATCH($F243,Lists!$A$4:$A$12,0)),""))</f>
        <v/>
      </c>
      <c r="H243" s="12"/>
      <c r="I243" s="14"/>
      <c r="J243" s="12"/>
      <c r="K243" s="15" t="str">
        <f aca="false">IF(OR($I243="",$J243=""),"",$I243+7*$J243-3)</f>
        <v/>
      </c>
      <c r="L243" s="12"/>
      <c r="M243" s="4"/>
      <c r="N243" s="12"/>
      <c r="O243" s="4"/>
      <c r="P243" s="12"/>
    </row>
    <row r="244" customFormat="false" ht="15" hidden="false" customHeight="false" outlineLevel="0" collapsed="false">
      <c r="A244" s="12"/>
      <c r="B244" s="12"/>
      <c r="C244" s="12"/>
      <c r="D244" s="4"/>
      <c r="E244" s="4"/>
      <c r="F244" s="12"/>
      <c r="G244" s="13" t="str">
        <f aca="false">IF($F244="","",IFERROR(INDEX(Lists!$B$4:$B$12,MATCH($F244,Lists!$A$4:$A$12,0)),""))</f>
        <v/>
      </c>
      <c r="H244" s="12"/>
      <c r="I244" s="14"/>
      <c r="J244" s="12"/>
      <c r="K244" s="15" t="str">
        <f aca="false">IF(OR($I244="",$J244=""),"",$I244+7*$J244-3)</f>
        <v/>
      </c>
      <c r="L244" s="12"/>
      <c r="M244" s="4"/>
      <c r="N244" s="12"/>
      <c r="O244" s="4"/>
      <c r="P244" s="12"/>
    </row>
    <row r="245" customFormat="false" ht="15" hidden="false" customHeight="false" outlineLevel="0" collapsed="false">
      <c r="A245" s="12"/>
      <c r="B245" s="12"/>
      <c r="C245" s="12"/>
      <c r="D245" s="4"/>
      <c r="E245" s="4"/>
      <c r="F245" s="12"/>
      <c r="G245" s="13" t="str">
        <f aca="false">IF($F245="","",IFERROR(INDEX(Lists!$B$4:$B$12,MATCH($F245,Lists!$A$4:$A$12,0)),""))</f>
        <v/>
      </c>
      <c r="H245" s="12"/>
      <c r="I245" s="14"/>
      <c r="J245" s="12"/>
      <c r="K245" s="15" t="str">
        <f aca="false">IF(OR($I245="",$J245=""),"",$I245+7*$J245-3)</f>
        <v/>
      </c>
      <c r="L245" s="12"/>
      <c r="M245" s="4"/>
      <c r="N245" s="12"/>
      <c r="O245" s="4"/>
      <c r="P245" s="12"/>
    </row>
    <row r="246" customFormat="false" ht="15" hidden="false" customHeight="false" outlineLevel="0" collapsed="false">
      <c r="A246" s="12"/>
      <c r="B246" s="12"/>
      <c r="C246" s="12"/>
      <c r="D246" s="4"/>
      <c r="E246" s="4"/>
      <c r="F246" s="12"/>
      <c r="G246" s="13" t="str">
        <f aca="false">IF($F246="","",IFERROR(INDEX(Lists!$B$4:$B$12,MATCH($F246,Lists!$A$4:$A$12,0)),""))</f>
        <v/>
      </c>
      <c r="H246" s="12"/>
      <c r="I246" s="14"/>
      <c r="J246" s="12"/>
      <c r="K246" s="15" t="str">
        <f aca="false">IF(OR($I246="",$J246=""),"",$I246+7*$J246-3)</f>
        <v/>
      </c>
      <c r="L246" s="12"/>
      <c r="M246" s="4"/>
      <c r="N246" s="12"/>
      <c r="O246" s="4"/>
      <c r="P246" s="12"/>
    </row>
    <row r="247" customFormat="false" ht="15" hidden="false" customHeight="false" outlineLevel="0" collapsed="false">
      <c r="A247" s="12"/>
      <c r="B247" s="12"/>
      <c r="C247" s="12"/>
      <c r="D247" s="4"/>
      <c r="E247" s="4"/>
      <c r="F247" s="12"/>
      <c r="G247" s="13" t="str">
        <f aca="false">IF($F247="","",IFERROR(INDEX(Lists!$B$4:$B$12,MATCH($F247,Lists!$A$4:$A$12,0)),""))</f>
        <v/>
      </c>
      <c r="H247" s="12"/>
      <c r="I247" s="14"/>
      <c r="J247" s="12"/>
      <c r="K247" s="15" t="str">
        <f aca="false">IF(OR($I247="",$J247=""),"",$I247+7*$J247-3)</f>
        <v/>
      </c>
      <c r="L247" s="12"/>
      <c r="M247" s="4"/>
      <c r="N247" s="12"/>
      <c r="O247" s="4"/>
      <c r="P247" s="12"/>
    </row>
    <row r="248" customFormat="false" ht="15" hidden="false" customHeight="false" outlineLevel="0" collapsed="false">
      <c r="A248" s="12"/>
      <c r="B248" s="12"/>
      <c r="C248" s="12"/>
      <c r="D248" s="4"/>
      <c r="E248" s="4"/>
      <c r="F248" s="12"/>
      <c r="G248" s="13" t="str">
        <f aca="false">IF($F248="","",IFERROR(INDEX(Lists!$B$4:$B$12,MATCH($F248,Lists!$A$4:$A$12,0)),""))</f>
        <v/>
      </c>
      <c r="H248" s="12"/>
      <c r="I248" s="14"/>
      <c r="J248" s="12"/>
      <c r="K248" s="15" t="str">
        <f aca="false">IF(OR($I248="",$J248=""),"",$I248+7*$J248-3)</f>
        <v/>
      </c>
      <c r="L248" s="12"/>
      <c r="M248" s="4"/>
      <c r="N248" s="12"/>
      <c r="O248" s="4"/>
      <c r="P248" s="12"/>
    </row>
    <row r="249" customFormat="false" ht="15" hidden="false" customHeight="false" outlineLevel="0" collapsed="false">
      <c r="A249" s="12"/>
      <c r="B249" s="12"/>
      <c r="C249" s="12"/>
      <c r="D249" s="4"/>
      <c r="E249" s="4"/>
      <c r="F249" s="12"/>
      <c r="G249" s="13" t="str">
        <f aca="false">IF($F249="","",IFERROR(INDEX(Lists!$B$4:$B$12,MATCH($F249,Lists!$A$4:$A$12,0)),""))</f>
        <v/>
      </c>
      <c r="H249" s="12"/>
      <c r="I249" s="14"/>
      <c r="J249" s="12"/>
      <c r="K249" s="15" t="str">
        <f aca="false">IF(OR($I249="",$J249=""),"",$I249+7*$J249-3)</f>
        <v/>
      </c>
      <c r="L249" s="12"/>
      <c r="M249" s="4"/>
      <c r="N249" s="12"/>
      <c r="O249" s="4"/>
      <c r="P249" s="12"/>
    </row>
    <row r="250" customFormat="false" ht="15" hidden="false" customHeight="false" outlineLevel="0" collapsed="false">
      <c r="A250" s="12"/>
      <c r="B250" s="12"/>
      <c r="C250" s="12"/>
      <c r="D250" s="4"/>
      <c r="E250" s="4"/>
      <c r="F250" s="12"/>
      <c r="G250" s="13" t="str">
        <f aca="false">IF($F250="","",IFERROR(INDEX(Lists!$B$4:$B$12,MATCH($F250,Lists!$A$4:$A$12,0)),""))</f>
        <v/>
      </c>
      <c r="H250" s="12"/>
      <c r="I250" s="14"/>
      <c r="J250" s="12"/>
      <c r="K250" s="15" t="str">
        <f aca="false">IF(OR($I250="",$J250=""),"",$I250+7*$J250-3)</f>
        <v/>
      </c>
      <c r="L250" s="12"/>
      <c r="M250" s="4"/>
      <c r="N250" s="12"/>
      <c r="O250" s="4"/>
      <c r="P250" s="12"/>
    </row>
    <row r="251" customFormat="false" ht="15" hidden="false" customHeight="false" outlineLevel="0" collapsed="false">
      <c r="A251" s="12"/>
      <c r="B251" s="12"/>
      <c r="C251" s="12"/>
      <c r="D251" s="4"/>
      <c r="E251" s="4"/>
      <c r="F251" s="12"/>
      <c r="G251" s="13" t="str">
        <f aca="false">IF($F251="","",IFERROR(INDEX(Lists!$B$4:$B$12,MATCH($F251,Lists!$A$4:$A$12,0)),""))</f>
        <v/>
      </c>
      <c r="H251" s="12"/>
      <c r="I251" s="14"/>
      <c r="J251" s="12"/>
      <c r="K251" s="15" t="str">
        <f aca="false">IF(OR($I251="",$J251=""),"",$I251+7*$J251-3)</f>
        <v/>
      </c>
      <c r="L251" s="12"/>
      <c r="M251" s="4"/>
      <c r="N251" s="12"/>
      <c r="O251" s="4"/>
      <c r="P251" s="12"/>
    </row>
    <row r="252" customFormat="false" ht="15" hidden="false" customHeight="false" outlineLevel="0" collapsed="false">
      <c r="A252" s="12"/>
      <c r="B252" s="12"/>
      <c r="C252" s="12"/>
      <c r="D252" s="4"/>
      <c r="E252" s="4"/>
      <c r="F252" s="12"/>
      <c r="G252" s="13" t="str">
        <f aca="false">IF($F252="","",IFERROR(INDEX(Lists!$B$4:$B$12,MATCH($F252,Lists!$A$4:$A$12,0)),""))</f>
        <v/>
      </c>
      <c r="H252" s="12"/>
      <c r="I252" s="14"/>
      <c r="J252" s="12"/>
      <c r="K252" s="15" t="str">
        <f aca="false">IF(OR($I252="",$J252=""),"",$I252+7*$J252-3)</f>
        <v/>
      </c>
      <c r="L252" s="12"/>
      <c r="M252" s="4"/>
      <c r="N252" s="12"/>
      <c r="O252" s="4"/>
      <c r="P252" s="12"/>
    </row>
    <row r="253" customFormat="false" ht="15" hidden="false" customHeight="false" outlineLevel="0" collapsed="false">
      <c r="A253" s="12"/>
      <c r="B253" s="12"/>
      <c r="C253" s="12"/>
      <c r="D253" s="4"/>
      <c r="E253" s="4"/>
      <c r="F253" s="12"/>
      <c r="G253" s="13" t="str">
        <f aca="false">IF($F253="","",IFERROR(INDEX(Lists!$B$4:$B$12,MATCH($F253,Lists!$A$4:$A$12,0)),""))</f>
        <v/>
      </c>
      <c r="H253" s="12"/>
      <c r="I253" s="14"/>
      <c r="J253" s="12"/>
      <c r="K253" s="15" t="str">
        <f aca="false">IF(OR($I253="",$J253=""),"",$I253+7*$J253-3)</f>
        <v/>
      </c>
      <c r="L253" s="12"/>
      <c r="M253" s="4"/>
      <c r="N253" s="12"/>
      <c r="O253" s="4"/>
      <c r="P253" s="12"/>
    </row>
    <row r="254" customFormat="false" ht="15" hidden="false" customHeight="false" outlineLevel="0" collapsed="false">
      <c r="A254" s="12"/>
      <c r="B254" s="12"/>
      <c r="C254" s="12"/>
      <c r="D254" s="4"/>
      <c r="E254" s="4"/>
      <c r="F254" s="12"/>
      <c r="G254" s="13" t="str">
        <f aca="false">IF($F254="","",IFERROR(INDEX(Lists!$B$4:$B$12,MATCH($F254,Lists!$A$4:$A$12,0)),""))</f>
        <v/>
      </c>
      <c r="H254" s="12"/>
      <c r="I254" s="14"/>
      <c r="J254" s="12"/>
      <c r="K254" s="15" t="str">
        <f aca="false">IF(OR($I254="",$J254=""),"",$I254+7*$J254-3)</f>
        <v/>
      </c>
      <c r="L254" s="12"/>
      <c r="M254" s="4"/>
      <c r="N254" s="12"/>
      <c r="O254" s="4"/>
      <c r="P254" s="12"/>
    </row>
    <row r="255" customFormat="false" ht="15" hidden="false" customHeight="false" outlineLevel="0" collapsed="false">
      <c r="A255" s="12"/>
      <c r="B255" s="12"/>
      <c r="C255" s="12"/>
      <c r="D255" s="4"/>
      <c r="E255" s="4"/>
      <c r="F255" s="12"/>
      <c r="G255" s="13" t="str">
        <f aca="false">IF($F255="","",IFERROR(INDEX(Lists!$B$4:$B$12,MATCH($F255,Lists!$A$4:$A$12,0)),""))</f>
        <v/>
      </c>
      <c r="H255" s="12"/>
      <c r="I255" s="14"/>
      <c r="J255" s="12"/>
      <c r="K255" s="15" t="str">
        <f aca="false">IF(OR($I255="",$J255=""),"",$I255+7*$J255-3)</f>
        <v/>
      </c>
      <c r="L255" s="12"/>
      <c r="M255" s="4"/>
      <c r="N255" s="12"/>
      <c r="O255" s="4"/>
      <c r="P255" s="12"/>
    </row>
    <row r="256" customFormat="false" ht="15" hidden="false" customHeight="false" outlineLevel="0" collapsed="false">
      <c r="A256" s="12"/>
      <c r="B256" s="12"/>
      <c r="C256" s="12"/>
      <c r="D256" s="4"/>
      <c r="E256" s="4"/>
      <c r="F256" s="12"/>
      <c r="G256" s="13" t="str">
        <f aca="false">IF($F256="","",IFERROR(INDEX(Lists!$B$4:$B$12,MATCH($F256,Lists!$A$4:$A$12,0)),""))</f>
        <v/>
      </c>
      <c r="H256" s="12"/>
      <c r="I256" s="14"/>
      <c r="J256" s="12"/>
      <c r="K256" s="15" t="str">
        <f aca="false">IF(OR($I256="",$J256=""),"",$I256+7*$J256-3)</f>
        <v/>
      </c>
      <c r="L256" s="12"/>
      <c r="M256" s="4"/>
      <c r="N256" s="12"/>
      <c r="O256" s="4"/>
      <c r="P256" s="12"/>
    </row>
    <row r="257" customFormat="false" ht="15" hidden="false" customHeight="false" outlineLevel="0" collapsed="false">
      <c r="A257" s="12"/>
      <c r="B257" s="12"/>
      <c r="C257" s="12"/>
      <c r="D257" s="4"/>
      <c r="E257" s="4"/>
      <c r="F257" s="12"/>
      <c r="G257" s="13" t="str">
        <f aca="false">IF($F257="","",IFERROR(INDEX(Lists!$B$4:$B$12,MATCH($F257,Lists!$A$4:$A$12,0)),""))</f>
        <v/>
      </c>
      <c r="H257" s="12"/>
      <c r="I257" s="14"/>
      <c r="J257" s="12"/>
      <c r="K257" s="15" t="str">
        <f aca="false">IF(OR($I257="",$J257=""),"",$I257+7*$J257-3)</f>
        <v/>
      </c>
      <c r="L257" s="12"/>
      <c r="M257" s="4"/>
      <c r="N257" s="12"/>
      <c r="O257" s="4"/>
      <c r="P257" s="12"/>
    </row>
    <row r="258" customFormat="false" ht="15" hidden="false" customHeight="false" outlineLevel="0" collapsed="false">
      <c r="A258" s="12"/>
      <c r="B258" s="12"/>
      <c r="C258" s="12"/>
      <c r="D258" s="4"/>
      <c r="E258" s="4"/>
      <c r="F258" s="12"/>
      <c r="G258" s="13" t="str">
        <f aca="false">IF($F258="","",IFERROR(INDEX(Lists!$B$4:$B$12,MATCH($F258,Lists!$A$4:$A$12,0)),""))</f>
        <v/>
      </c>
      <c r="H258" s="12"/>
      <c r="I258" s="14"/>
      <c r="J258" s="12"/>
      <c r="K258" s="15" t="str">
        <f aca="false">IF(OR($I258="",$J258=""),"",$I258+7*$J258-3)</f>
        <v/>
      </c>
      <c r="L258" s="12"/>
      <c r="M258" s="4"/>
      <c r="N258" s="12"/>
      <c r="O258" s="4"/>
      <c r="P258" s="12"/>
    </row>
    <row r="259" customFormat="false" ht="15" hidden="false" customHeight="false" outlineLevel="0" collapsed="false">
      <c r="A259" s="12"/>
      <c r="B259" s="12"/>
      <c r="C259" s="12"/>
      <c r="D259" s="4"/>
      <c r="E259" s="4"/>
      <c r="F259" s="12"/>
      <c r="G259" s="13" t="str">
        <f aca="false">IF($F259="","",IFERROR(INDEX(Lists!$B$4:$B$12,MATCH($F259,Lists!$A$4:$A$12,0)),""))</f>
        <v/>
      </c>
      <c r="H259" s="12"/>
      <c r="I259" s="14"/>
      <c r="J259" s="12"/>
      <c r="K259" s="15" t="str">
        <f aca="false">IF(OR($I259="",$J259=""),"",$I259+7*$J259-3)</f>
        <v/>
      </c>
      <c r="L259" s="12"/>
      <c r="M259" s="4"/>
      <c r="N259" s="12"/>
      <c r="O259" s="4"/>
      <c r="P259" s="12"/>
    </row>
    <row r="260" customFormat="false" ht="15" hidden="false" customHeight="false" outlineLevel="0" collapsed="false">
      <c r="A260" s="12"/>
      <c r="B260" s="12"/>
      <c r="C260" s="12"/>
      <c r="D260" s="4"/>
      <c r="E260" s="4"/>
      <c r="F260" s="12"/>
      <c r="G260" s="13" t="str">
        <f aca="false">IF($F260="","",IFERROR(INDEX(Lists!$B$4:$B$12,MATCH($F260,Lists!$A$4:$A$12,0)),""))</f>
        <v/>
      </c>
      <c r="H260" s="12"/>
      <c r="I260" s="14"/>
      <c r="J260" s="12"/>
      <c r="K260" s="15" t="str">
        <f aca="false">IF(OR($I260="",$J260=""),"",$I260+7*$J260-3)</f>
        <v/>
      </c>
      <c r="L260" s="12"/>
      <c r="M260" s="4"/>
      <c r="N260" s="12"/>
      <c r="O260" s="4"/>
      <c r="P260" s="12"/>
    </row>
    <row r="261" customFormat="false" ht="15" hidden="false" customHeight="false" outlineLevel="0" collapsed="false">
      <c r="A261" s="12"/>
      <c r="B261" s="12"/>
      <c r="C261" s="12"/>
      <c r="D261" s="4"/>
      <c r="E261" s="4"/>
      <c r="F261" s="12"/>
      <c r="G261" s="13" t="str">
        <f aca="false">IF($F261="","",IFERROR(INDEX(Lists!$B$4:$B$12,MATCH($F261,Lists!$A$4:$A$12,0)),""))</f>
        <v/>
      </c>
      <c r="H261" s="12"/>
      <c r="I261" s="14"/>
      <c r="J261" s="12"/>
      <c r="K261" s="15" t="str">
        <f aca="false">IF(OR($I261="",$J261=""),"",$I261+7*$J261-3)</f>
        <v/>
      </c>
      <c r="L261" s="12"/>
      <c r="M261" s="4"/>
      <c r="N261" s="12"/>
      <c r="O261" s="4"/>
      <c r="P261" s="12"/>
    </row>
    <row r="262" customFormat="false" ht="15" hidden="false" customHeight="false" outlineLevel="0" collapsed="false">
      <c r="A262" s="12"/>
      <c r="B262" s="12"/>
      <c r="C262" s="12"/>
      <c r="D262" s="4"/>
      <c r="E262" s="4"/>
      <c r="F262" s="12"/>
      <c r="G262" s="13" t="str">
        <f aca="false">IF($F262="","",IFERROR(INDEX(Lists!$B$4:$B$12,MATCH($F262,Lists!$A$4:$A$12,0)),""))</f>
        <v/>
      </c>
      <c r="H262" s="12"/>
      <c r="I262" s="14"/>
      <c r="J262" s="12"/>
      <c r="K262" s="15" t="str">
        <f aca="false">IF(OR($I262="",$J262=""),"",$I262+7*$J262-3)</f>
        <v/>
      </c>
      <c r="L262" s="12"/>
      <c r="M262" s="4"/>
      <c r="N262" s="12"/>
      <c r="O262" s="4"/>
      <c r="P262" s="12"/>
    </row>
    <row r="263" customFormat="false" ht="15" hidden="false" customHeight="false" outlineLevel="0" collapsed="false">
      <c r="A263" s="12"/>
      <c r="B263" s="12"/>
      <c r="C263" s="12"/>
      <c r="D263" s="4"/>
      <c r="E263" s="4"/>
      <c r="F263" s="12"/>
      <c r="G263" s="13" t="str">
        <f aca="false">IF($F263="","",IFERROR(INDEX(Lists!$B$4:$B$12,MATCH($F263,Lists!$A$4:$A$12,0)),""))</f>
        <v/>
      </c>
      <c r="H263" s="12"/>
      <c r="I263" s="14"/>
      <c r="J263" s="12"/>
      <c r="K263" s="15" t="str">
        <f aca="false">IF(OR($I263="",$J263=""),"",$I263+7*$J263-3)</f>
        <v/>
      </c>
      <c r="L263" s="12"/>
      <c r="M263" s="4"/>
      <c r="N263" s="12"/>
      <c r="O263" s="4"/>
      <c r="P263" s="12"/>
    </row>
    <row r="264" customFormat="false" ht="15" hidden="false" customHeight="false" outlineLevel="0" collapsed="false">
      <c r="A264" s="12"/>
      <c r="B264" s="12"/>
      <c r="C264" s="12"/>
      <c r="D264" s="4"/>
      <c r="E264" s="4"/>
      <c r="F264" s="12"/>
      <c r="G264" s="13" t="str">
        <f aca="false">IF($F264="","",IFERROR(INDEX(Lists!$B$4:$B$12,MATCH($F264,Lists!$A$4:$A$12,0)),""))</f>
        <v/>
      </c>
      <c r="H264" s="12"/>
      <c r="I264" s="14"/>
      <c r="J264" s="12"/>
      <c r="K264" s="15" t="str">
        <f aca="false">IF(OR($I264="",$J264=""),"",$I264+7*$J264-3)</f>
        <v/>
      </c>
      <c r="L264" s="12"/>
      <c r="M264" s="4"/>
      <c r="N264" s="12"/>
      <c r="O264" s="4"/>
      <c r="P264" s="12"/>
    </row>
    <row r="265" customFormat="false" ht="15" hidden="false" customHeight="false" outlineLevel="0" collapsed="false">
      <c r="A265" s="12"/>
      <c r="B265" s="12"/>
      <c r="C265" s="12"/>
      <c r="D265" s="4"/>
      <c r="E265" s="4"/>
      <c r="F265" s="12"/>
      <c r="G265" s="13" t="str">
        <f aca="false">IF($F265="","",IFERROR(INDEX(Lists!$B$4:$B$12,MATCH($F265,Lists!$A$4:$A$12,0)),""))</f>
        <v/>
      </c>
      <c r="H265" s="12"/>
      <c r="I265" s="14"/>
      <c r="J265" s="12"/>
      <c r="K265" s="15" t="str">
        <f aca="false">IF(OR($I265="",$J265=""),"",$I265+7*$J265-3)</f>
        <v/>
      </c>
      <c r="L265" s="12"/>
      <c r="M265" s="4"/>
      <c r="N265" s="12"/>
      <c r="O265" s="4"/>
      <c r="P265" s="12"/>
    </row>
    <row r="266" customFormat="false" ht="15" hidden="false" customHeight="false" outlineLevel="0" collapsed="false">
      <c r="A266" s="12"/>
      <c r="B266" s="12"/>
      <c r="C266" s="12"/>
      <c r="D266" s="4"/>
      <c r="E266" s="4"/>
      <c r="F266" s="12"/>
      <c r="G266" s="13" t="str">
        <f aca="false">IF($F266="","",IFERROR(INDEX(Lists!$B$4:$B$12,MATCH($F266,Lists!$A$4:$A$12,0)),""))</f>
        <v/>
      </c>
      <c r="H266" s="12"/>
      <c r="I266" s="14"/>
      <c r="J266" s="12"/>
      <c r="K266" s="15" t="str">
        <f aca="false">IF(OR($I266="",$J266=""),"",$I266+7*$J266-3)</f>
        <v/>
      </c>
      <c r="L266" s="12"/>
      <c r="M266" s="4"/>
      <c r="N266" s="12"/>
      <c r="O266" s="4"/>
      <c r="P266" s="12"/>
    </row>
    <row r="267" customFormat="false" ht="15" hidden="false" customHeight="false" outlineLevel="0" collapsed="false">
      <c r="A267" s="12"/>
      <c r="B267" s="12"/>
      <c r="C267" s="12"/>
      <c r="D267" s="4"/>
      <c r="E267" s="4"/>
      <c r="F267" s="12"/>
      <c r="G267" s="13" t="str">
        <f aca="false">IF($F267="","",IFERROR(INDEX(Lists!$B$4:$B$12,MATCH($F267,Lists!$A$4:$A$12,0)),""))</f>
        <v/>
      </c>
      <c r="H267" s="12"/>
      <c r="I267" s="14"/>
      <c r="J267" s="12"/>
      <c r="K267" s="15" t="str">
        <f aca="false">IF(OR($I267="",$J267=""),"",$I267+7*$J267-3)</f>
        <v/>
      </c>
      <c r="L267" s="12"/>
      <c r="M267" s="4"/>
      <c r="N267" s="12"/>
      <c r="O267" s="4"/>
      <c r="P267" s="12"/>
    </row>
    <row r="268" customFormat="false" ht="15" hidden="false" customHeight="false" outlineLevel="0" collapsed="false">
      <c r="A268" s="12"/>
      <c r="B268" s="12"/>
      <c r="C268" s="12"/>
      <c r="D268" s="4"/>
      <c r="E268" s="4"/>
      <c r="F268" s="12"/>
      <c r="G268" s="13" t="str">
        <f aca="false">IF($F268="","",IFERROR(INDEX(Lists!$B$4:$B$12,MATCH($F268,Lists!$A$4:$A$12,0)),""))</f>
        <v/>
      </c>
      <c r="H268" s="12"/>
      <c r="I268" s="14"/>
      <c r="J268" s="12"/>
      <c r="K268" s="15" t="str">
        <f aca="false">IF(OR($I268="",$J268=""),"",$I268+7*$J268-3)</f>
        <v/>
      </c>
      <c r="L268" s="12"/>
      <c r="M268" s="4"/>
      <c r="N268" s="12"/>
      <c r="O268" s="4"/>
      <c r="P268" s="12"/>
    </row>
    <row r="269" customFormat="false" ht="15" hidden="false" customHeight="false" outlineLevel="0" collapsed="false">
      <c r="A269" s="12"/>
      <c r="B269" s="12"/>
      <c r="C269" s="12"/>
      <c r="D269" s="4"/>
      <c r="E269" s="4"/>
      <c r="F269" s="12"/>
      <c r="G269" s="13" t="str">
        <f aca="false">IF($F269="","",IFERROR(INDEX(Lists!$B$4:$B$12,MATCH($F269,Lists!$A$4:$A$12,0)),""))</f>
        <v/>
      </c>
      <c r="H269" s="12"/>
      <c r="I269" s="14"/>
      <c r="J269" s="12"/>
      <c r="K269" s="15" t="str">
        <f aca="false">IF(OR($I269="",$J269=""),"",$I269+7*$J269-3)</f>
        <v/>
      </c>
      <c r="L269" s="12"/>
      <c r="M269" s="4"/>
      <c r="N269" s="12"/>
      <c r="O269" s="4"/>
      <c r="P269" s="12"/>
    </row>
    <row r="270" customFormat="false" ht="15" hidden="false" customHeight="false" outlineLevel="0" collapsed="false">
      <c r="A270" s="12"/>
      <c r="B270" s="12"/>
      <c r="C270" s="12"/>
      <c r="D270" s="4"/>
      <c r="E270" s="4"/>
      <c r="F270" s="12"/>
      <c r="G270" s="13" t="str">
        <f aca="false">IF($F270="","",IFERROR(INDEX(Lists!$B$4:$B$12,MATCH($F270,Lists!$A$4:$A$12,0)),""))</f>
        <v/>
      </c>
      <c r="H270" s="12"/>
      <c r="I270" s="14"/>
      <c r="J270" s="12"/>
      <c r="K270" s="15" t="str">
        <f aca="false">IF(OR($I270="",$J270=""),"",$I270+7*$J270-3)</f>
        <v/>
      </c>
      <c r="L270" s="12"/>
      <c r="M270" s="4"/>
      <c r="N270" s="12"/>
      <c r="O270" s="4"/>
      <c r="P270" s="12"/>
    </row>
    <row r="271" customFormat="false" ht="15" hidden="false" customHeight="false" outlineLevel="0" collapsed="false">
      <c r="A271" s="12"/>
      <c r="B271" s="12"/>
      <c r="C271" s="12"/>
      <c r="D271" s="4"/>
      <c r="E271" s="4"/>
      <c r="F271" s="12"/>
      <c r="G271" s="13" t="str">
        <f aca="false">IF($F271="","",IFERROR(INDEX(Lists!$B$4:$B$12,MATCH($F271,Lists!$A$4:$A$12,0)),""))</f>
        <v/>
      </c>
      <c r="H271" s="12"/>
      <c r="I271" s="14"/>
      <c r="J271" s="12"/>
      <c r="K271" s="15" t="str">
        <f aca="false">IF(OR($I271="",$J271=""),"",$I271+7*$J271-3)</f>
        <v/>
      </c>
      <c r="L271" s="12"/>
      <c r="M271" s="4"/>
      <c r="N271" s="12"/>
      <c r="O271" s="4"/>
      <c r="P271" s="12"/>
    </row>
    <row r="272" customFormat="false" ht="15" hidden="false" customHeight="false" outlineLevel="0" collapsed="false">
      <c r="A272" s="12"/>
      <c r="B272" s="12"/>
      <c r="C272" s="12"/>
      <c r="D272" s="4"/>
      <c r="E272" s="4"/>
      <c r="F272" s="12"/>
      <c r="G272" s="13" t="str">
        <f aca="false">IF($F272="","",IFERROR(INDEX(Lists!$B$4:$B$12,MATCH($F272,Lists!$A$4:$A$12,0)),""))</f>
        <v/>
      </c>
      <c r="H272" s="12"/>
      <c r="I272" s="14"/>
      <c r="J272" s="12"/>
      <c r="K272" s="15" t="str">
        <f aca="false">IF(OR($I272="",$J272=""),"",$I272+7*$J272-3)</f>
        <v/>
      </c>
      <c r="L272" s="12"/>
      <c r="M272" s="4"/>
      <c r="N272" s="12"/>
      <c r="O272" s="4"/>
      <c r="P272" s="12"/>
    </row>
    <row r="273" customFormat="false" ht="15" hidden="false" customHeight="false" outlineLevel="0" collapsed="false">
      <c r="A273" s="12"/>
      <c r="B273" s="12"/>
      <c r="C273" s="12"/>
      <c r="D273" s="4"/>
      <c r="E273" s="4"/>
      <c r="F273" s="12"/>
      <c r="G273" s="13" t="str">
        <f aca="false">IF($F273="","",IFERROR(INDEX(Lists!$B$4:$B$12,MATCH($F273,Lists!$A$4:$A$12,0)),""))</f>
        <v/>
      </c>
      <c r="H273" s="12"/>
      <c r="I273" s="14"/>
      <c r="J273" s="12"/>
      <c r="K273" s="15" t="str">
        <f aca="false">IF(OR($I273="",$J273=""),"",$I273+7*$J273-3)</f>
        <v/>
      </c>
      <c r="L273" s="12"/>
      <c r="M273" s="4"/>
      <c r="N273" s="12"/>
      <c r="O273" s="4"/>
      <c r="P273" s="12"/>
    </row>
    <row r="274" customFormat="false" ht="15" hidden="false" customHeight="false" outlineLevel="0" collapsed="false">
      <c r="A274" s="12"/>
      <c r="B274" s="12"/>
      <c r="C274" s="12"/>
      <c r="D274" s="4"/>
      <c r="E274" s="4"/>
      <c r="F274" s="12"/>
      <c r="G274" s="13" t="str">
        <f aca="false">IF($F274="","",IFERROR(INDEX(Lists!$B$4:$B$12,MATCH($F274,Lists!$A$4:$A$12,0)),""))</f>
        <v/>
      </c>
      <c r="H274" s="12"/>
      <c r="I274" s="14"/>
      <c r="J274" s="12"/>
      <c r="K274" s="15" t="str">
        <f aca="false">IF(OR($I274="",$J274=""),"",$I274+7*$J274-3)</f>
        <v/>
      </c>
      <c r="L274" s="12"/>
      <c r="M274" s="4"/>
      <c r="N274" s="12"/>
      <c r="O274" s="4"/>
      <c r="P274" s="12"/>
    </row>
    <row r="275" customFormat="false" ht="15" hidden="false" customHeight="false" outlineLevel="0" collapsed="false">
      <c r="A275" s="12"/>
      <c r="B275" s="12"/>
      <c r="C275" s="12"/>
      <c r="D275" s="4"/>
      <c r="E275" s="4"/>
      <c r="F275" s="12"/>
      <c r="G275" s="13" t="str">
        <f aca="false">IF($F275="","",IFERROR(INDEX(Lists!$B$4:$B$12,MATCH($F275,Lists!$A$4:$A$12,0)),""))</f>
        <v/>
      </c>
      <c r="H275" s="12"/>
      <c r="I275" s="14"/>
      <c r="J275" s="12"/>
      <c r="K275" s="15" t="str">
        <f aca="false">IF(OR($I275="",$J275=""),"",$I275+7*$J275-3)</f>
        <v/>
      </c>
      <c r="L275" s="12"/>
      <c r="M275" s="4"/>
      <c r="N275" s="12"/>
      <c r="O275" s="4"/>
      <c r="P275" s="12"/>
    </row>
    <row r="276" customFormat="false" ht="15" hidden="false" customHeight="false" outlineLevel="0" collapsed="false">
      <c r="A276" s="12"/>
      <c r="B276" s="12"/>
      <c r="C276" s="12"/>
      <c r="D276" s="4"/>
      <c r="E276" s="4"/>
      <c r="F276" s="12"/>
      <c r="G276" s="13" t="str">
        <f aca="false">IF($F276="","",IFERROR(INDEX(Lists!$B$4:$B$12,MATCH($F276,Lists!$A$4:$A$12,0)),""))</f>
        <v/>
      </c>
      <c r="H276" s="12"/>
      <c r="I276" s="14"/>
      <c r="J276" s="12"/>
      <c r="K276" s="15" t="str">
        <f aca="false">IF(OR($I276="",$J276=""),"",$I276+7*$J276-3)</f>
        <v/>
      </c>
      <c r="L276" s="12"/>
      <c r="M276" s="4"/>
      <c r="N276" s="12"/>
      <c r="O276" s="4"/>
      <c r="P276" s="12"/>
    </row>
    <row r="277" customFormat="false" ht="15" hidden="false" customHeight="false" outlineLevel="0" collapsed="false">
      <c r="A277" s="12"/>
      <c r="B277" s="12"/>
      <c r="C277" s="12"/>
      <c r="D277" s="4"/>
      <c r="E277" s="4"/>
      <c r="F277" s="12"/>
      <c r="G277" s="13" t="str">
        <f aca="false">IF($F277="","",IFERROR(INDEX(Lists!$B$4:$B$12,MATCH($F277,Lists!$A$4:$A$12,0)),""))</f>
        <v/>
      </c>
      <c r="H277" s="12"/>
      <c r="I277" s="14"/>
      <c r="J277" s="12"/>
      <c r="K277" s="15" t="str">
        <f aca="false">IF(OR($I277="",$J277=""),"",$I277+7*$J277-3)</f>
        <v/>
      </c>
      <c r="L277" s="12"/>
      <c r="M277" s="4"/>
      <c r="N277" s="12"/>
      <c r="O277" s="4"/>
      <c r="P277" s="12"/>
    </row>
    <row r="278" customFormat="false" ht="15" hidden="false" customHeight="false" outlineLevel="0" collapsed="false">
      <c r="A278" s="12"/>
      <c r="B278" s="12"/>
      <c r="C278" s="12"/>
      <c r="D278" s="4"/>
      <c r="E278" s="4"/>
      <c r="F278" s="12"/>
      <c r="G278" s="13" t="str">
        <f aca="false">IF($F278="","",IFERROR(INDEX(Lists!$B$4:$B$12,MATCH($F278,Lists!$A$4:$A$12,0)),""))</f>
        <v/>
      </c>
      <c r="H278" s="12"/>
      <c r="I278" s="14"/>
      <c r="J278" s="12"/>
      <c r="K278" s="15" t="str">
        <f aca="false">IF(OR($I278="",$J278=""),"",$I278+7*$J278-3)</f>
        <v/>
      </c>
      <c r="L278" s="12"/>
      <c r="M278" s="4"/>
      <c r="N278" s="12"/>
      <c r="O278" s="4"/>
      <c r="P278" s="12"/>
    </row>
    <row r="279" customFormat="false" ht="15" hidden="false" customHeight="false" outlineLevel="0" collapsed="false">
      <c r="A279" s="12"/>
      <c r="B279" s="12"/>
      <c r="C279" s="12"/>
      <c r="D279" s="4"/>
      <c r="E279" s="4"/>
      <c r="F279" s="12"/>
      <c r="G279" s="13" t="str">
        <f aca="false">IF($F279="","",IFERROR(INDEX(Lists!$B$4:$B$12,MATCH($F279,Lists!$A$4:$A$12,0)),""))</f>
        <v/>
      </c>
      <c r="H279" s="12"/>
      <c r="I279" s="14"/>
      <c r="J279" s="12"/>
      <c r="K279" s="15" t="str">
        <f aca="false">IF(OR($I279="",$J279=""),"",$I279+7*$J279-3)</f>
        <v/>
      </c>
      <c r="L279" s="12"/>
      <c r="M279" s="4"/>
      <c r="N279" s="12"/>
      <c r="O279" s="4"/>
      <c r="P279" s="12"/>
    </row>
    <row r="280" customFormat="false" ht="15" hidden="false" customHeight="false" outlineLevel="0" collapsed="false">
      <c r="A280" s="12"/>
      <c r="B280" s="12"/>
      <c r="C280" s="12"/>
      <c r="D280" s="4"/>
      <c r="E280" s="4"/>
      <c r="F280" s="12"/>
      <c r="G280" s="13" t="str">
        <f aca="false">IF($F280="","",IFERROR(INDEX(Lists!$B$4:$B$12,MATCH($F280,Lists!$A$4:$A$12,0)),""))</f>
        <v/>
      </c>
      <c r="H280" s="12"/>
      <c r="I280" s="14"/>
      <c r="J280" s="12"/>
      <c r="K280" s="15" t="str">
        <f aca="false">IF(OR($I280="",$J280=""),"",$I280+7*$J280-3)</f>
        <v/>
      </c>
      <c r="L280" s="12"/>
      <c r="M280" s="4"/>
      <c r="N280" s="12"/>
      <c r="O280" s="4"/>
      <c r="P280" s="12"/>
    </row>
    <row r="281" customFormat="false" ht="15" hidden="false" customHeight="false" outlineLevel="0" collapsed="false">
      <c r="A281" s="12"/>
      <c r="B281" s="12"/>
      <c r="C281" s="12"/>
      <c r="D281" s="4"/>
      <c r="E281" s="4"/>
      <c r="F281" s="12"/>
      <c r="G281" s="13" t="str">
        <f aca="false">IF($F281="","",IFERROR(INDEX(Lists!$B$4:$B$12,MATCH($F281,Lists!$A$4:$A$12,0)),""))</f>
        <v/>
      </c>
      <c r="H281" s="12"/>
      <c r="I281" s="14"/>
      <c r="J281" s="12"/>
      <c r="K281" s="15" t="str">
        <f aca="false">IF(OR($I281="",$J281=""),"",$I281+7*$J281-3)</f>
        <v/>
      </c>
      <c r="L281" s="12"/>
      <c r="M281" s="4"/>
      <c r="N281" s="12"/>
      <c r="O281" s="4"/>
      <c r="P281" s="12"/>
    </row>
    <row r="282" customFormat="false" ht="15" hidden="false" customHeight="false" outlineLevel="0" collapsed="false">
      <c r="A282" s="12"/>
      <c r="B282" s="12"/>
      <c r="C282" s="12"/>
      <c r="D282" s="4"/>
      <c r="E282" s="4"/>
      <c r="F282" s="12"/>
      <c r="G282" s="13" t="str">
        <f aca="false">IF($F282="","",IFERROR(INDEX(Lists!$B$4:$B$12,MATCH($F282,Lists!$A$4:$A$12,0)),""))</f>
        <v/>
      </c>
      <c r="H282" s="12"/>
      <c r="I282" s="14"/>
      <c r="J282" s="12"/>
      <c r="K282" s="15" t="str">
        <f aca="false">IF(OR($I282="",$J282=""),"",$I282+7*$J282-3)</f>
        <v/>
      </c>
      <c r="L282" s="12"/>
      <c r="M282" s="4"/>
      <c r="N282" s="12"/>
      <c r="O282" s="4"/>
      <c r="P282" s="12"/>
    </row>
    <row r="283" customFormat="false" ht="15" hidden="false" customHeight="false" outlineLevel="0" collapsed="false">
      <c r="A283" s="12"/>
      <c r="B283" s="12"/>
      <c r="C283" s="12"/>
      <c r="D283" s="4"/>
      <c r="E283" s="4"/>
      <c r="F283" s="12"/>
      <c r="G283" s="13" t="str">
        <f aca="false">IF($F283="","",IFERROR(INDEX(Lists!$B$4:$B$12,MATCH($F283,Lists!$A$4:$A$12,0)),""))</f>
        <v/>
      </c>
      <c r="H283" s="12"/>
      <c r="I283" s="14"/>
      <c r="J283" s="12"/>
      <c r="K283" s="15" t="str">
        <f aca="false">IF(OR($I283="",$J283=""),"",$I283+7*$J283-3)</f>
        <v/>
      </c>
      <c r="L283" s="12"/>
      <c r="M283" s="4"/>
      <c r="N283" s="12"/>
      <c r="O283" s="4"/>
      <c r="P283" s="12"/>
    </row>
    <row r="284" customFormat="false" ht="15" hidden="false" customHeight="false" outlineLevel="0" collapsed="false">
      <c r="A284" s="12"/>
      <c r="B284" s="12"/>
      <c r="C284" s="12"/>
      <c r="D284" s="4"/>
      <c r="E284" s="4"/>
      <c r="F284" s="12"/>
      <c r="G284" s="13" t="str">
        <f aca="false">IF($F284="","",IFERROR(INDEX(Lists!$B$4:$B$12,MATCH($F284,Lists!$A$4:$A$12,0)),""))</f>
        <v/>
      </c>
      <c r="H284" s="12"/>
      <c r="I284" s="14"/>
      <c r="J284" s="12"/>
      <c r="K284" s="15" t="str">
        <f aca="false">IF(OR($I284="",$J284=""),"",$I284+7*$J284-3)</f>
        <v/>
      </c>
      <c r="L284" s="12"/>
      <c r="M284" s="4"/>
      <c r="N284" s="12"/>
      <c r="O284" s="4"/>
      <c r="P284" s="12"/>
    </row>
    <row r="285" customFormat="false" ht="15" hidden="false" customHeight="false" outlineLevel="0" collapsed="false">
      <c r="A285" s="12"/>
      <c r="B285" s="12"/>
      <c r="C285" s="12"/>
      <c r="D285" s="4"/>
      <c r="E285" s="4"/>
      <c r="F285" s="12"/>
      <c r="G285" s="13" t="str">
        <f aca="false">IF($F285="","",IFERROR(INDEX(Lists!$B$4:$B$12,MATCH($F285,Lists!$A$4:$A$12,0)),""))</f>
        <v/>
      </c>
      <c r="H285" s="12"/>
      <c r="I285" s="14"/>
      <c r="J285" s="12"/>
      <c r="K285" s="15" t="str">
        <f aca="false">IF(OR($I285="",$J285=""),"",$I285+7*$J285-3)</f>
        <v/>
      </c>
      <c r="L285" s="12"/>
      <c r="M285" s="4"/>
      <c r="N285" s="12"/>
      <c r="O285" s="4"/>
      <c r="P285" s="12"/>
    </row>
    <row r="286" customFormat="false" ht="15" hidden="false" customHeight="false" outlineLevel="0" collapsed="false">
      <c r="A286" s="12"/>
      <c r="B286" s="12"/>
      <c r="C286" s="12"/>
      <c r="D286" s="4"/>
      <c r="E286" s="4"/>
      <c r="F286" s="12"/>
      <c r="G286" s="13" t="str">
        <f aca="false">IF($F286="","",IFERROR(INDEX(Lists!$B$4:$B$12,MATCH($F286,Lists!$A$4:$A$12,0)),""))</f>
        <v/>
      </c>
      <c r="H286" s="12"/>
      <c r="I286" s="14"/>
      <c r="J286" s="12"/>
      <c r="K286" s="15" t="str">
        <f aca="false">IF(OR($I286="",$J286=""),"",$I286+7*$J286-3)</f>
        <v/>
      </c>
      <c r="L286" s="12"/>
      <c r="M286" s="4"/>
      <c r="N286" s="12"/>
      <c r="O286" s="4"/>
      <c r="P286" s="12"/>
    </row>
    <row r="287" customFormat="false" ht="15" hidden="false" customHeight="false" outlineLevel="0" collapsed="false">
      <c r="A287" s="12"/>
      <c r="B287" s="12"/>
      <c r="C287" s="12"/>
      <c r="D287" s="4"/>
      <c r="E287" s="4"/>
      <c r="F287" s="12"/>
      <c r="G287" s="13" t="str">
        <f aca="false">IF($F287="","",IFERROR(INDEX(Lists!$B$4:$B$12,MATCH($F287,Lists!$A$4:$A$12,0)),""))</f>
        <v/>
      </c>
      <c r="H287" s="12"/>
      <c r="I287" s="14"/>
      <c r="J287" s="12"/>
      <c r="K287" s="15" t="str">
        <f aca="false">IF(OR($I287="",$J287=""),"",$I287+7*$J287-3)</f>
        <v/>
      </c>
      <c r="L287" s="12"/>
      <c r="M287" s="4"/>
      <c r="N287" s="12"/>
      <c r="O287" s="4"/>
      <c r="P287" s="12"/>
    </row>
    <row r="288" customFormat="false" ht="15" hidden="false" customHeight="false" outlineLevel="0" collapsed="false">
      <c r="A288" s="12"/>
      <c r="B288" s="12"/>
      <c r="C288" s="12"/>
      <c r="D288" s="4"/>
      <c r="E288" s="4"/>
      <c r="F288" s="12"/>
      <c r="G288" s="13" t="str">
        <f aca="false">IF($F288="","",IFERROR(INDEX(Lists!$B$4:$B$12,MATCH($F288,Lists!$A$4:$A$12,0)),""))</f>
        <v/>
      </c>
      <c r="H288" s="12"/>
      <c r="I288" s="14"/>
      <c r="J288" s="12"/>
      <c r="K288" s="15" t="str">
        <f aca="false">IF(OR($I288="",$J288=""),"",$I288+7*$J288-3)</f>
        <v/>
      </c>
      <c r="L288" s="12"/>
      <c r="M288" s="4"/>
      <c r="N288" s="12"/>
      <c r="O288" s="4"/>
      <c r="P288" s="12"/>
    </row>
    <row r="289" customFormat="false" ht="15" hidden="false" customHeight="false" outlineLevel="0" collapsed="false">
      <c r="A289" s="12"/>
      <c r="B289" s="12"/>
      <c r="C289" s="12"/>
      <c r="D289" s="4"/>
      <c r="E289" s="4"/>
      <c r="F289" s="12"/>
      <c r="G289" s="13" t="str">
        <f aca="false">IF($F289="","",IFERROR(INDEX(Lists!$B$4:$B$12,MATCH($F289,Lists!$A$4:$A$12,0)),""))</f>
        <v/>
      </c>
      <c r="H289" s="12"/>
      <c r="I289" s="14"/>
      <c r="J289" s="12"/>
      <c r="K289" s="15" t="str">
        <f aca="false">IF(OR($I289="",$J289=""),"",$I289+7*$J289-3)</f>
        <v/>
      </c>
      <c r="L289" s="12"/>
      <c r="M289" s="4"/>
      <c r="N289" s="12"/>
      <c r="O289" s="4"/>
      <c r="P289" s="12"/>
    </row>
    <row r="290" customFormat="false" ht="15" hidden="false" customHeight="false" outlineLevel="0" collapsed="false">
      <c r="A290" s="12"/>
      <c r="B290" s="12"/>
      <c r="C290" s="12"/>
      <c r="D290" s="4"/>
      <c r="E290" s="4"/>
      <c r="F290" s="12"/>
      <c r="G290" s="13" t="str">
        <f aca="false">IF($F290="","",IFERROR(INDEX(Lists!$B$4:$B$12,MATCH($F290,Lists!$A$4:$A$12,0)),""))</f>
        <v/>
      </c>
      <c r="H290" s="12"/>
      <c r="I290" s="14"/>
      <c r="J290" s="12"/>
      <c r="K290" s="15" t="str">
        <f aca="false">IF(OR($I290="",$J290=""),"",$I290+7*$J290-3)</f>
        <v/>
      </c>
      <c r="L290" s="12"/>
      <c r="M290" s="4"/>
      <c r="N290" s="12"/>
      <c r="O290" s="4"/>
      <c r="P290" s="12"/>
    </row>
    <row r="291" customFormat="false" ht="15" hidden="false" customHeight="false" outlineLevel="0" collapsed="false">
      <c r="A291" s="12"/>
      <c r="B291" s="12"/>
      <c r="C291" s="12"/>
      <c r="D291" s="4"/>
      <c r="E291" s="4"/>
      <c r="F291" s="12"/>
      <c r="G291" s="13" t="str">
        <f aca="false">IF($F291="","",IFERROR(INDEX(Lists!$B$4:$B$12,MATCH($F291,Lists!$A$4:$A$12,0)),""))</f>
        <v/>
      </c>
      <c r="H291" s="12"/>
      <c r="I291" s="14"/>
      <c r="J291" s="12"/>
      <c r="K291" s="15" t="str">
        <f aca="false">IF(OR($I291="",$J291=""),"",$I291+7*$J291-3)</f>
        <v/>
      </c>
      <c r="L291" s="12"/>
      <c r="M291" s="4"/>
      <c r="N291" s="12"/>
      <c r="O291" s="4"/>
      <c r="P291" s="12"/>
    </row>
    <row r="292" customFormat="false" ht="15" hidden="false" customHeight="false" outlineLevel="0" collapsed="false">
      <c r="A292" s="12"/>
      <c r="B292" s="12"/>
      <c r="C292" s="12"/>
      <c r="D292" s="4"/>
      <c r="E292" s="4"/>
      <c r="F292" s="12"/>
      <c r="G292" s="13" t="str">
        <f aca="false">IF($F292="","",IFERROR(INDEX(Lists!$B$4:$B$12,MATCH($F292,Lists!$A$4:$A$12,0)),""))</f>
        <v/>
      </c>
      <c r="H292" s="12"/>
      <c r="I292" s="14"/>
      <c r="J292" s="12"/>
      <c r="K292" s="15" t="str">
        <f aca="false">IF(OR($I292="",$J292=""),"",$I292+7*$J292-3)</f>
        <v/>
      </c>
      <c r="L292" s="12"/>
      <c r="M292" s="4"/>
      <c r="N292" s="12"/>
      <c r="O292" s="4"/>
      <c r="P292" s="12"/>
    </row>
    <row r="293" customFormat="false" ht="15" hidden="false" customHeight="false" outlineLevel="0" collapsed="false">
      <c r="A293" s="12"/>
      <c r="B293" s="12"/>
      <c r="C293" s="12"/>
      <c r="D293" s="4"/>
      <c r="E293" s="4"/>
      <c r="F293" s="12"/>
      <c r="G293" s="13" t="str">
        <f aca="false">IF($F293="","",IFERROR(INDEX(Lists!$B$4:$B$12,MATCH($F293,Lists!$A$4:$A$12,0)),""))</f>
        <v/>
      </c>
      <c r="H293" s="12"/>
      <c r="I293" s="14"/>
      <c r="J293" s="12"/>
      <c r="K293" s="15" t="str">
        <f aca="false">IF(OR($I293="",$J293=""),"",$I293+7*$J293-3)</f>
        <v/>
      </c>
      <c r="L293" s="12"/>
      <c r="M293" s="4"/>
      <c r="N293" s="12"/>
      <c r="O293" s="4"/>
      <c r="P293" s="12"/>
    </row>
    <row r="294" customFormat="false" ht="15" hidden="false" customHeight="false" outlineLevel="0" collapsed="false">
      <c r="A294" s="12"/>
      <c r="B294" s="12"/>
      <c r="C294" s="12"/>
      <c r="D294" s="4"/>
      <c r="E294" s="4"/>
      <c r="F294" s="12"/>
      <c r="G294" s="13" t="str">
        <f aca="false">IF($F294="","",IFERROR(INDEX(Lists!$B$4:$B$12,MATCH($F294,Lists!$A$4:$A$12,0)),""))</f>
        <v/>
      </c>
      <c r="H294" s="12"/>
      <c r="I294" s="14"/>
      <c r="J294" s="12"/>
      <c r="K294" s="15" t="str">
        <f aca="false">IF(OR($I294="",$J294=""),"",$I294+7*$J294-3)</f>
        <v/>
      </c>
      <c r="L294" s="12"/>
      <c r="M294" s="4"/>
      <c r="N294" s="12"/>
      <c r="O294" s="4"/>
      <c r="P294" s="12"/>
    </row>
    <row r="295" customFormat="false" ht="15" hidden="false" customHeight="false" outlineLevel="0" collapsed="false">
      <c r="A295" s="12"/>
      <c r="B295" s="12"/>
      <c r="C295" s="12"/>
      <c r="D295" s="4"/>
      <c r="E295" s="4"/>
      <c r="F295" s="12"/>
      <c r="G295" s="13" t="str">
        <f aca="false">IF($F295="","",IFERROR(INDEX(Lists!$B$4:$B$12,MATCH($F295,Lists!$A$4:$A$12,0)),""))</f>
        <v/>
      </c>
      <c r="H295" s="12"/>
      <c r="I295" s="14"/>
      <c r="J295" s="12"/>
      <c r="K295" s="15" t="str">
        <f aca="false">IF(OR($I295="",$J295=""),"",$I295+7*$J295-3)</f>
        <v/>
      </c>
      <c r="L295" s="12"/>
      <c r="M295" s="4"/>
      <c r="N295" s="12"/>
      <c r="O295" s="4"/>
      <c r="P295" s="12"/>
    </row>
    <row r="296" customFormat="false" ht="15" hidden="false" customHeight="false" outlineLevel="0" collapsed="false">
      <c r="A296" s="12"/>
      <c r="B296" s="12"/>
      <c r="C296" s="12"/>
      <c r="D296" s="4"/>
      <c r="E296" s="4"/>
      <c r="F296" s="12"/>
      <c r="G296" s="13" t="str">
        <f aca="false">IF($F296="","",IFERROR(INDEX(Lists!$B$4:$B$12,MATCH($F296,Lists!$A$4:$A$12,0)),""))</f>
        <v/>
      </c>
      <c r="H296" s="12"/>
      <c r="I296" s="14"/>
      <c r="J296" s="12"/>
      <c r="K296" s="15" t="str">
        <f aca="false">IF(OR($I296="",$J296=""),"",$I296+7*$J296-3)</f>
        <v/>
      </c>
      <c r="L296" s="12"/>
      <c r="M296" s="4"/>
      <c r="N296" s="12"/>
      <c r="O296" s="4"/>
      <c r="P296" s="12"/>
    </row>
    <row r="297" customFormat="false" ht="15" hidden="false" customHeight="false" outlineLevel="0" collapsed="false">
      <c r="A297" s="12"/>
      <c r="B297" s="12"/>
      <c r="C297" s="12"/>
      <c r="D297" s="4"/>
      <c r="E297" s="4"/>
      <c r="F297" s="12"/>
      <c r="G297" s="13" t="str">
        <f aca="false">IF($F297="","",IFERROR(INDEX(Lists!$B$4:$B$12,MATCH($F297,Lists!$A$4:$A$12,0)),""))</f>
        <v/>
      </c>
      <c r="H297" s="12"/>
      <c r="I297" s="14"/>
      <c r="J297" s="12"/>
      <c r="K297" s="15" t="str">
        <f aca="false">IF(OR($I297="",$J297=""),"",$I297+7*$J297-3)</f>
        <v/>
      </c>
      <c r="L297" s="12"/>
      <c r="M297" s="4"/>
      <c r="N297" s="12"/>
      <c r="O297" s="4"/>
      <c r="P297" s="12"/>
    </row>
    <row r="298" customFormat="false" ht="15" hidden="false" customHeight="false" outlineLevel="0" collapsed="false">
      <c r="A298" s="12"/>
      <c r="B298" s="12"/>
      <c r="C298" s="12"/>
      <c r="D298" s="4"/>
      <c r="E298" s="4"/>
      <c r="F298" s="12"/>
      <c r="G298" s="13" t="str">
        <f aca="false">IF($F298="","",IFERROR(INDEX(Lists!$B$4:$B$12,MATCH($F298,Lists!$A$4:$A$12,0)),""))</f>
        <v/>
      </c>
      <c r="H298" s="12"/>
      <c r="I298" s="14"/>
      <c r="J298" s="12"/>
      <c r="K298" s="15" t="str">
        <f aca="false">IF(OR($I298="",$J298=""),"",$I298+7*$J298-3)</f>
        <v/>
      </c>
      <c r="L298" s="12"/>
      <c r="M298" s="4"/>
      <c r="N298" s="12"/>
      <c r="O298" s="4"/>
      <c r="P298" s="12"/>
    </row>
    <row r="299" customFormat="false" ht="15" hidden="false" customHeight="false" outlineLevel="0" collapsed="false">
      <c r="A299" s="12"/>
      <c r="B299" s="12"/>
      <c r="C299" s="12"/>
      <c r="D299" s="4"/>
      <c r="E299" s="4"/>
      <c r="F299" s="12"/>
      <c r="G299" s="13" t="str">
        <f aca="false">IF($F299="","",IFERROR(INDEX(Lists!$B$4:$B$12,MATCH($F299,Lists!$A$4:$A$12,0)),""))</f>
        <v/>
      </c>
      <c r="H299" s="12"/>
      <c r="I299" s="14"/>
      <c r="J299" s="12"/>
      <c r="K299" s="15" t="str">
        <f aca="false">IF(OR($I299="",$J299=""),"",$I299+7*$J299-3)</f>
        <v/>
      </c>
      <c r="L299" s="12"/>
      <c r="M299" s="4"/>
      <c r="N299" s="12"/>
      <c r="O299" s="4"/>
      <c r="P299" s="12"/>
    </row>
    <row r="300" customFormat="false" ht="15" hidden="false" customHeight="false" outlineLevel="0" collapsed="false">
      <c r="A300" s="12"/>
      <c r="B300" s="12"/>
      <c r="C300" s="12"/>
      <c r="D300" s="4"/>
      <c r="E300" s="4"/>
      <c r="F300" s="12"/>
      <c r="G300" s="13" t="str">
        <f aca="false">IF($F300="","",IFERROR(INDEX(Lists!$B$4:$B$12,MATCH($F300,Lists!$A$4:$A$12,0)),""))</f>
        <v/>
      </c>
      <c r="H300" s="12"/>
      <c r="I300" s="14"/>
      <c r="J300" s="12"/>
      <c r="K300" s="15" t="str">
        <f aca="false">IF(OR($I300="",$J300=""),"",$I300+7*$J300-3)</f>
        <v/>
      </c>
      <c r="L300" s="12"/>
      <c r="M300" s="4"/>
      <c r="N300" s="12"/>
      <c r="O300" s="4"/>
      <c r="P300" s="12"/>
    </row>
    <row r="301" customFormat="false" ht="15" hidden="false" customHeight="false" outlineLevel="0" collapsed="false">
      <c r="A301" s="12"/>
      <c r="B301" s="12"/>
      <c r="C301" s="12"/>
      <c r="D301" s="4"/>
      <c r="E301" s="4"/>
      <c r="F301" s="12"/>
      <c r="G301" s="13" t="str">
        <f aca="false">IF($F301="","",IFERROR(INDEX(Lists!$B$4:$B$12,MATCH($F301,Lists!$A$4:$A$12,0)),""))</f>
        <v/>
      </c>
      <c r="H301" s="12"/>
      <c r="I301" s="14"/>
      <c r="J301" s="12"/>
      <c r="K301" s="15" t="str">
        <f aca="false">IF(OR($I301="",$J301=""),"",$I301+7*$J301-3)</f>
        <v/>
      </c>
      <c r="L301" s="12"/>
      <c r="M301" s="4"/>
      <c r="N301" s="12"/>
      <c r="O301" s="4"/>
      <c r="P301" s="12"/>
    </row>
    <row r="302" customFormat="false" ht="15" hidden="false" customHeight="false" outlineLevel="0" collapsed="false">
      <c r="A302" s="12"/>
      <c r="B302" s="12"/>
      <c r="C302" s="12"/>
      <c r="D302" s="4"/>
      <c r="E302" s="4"/>
      <c r="F302" s="12"/>
      <c r="G302" s="13" t="str">
        <f aca="false">IF($F302="","",IFERROR(INDEX(Lists!$B$4:$B$12,MATCH($F302,Lists!$A$4:$A$12,0)),""))</f>
        <v/>
      </c>
      <c r="H302" s="12"/>
      <c r="I302" s="14"/>
      <c r="J302" s="12"/>
      <c r="K302" s="15" t="str">
        <f aca="false">IF(OR($I302="",$J302=""),"",$I302+7*$J302-3)</f>
        <v/>
      </c>
      <c r="L302" s="12"/>
      <c r="M302" s="4"/>
      <c r="N302" s="12"/>
      <c r="O302" s="4"/>
      <c r="P302" s="12"/>
    </row>
    <row r="303" customFormat="false" ht="15" hidden="false" customHeight="false" outlineLevel="0" collapsed="false">
      <c r="A303" s="12"/>
      <c r="B303" s="12"/>
      <c r="C303" s="12"/>
      <c r="D303" s="4"/>
      <c r="E303" s="4"/>
      <c r="F303" s="12"/>
      <c r="G303" s="13" t="str">
        <f aca="false">IF($F303="","",IFERROR(INDEX(Lists!$B$4:$B$12,MATCH($F303,Lists!$A$4:$A$12,0)),""))</f>
        <v/>
      </c>
      <c r="H303" s="12"/>
      <c r="I303" s="14"/>
      <c r="J303" s="12"/>
      <c r="K303" s="15" t="str">
        <f aca="false">IF(OR($I303="",$J303=""),"",$I303+7*$J303-3)</f>
        <v/>
      </c>
      <c r="L303" s="12"/>
      <c r="M303" s="4"/>
      <c r="N303" s="12"/>
      <c r="O303" s="4"/>
      <c r="P303" s="12"/>
    </row>
    <row r="304" customFormat="false" ht="15" hidden="false" customHeight="false" outlineLevel="0" collapsed="false">
      <c r="A304" s="12"/>
      <c r="B304" s="12"/>
      <c r="C304" s="12"/>
      <c r="D304" s="4"/>
      <c r="E304" s="4"/>
      <c r="F304" s="12"/>
      <c r="G304" s="13" t="str">
        <f aca="false">IF($F304="","",IFERROR(INDEX(Lists!$B$4:$B$12,MATCH($F304,Lists!$A$4:$A$12,0)),""))</f>
        <v/>
      </c>
      <c r="H304" s="12"/>
      <c r="I304" s="14"/>
      <c r="J304" s="12"/>
      <c r="K304" s="15" t="str">
        <f aca="false">IF(OR($I304="",$J304=""),"",$I304+7*$J304-3)</f>
        <v/>
      </c>
      <c r="L304" s="12"/>
      <c r="M304" s="4"/>
      <c r="N304" s="12"/>
      <c r="O304" s="4"/>
      <c r="P304" s="12"/>
    </row>
    <row r="305" customFormat="false" ht="15" hidden="false" customHeight="false" outlineLevel="0" collapsed="false">
      <c r="A305" s="12"/>
      <c r="B305" s="12"/>
      <c r="C305" s="12"/>
      <c r="D305" s="4"/>
      <c r="E305" s="4"/>
      <c r="F305" s="12"/>
      <c r="G305" s="13" t="str">
        <f aca="false">IF($F305="","",IFERROR(INDEX(Lists!$B$4:$B$12,MATCH($F305,Lists!$A$4:$A$12,0)),""))</f>
        <v/>
      </c>
      <c r="H305" s="12"/>
      <c r="I305" s="14"/>
      <c r="J305" s="12"/>
      <c r="K305" s="15" t="str">
        <f aca="false">IF(OR($I305="",$J305=""),"",$I305+7*$J305-3)</f>
        <v/>
      </c>
      <c r="L305" s="12"/>
      <c r="M305" s="4"/>
      <c r="N305" s="12"/>
      <c r="O305" s="4"/>
      <c r="P305" s="12"/>
    </row>
    <row r="306" customFormat="false" ht="15" hidden="false" customHeight="false" outlineLevel="0" collapsed="false">
      <c r="A306" s="12"/>
      <c r="B306" s="12"/>
      <c r="C306" s="12"/>
      <c r="D306" s="4"/>
      <c r="E306" s="4"/>
      <c r="F306" s="12"/>
      <c r="G306" s="13" t="str">
        <f aca="false">IF($F306="","",IFERROR(INDEX(Lists!$B$4:$B$12,MATCH($F306,Lists!$A$4:$A$12,0)),""))</f>
        <v/>
      </c>
      <c r="H306" s="12"/>
      <c r="I306" s="14"/>
      <c r="J306" s="12"/>
      <c r="K306" s="15" t="str">
        <f aca="false">IF(OR($I306="",$J306=""),"",$I306+7*$J306-3)</f>
        <v/>
      </c>
      <c r="L306" s="12"/>
      <c r="M306" s="4"/>
      <c r="N306" s="12"/>
      <c r="O306" s="4"/>
      <c r="P306" s="12"/>
    </row>
    <row r="307" customFormat="false" ht="15" hidden="false" customHeight="false" outlineLevel="0" collapsed="false">
      <c r="A307" s="12"/>
      <c r="B307" s="12"/>
      <c r="C307" s="12"/>
      <c r="D307" s="4"/>
      <c r="E307" s="4"/>
      <c r="F307" s="12"/>
      <c r="G307" s="13" t="str">
        <f aca="false">IF($F307="","",IFERROR(INDEX(Lists!$B$4:$B$12,MATCH($F307,Lists!$A$4:$A$12,0)),""))</f>
        <v/>
      </c>
      <c r="H307" s="12"/>
      <c r="I307" s="14"/>
      <c r="J307" s="12"/>
      <c r="K307" s="15" t="str">
        <f aca="false">IF(OR($I307="",$J307=""),"",$I307+7*$J307-3)</f>
        <v/>
      </c>
      <c r="L307" s="12"/>
      <c r="M307" s="4"/>
      <c r="N307" s="12"/>
      <c r="O307" s="4"/>
      <c r="P307" s="12"/>
    </row>
    <row r="308" customFormat="false" ht="15" hidden="false" customHeight="false" outlineLevel="0" collapsed="false">
      <c r="A308" s="12"/>
      <c r="B308" s="12"/>
      <c r="C308" s="12"/>
      <c r="D308" s="4"/>
      <c r="E308" s="4"/>
      <c r="F308" s="12"/>
      <c r="G308" s="13" t="str">
        <f aca="false">IF($F308="","",IFERROR(INDEX(Lists!$B$4:$B$12,MATCH($F308,Lists!$A$4:$A$12,0)),""))</f>
        <v/>
      </c>
      <c r="H308" s="12"/>
      <c r="I308" s="14"/>
      <c r="J308" s="12"/>
      <c r="K308" s="15" t="str">
        <f aca="false">IF(OR($I308="",$J308=""),"",$I308+7*$J308-3)</f>
        <v/>
      </c>
      <c r="L308" s="12"/>
      <c r="M308" s="4"/>
      <c r="N308" s="12"/>
      <c r="O308" s="4"/>
      <c r="P308" s="12"/>
    </row>
    <row r="309" customFormat="false" ht="15" hidden="false" customHeight="false" outlineLevel="0" collapsed="false">
      <c r="A309" s="12"/>
      <c r="B309" s="12"/>
      <c r="C309" s="12"/>
      <c r="D309" s="4"/>
      <c r="E309" s="4"/>
      <c r="F309" s="12"/>
      <c r="G309" s="13" t="str">
        <f aca="false">IF($F309="","",IFERROR(INDEX(Lists!$B$4:$B$12,MATCH($F309,Lists!$A$4:$A$12,0)),""))</f>
        <v/>
      </c>
      <c r="H309" s="12"/>
      <c r="I309" s="14"/>
      <c r="J309" s="12"/>
      <c r="K309" s="15" t="str">
        <f aca="false">IF(OR($I309="",$J309=""),"",$I309+7*$J309-3)</f>
        <v/>
      </c>
      <c r="L309" s="12"/>
      <c r="M309" s="4"/>
      <c r="N309" s="12"/>
      <c r="O309" s="4"/>
      <c r="P309" s="12"/>
    </row>
    <row r="310" customFormat="false" ht="15" hidden="false" customHeight="false" outlineLevel="0" collapsed="false">
      <c r="A310" s="12"/>
      <c r="B310" s="12"/>
      <c r="C310" s="12"/>
      <c r="D310" s="4"/>
      <c r="E310" s="4"/>
      <c r="F310" s="12"/>
      <c r="G310" s="13" t="str">
        <f aca="false">IF($F310="","",IFERROR(INDEX(Lists!$B$4:$B$12,MATCH($F310,Lists!$A$4:$A$12,0)),""))</f>
        <v/>
      </c>
      <c r="H310" s="12"/>
      <c r="I310" s="14"/>
      <c r="J310" s="12"/>
      <c r="K310" s="15" t="str">
        <f aca="false">IF(OR($I310="",$J310=""),"",$I310+7*$J310-3)</f>
        <v/>
      </c>
      <c r="L310" s="12"/>
      <c r="M310" s="4"/>
      <c r="N310" s="12"/>
      <c r="O310" s="4"/>
      <c r="P310" s="12"/>
    </row>
    <row r="311" customFormat="false" ht="15" hidden="false" customHeight="false" outlineLevel="0" collapsed="false">
      <c r="A311" s="12"/>
      <c r="B311" s="12"/>
      <c r="C311" s="12"/>
      <c r="D311" s="4"/>
      <c r="E311" s="4"/>
      <c r="F311" s="12"/>
      <c r="G311" s="13" t="str">
        <f aca="false">IF($F311="","",IFERROR(INDEX(Lists!$B$4:$B$12,MATCH($F311,Lists!$A$4:$A$12,0)),""))</f>
        <v/>
      </c>
      <c r="H311" s="12"/>
      <c r="I311" s="14"/>
      <c r="J311" s="12"/>
      <c r="K311" s="15" t="str">
        <f aca="false">IF(OR($I311="",$J311=""),"",$I311+7*$J311-3)</f>
        <v/>
      </c>
      <c r="L311" s="12"/>
      <c r="M311" s="4"/>
      <c r="N311" s="12"/>
      <c r="O311" s="4"/>
      <c r="P311" s="12"/>
    </row>
    <row r="312" customFormat="false" ht="15" hidden="false" customHeight="false" outlineLevel="0" collapsed="false">
      <c r="A312" s="12"/>
      <c r="B312" s="12"/>
      <c r="C312" s="12"/>
      <c r="D312" s="4"/>
      <c r="E312" s="4"/>
      <c r="F312" s="12"/>
      <c r="G312" s="13" t="str">
        <f aca="false">IF($F312="","",IFERROR(INDEX(Lists!$B$4:$B$12,MATCH($F312,Lists!$A$4:$A$12,0)),""))</f>
        <v/>
      </c>
      <c r="H312" s="12"/>
      <c r="I312" s="14"/>
      <c r="J312" s="12"/>
      <c r="K312" s="15" t="str">
        <f aca="false">IF(OR($I312="",$J312=""),"",$I312+7*$J312-3)</f>
        <v/>
      </c>
      <c r="L312" s="12"/>
      <c r="M312" s="4"/>
      <c r="N312" s="12"/>
      <c r="O312" s="4"/>
      <c r="P312" s="12"/>
    </row>
    <row r="313" customFormat="false" ht="15" hidden="false" customHeight="false" outlineLevel="0" collapsed="false">
      <c r="A313" s="12"/>
      <c r="B313" s="12"/>
      <c r="C313" s="12"/>
      <c r="D313" s="4"/>
      <c r="E313" s="4"/>
      <c r="F313" s="12"/>
      <c r="G313" s="13" t="str">
        <f aca="false">IF($F313="","",IFERROR(INDEX(Lists!$B$4:$B$12,MATCH($F313,Lists!$A$4:$A$12,0)),""))</f>
        <v/>
      </c>
      <c r="H313" s="12"/>
      <c r="I313" s="14"/>
      <c r="J313" s="12"/>
      <c r="K313" s="15" t="str">
        <f aca="false">IF(OR($I313="",$J313=""),"",$I313+7*$J313-3)</f>
        <v/>
      </c>
      <c r="L313" s="12"/>
      <c r="M313" s="4"/>
      <c r="N313" s="12"/>
      <c r="O313" s="4"/>
      <c r="P313" s="12"/>
    </row>
    <row r="314" customFormat="false" ht="15" hidden="false" customHeight="false" outlineLevel="0" collapsed="false">
      <c r="A314" s="12"/>
      <c r="B314" s="12"/>
      <c r="C314" s="12"/>
      <c r="D314" s="4"/>
      <c r="E314" s="4"/>
      <c r="F314" s="12"/>
      <c r="G314" s="13" t="str">
        <f aca="false">IF($F314="","",IFERROR(INDEX(Lists!$B$4:$B$12,MATCH($F314,Lists!$A$4:$A$12,0)),""))</f>
        <v/>
      </c>
      <c r="H314" s="12"/>
      <c r="I314" s="14"/>
      <c r="J314" s="12"/>
      <c r="K314" s="15" t="str">
        <f aca="false">IF(OR($I314="",$J314=""),"",$I314+7*$J314-3)</f>
        <v/>
      </c>
      <c r="L314" s="12"/>
      <c r="M314" s="4"/>
      <c r="N314" s="12"/>
      <c r="O314" s="4"/>
      <c r="P314" s="12"/>
    </row>
    <row r="315" customFormat="false" ht="15" hidden="false" customHeight="false" outlineLevel="0" collapsed="false">
      <c r="A315" s="12"/>
      <c r="B315" s="12"/>
      <c r="C315" s="12"/>
      <c r="D315" s="4"/>
      <c r="E315" s="4"/>
      <c r="F315" s="12"/>
      <c r="G315" s="13" t="str">
        <f aca="false">IF($F315="","",IFERROR(INDEX(Lists!$B$4:$B$12,MATCH($F315,Lists!$A$4:$A$12,0)),""))</f>
        <v/>
      </c>
      <c r="H315" s="12"/>
      <c r="I315" s="14"/>
      <c r="J315" s="12"/>
      <c r="K315" s="15" t="str">
        <f aca="false">IF(OR($I315="",$J315=""),"",$I315+7*$J315-3)</f>
        <v/>
      </c>
      <c r="L315" s="12"/>
      <c r="M315" s="4"/>
      <c r="N315" s="12"/>
      <c r="O315" s="4"/>
      <c r="P315" s="12"/>
    </row>
    <row r="316" customFormat="false" ht="15" hidden="false" customHeight="false" outlineLevel="0" collapsed="false">
      <c r="A316" s="12"/>
      <c r="B316" s="12"/>
      <c r="C316" s="12"/>
      <c r="D316" s="4"/>
      <c r="E316" s="4"/>
      <c r="F316" s="12"/>
      <c r="G316" s="13" t="str">
        <f aca="false">IF($F316="","",IFERROR(INDEX(Lists!$B$4:$B$12,MATCH($F316,Lists!$A$4:$A$12,0)),""))</f>
        <v/>
      </c>
      <c r="H316" s="12"/>
      <c r="I316" s="14"/>
      <c r="J316" s="12"/>
      <c r="K316" s="15" t="str">
        <f aca="false">IF(OR($I316="",$J316=""),"",$I316+7*$J316-3)</f>
        <v/>
      </c>
      <c r="L316" s="12"/>
      <c r="M316" s="4"/>
      <c r="N316" s="12"/>
      <c r="O316" s="4"/>
      <c r="P316" s="12"/>
    </row>
    <row r="317" customFormat="false" ht="15" hidden="false" customHeight="false" outlineLevel="0" collapsed="false">
      <c r="A317" s="12"/>
      <c r="B317" s="12"/>
      <c r="C317" s="12"/>
      <c r="D317" s="4"/>
      <c r="E317" s="4"/>
      <c r="F317" s="12"/>
      <c r="G317" s="13" t="str">
        <f aca="false">IF($F317="","",IFERROR(INDEX(Lists!$B$4:$B$12,MATCH($F317,Lists!$A$4:$A$12,0)),""))</f>
        <v/>
      </c>
      <c r="H317" s="12"/>
      <c r="I317" s="14"/>
      <c r="J317" s="12"/>
      <c r="K317" s="15" t="str">
        <f aca="false">IF(OR($I317="",$J317=""),"",$I317+7*$J317-3)</f>
        <v/>
      </c>
      <c r="L317" s="12"/>
      <c r="M317" s="4"/>
      <c r="N317" s="12"/>
      <c r="O317" s="4"/>
      <c r="P317" s="12"/>
    </row>
    <row r="318" customFormat="false" ht="15" hidden="false" customHeight="false" outlineLevel="0" collapsed="false">
      <c r="A318" s="12"/>
      <c r="B318" s="12"/>
      <c r="C318" s="12"/>
      <c r="D318" s="4"/>
      <c r="E318" s="4"/>
      <c r="F318" s="12"/>
      <c r="G318" s="13" t="str">
        <f aca="false">IF($F318="","",IFERROR(INDEX(Lists!$B$4:$B$12,MATCH($F318,Lists!$A$4:$A$12,0)),""))</f>
        <v/>
      </c>
      <c r="H318" s="12"/>
      <c r="I318" s="14"/>
      <c r="J318" s="12"/>
      <c r="K318" s="15" t="str">
        <f aca="false">IF(OR($I318="",$J318=""),"",$I318+7*$J318-3)</f>
        <v/>
      </c>
      <c r="L318" s="12"/>
      <c r="M318" s="4"/>
      <c r="N318" s="12"/>
      <c r="O318" s="4"/>
      <c r="P318" s="12"/>
    </row>
    <row r="319" customFormat="false" ht="15" hidden="false" customHeight="false" outlineLevel="0" collapsed="false">
      <c r="A319" s="12"/>
      <c r="B319" s="12"/>
      <c r="C319" s="12"/>
      <c r="D319" s="4"/>
      <c r="E319" s="4"/>
      <c r="F319" s="12"/>
      <c r="G319" s="13" t="str">
        <f aca="false">IF($F319="","",IFERROR(INDEX(Lists!$B$4:$B$12,MATCH($F319,Lists!$A$4:$A$12,0)),""))</f>
        <v/>
      </c>
      <c r="H319" s="12"/>
      <c r="I319" s="14"/>
      <c r="J319" s="12"/>
      <c r="K319" s="15" t="str">
        <f aca="false">IF(OR($I319="",$J319=""),"",$I319+7*$J319-3)</f>
        <v/>
      </c>
      <c r="L319" s="12"/>
      <c r="M319" s="4"/>
      <c r="N319" s="12"/>
      <c r="O319" s="4"/>
      <c r="P319" s="12"/>
    </row>
    <row r="320" customFormat="false" ht="15" hidden="false" customHeight="false" outlineLevel="0" collapsed="false">
      <c r="A320" s="12"/>
      <c r="B320" s="12"/>
      <c r="C320" s="12"/>
      <c r="D320" s="4"/>
      <c r="E320" s="4"/>
      <c r="F320" s="12"/>
      <c r="G320" s="13" t="str">
        <f aca="false">IF($F320="","",IFERROR(INDEX(Lists!$B$4:$B$12,MATCH($F320,Lists!$A$4:$A$12,0)),""))</f>
        <v/>
      </c>
      <c r="H320" s="12"/>
      <c r="I320" s="14"/>
      <c r="J320" s="12"/>
      <c r="K320" s="15" t="str">
        <f aca="false">IF(OR($I320="",$J320=""),"",$I320+7*$J320-3)</f>
        <v/>
      </c>
      <c r="L320" s="12"/>
      <c r="M320" s="4"/>
      <c r="N320" s="12"/>
      <c r="O320" s="4"/>
      <c r="P320" s="12"/>
    </row>
    <row r="321" customFormat="false" ht="15" hidden="false" customHeight="false" outlineLevel="0" collapsed="false">
      <c r="A321" s="12"/>
      <c r="B321" s="12"/>
      <c r="C321" s="12"/>
      <c r="D321" s="4"/>
      <c r="E321" s="4"/>
      <c r="F321" s="12"/>
      <c r="G321" s="13" t="str">
        <f aca="false">IF($F321="","",IFERROR(INDEX(Lists!$B$4:$B$12,MATCH($F321,Lists!$A$4:$A$12,0)),""))</f>
        <v/>
      </c>
      <c r="H321" s="12"/>
      <c r="I321" s="14"/>
      <c r="J321" s="12"/>
      <c r="K321" s="15" t="str">
        <f aca="false">IF(OR($I321="",$J321=""),"",$I321+7*$J321-3)</f>
        <v/>
      </c>
      <c r="L321" s="12"/>
      <c r="M321" s="4"/>
      <c r="N321" s="12"/>
      <c r="O321" s="4"/>
      <c r="P321" s="12"/>
    </row>
    <row r="322" customFormat="false" ht="15" hidden="false" customHeight="false" outlineLevel="0" collapsed="false">
      <c r="A322" s="12"/>
      <c r="B322" s="12"/>
      <c r="C322" s="12"/>
      <c r="D322" s="4"/>
      <c r="E322" s="4"/>
      <c r="F322" s="12"/>
      <c r="G322" s="13" t="str">
        <f aca="false">IF($F322="","",IFERROR(INDEX(Lists!$B$4:$B$12,MATCH($F322,Lists!$A$4:$A$12,0)),""))</f>
        <v/>
      </c>
      <c r="H322" s="12"/>
      <c r="I322" s="14"/>
      <c r="J322" s="12"/>
      <c r="K322" s="15" t="str">
        <f aca="false">IF(OR($I322="",$J322=""),"",$I322+7*$J322-3)</f>
        <v/>
      </c>
      <c r="L322" s="12"/>
      <c r="M322" s="4"/>
      <c r="N322" s="12"/>
      <c r="O322" s="4"/>
      <c r="P322" s="12"/>
    </row>
    <row r="323" customFormat="false" ht="15" hidden="false" customHeight="false" outlineLevel="0" collapsed="false">
      <c r="A323" s="12"/>
      <c r="B323" s="12"/>
      <c r="C323" s="12"/>
      <c r="D323" s="4"/>
      <c r="E323" s="4"/>
      <c r="F323" s="12"/>
      <c r="G323" s="13" t="str">
        <f aca="false">IF($F323="","",IFERROR(INDEX(Lists!$B$4:$B$12,MATCH($F323,Lists!$A$4:$A$12,0)),""))</f>
        <v/>
      </c>
      <c r="H323" s="12"/>
      <c r="I323" s="14"/>
      <c r="J323" s="12"/>
      <c r="K323" s="15" t="str">
        <f aca="false">IF(OR($I323="",$J323=""),"",$I323+7*$J323-3)</f>
        <v/>
      </c>
      <c r="L323" s="12"/>
      <c r="M323" s="4"/>
      <c r="N323" s="12"/>
      <c r="O323" s="4"/>
      <c r="P323" s="12"/>
    </row>
    <row r="324" customFormat="false" ht="15" hidden="false" customHeight="false" outlineLevel="0" collapsed="false">
      <c r="A324" s="12"/>
      <c r="B324" s="12"/>
      <c r="C324" s="12"/>
      <c r="D324" s="4"/>
      <c r="E324" s="4"/>
      <c r="F324" s="12"/>
      <c r="G324" s="13" t="str">
        <f aca="false">IF($F324="","",IFERROR(INDEX(Lists!$B$4:$B$12,MATCH($F324,Lists!$A$4:$A$12,0)),""))</f>
        <v/>
      </c>
      <c r="H324" s="12"/>
      <c r="I324" s="14"/>
      <c r="J324" s="12"/>
      <c r="K324" s="15" t="str">
        <f aca="false">IF(OR($I324="",$J324=""),"",$I324+7*$J324-3)</f>
        <v/>
      </c>
      <c r="L324" s="12"/>
      <c r="M324" s="4"/>
      <c r="N324" s="12"/>
      <c r="O324" s="4"/>
      <c r="P324" s="12"/>
    </row>
    <row r="325" customFormat="false" ht="15" hidden="false" customHeight="false" outlineLevel="0" collapsed="false">
      <c r="A325" s="12"/>
      <c r="B325" s="12"/>
      <c r="C325" s="12"/>
      <c r="D325" s="4"/>
      <c r="E325" s="4"/>
      <c r="F325" s="12"/>
      <c r="G325" s="13" t="str">
        <f aca="false">IF($F325="","",IFERROR(INDEX(Lists!$B$4:$B$12,MATCH($F325,Lists!$A$4:$A$12,0)),""))</f>
        <v/>
      </c>
      <c r="H325" s="12"/>
      <c r="I325" s="14"/>
      <c r="J325" s="12"/>
      <c r="K325" s="15" t="str">
        <f aca="false">IF(OR($I325="",$J325=""),"",$I325+7*$J325-3)</f>
        <v/>
      </c>
      <c r="L325" s="12"/>
      <c r="M325" s="4"/>
      <c r="N325" s="12"/>
      <c r="O325" s="4"/>
      <c r="P325" s="12"/>
    </row>
    <row r="326" customFormat="false" ht="15" hidden="false" customHeight="false" outlineLevel="0" collapsed="false">
      <c r="A326" s="12"/>
      <c r="B326" s="12"/>
      <c r="C326" s="12"/>
      <c r="D326" s="4"/>
      <c r="E326" s="4"/>
      <c r="F326" s="12"/>
      <c r="G326" s="13" t="str">
        <f aca="false">IF($F326="","",IFERROR(INDEX(Lists!$B$4:$B$12,MATCH($F326,Lists!$A$4:$A$12,0)),""))</f>
        <v/>
      </c>
      <c r="H326" s="12"/>
      <c r="I326" s="14"/>
      <c r="J326" s="12"/>
      <c r="K326" s="15" t="str">
        <f aca="false">IF(OR($I326="",$J326=""),"",$I326+7*$J326-3)</f>
        <v/>
      </c>
      <c r="L326" s="12"/>
      <c r="M326" s="4"/>
      <c r="N326" s="12"/>
      <c r="O326" s="4"/>
      <c r="P326" s="12"/>
    </row>
    <row r="327" customFormat="false" ht="15" hidden="false" customHeight="false" outlineLevel="0" collapsed="false">
      <c r="A327" s="12"/>
      <c r="B327" s="12"/>
      <c r="C327" s="12"/>
      <c r="D327" s="4"/>
      <c r="E327" s="4"/>
      <c r="F327" s="12"/>
      <c r="G327" s="13" t="str">
        <f aca="false">IF($F327="","",IFERROR(INDEX(Lists!$B$4:$B$12,MATCH($F327,Lists!$A$4:$A$12,0)),""))</f>
        <v/>
      </c>
      <c r="H327" s="12"/>
      <c r="I327" s="14"/>
      <c r="J327" s="12"/>
      <c r="K327" s="15" t="str">
        <f aca="false">IF(OR($I327="",$J327=""),"",$I327+7*$J327-3)</f>
        <v/>
      </c>
      <c r="L327" s="12"/>
      <c r="M327" s="4"/>
      <c r="N327" s="12"/>
      <c r="O327" s="4"/>
      <c r="P327" s="12"/>
    </row>
    <row r="328" customFormat="false" ht="15" hidden="false" customHeight="false" outlineLevel="0" collapsed="false">
      <c r="A328" s="12"/>
      <c r="B328" s="12"/>
      <c r="C328" s="12"/>
      <c r="D328" s="4"/>
      <c r="E328" s="4"/>
      <c r="F328" s="12"/>
      <c r="G328" s="13" t="str">
        <f aca="false">IF($F328="","",IFERROR(INDEX(Lists!$B$4:$B$12,MATCH($F328,Lists!$A$4:$A$12,0)),""))</f>
        <v/>
      </c>
      <c r="H328" s="12"/>
      <c r="I328" s="14"/>
      <c r="J328" s="12"/>
      <c r="K328" s="15" t="str">
        <f aca="false">IF(OR($I328="",$J328=""),"",$I328+7*$J328-3)</f>
        <v/>
      </c>
      <c r="L328" s="12"/>
      <c r="M328" s="4"/>
      <c r="N328" s="12"/>
      <c r="O328" s="4"/>
      <c r="P328" s="12"/>
    </row>
    <row r="329" customFormat="false" ht="15" hidden="false" customHeight="false" outlineLevel="0" collapsed="false">
      <c r="A329" s="12"/>
      <c r="B329" s="12"/>
      <c r="C329" s="12"/>
      <c r="D329" s="4"/>
      <c r="E329" s="4"/>
      <c r="F329" s="12"/>
      <c r="G329" s="13" t="str">
        <f aca="false">IF($F329="","",IFERROR(INDEX(Lists!$B$4:$B$12,MATCH($F329,Lists!$A$4:$A$12,0)),""))</f>
        <v/>
      </c>
      <c r="H329" s="12"/>
      <c r="I329" s="14"/>
      <c r="J329" s="12"/>
      <c r="K329" s="15" t="str">
        <f aca="false">IF(OR($I329="",$J329=""),"",$I329+7*$J329-3)</f>
        <v/>
      </c>
      <c r="L329" s="12"/>
      <c r="M329" s="4"/>
      <c r="N329" s="12"/>
      <c r="O329" s="4"/>
      <c r="P329" s="12"/>
    </row>
    <row r="330" customFormat="false" ht="15" hidden="false" customHeight="false" outlineLevel="0" collapsed="false">
      <c r="A330" s="12"/>
      <c r="B330" s="12"/>
      <c r="C330" s="12"/>
      <c r="D330" s="4"/>
      <c r="E330" s="4"/>
      <c r="F330" s="12"/>
      <c r="G330" s="13" t="str">
        <f aca="false">IF($F330="","",IFERROR(INDEX(Lists!$B$4:$B$12,MATCH($F330,Lists!$A$4:$A$12,0)),""))</f>
        <v/>
      </c>
      <c r="H330" s="12"/>
      <c r="I330" s="14"/>
      <c r="J330" s="12"/>
      <c r="K330" s="15" t="str">
        <f aca="false">IF(OR($I330="",$J330=""),"",$I330+7*$J330-3)</f>
        <v/>
      </c>
      <c r="L330" s="12"/>
      <c r="M330" s="4"/>
      <c r="N330" s="12"/>
      <c r="O330" s="4"/>
      <c r="P330" s="12"/>
    </row>
    <row r="331" customFormat="false" ht="15" hidden="false" customHeight="false" outlineLevel="0" collapsed="false">
      <c r="A331" s="12"/>
      <c r="B331" s="12"/>
      <c r="C331" s="12"/>
      <c r="D331" s="4"/>
      <c r="E331" s="4"/>
      <c r="F331" s="12"/>
      <c r="G331" s="13" t="str">
        <f aca="false">IF($F331="","",IFERROR(INDEX(Lists!$B$4:$B$12,MATCH($F331,Lists!$A$4:$A$12,0)),""))</f>
        <v/>
      </c>
      <c r="H331" s="12"/>
      <c r="I331" s="14"/>
      <c r="J331" s="12"/>
      <c r="K331" s="15" t="str">
        <f aca="false">IF(OR($I331="",$J331=""),"",$I331+7*$J331-3)</f>
        <v/>
      </c>
      <c r="L331" s="12"/>
      <c r="M331" s="4"/>
      <c r="N331" s="12"/>
      <c r="O331" s="4"/>
      <c r="P331" s="12"/>
    </row>
    <row r="332" customFormat="false" ht="15" hidden="false" customHeight="false" outlineLevel="0" collapsed="false">
      <c r="A332" s="12"/>
      <c r="B332" s="12"/>
      <c r="C332" s="12"/>
      <c r="D332" s="4"/>
      <c r="E332" s="4"/>
      <c r="F332" s="12"/>
      <c r="G332" s="13" t="str">
        <f aca="false">IF($F332="","",IFERROR(INDEX(Lists!$B$4:$B$12,MATCH($F332,Lists!$A$4:$A$12,0)),""))</f>
        <v/>
      </c>
      <c r="H332" s="12"/>
      <c r="I332" s="14"/>
      <c r="J332" s="12"/>
      <c r="K332" s="15" t="str">
        <f aca="false">IF(OR($I332="",$J332=""),"",$I332+7*$J332-3)</f>
        <v/>
      </c>
      <c r="L332" s="12"/>
      <c r="M332" s="4"/>
      <c r="N332" s="12"/>
      <c r="O332" s="4"/>
      <c r="P332" s="12"/>
    </row>
    <row r="333" customFormat="false" ht="15" hidden="false" customHeight="false" outlineLevel="0" collapsed="false">
      <c r="A333" s="12"/>
      <c r="B333" s="12"/>
      <c r="C333" s="12"/>
      <c r="D333" s="4"/>
      <c r="E333" s="4"/>
      <c r="F333" s="12"/>
      <c r="G333" s="13" t="str">
        <f aca="false">IF($F333="","",IFERROR(INDEX(Lists!$B$4:$B$12,MATCH($F333,Lists!$A$4:$A$12,0)),""))</f>
        <v/>
      </c>
      <c r="H333" s="12"/>
      <c r="I333" s="14"/>
      <c r="J333" s="12"/>
      <c r="K333" s="15" t="str">
        <f aca="false">IF(OR($I333="",$J333=""),"",$I333+7*$J333-3)</f>
        <v/>
      </c>
      <c r="L333" s="12"/>
      <c r="M333" s="4"/>
      <c r="N333" s="12"/>
      <c r="O333" s="4"/>
      <c r="P333" s="12"/>
    </row>
    <row r="334" customFormat="false" ht="15" hidden="false" customHeight="false" outlineLevel="0" collapsed="false">
      <c r="A334" s="12"/>
      <c r="B334" s="12"/>
      <c r="C334" s="12"/>
      <c r="D334" s="4"/>
      <c r="E334" s="4"/>
      <c r="F334" s="12"/>
      <c r="G334" s="13" t="str">
        <f aca="false">IF($F334="","",IFERROR(INDEX(Lists!$B$4:$B$12,MATCH($F334,Lists!$A$4:$A$12,0)),""))</f>
        <v/>
      </c>
      <c r="H334" s="12"/>
      <c r="I334" s="14"/>
      <c r="J334" s="12"/>
      <c r="K334" s="15" t="str">
        <f aca="false">IF(OR($I334="",$J334=""),"",$I334+7*$J334-3)</f>
        <v/>
      </c>
      <c r="L334" s="12"/>
      <c r="M334" s="4"/>
      <c r="N334" s="12"/>
      <c r="O334" s="4"/>
      <c r="P334" s="12"/>
    </row>
    <row r="335" customFormat="false" ht="15" hidden="false" customHeight="false" outlineLevel="0" collapsed="false">
      <c r="A335" s="12"/>
      <c r="B335" s="12"/>
      <c r="C335" s="12"/>
      <c r="D335" s="4"/>
      <c r="E335" s="4"/>
      <c r="F335" s="12"/>
      <c r="G335" s="13" t="str">
        <f aca="false">IF($F335="","",IFERROR(INDEX(Lists!$B$4:$B$12,MATCH($F335,Lists!$A$4:$A$12,0)),""))</f>
        <v/>
      </c>
      <c r="H335" s="12"/>
      <c r="I335" s="14"/>
      <c r="J335" s="12"/>
      <c r="K335" s="15" t="str">
        <f aca="false">IF(OR($I335="",$J335=""),"",$I335+7*$J335-3)</f>
        <v/>
      </c>
      <c r="L335" s="12"/>
      <c r="M335" s="4"/>
      <c r="N335" s="12"/>
      <c r="O335" s="4"/>
      <c r="P335" s="12"/>
    </row>
    <row r="336" customFormat="false" ht="15" hidden="false" customHeight="false" outlineLevel="0" collapsed="false">
      <c r="A336" s="12"/>
      <c r="B336" s="12"/>
      <c r="C336" s="12"/>
      <c r="D336" s="4"/>
      <c r="E336" s="4"/>
      <c r="F336" s="12"/>
      <c r="G336" s="13" t="str">
        <f aca="false">IF($F336="","",IFERROR(INDEX(Lists!$B$4:$B$12,MATCH($F336,Lists!$A$4:$A$12,0)),""))</f>
        <v/>
      </c>
      <c r="H336" s="12"/>
      <c r="I336" s="14"/>
      <c r="J336" s="12"/>
      <c r="K336" s="15" t="str">
        <f aca="false">IF(OR($I336="",$J336=""),"",$I336+7*$J336-3)</f>
        <v/>
      </c>
      <c r="L336" s="12"/>
      <c r="M336" s="4"/>
      <c r="N336" s="12"/>
      <c r="O336" s="4"/>
      <c r="P336" s="12"/>
    </row>
    <row r="337" customFormat="false" ht="15" hidden="false" customHeight="false" outlineLevel="0" collapsed="false">
      <c r="A337" s="12"/>
      <c r="B337" s="12"/>
      <c r="C337" s="12"/>
      <c r="D337" s="4"/>
      <c r="E337" s="4"/>
      <c r="F337" s="12"/>
      <c r="G337" s="13" t="str">
        <f aca="false">IF($F337="","",IFERROR(INDEX(Lists!$B$4:$B$12,MATCH($F337,Lists!$A$4:$A$12,0)),""))</f>
        <v/>
      </c>
      <c r="H337" s="12"/>
      <c r="I337" s="14"/>
      <c r="J337" s="12"/>
      <c r="K337" s="15" t="str">
        <f aca="false">IF(OR($I337="",$J337=""),"",$I337+7*$J337-3)</f>
        <v/>
      </c>
      <c r="L337" s="12"/>
      <c r="M337" s="4"/>
      <c r="N337" s="12"/>
      <c r="O337" s="4"/>
      <c r="P337" s="12"/>
    </row>
    <row r="338" customFormat="false" ht="15" hidden="false" customHeight="false" outlineLevel="0" collapsed="false">
      <c r="A338" s="12"/>
      <c r="B338" s="12"/>
      <c r="C338" s="12"/>
      <c r="D338" s="4"/>
      <c r="E338" s="4"/>
      <c r="F338" s="12"/>
      <c r="G338" s="13" t="str">
        <f aca="false">IF($F338="","",IFERROR(INDEX(Lists!$B$4:$B$12,MATCH($F338,Lists!$A$4:$A$12,0)),""))</f>
        <v/>
      </c>
      <c r="H338" s="12"/>
      <c r="I338" s="14"/>
      <c r="J338" s="12"/>
      <c r="K338" s="15" t="str">
        <f aca="false">IF(OR($I338="",$J338=""),"",$I338+7*$J338-3)</f>
        <v/>
      </c>
      <c r="L338" s="12"/>
      <c r="M338" s="4"/>
      <c r="N338" s="12"/>
      <c r="O338" s="4"/>
      <c r="P338" s="12"/>
    </row>
    <row r="339" customFormat="false" ht="15" hidden="false" customHeight="false" outlineLevel="0" collapsed="false">
      <c r="A339" s="12"/>
      <c r="B339" s="12"/>
      <c r="C339" s="12"/>
      <c r="D339" s="4"/>
      <c r="E339" s="4"/>
      <c r="F339" s="12"/>
      <c r="G339" s="13" t="str">
        <f aca="false">IF($F339="","",IFERROR(INDEX(Lists!$B$4:$B$12,MATCH($F339,Lists!$A$4:$A$12,0)),""))</f>
        <v/>
      </c>
      <c r="H339" s="12"/>
      <c r="I339" s="14"/>
      <c r="J339" s="12"/>
      <c r="K339" s="15" t="str">
        <f aca="false">IF(OR($I339="",$J339=""),"",$I339+7*$J339-3)</f>
        <v/>
      </c>
      <c r="L339" s="12"/>
      <c r="M339" s="4"/>
      <c r="N339" s="12"/>
      <c r="O339" s="4"/>
      <c r="P339" s="12"/>
    </row>
    <row r="340" customFormat="false" ht="15" hidden="false" customHeight="false" outlineLevel="0" collapsed="false">
      <c r="A340" s="12"/>
      <c r="B340" s="12"/>
      <c r="C340" s="12"/>
      <c r="D340" s="4"/>
      <c r="E340" s="4"/>
      <c r="F340" s="12"/>
      <c r="G340" s="13" t="str">
        <f aca="false">IF($F340="","",IFERROR(INDEX(Lists!$B$4:$B$12,MATCH($F340,Lists!$A$4:$A$12,0)),""))</f>
        <v/>
      </c>
      <c r="H340" s="12"/>
      <c r="I340" s="14"/>
      <c r="J340" s="12"/>
      <c r="K340" s="15" t="str">
        <f aca="false">IF(OR($I340="",$J340=""),"",$I340+7*$J340-3)</f>
        <v/>
      </c>
      <c r="L340" s="12"/>
      <c r="M340" s="4"/>
      <c r="N340" s="12"/>
      <c r="O340" s="4"/>
      <c r="P340" s="12"/>
    </row>
    <row r="341" customFormat="false" ht="15" hidden="false" customHeight="false" outlineLevel="0" collapsed="false">
      <c r="A341" s="12"/>
      <c r="B341" s="12"/>
      <c r="C341" s="12"/>
      <c r="D341" s="4"/>
      <c r="E341" s="4"/>
      <c r="F341" s="12"/>
      <c r="G341" s="13" t="str">
        <f aca="false">IF($F341="","",IFERROR(INDEX(Lists!$B$4:$B$12,MATCH($F341,Lists!$A$4:$A$12,0)),""))</f>
        <v/>
      </c>
      <c r="H341" s="12"/>
      <c r="I341" s="14"/>
      <c r="J341" s="12"/>
      <c r="K341" s="15" t="str">
        <f aca="false">IF(OR($I341="",$J341=""),"",$I341+7*$J341-3)</f>
        <v/>
      </c>
      <c r="L341" s="12"/>
      <c r="M341" s="4"/>
      <c r="N341" s="12"/>
      <c r="O341" s="4"/>
      <c r="P341" s="12"/>
    </row>
    <row r="342" customFormat="false" ht="15" hidden="false" customHeight="false" outlineLevel="0" collapsed="false">
      <c r="A342" s="12"/>
      <c r="B342" s="12"/>
      <c r="C342" s="12"/>
      <c r="D342" s="4"/>
      <c r="E342" s="4"/>
      <c r="F342" s="12"/>
      <c r="G342" s="13" t="str">
        <f aca="false">IF($F342="","",IFERROR(INDEX(Lists!$B$4:$B$12,MATCH($F342,Lists!$A$4:$A$12,0)),""))</f>
        <v/>
      </c>
      <c r="H342" s="12"/>
      <c r="I342" s="14"/>
      <c r="J342" s="12"/>
      <c r="K342" s="15" t="str">
        <f aca="false">IF(OR($I342="",$J342=""),"",$I342+7*$J342-3)</f>
        <v/>
      </c>
      <c r="L342" s="12"/>
      <c r="M342" s="4"/>
      <c r="N342" s="12"/>
      <c r="O342" s="4"/>
      <c r="P342" s="12"/>
    </row>
    <row r="343" customFormat="false" ht="15" hidden="false" customHeight="false" outlineLevel="0" collapsed="false">
      <c r="A343" s="12"/>
      <c r="B343" s="12"/>
      <c r="C343" s="12"/>
      <c r="D343" s="4"/>
      <c r="E343" s="4"/>
      <c r="F343" s="12"/>
      <c r="G343" s="13" t="str">
        <f aca="false">IF($F343="","",IFERROR(INDEX(Lists!$B$4:$B$12,MATCH($F343,Lists!$A$4:$A$12,0)),""))</f>
        <v/>
      </c>
      <c r="H343" s="12"/>
      <c r="I343" s="14"/>
      <c r="J343" s="12"/>
      <c r="K343" s="15" t="str">
        <f aca="false">IF(OR($I343="",$J343=""),"",$I343+7*$J343-3)</f>
        <v/>
      </c>
      <c r="L343" s="12"/>
      <c r="M343" s="4"/>
      <c r="N343" s="12"/>
      <c r="O343" s="4"/>
      <c r="P343" s="12"/>
    </row>
    <row r="344" customFormat="false" ht="15" hidden="false" customHeight="false" outlineLevel="0" collapsed="false">
      <c r="A344" s="12"/>
      <c r="B344" s="12"/>
      <c r="C344" s="12"/>
      <c r="D344" s="4"/>
      <c r="E344" s="4"/>
      <c r="F344" s="12"/>
      <c r="G344" s="13" t="str">
        <f aca="false">IF($F344="","",IFERROR(INDEX(Lists!$B$4:$B$12,MATCH($F344,Lists!$A$4:$A$12,0)),""))</f>
        <v/>
      </c>
      <c r="H344" s="12"/>
      <c r="I344" s="14"/>
      <c r="J344" s="12"/>
      <c r="K344" s="15" t="str">
        <f aca="false">IF(OR($I344="",$J344=""),"",$I344+7*$J344-3)</f>
        <v/>
      </c>
      <c r="L344" s="12"/>
      <c r="M344" s="4"/>
      <c r="N344" s="12"/>
      <c r="O344" s="4"/>
      <c r="P344" s="12"/>
    </row>
    <row r="345" customFormat="false" ht="15" hidden="false" customHeight="false" outlineLevel="0" collapsed="false">
      <c r="A345" s="12"/>
      <c r="B345" s="12"/>
      <c r="C345" s="12"/>
      <c r="D345" s="4"/>
      <c r="E345" s="4"/>
      <c r="F345" s="12"/>
      <c r="G345" s="13" t="str">
        <f aca="false">IF($F345="","",IFERROR(INDEX(Lists!$B$4:$B$12,MATCH($F345,Lists!$A$4:$A$12,0)),""))</f>
        <v/>
      </c>
      <c r="H345" s="12"/>
      <c r="I345" s="14"/>
      <c r="J345" s="12"/>
      <c r="K345" s="15" t="str">
        <f aca="false">IF(OR($I345="",$J345=""),"",$I345+7*$J345-3)</f>
        <v/>
      </c>
      <c r="L345" s="12"/>
      <c r="M345" s="4"/>
      <c r="N345" s="12"/>
      <c r="O345" s="4"/>
      <c r="P345" s="12"/>
    </row>
    <row r="346" customFormat="false" ht="15" hidden="false" customHeight="false" outlineLevel="0" collapsed="false">
      <c r="A346" s="12"/>
      <c r="B346" s="12"/>
      <c r="C346" s="12"/>
      <c r="D346" s="4"/>
      <c r="E346" s="4"/>
      <c r="F346" s="12"/>
      <c r="G346" s="13" t="str">
        <f aca="false">IF($F346="","",IFERROR(INDEX(Lists!$B$4:$B$12,MATCH($F346,Lists!$A$4:$A$12,0)),""))</f>
        <v/>
      </c>
      <c r="H346" s="12"/>
      <c r="I346" s="14"/>
      <c r="J346" s="12"/>
      <c r="K346" s="15" t="str">
        <f aca="false">IF(OR($I346="",$J346=""),"",$I346+7*$J346-3)</f>
        <v/>
      </c>
      <c r="L346" s="12"/>
      <c r="M346" s="4"/>
      <c r="N346" s="12"/>
      <c r="O346" s="4"/>
      <c r="P346" s="12"/>
    </row>
    <row r="347" customFormat="false" ht="15" hidden="false" customHeight="false" outlineLevel="0" collapsed="false">
      <c r="A347" s="12"/>
      <c r="B347" s="12"/>
      <c r="C347" s="12"/>
      <c r="D347" s="4"/>
      <c r="E347" s="4"/>
      <c r="F347" s="12"/>
      <c r="G347" s="13" t="str">
        <f aca="false">IF($F347="","",IFERROR(INDEX(Lists!$B$4:$B$12,MATCH($F347,Lists!$A$4:$A$12,0)),""))</f>
        <v/>
      </c>
      <c r="H347" s="12"/>
      <c r="I347" s="14"/>
      <c r="J347" s="12"/>
      <c r="K347" s="15" t="str">
        <f aca="false">IF(OR($I347="",$J347=""),"",$I347+7*$J347-3)</f>
        <v/>
      </c>
      <c r="L347" s="12"/>
      <c r="M347" s="4"/>
      <c r="N347" s="12"/>
      <c r="O347" s="4"/>
      <c r="P347" s="12"/>
    </row>
    <row r="348" customFormat="false" ht="15" hidden="false" customHeight="false" outlineLevel="0" collapsed="false">
      <c r="A348" s="12"/>
      <c r="B348" s="12"/>
      <c r="C348" s="12"/>
      <c r="D348" s="4"/>
      <c r="E348" s="4"/>
      <c r="F348" s="12"/>
      <c r="G348" s="13" t="str">
        <f aca="false">IF($F348="","",IFERROR(INDEX(Lists!$B$4:$B$12,MATCH($F348,Lists!$A$4:$A$12,0)),""))</f>
        <v/>
      </c>
      <c r="H348" s="12"/>
      <c r="I348" s="14"/>
      <c r="J348" s="12"/>
      <c r="K348" s="15" t="str">
        <f aca="false">IF(OR($I348="",$J348=""),"",$I348+7*$J348-3)</f>
        <v/>
      </c>
      <c r="L348" s="12"/>
      <c r="M348" s="4"/>
      <c r="N348" s="12"/>
      <c r="O348" s="4"/>
      <c r="P348" s="12"/>
    </row>
    <row r="349" customFormat="false" ht="15" hidden="false" customHeight="false" outlineLevel="0" collapsed="false">
      <c r="A349" s="12"/>
      <c r="B349" s="12"/>
      <c r="C349" s="12"/>
      <c r="D349" s="4"/>
      <c r="E349" s="4"/>
      <c r="F349" s="12"/>
      <c r="G349" s="13" t="str">
        <f aca="false">IF($F349="","",IFERROR(INDEX(Lists!$B$4:$B$12,MATCH($F349,Lists!$A$4:$A$12,0)),""))</f>
        <v/>
      </c>
      <c r="H349" s="12"/>
      <c r="I349" s="14"/>
      <c r="J349" s="12"/>
      <c r="K349" s="15" t="str">
        <f aca="false">IF(OR($I349="",$J349=""),"",$I349+7*$J349-3)</f>
        <v/>
      </c>
      <c r="L349" s="12"/>
      <c r="M349" s="4"/>
      <c r="N349" s="12"/>
      <c r="O349" s="4"/>
      <c r="P349" s="12"/>
    </row>
    <row r="350" customFormat="false" ht="15" hidden="false" customHeight="false" outlineLevel="0" collapsed="false">
      <c r="A350" s="12"/>
      <c r="B350" s="12"/>
      <c r="C350" s="12"/>
      <c r="D350" s="4"/>
      <c r="E350" s="4"/>
      <c r="F350" s="12"/>
      <c r="G350" s="13" t="str">
        <f aca="false">IF($F350="","",IFERROR(INDEX(Lists!$B$4:$B$12,MATCH($F350,Lists!$A$4:$A$12,0)),""))</f>
        <v/>
      </c>
      <c r="H350" s="12"/>
      <c r="I350" s="14"/>
      <c r="J350" s="12"/>
      <c r="K350" s="15" t="str">
        <f aca="false">IF(OR($I350="",$J350=""),"",$I350+7*$J350-3)</f>
        <v/>
      </c>
      <c r="L350" s="12"/>
      <c r="M350" s="4"/>
      <c r="N350" s="12"/>
      <c r="O350" s="4"/>
      <c r="P350" s="12"/>
    </row>
    <row r="351" customFormat="false" ht="15" hidden="false" customHeight="false" outlineLevel="0" collapsed="false">
      <c r="A351" s="12"/>
      <c r="B351" s="12"/>
      <c r="C351" s="12"/>
      <c r="D351" s="4"/>
      <c r="E351" s="4"/>
      <c r="F351" s="12"/>
      <c r="G351" s="13" t="str">
        <f aca="false">IF($F351="","",IFERROR(INDEX(Lists!$B$4:$B$12,MATCH($F351,Lists!$A$4:$A$12,0)),""))</f>
        <v/>
      </c>
      <c r="H351" s="12"/>
      <c r="I351" s="14"/>
      <c r="J351" s="12"/>
      <c r="K351" s="15" t="str">
        <f aca="false">IF(OR($I351="",$J351=""),"",$I351+7*$J351-3)</f>
        <v/>
      </c>
      <c r="L351" s="12"/>
      <c r="M351" s="4"/>
      <c r="N351" s="12"/>
      <c r="O351" s="4"/>
      <c r="P351" s="12"/>
    </row>
    <row r="352" customFormat="false" ht="15" hidden="false" customHeight="false" outlineLevel="0" collapsed="false">
      <c r="A352" s="12"/>
      <c r="B352" s="12"/>
      <c r="C352" s="12"/>
      <c r="D352" s="4"/>
      <c r="E352" s="4"/>
      <c r="F352" s="12"/>
      <c r="G352" s="13" t="str">
        <f aca="false">IF($F352="","",IFERROR(INDEX(Lists!$B$4:$B$12,MATCH($F352,Lists!$A$4:$A$12,0)),""))</f>
        <v/>
      </c>
      <c r="H352" s="12"/>
      <c r="I352" s="14"/>
      <c r="J352" s="12"/>
      <c r="K352" s="15" t="str">
        <f aca="false">IF(OR($I352="",$J352=""),"",$I352+7*$J352-3)</f>
        <v/>
      </c>
      <c r="L352" s="12"/>
      <c r="M352" s="4"/>
      <c r="N352" s="12"/>
      <c r="O352" s="4"/>
      <c r="P352" s="12"/>
    </row>
    <row r="353" customFormat="false" ht="15" hidden="false" customHeight="false" outlineLevel="0" collapsed="false">
      <c r="A353" s="12"/>
      <c r="B353" s="12"/>
      <c r="C353" s="12"/>
      <c r="D353" s="4"/>
      <c r="E353" s="4"/>
      <c r="F353" s="12"/>
      <c r="G353" s="13" t="str">
        <f aca="false">IF($F353="","",IFERROR(INDEX(Lists!$B$4:$B$12,MATCH($F353,Lists!$A$4:$A$12,0)),""))</f>
        <v/>
      </c>
      <c r="H353" s="12"/>
      <c r="I353" s="14"/>
      <c r="J353" s="12"/>
      <c r="K353" s="15" t="str">
        <f aca="false">IF(OR($I353="",$J353=""),"",$I353+7*$J353-3)</f>
        <v/>
      </c>
      <c r="L353" s="12"/>
      <c r="M353" s="4"/>
      <c r="N353" s="12"/>
      <c r="O353" s="4"/>
      <c r="P353" s="12"/>
    </row>
    <row r="354" customFormat="false" ht="15" hidden="false" customHeight="false" outlineLevel="0" collapsed="false">
      <c r="A354" s="12"/>
      <c r="B354" s="12"/>
      <c r="C354" s="12"/>
      <c r="D354" s="4"/>
      <c r="E354" s="4"/>
      <c r="F354" s="12"/>
      <c r="G354" s="13" t="str">
        <f aca="false">IF($F354="","",IFERROR(INDEX(Lists!$B$4:$B$12,MATCH($F354,Lists!$A$4:$A$12,0)),""))</f>
        <v/>
      </c>
      <c r="H354" s="12"/>
      <c r="I354" s="14"/>
      <c r="J354" s="12"/>
      <c r="K354" s="15" t="str">
        <f aca="false">IF(OR($I354="",$J354=""),"",$I354+7*$J354-3)</f>
        <v/>
      </c>
      <c r="L354" s="12"/>
      <c r="M354" s="4"/>
      <c r="N354" s="12"/>
      <c r="O354" s="4"/>
      <c r="P354" s="12"/>
    </row>
    <row r="355" customFormat="false" ht="15" hidden="false" customHeight="false" outlineLevel="0" collapsed="false">
      <c r="A355" s="12"/>
      <c r="B355" s="12"/>
      <c r="C355" s="12"/>
      <c r="D355" s="4"/>
      <c r="E355" s="4"/>
      <c r="F355" s="12"/>
      <c r="G355" s="13" t="str">
        <f aca="false">IF($F355="","",IFERROR(INDEX(Lists!$B$4:$B$12,MATCH($F355,Lists!$A$4:$A$12,0)),""))</f>
        <v/>
      </c>
      <c r="H355" s="12"/>
      <c r="I355" s="14"/>
      <c r="J355" s="12"/>
      <c r="K355" s="15" t="str">
        <f aca="false">IF(OR($I355="",$J355=""),"",$I355+7*$J355-3)</f>
        <v/>
      </c>
      <c r="L355" s="12"/>
      <c r="M355" s="4"/>
      <c r="N355" s="12"/>
      <c r="O355" s="4"/>
      <c r="P355" s="12"/>
    </row>
    <row r="356" customFormat="false" ht="15" hidden="false" customHeight="false" outlineLevel="0" collapsed="false">
      <c r="A356" s="12"/>
      <c r="B356" s="12"/>
      <c r="C356" s="12"/>
      <c r="D356" s="4"/>
      <c r="E356" s="4"/>
      <c r="F356" s="12"/>
      <c r="G356" s="13" t="str">
        <f aca="false">IF($F356="","",IFERROR(INDEX(Lists!$B$4:$B$12,MATCH($F356,Lists!$A$4:$A$12,0)),""))</f>
        <v/>
      </c>
      <c r="H356" s="12"/>
      <c r="I356" s="14"/>
      <c r="J356" s="12"/>
      <c r="K356" s="15" t="str">
        <f aca="false">IF(OR($I356="",$J356=""),"",$I356+7*$J356-3)</f>
        <v/>
      </c>
      <c r="L356" s="12"/>
      <c r="M356" s="4"/>
      <c r="N356" s="12"/>
      <c r="O356" s="4"/>
      <c r="P356" s="12"/>
    </row>
    <row r="357" customFormat="false" ht="15" hidden="false" customHeight="false" outlineLevel="0" collapsed="false">
      <c r="A357" s="12"/>
      <c r="B357" s="12"/>
      <c r="C357" s="12"/>
      <c r="D357" s="4"/>
      <c r="E357" s="4"/>
      <c r="F357" s="12"/>
      <c r="G357" s="13" t="str">
        <f aca="false">IF($F357="","",IFERROR(INDEX(Lists!$B$4:$B$12,MATCH($F357,Lists!$A$4:$A$12,0)),""))</f>
        <v/>
      </c>
      <c r="H357" s="12"/>
      <c r="I357" s="14"/>
      <c r="J357" s="12"/>
      <c r="K357" s="15" t="str">
        <f aca="false">IF(OR($I357="",$J357=""),"",$I357+7*$J357-3)</f>
        <v/>
      </c>
      <c r="L357" s="12"/>
      <c r="M357" s="4"/>
      <c r="N357" s="12"/>
      <c r="O357" s="4"/>
      <c r="P357" s="12"/>
    </row>
    <row r="358" customFormat="false" ht="15" hidden="false" customHeight="false" outlineLevel="0" collapsed="false">
      <c r="A358" s="12"/>
      <c r="B358" s="12"/>
      <c r="C358" s="12"/>
      <c r="D358" s="4"/>
      <c r="E358" s="4"/>
      <c r="F358" s="12"/>
      <c r="G358" s="13" t="str">
        <f aca="false">IF($F358="","",IFERROR(INDEX(Lists!$B$4:$B$12,MATCH($F358,Lists!$A$4:$A$12,0)),""))</f>
        <v/>
      </c>
      <c r="H358" s="12"/>
      <c r="I358" s="14"/>
      <c r="J358" s="12"/>
      <c r="K358" s="15" t="str">
        <f aca="false">IF(OR($I358="",$J358=""),"",$I358+7*$J358-3)</f>
        <v/>
      </c>
      <c r="L358" s="12"/>
      <c r="M358" s="4"/>
      <c r="N358" s="12"/>
      <c r="O358" s="4"/>
      <c r="P358" s="12"/>
    </row>
    <row r="359" customFormat="false" ht="15" hidden="false" customHeight="false" outlineLevel="0" collapsed="false">
      <c r="A359" s="12"/>
      <c r="B359" s="12"/>
      <c r="C359" s="12"/>
      <c r="D359" s="4"/>
      <c r="E359" s="4"/>
      <c r="F359" s="12"/>
      <c r="G359" s="13" t="str">
        <f aca="false">IF($F359="","",IFERROR(INDEX(Lists!$B$4:$B$12,MATCH($F359,Lists!$A$4:$A$12,0)),""))</f>
        <v/>
      </c>
      <c r="H359" s="12"/>
      <c r="I359" s="14"/>
      <c r="J359" s="12"/>
      <c r="K359" s="15" t="str">
        <f aca="false">IF(OR($I359="",$J359=""),"",$I359+7*$J359-3)</f>
        <v/>
      </c>
      <c r="L359" s="12"/>
      <c r="M359" s="4"/>
      <c r="N359" s="12"/>
      <c r="O359" s="4"/>
      <c r="P359" s="12"/>
    </row>
    <row r="360" customFormat="false" ht="15" hidden="false" customHeight="false" outlineLevel="0" collapsed="false">
      <c r="A360" s="12"/>
      <c r="B360" s="12"/>
      <c r="C360" s="12"/>
      <c r="D360" s="4"/>
      <c r="E360" s="4"/>
      <c r="F360" s="12"/>
      <c r="G360" s="13" t="str">
        <f aca="false">IF($F360="","",IFERROR(INDEX(Lists!$B$4:$B$12,MATCH($F360,Lists!$A$4:$A$12,0)),""))</f>
        <v/>
      </c>
      <c r="H360" s="12"/>
      <c r="I360" s="14"/>
      <c r="J360" s="12"/>
      <c r="K360" s="15" t="str">
        <f aca="false">IF(OR($I360="",$J360=""),"",$I360+7*$J360-3)</f>
        <v/>
      </c>
      <c r="L360" s="12"/>
      <c r="M360" s="4"/>
      <c r="N360" s="12"/>
      <c r="O360" s="4"/>
      <c r="P360" s="12"/>
    </row>
    <row r="361" customFormat="false" ht="15" hidden="false" customHeight="false" outlineLevel="0" collapsed="false">
      <c r="A361" s="12"/>
      <c r="B361" s="12"/>
      <c r="C361" s="12"/>
      <c r="D361" s="4"/>
      <c r="E361" s="4"/>
      <c r="F361" s="12"/>
      <c r="G361" s="13" t="str">
        <f aca="false">IF($F361="","",IFERROR(INDEX(Lists!$B$4:$B$12,MATCH($F361,Lists!$A$4:$A$12,0)),""))</f>
        <v/>
      </c>
      <c r="H361" s="12"/>
      <c r="I361" s="14"/>
      <c r="J361" s="12"/>
      <c r="K361" s="15" t="str">
        <f aca="false">IF(OR($I361="",$J361=""),"",$I361+7*$J361-3)</f>
        <v/>
      </c>
      <c r="L361" s="12"/>
      <c r="M361" s="4"/>
      <c r="N361" s="12"/>
      <c r="O361" s="4"/>
      <c r="P361" s="12"/>
    </row>
    <row r="362" customFormat="false" ht="15" hidden="false" customHeight="false" outlineLevel="0" collapsed="false">
      <c r="A362" s="12"/>
      <c r="B362" s="12"/>
      <c r="C362" s="12"/>
      <c r="D362" s="4"/>
      <c r="E362" s="4"/>
      <c r="F362" s="12"/>
      <c r="G362" s="13" t="str">
        <f aca="false">IF($F362="","",IFERROR(INDEX(Lists!$B$4:$B$12,MATCH($F362,Lists!$A$4:$A$12,0)),""))</f>
        <v/>
      </c>
      <c r="H362" s="12"/>
      <c r="I362" s="14"/>
      <c r="J362" s="12"/>
      <c r="K362" s="15" t="str">
        <f aca="false">IF(OR($I362="",$J362=""),"",$I362+7*$J362-3)</f>
        <v/>
      </c>
      <c r="L362" s="12"/>
      <c r="M362" s="4"/>
      <c r="N362" s="12"/>
      <c r="O362" s="4"/>
      <c r="P362" s="12"/>
    </row>
    <row r="363" customFormat="false" ht="15" hidden="false" customHeight="false" outlineLevel="0" collapsed="false">
      <c r="A363" s="12"/>
      <c r="B363" s="12"/>
      <c r="C363" s="12"/>
      <c r="D363" s="4"/>
      <c r="E363" s="4"/>
      <c r="F363" s="12"/>
      <c r="G363" s="13" t="str">
        <f aca="false">IF($F363="","",IFERROR(INDEX(Lists!$B$4:$B$12,MATCH($F363,Lists!$A$4:$A$12,0)),""))</f>
        <v/>
      </c>
      <c r="H363" s="12"/>
      <c r="I363" s="14"/>
      <c r="J363" s="12"/>
      <c r="K363" s="15" t="str">
        <f aca="false">IF(OR($I363="",$J363=""),"",$I363+7*$J363-3)</f>
        <v/>
      </c>
      <c r="L363" s="12"/>
      <c r="M363" s="4"/>
      <c r="N363" s="12"/>
      <c r="O363" s="4"/>
      <c r="P363" s="12"/>
    </row>
    <row r="364" customFormat="false" ht="15" hidden="false" customHeight="false" outlineLevel="0" collapsed="false">
      <c r="A364" s="12"/>
      <c r="B364" s="12"/>
      <c r="C364" s="12"/>
      <c r="D364" s="4"/>
      <c r="E364" s="4"/>
      <c r="F364" s="12"/>
      <c r="G364" s="13" t="str">
        <f aca="false">IF($F364="","",IFERROR(INDEX(Lists!$B$4:$B$12,MATCH($F364,Lists!$A$4:$A$12,0)),""))</f>
        <v/>
      </c>
      <c r="H364" s="12"/>
      <c r="I364" s="14"/>
      <c r="J364" s="12"/>
      <c r="K364" s="15" t="str">
        <f aca="false">IF(OR($I364="",$J364=""),"",$I364+7*$J364-3)</f>
        <v/>
      </c>
      <c r="L364" s="12"/>
      <c r="M364" s="4"/>
      <c r="N364" s="12"/>
      <c r="O364" s="4"/>
      <c r="P364" s="12"/>
    </row>
    <row r="365" customFormat="false" ht="15" hidden="false" customHeight="false" outlineLevel="0" collapsed="false">
      <c r="A365" s="12"/>
      <c r="B365" s="12"/>
      <c r="C365" s="12"/>
      <c r="D365" s="4"/>
      <c r="E365" s="4"/>
      <c r="F365" s="12"/>
      <c r="G365" s="13" t="str">
        <f aca="false">IF($F365="","",IFERROR(INDEX(Lists!$B$4:$B$12,MATCH($F365,Lists!$A$4:$A$12,0)),""))</f>
        <v/>
      </c>
      <c r="H365" s="12"/>
      <c r="I365" s="14"/>
      <c r="J365" s="12"/>
      <c r="K365" s="15" t="str">
        <f aca="false">IF(OR($I365="",$J365=""),"",$I365+7*$J365-3)</f>
        <v/>
      </c>
      <c r="L365" s="12"/>
      <c r="M365" s="4"/>
      <c r="N365" s="12"/>
      <c r="O365" s="4"/>
      <c r="P365" s="12"/>
    </row>
    <row r="366" customFormat="false" ht="15" hidden="false" customHeight="false" outlineLevel="0" collapsed="false">
      <c r="A366" s="12"/>
      <c r="B366" s="12"/>
      <c r="C366" s="12"/>
      <c r="D366" s="4"/>
      <c r="E366" s="4"/>
      <c r="F366" s="12"/>
      <c r="G366" s="13" t="str">
        <f aca="false">IF($F366="","",IFERROR(INDEX(Lists!$B$4:$B$12,MATCH($F366,Lists!$A$4:$A$12,0)),""))</f>
        <v/>
      </c>
      <c r="H366" s="12"/>
      <c r="I366" s="14"/>
      <c r="J366" s="12"/>
      <c r="K366" s="15" t="str">
        <f aca="false">IF(OR($I366="",$J366=""),"",$I366+7*$J366-3)</f>
        <v/>
      </c>
      <c r="L366" s="12"/>
      <c r="M366" s="4"/>
      <c r="N366" s="12"/>
      <c r="O366" s="4"/>
      <c r="P366" s="12"/>
    </row>
    <row r="367" customFormat="false" ht="15" hidden="false" customHeight="false" outlineLevel="0" collapsed="false">
      <c r="A367" s="12"/>
      <c r="B367" s="12"/>
      <c r="C367" s="12"/>
      <c r="D367" s="4"/>
      <c r="E367" s="4"/>
      <c r="F367" s="12"/>
      <c r="G367" s="13" t="str">
        <f aca="false">IF($F367="","",IFERROR(INDEX(Lists!$B$4:$B$12,MATCH($F367,Lists!$A$4:$A$12,0)),""))</f>
        <v/>
      </c>
      <c r="H367" s="12"/>
      <c r="I367" s="14"/>
      <c r="J367" s="12"/>
      <c r="K367" s="15" t="str">
        <f aca="false">IF(OR($I367="",$J367=""),"",$I367+7*$J367-3)</f>
        <v/>
      </c>
      <c r="L367" s="12"/>
      <c r="M367" s="4"/>
      <c r="N367" s="12"/>
      <c r="O367" s="4"/>
      <c r="P367" s="12"/>
    </row>
    <row r="368" customFormat="false" ht="15" hidden="false" customHeight="false" outlineLevel="0" collapsed="false">
      <c r="A368" s="12"/>
      <c r="B368" s="12"/>
      <c r="C368" s="12"/>
      <c r="D368" s="4"/>
      <c r="E368" s="4"/>
      <c r="F368" s="12"/>
      <c r="G368" s="13" t="str">
        <f aca="false">IF($F368="","",IFERROR(INDEX(Lists!$B$4:$B$12,MATCH($F368,Lists!$A$4:$A$12,0)),""))</f>
        <v/>
      </c>
      <c r="H368" s="12"/>
      <c r="I368" s="14"/>
      <c r="J368" s="12"/>
      <c r="K368" s="15" t="str">
        <f aca="false">IF(OR($I368="",$J368=""),"",$I368+7*$J368-3)</f>
        <v/>
      </c>
      <c r="L368" s="12"/>
      <c r="M368" s="4"/>
      <c r="N368" s="12"/>
      <c r="O368" s="4"/>
      <c r="P368" s="12"/>
    </row>
    <row r="369" customFormat="false" ht="15" hidden="false" customHeight="false" outlineLevel="0" collapsed="false">
      <c r="A369" s="12"/>
      <c r="B369" s="12"/>
      <c r="C369" s="12"/>
      <c r="D369" s="4"/>
      <c r="E369" s="4"/>
      <c r="F369" s="12"/>
      <c r="G369" s="13" t="str">
        <f aca="false">IF($F369="","",IFERROR(INDEX(Lists!$B$4:$B$12,MATCH($F369,Lists!$A$4:$A$12,0)),""))</f>
        <v/>
      </c>
      <c r="H369" s="12"/>
      <c r="I369" s="14"/>
      <c r="J369" s="12"/>
      <c r="K369" s="15" t="str">
        <f aca="false">IF(OR($I369="",$J369=""),"",$I369+7*$J369-3)</f>
        <v/>
      </c>
      <c r="L369" s="12"/>
      <c r="M369" s="4"/>
      <c r="N369" s="12"/>
      <c r="O369" s="4"/>
      <c r="P369" s="12"/>
    </row>
    <row r="370" customFormat="false" ht="15" hidden="false" customHeight="false" outlineLevel="0" collapsed="false">
      <c r="A370" s="12"/>
      <c r="B370" s="12"/>
      <c r="C370" s="12"/>
      <c r="D370" s="4"/>
      <c r="E370" s="4"/>
      <c r="F370" s="12"/>
      <c r="G370" s="13" t="str">
        <f aca="false">IF($F370="","",IFERROR(INDEX(Lists!$B$4:$B$12,MATCH($F370,Lists!$A$4:$A$12,0)),""))</f>
        <v/>
      </c>
      <c r="H370" s="12"/>
      <c r="I370" s="14"/>
      <c r="J370" s="12"/>
      <c r="K370" s="15" t="str">
        <f aca="false">IF(OR($I370="",$J370=""),"",$I370+7*$J370-3)</f>
        <v/>
      </c>
      <c r="L370" s="12"/>
      <c r="M370" s="4"/>
      <c r="N370" s="12"/>
      <c r="O370" s="4"/>
      <c r="P370" s="12"/>
    </row>
    <row r="371" customFormat="false" ht="15" hidden="false" customHeight="false" outlineLevel="0" collapsed="false">
      <c r="A371" s="12"/>
      <c r="B371" s="12"/>
      <c r="C371" s="12"/>
      <c r="D371" s="4"/>
      <c r="E371" s="4"/>
      <c r="F371" s="12"/>
      <c r="G371" s="13" t="str">
        <f aca="false">IF($F371="","",IFERROR(INDEX(Lists!$B$4:$B$12,MATCH($F371,Lists!$A$4:$A$12,0)),""))</f>
        <v/>
      </c>
      <c r="H371" s="12"/>
      <c r="I371" s="14"/>
      <c r="J371" s="12"/>
      <c r="K371" s="15" t="str">
        <f aca="false">IF(OR($I371="",$J371=""),"",$I371+7*$J371-3)</f>
        <v/>
      </c>
      <c r="L371" s="12"/>
      <c r="M371" s="4"/>
      <c r="N371" s="12"/>
      <c r="O371" s="4"/>
      <c r="P371" s="12"/>
    </row>
    <row r="372" customFormat="false" ht="15" hidden="false" customHeight="false" outlineLevel="0" collapsed="false">
      <c r="A372" s="12"/>
      <c r="B372" s="12"/>
      <c r="C372" s="12"/>
      <c r="D372" s="4"/>
      <c r="E372" s="4"/>
      <c r="F372" s="12"/>
      <c r="G372" s="13" t="str">
        <f aca="false">IF($F372="","",IFERROR(INDEX(Lists!$B$4:$B$12,MATCH($F372,Lists!$A$4:$A$12,0)),""))</f>
        <v/>
      </c>
      <c r="H372" s="12"/>
      <c r="I372" s="14"/>
      <c r="J372" s="12"/>
      <c r="K372" s="15" t="str">
        <f aca="false">IF(OR($I372="",$J372=""),"",$I372+7*$J372-3)</f>
        <v/>
      </c>
      <c r="L372" s="12"/>
      <c r="M372" s="4"/>
      <c r="N372" s="12"/>
      <c r="O372" s="4"/>
      <c r="P372" s="12"/>
    </row>
    <row r="373" customFormat="false" ht="15" hidden="false" customHeight="false" outlineLevel="0" collapsed="false">
      <c r="A373" s="12"/>
      <c r="B373" s="12"/>
      <c r="C373" s="12"/>
      <c r="D373" s="4"/>
      <c r="E373" s="4"/>
      <c r="F373" s="12"/>
      <c r="G373" s="13" t="str">
        <f aca="false">IF($F373="","",IFERROR(INDEX(Lists!$B$4:$B$12,MATCH($F373,Lists!$A$4:$A$12,0)),""))</f>
        <v/>
      </c>
      <c r="H373" s="12"/>
      <c r="I373" s="14"/>
      <c r="J373" s="12"/>
      <c r="K373" s="15" t="str">
        <f aca="false">IF(OR($I373="",$J373=""),"",$I373+7*$J373-3)</f>
        <v/>
      </c>
      <c r="L373" s="12"/>
      <c r="M373" s="4"/>
      <c r="N373" s="12"/>
      <c r="O373" s="4"/>
      <c r="P373" s="12"/>
    </row>
    <row r="374" customFormat="false" ht="15" hidden="false" customHeight="false" outlineLevel="0" collapsed="false">
      <c r="A374" s="12"/>
      <c r="B374" s="12"/>
      <c r="C374" s="12"/>
      <c r="D374" s="4"/>
      <c r="E374" s="4"/>
      <c r="F374" s="12"/>
      <c r="G374" s="13" t="str">
        <f aca="false">IF($F374="","",IFERROR(INDEX(Lists!$B$4:$B$12,MATCH($F374,Lists!$A$4:$A$12,0)),""))</f>
        <v/>
      </c>
      <c r="H374" s="12"/>
      <c r="I374" s="14"/>
      <c r="J374" s="12"/>
      <c r="K374" s="15" t="str">
        <f aca="false">IF(OR($I374="",$J374=""),"",$I374+7*$J374-3)</f>
        <v/>
      </c>
      <c r="L374" s="12"/>
      <c r="M374" s="4"/>
      <c r="N374" s="12"/>
      <c r="O374" s="4"/>
      <c r="P374" s="12"/>
    </row>
    <row r="375" customFormat="false" ht="15" hidden="false" customHeight="false" outlineLevel="0" collapsed="false">
      <c r="A375" s="12"/>
      <c r="B375" s="12"/>
      <c r="C375" s="12"/>
      <c r="D375" s="4"/>
      <c r="E375" s="4"/>
      <c r="F375" s="12"/>
      <c r="G375" s="13" t="str">
        <f aca="false">IF($F375="","",IFERROR(INDEX(Lists!$B$4:$B$12,MATCH($F375,Lists!$A$4:$A$12,0)),""))</f>
        <v/>
      </c>
      <c r="H375" s="12"/>
      <c r="I375" s="14"/>
      <c r="J375" s="12"/>
      <c r="K375" s="15" t="str">
        <f aca="false">IF(OR($I375="",$J375=""),"",$I375+7*$J375-3)</f>
        <v/>
      </c>
      <c r="L375" s="12"/>
      <c r="M375" s="4"/>
      <c r="N375" s="12"/>
      <c r="O375" s="4"/>
      <c r="P375" s="12"/>
    </row>
    <row r="376" customFormat="false" ht="15" hidden="false" customHeight="false" outlineLevel="0" collapsed="false">
      <c r="A376" s="12"/>
      <c r="B376" s="12"/>
      <c r="C376" s="12"/>
      <c r="D376" s="4"/>
      <c r="E376" s="4"/>
      <c r="F376" s="12"/>
      <c r="G376" s="13" t="str">
        <f aca="false">IF($F376="","",IFERROR(INDEX(Lists!$B$4:$B$12,MATCH($F376,Lists!$A$4:$A$12,0)),""))</f>
        <v/>
      </c>
      <c r="H376" s="12"/>
      <c r="I376" s="14"/>
      <c r="J376" s="12"/>
      <c r="K376" s="15" t="str">
        <f aca="false">IF(OR($I376="",$J376=""),"",$I376+7*$J376-3)</f>
        <v/>
      </c>
      <c r="L376" s="12"/>
      <c r="M376" s="4"/>
      <c r="N376" s="12"/>
      <c r="O376" s="4"/>
      <c r="P376" s="12"/>
    </row>
    <row r="377" customFormat="false" ht="15" hidden="false" customHeight="false" outlineLevel="0" collapsed="false">
      <c r="A377" s="12"/>
      <c r="B377" s="12"/>
      <c r="C377" s="12"/>
      <c r="D377" s="4"/>
      <c r="E377" s="4"/>
      <c r="F377" s="12"/>
      <c r="G377" s="13" t="str">
        <f aca="false">IF($F377="","",IFERROR(INDEX(Lists!$B$4:$B$12,MATCH($F377,Lists!$A$4:$A$12,0)),""))</f>
        <v/>
      </c>
      <c r="H377" s="12"/>
      <c r="I377" s="14"/>
      <c r="J377" s="12"/>
      <c r="K377" s="15" t="str">
        <f aca="false">IF(OR($I377="",$J377=""),"",$I377+7*$J377-3)</f>
        <v/>
      </c>
      <c r="L377" s="12"/>
      <c r="M377" s="4"/>
      <c r="N377" s="12"/>
      <c r="O377" s="4"/>
      <c r="P377" s="12"/>
    </row>
    <row r="378" customFormat="false" ht="15" hidden="false" customHeight="false" outlineLevel="0" collapsed="false">
      <c r="A378" s="12"/>
      <c r="B378" s="12"/>
      <c r="C378" s="12"/>
      <c r="D378" s="4"/>
      <c r="E378" s="4"/>
      <c r="F378" s="12"/>
      <c r="G378" s="13" t="str">
        <f aca="false">IF($F378="","",IFERROR(INDEX(Lists!$B$4:$B$12,MATCH($F378,Lists!$A$4:$A$12,0)),""))</f>
        <v/>
      </c>
      <c r="H378" s="12"/>
      <c r="I378" s="14"/>
      <c r="J378" s="12"/>
      <c r="K378" s="15" t="str">
        <f aca="false">IF(OR($I378="",$J378=""),"",$I378+7*$J378-3)</f>
        <v/>
      </c>
      <c r="L378" s="12"/>
      <c r="M378" s="4"/>
      <c r="N378" s="12"/>
      <c r="O378" s="4"/>
      <c r="P378" s="12"/>
    </row>
    <row r="379" customFormat="false" ht="15" hidden="false" customHeight="false" outlineLevel="0" collapsed="false">
      <c r="A379" s="12"/>
      <c r="B379" s="12"/>
      <c r="C379" s="12"/>
      <c r="D379" s="4"/>
      <c r="E379" s="4"/>
      <c r="F379" s="12"/>
      <c r="G379" s="13" t="str">
        <f aca="false">IF($F379="","",IFERROR(INDEX(Lists!$B$4:$B$12,MATCH($F379,Lists!$A$4:$A$12,0)),""))</f>
        <v/>
      </c>
      <c r="H379" s="12"/>
      <c r="I379" s="14"/>
      <c r="J379" s="12"/>
      <c r="K379" s="15" t="str">
        <f aca="false">IF(OR($I379="",$J379=""),"",$I379+7*$J379-3)</f>
        <v/>
      </c>
      <c r="L379" s="12"/>
      <c r="M379" s="4"/>
      <c r="N379" s="12"/>
      <c r="O379" s="4"/>
      <c r="P379" s="12"/>
    </row>
    <row r="380" customFormat="false" ht="15" hidden="false" customHeight="false" outlineLevel="0" collapsed="false">
      <c r="A380" s="12"/>
      <c r="B380" s="12"/>
      <c r="C380" s="12"/>
      <c r="D380" s="4"/>
      <c r="E380" s="4"/>
      <c r="F380" s="12"/>
      <c r="G380" s="13" t="str">
        <f aca="false">IF($F380="","",IFERROR(INDEX(Lists!$B$4:$B$12,MATCH($F380,Lists!$A$4:$A$12,0)),""))</f>
        <v/>
      </c>
      <c r="H380" s="12"/>
      <c r="I380" s="14"/>
      <c r="J380" s="12"/>
      <c r="K380" s="15" t="str">
        <f aca="false">IF(OR($I380="",$J380=""),"",$I380+7*$J380-3)</f>
        <v/>
      </c>
      <c r="L380" s="12"/>
      <c r="M380" s="4"/>
      <c r="N380" s="12"/>
      <c r="O380" s="4"/>
      <c r="P380" s="12"/>
    </row>
    <row r="381" customFormat="false" ht="15" hidden="false" customHeight="false" outlineLevel="0" collapsed="false">
      <c r="A381" s="12"/>
      <c r="B381" s="12"/>
      <c r="C381" s="12"/>
      <c r="D381" s="4"/>
      <c r="E381" s="4"/>
      <c r="F381" s="12"/>
      <c r="G381" s="13" t="str">
        <f aca="false">IF($F381="","",IFERROR(INDEX(Lists!$B$4:$B$12,MATCH($F381,Lists!$A$4:$A$12,0)),""))</f>
        <v/>
      </c>
      <c r="H381" s="12"/>
      <c r="I381" s="14"/>
      <c r="J381" s="12"/>
      <c r="K381" s="15" t="str">
        <f aca="false">IF(OR($I381="",$J381=""),"",$I381+7*$J381-3)</f>
        <v/>
      </c>
      <c r="L381" s="12"/>
      <c r="M381" s="4"/>
      <c r="N381" s="12"/>
      <c r="O381" s="4"/>
      <c r="P381" s="12"/>
    </row>
    <row r="382" customFormat="false" ht="15" hidden="false" customHeight="false" outlineLevel="0" collapsed="false">
      <c r="A382" s="12"/>
      <c r="B382" s="12"/>
      <c r="C382" s="12"/>
      <c r="D382" s="4"/>
      <c r="E382" s="4"/>
      <c r="F382" s="12"/>
      <c r="G382" s="13" t="str">
        <f aca="false">IF($F382="","",IFERROR(INDEX(Lists!$B$4:$B$12,MATCH($F382,Lists!$A$4:$A$12,0)),""))</f>
        <v/>
      </c>
      <c r="H382" s="12"/>
      <c r="I382" s="14"/>
      <c r="J382" s="12"/>
      <c r="K382" s="15" t="str">
        <f aca="false">IF(OR($I382="",$J382=""),"",$I382+7*$J382-3)</f>
        <v/>
      </c>
      <c r="L382" s="12"/>
      <c r="M382" s="4"/>
      <c r="N382" s="12"/>
      <c r="O382" s="4"/>
      <c r="P382" s="12"/>
    </row>
    <row r="383" customFormat="false" ht="15" hidden="false" customHeight="false" outlineLevel="0" collapsed="false">
      <c r="A383" s="12"/>
      <c r="B383" s="12"/>
      <c r="C383" s="12"/>
      <c r="D383" s="4"/>
      <c r="E383" s="4"/>
      <c r="F383" s="12"/>
      <c r="G383" s="13" t="str">
        <f aca="false">IF($F383="","",IFERROR(INDEX(Lists!$B$4:$B$12,MATCH($F383,Lists!$A$4:$A$12,0)),""))</f>
        <v/>
      </c>
      <c r="H383" s="12"/>
      <c r="I383" s="14"/>
      <c r="J383" s="12"/>
      <c r="K383" s="15" t="str">
        <f aca="false">IF(OR($I383="",$J383=""),"",$I383+7*$J383-3)</f>
        <v/>
      </c>
      <c r="L383" s="12"/>
      <c r="M383" s="4"/>
      <c r="N383" s="12"/>
      <c r="O383" s="4"/>
      <c r="P383" s="12"/>
    </row>
    <row r="384" customFormat="false" ht="15" hidden="false" customHeight="false" outlineLevel="0" collapsed="false">
      <c r="A384" s="12"/>
      <c r="B384" s="12"/>
      <c r="C384" s="12"/>
      <c r="D384" s="4"/>
      <c r="E384" s="4"/>
      <c r="F384" s="12"/>
      <c r="G384" s="13" t="str">
        <f aca="false">IF($F384="","",IFERROR(INDEX(Lists!$B$4:$B$12,MATCH($F384,Lists!$A$4:$A$12,0)),""))</f>
        <v/>
      </c>
      <c r="H384" s="12"/>
      <c r="I384" s="14"/>
      <c r="J384" s="12"/>
      <c r="K384" s="15" t="str">
        <f aca="false">IF(OR($I384="",$J384=""),"",$I384+7*$J384-3)</f>
        <v/>
      </c>
      <c r="L384" s="12"/>
      <c r="M384" s="4"/>
      <c r="N384" s="12"/>
      <c r="O384" s="4"/>
      <c r="P384" s="12"/>
    </row>
    <row r="385" customFormat="false" ht="15" hidden="false" customHeight="false" outlineLevel="0" collapsed="false">
      <c r="A385" s="12"/>
      <c r="B385" s="12"/>
      <c r="C385" s="12"/>
      <c r="D385" s="4"/>
      <c r="E385" s="4"/>
      <c r="F385" s="12"/>
      <c r="G385" s="13" t="str">
        <f aca="false">IF($F385="","",IFERROR(INDEX(Lists!$B$4:$B$12,MATCH($F385,Lists!$A$4:$A$12,0)),""))</f>
        <v/>
      </c>
      <c r="H385" s="12"/>
      <c r="I385" s="14"/>
      <c r="J385" s="12"/>
      <c r="K385" s="15" t="str">
        <f aca="false">IF(OR($I385="",$J385=""),"",$I385+7*$J385-3)</f>
        <v/>
      </c>
      <c r="L385" s="12"/>
      <c r="M385" s="4"/>
      <c r="N385" s="12"/>
      <c r="O385" s="4"/>
      <c r="P385" s="12"/>
    </row>
    <row r="386" customFormat="false" ht="15" hidden="false" customHeight="false" outlineLevel="0" collapsed="false">
      <c r="A386" s="12"/>
      <c r="B386" s="12"/>
      <c r="C386" s="12"/>
      <c r="D386" s="4"/>
      <c r="E386" s="4"/>
      <c r="F386" s="12"/>
      <c r="G386" s="13" t="str">
        <f aca="false">IF($F386="","",IFERROR(INDEX(Lists!$B$4:$B$12,MATCH($F386,Lists!$A$4:$A$12,0)),""))</f>
        <v/>
      </c>
      <c r="H386" s="12"/>
      <c r="I386" s="14"/>
      <c r="J386" s="12"/>
      <c r="K386" s="15" t="str">
        <f aca="false">IF(OR($I386="",$J386=""),"",$I386+7*$J386-3)</f>
        <v/>
      </c>
      <c r="L386" s="12"/>
      <c r="M386" s="4"/>
      <c r="N386" s="12"/>
      <c r="O386" s="4"/>
      <c r="P386" s="12"/>
    </row>
    <row r="387" customFormat="false" ht="15" hidden="false" customHeight="false" outlineLevel="0" collapsed="false">
      <c r="A387" s="12"/>
      <c r="B387" s="12"/>
      <c r="C387" s="12"/>
      <c r="D387" s="4"/>
      <c r="E387" s="4"/>
      <c r="F387" s="12"/>
      <c r="G387" s="13" t="str">
        <f aca="false">IF($F387="","",IFERROR(INDEX(Lists!$B$4:$B$12,MATCH($F387,Lists!$A$4:$A$12,0)),""))</f>
        <v/>
      </c>
      <c r="H387" s="12"/>
      <c r="I387" s="14"/>
      <c r="J387" s="12"/>
      <c r="K387" s="15" t="str">
        <f aca="false">IF(OR($I387="",$J387=""),"",$I387+7*$J387-3)</f>
        <v/>
      </c>
      <c r="L387" s="12"/>
      <c r="M387" s="4"/>
      <c r="N387" s="12"/>
      <c r="O387" s="4"/>
      <c r="P387" s="12"/>
    </row>
    <row r="388" customFormat="false" ht="15" hidden="false" customHeight="false" outlineLevel="0" collapsed="false">
      <c r="A388" s="12"/>
      <c r="B388" s="12"/>
      <c r="C388" s="12"/>
      <c r="D388" s="4"/>
      <c r="E388" s="4"/>
      <c r="F388" s="12"/>
      <c r="G388" s="13" t="str">
        <f aca="false">IF($F388="","",IFERROR(INDEX(Lists!$B$4:$B$12,MATCH($F388,Lists!$A$4:$A$12,0)),""))</f>
        <v/>
      </c>
      <c r="H388" s="12"/>
      <c r="I388" s="14"/>
      <c r="J388" s="12"/>
      <c r="K388" s="15" t="str">
        <f aca="false">IF(OR($I388="",$J388=""),"",$I388+7*$J388-3)</f>
        <v/>
      </c>
      <c r="L388" s="12"/>
      <c r="M388" s="4"/>
      <c r="N388" s="12"/>
      <c r="O388" s="4"/>
      <c r="P388" s="12"/>
    </row>
    <row r="389" customFormat="false" ht="15" hidden="false" customHeight="false" outlineLevel="0" collapsed="false">
      <c r="A389" s="12"/>
      <c r="B389" s="12"/>
      <c r="C389" s="12"/>
      <c r="D389" s="4"/>
      <c r="E389" s="4"/>
      <c r="F389" s="12"/>
      <c r="G389" s="13" t="str">
        <f aca="false">IF($F389="","",IFERROR(INDEX(Lists!$B$4:$B$12,MATCH($F389,Lists!$A$4:$A$12,0)),""))</f>
        <v/>
      </c>
      <c r="H389" s="12"/>
      <c r="I389" s="14"/>
      <c r="J389" s="12"/>
      <c r="K389" s="15" t="str">
        <f aca="false">IF(OR($I389="",$J389=""),"",$I389+7*$J389-3)</f>
        <v/>
      </c>
      <c r="L389" s="12"/>
      <c r="M389" s="4"/>
      <c r="N389" s="12"/>
      <c r="O389" s="4"/>
      <c r="P389" s="12"/>
    </row>
    <row r="390" customFormat="false" ht="15" hidden="false" customHeight="false" outlineLevel="0" collapsed="false">
      <c r="A390" s="12"/>
      <c r="B390" s="12"/>
      <c r="C390" s="12"/>
      <c r="D390" s="4"/>
      <c r="E390" s="4"/>
      <c r="F390" s="12"/>
      <c r="G390" s="13" t="str">
        <f aca="false">IF($F390="","",IFERROR(INDEX(Lists!$B$4:$B$12,MATCH($F390,Lists!$A$4:$A$12,0)),""))</f>
        <v/>
      </c>
      <c r="H390" s="12"/>
      <c r="I390" s="14"/>
      <c r="J390" s="12"/>
      <c r="K390" s="15" t="str">
        <f aca="false">IF(OR($I390="",$J390=""),"",$I390+7*$J390-3)</f>
        <v/>
      </c>
      <c r="L390" s="12"/>
      <c r="M390" s="4"/>
      <c r="N390" s="12"/>
      <c r="O390" s="4"/>
      <c r="P390" s="12"/>
    </row>
    <row r="391" customFormat="false" ht="15" hidden="false" customHeight="false" outlineLevel="0" collapsed="false">
      <c r="A391" s="12"/>
      <c r="B391" s="12"/>
      <c r="C391" s="12"/>
      <c r="D391" s="4"/>
      <c r="E391" s="4"/>
      <c r="F391" s="12"/>
      <c r="G391" s="13" t="str">
        <f aca="false">IF($F391="","",IFERROR(INDEX(Lists!$B$4:$B$12,MATCH($F391,Lists!$A$4:$A$12,0)),""))</f>
        <v/>
      </c>
      <c r="H391" s="12"/>
      <c r="I391" s="14"/>
      <c r="J391" s="12"/>
      <c r="K391" s="15" t="str">
        <f aca="false">IF(OR($I391="",$J391=""),"",$I391+7*$J391-3)</f>
        <v/>
      </c>
      <c r="L391" s="12"/>
      <c r="M391" s="4"/>
      <c r="N391" s="12"/>
      <c r="O391" s="4"/>
      <c r="P391" s="12"/>
    </row>
    <row r="392" customFormat="false" ht="15" hidden="false" customHeight="false" outlineLevel="0" collapsed="false">
      <c r="A392" s="12"/>
      <c r="B392" s="12"/>
      <c r="C392" s="12"/>
      <c r="D392" s="4"/>
      <c r="E392" s="4"/>
      <c r="F392" s="12"/>
      <c r="G392" s="13" t="str">
        <f aca="false">IF($F392="","",IFERROR(INDEX(Lists!$B$4:$B$12,MATCH($F392,Lists!$A$4:$A$12,0)),""))</f>
        <v/>
      </c>
      <c r="H392" s="12"/>
      <c r="I392" s="14"/>
      <c r="J392" s="12"/>
      <c r="K392" s="15" t="str">
        <f aca="false">IF(OR($I392="",$J392=""),"",$I392+7*$J392-3)</f>
        <v/>
      </c>
      <c r="L392" s="12"/>
      <c r="M392" s="4"/>
      <c r="N392" s="12"/>
      <c r="O392" s="4"/>
      <c r="P392" s="12"/>
    </row>
    <row r="393" customFormat="false" ht="15" hidden="false" customHeight="false" outlineLevel="0" collapsed="false">
      <c r="A393" s="12"/>
      <c r="B393" s="12"/>
      <c r="C393" s="12"/>
      <c r="D393" s="4"/>
      <c r="E393" s="4"/>
      <c r="F393" s="12"/>
      <c r="G393" s="13" t="str">
        <f aca="false">IF($F393="","",IFERROR(INDEX(Lists!$B$4:$B$12,MATCH($F393,Lists!$A$4:$A$12,0)),""))</f>
        <v/>
      </c>
      <c r="H393" s="12"/>
      <c r="I393" s="14"/>
      <c r="J393" s="12"/>
      <c r="K393" s="15" t="str">
        <f aca="false">IF(OR($I393="",$J393=""),"",$I393+7*$J393-3)</f>
        <v/>
      </c>
      <c r="L393" s="12"/>
      <c r="M393" s="4"/>
      <c r="N393" s="12"/>
      <c r="O393" s="4"/>
      <c r="P393" s="12"/>
    </row>
    <row r="394" customFormat="false" ht="15" hidden="false" customHeight="false" outlineLevel="0" collapsed="false">
      <c r="A394" s="12"/>
      <c r="B394" s="12"/>
      <c r="C394" s="12"/>
      <c r="D394" s="4"/>
      <c r="E394" s="4"/>
      <c r="F394" s="12"/>
      <c r="G394" s="13" t="str">
        <f aca="false">IF($F394="","",IFERROR(INDEX(Lists!$B$4:$B$12,MATCH($F394,Lists!$A$4:$A$12,0)),""))</f>
        <v/>
      </c>
      <c r="H394" s="12"/>
      <c r="I394" s="14"/>
      <c r="J394" s="12"/>
      <c r="K394" s="15" t="str">
        <f aca="false">IF(OR($I394="",$J394=""),"",$I394+7*$J394-3)</f>
        <v/>
      </c>
      <c r="L394" s="12"/>
      <c r="M394" s="4"/>
      <c r="N394" s="12"/>
      <c r="O394" s="4"/>
      <c r="P394" s="12"/>
    </row>
    <row r="395" customFormat="false" ht="15" hidden="false" customHeight="false" outlineLevel="0" collapsed="false">
      <c r="A395" s="12"/>
      <c r="B395" s="12"/>
      <c r="C395" s="12"/>
      <c r="D395" s="4"/>
      <c r="E395" s="4"/>
      <c r="F395" s="12"/>
      <c r="G395" s="13" t="str">
        <f aca="false">IF($F395="","",IFERROR(INDEX(Lists!$B$4:$B$12,MATCH($F395,Lists!$A$4:$A$12,0)),""))</f>
        <v/>
      </c>
      <c r="H395" s="12"/>
      <c r="I395" s="14"/>
      <c r="J395" s="12"/>
      <c r="K395" s="15" t="str">
        <f aca="false">IF(OR($I395="",$J395=""),"",$I395+7*$J395-3)</f>
        <v/>
      </c>
      <c r="L395" s="12"/>
      <c r="M395" s="4"/>
      <c r="N395" s="12"/>
      <c r="O395" s="4"/>
      <c r="P395" s="12"/>
    </row>
    <row r="396" customFormat="false" ht="15" hidden="false" customHeight="false" outlineLevel="0" collapsed="false">
      <c r="A396" s="12"/>
      <c r="B396" s="12"/>
      <c r="C396" s="12"/>
      <c r="D396" s="4"/>
      <c r="E396" s="4"/>
      <c r="F396" s="12"/>
      <c r="G396" s="13" t="str">
        <f aca="false">IF($F396="","",IFERROR(INDEX(Lists!$B$4:$B$12,MATCH($F396,Lists!$A$4:$A$12,0)),""))</f>
        <v/>
      </c>
      <c r="H396" s="12"/>
      <c r="I396" s="14"/>
      <c r="J396" s="12"/>
      <c r="K396" s="15" t="str">
        <f aca="false">IF(OR($I396="",$J396=""),"",$I396+7*$J396-3)</f>
        <v/>
      </c>
      <c r="L396" s="12"/>
      <c r="M396" s="4"/>
      <c r="N396" s="12"/>
      <c r="O396" s="4"/>
      <c r="P396" s="12"/>
    </row>
    <row r="397" customFormat="false" ht="15" hidden="false" customHeight="false" outlineLevel="0" collapsed="false">
      <c r="A397" s="12"/>
      <c r="B397" s="12"/>
      <c r="C397" s="12"/>
      <c r="D397" s="4"/>
      <c r="E397" s="4"/>
      <c r="F397" s="12"/>
      <c r="G397" s="13" t="str">
        <f aca="false">IF($F397="","",IFERROR(INDEX(Lists!$B$4:$B$12,MATCH($F397,Lists!$A$4:$A$12,0)),""))</f>
        <v/>
      </c>
      <c r="H397" s="12"/>
      <c r="I397" s="14"/>
      <c r="J397" s="12"/>
      <c r="K397" s="15" t="str">
        <f aca="false">IF(OR($I397="",$J397=""),"",$I397+7*$J397-3)</f>
        <v/>
      </c>
      <c r="L397" s="12"/>
      <c r="M397" s="4"/>
      <c r="N397" s="12"/>
      <c r="O397" s="4"/>
      <c r="P397" s="12"/>
    </row>
    <row r="398" customFormat="false" ht="15" hidden="false" customHeight="false" outlineLevel="0" collapsed="false">
      <c r="A398" s="12"/>
      <c r="B398" s="12"/>
      <c r="C398" s="12"/>
      <c r="D398" s="4"/>
      <c r="E398" s="4"/>
      <c r="F398" s="12"/>
      <c r="G398" s="13" t="str">
        <f aca="false">IF($F398="","",IFERROR(INDEX(Lists!$B$4:$B$12,MATCH($F398,Lists!$A$4:$A$12,0)),""))</f>
        <v/>
      </c>
      <c r="H398" s="12"/>
      <c r="I398" s="14"/>
      <c r="J398" s="12"/>
      <c r="K398" s="15" t="str">
        <f aca="false">IF(OR($I398="",$J398=""),"",$I398+7*$J398-3)</f>
        <v/>
      </c>
      <c r="L398" s="12"/>
      <c r="M398" s="4"/>
      <c r="N398" s="12"/>
      <c r="O398" s="4"/>
      <c r="P398" s="12"/>
    </row>
    <row r="399" customFormat="false" ht="15" hidden="false" customHeight="false" outlineLevel="0" collapsed="false">
      <c r="A399" s="12"/>
      <c r="B399" s="12"/>
      <c r="C399" s="12"/>
      <c r="D399" s="4"/>
      <c r="E399" s="4"/>
      <c r="F399" s="12"/>
      <c r="G399" s="13" t="str">
        <f aca="false">IF($F399="","",IFERROR(INDEX(Lists!$B$4:$B$12,MATCH($F399,Lists!$A$4:$A$12,0)),""))</f>
        <v/>
      </c>
      <c r="H399" s="12"/>
      <c r="I399" s="14"/>
      <c r="J399" s="12"/>
      <c r="K399" s="15" t="str">
        <f aca="false">IF(OR($I399="",$J399=""),"",$I399+7*$J399-3)</f>
        <v/>
      </c>
      <c r="L399" s="12"/>
      <c r="M399" s="4"/>
      <c r="N399" s="12"/>
      <c r="O399" s="4"/>
      <c r="P399" s="12"/>
    </row>
    <row r="400" customFormat="false" ht="15" hidden="false" customHeight="false" outlineLevel="0" collapsed="false">
      <c r="A400" s="12"/>
      <c r="B400" s="12"/>
      <c r="C400" s="12"/>
      <c r="D400" s="4"/>
      <c r="E400" s="4"/>
      <c r="F400" s="12"/>
      <c r="G400" s="13" t="str">
        <f aca="false">IF($F400="","",IFERROR(INDEX(Lists!$B$4:$B$12,MATCH($F400,Lists!$A$4:$A$12,0)),""))</f>
        <v/>
      </c>
      <c r="H400" s="12"/>
      <c r="I400" s="14"/>
      <c r="J400" s="12"/>
      <c r="K400" s="15" t="str">
        <f aca="false">IF(OR($I400="",$J400=""),"",$I400+7*$J400-3)</f>
        <v/>
      </c>
      <c r="L400" s="12"/>
      <c r="M400" s="4"/>
      <c r="N400" s="12"/>
      <c r="O400" s="4"/>
      <c r="P400" s="12"/>
    </row>
    <row r="401" customFormat="false" ht="15" hidden="false" customHeight="false" outlineLevel="0" collapsed="false">
      <c r="A401" s="12"/>
      <c r="B401" s="12"/>
      <c r="C401" s="12"/>
      <c r="D401" s="4"/>
      <c r="E401" s="4"/>
      <c r="F401" s="12"/>
      <c r="G401" s="13" t="str">
        <f aca="false">IF($F401="","",IFERROR(INDEX(Lists!$B$4:$B$12,MATCH($F401,Lists!$A$4:$A$12,0)),""))</f>
        <v/>
      </c>
      <c r="H401" s="12"/>
      <c r="I401" s="14"/>
      <c r="J401" s="12"/>
      <c r="K401" s="15" t="str">
        <f aca="false">IF(OR($I401="",$J401=""),"",$I401+7*$J401-3)</f>
        <v/>
      </c>
      <c r="L401" s="12"/>
      <c r="M401" s="4"/>
      <c r="N401" s="12"/>
      <c r="O401" s="4"/>
      <c r="P401" s="12"/>
    </row>
    <row r="402" customFormat="false" ht="15" hidden="false" customHeight="false" outlineLevel="0" collapsed="false">
      <c r="A402" s="12"/>
      <c r="B402" s="12"/>
      <c r="C402" s="12"/>
      <c r="D402" s="4"/>
      <c r="E402" s="4"/>
      <c r="F402" s="12"/>
      <c r="G402" s="13" t="str">
        <f aca="false">IF($F402="","",IFERROR(INDEX(Lists!$B$4:$B$12,MATCH($F402,Lists!$A$4:$A$12,0)),""))</f>
        <v/>
      </c>
      <c r="H402" s="12"/>
      <c r="I402" s="14"/>
      <c r="J402" s="12"/>
      <c r="K402" s="15" t="str">
        <f aca="false">IF(OR($I402="",$J402=""),"",$I402+7*$J402-3)</f>
        <v/>
      </c>
      <c r="L402" s="12"/>
      <c r="M402" s="4"/>
      <c r="N402" s="12"/>
      <c r="O402" s="4"/>
      <c r="P402" s="12"/>
    </row>
    <row r="403" customFormat="false" ht="15" hidden="false" customHeight="false" outlineLevel="0" collapsed="false">
      <c r="A403" s="12"/>
      <c r="B403" s="12"/>
      <c r="C403" s="12"/>
      <c r="D403" s="4"/>
      <c r="E403" s="4"/>
      <c r="F403" s="12"/>
      <c r="G403" s="13" t="str">
        <f aca="false">IF($F403="","",IFERROR(INDEX(Lists!$B$4:$B$12,MATCH($F403,Lists!$A$4:$A$12,0)),""))</f>
        <v/>
      </c>
      <c r="H403" s="12"/>
      <c r="I403" s="14"/>
      <c r="J403" s="12"/>
      <c r="K403" s="15" t="str">
        <f aca="false">IF(OR($I403="",$J403=""),"",$I403+7*$J403-3)</f>
        <v/>
      </c>
      <c r="L403" s="12"/>
      <c r="M403" s="4"/>
      <c r="N403" s="12"/>
      <c r="O403" s="4"/>
      <c r="P403" s="12"/>
    </row>
  </sheetData>
  <autoFilter ref="A3:P403"/>
  <conditionalFormatting sqref="H4:H403">
    <cfRule type="expression" priority="2" aboveAverage="0" equalAverage="0" bottom="0" percent="0" rank="0" text="" dxfId="10">
      <formula>H4="Not Started"</formula>
    </cfRule>
    <cfRule type="expression" priority="3" aboveAverage="0" equalAverage="0" bottom="0" percent="0" rank="0" text="" dxfId="11">
      <formula>H4="In Progress"</formula>
    </cfRule>
    <cfRule type="expression" priority="4" aboveAverage="0" equalAverage="0" bottom="0" percent="0" rank="0" text="" dxfId="12">
      <formula>H4="Blocked"</formula>
    </cfRule>
    <cfRule type="expression" priority="5" aboveAverage="0" equalAverage="0" bottom="0" percent="0" rank="0" text="" dxfId="13">
      <formula>H4="Complete"</formula>
    </cfRule>
    <cfRule type="expression" priority="6" aboveAverage="0" equalAverage="0" bottom="0" percent="0" rank="0" text="" dxfId="14">
      <formula>H4="Partially Completed"</formula>
    </cfRule>
  </conditionalFormatting>
  <conditionalFormatting sqref="K4:K403">
    <cfRule type="expression" priority="7" aboveAverage="0" equalAverage="0" bottom="0" percent="0" rank="0" text="" dxfId="15">
      <formula>AND(ISNUMBER($K4),$K4&lt;TODAY(),$H4&lt;&gt;"Complete")</formula>
    </cfRule>
  </conditionalFormatting>
  <conditionalFormatting sqref="A4:G403 I4:P403">
    <cfRule type="expression" priority="8" aboveAverage="0" equalAverage="0" bottom="0" percent="0" rank="0" text="" dxfId="16">
      <formula>AND($A4&lt;&gt;"",ISERROR(FIND(".",$A4)))</formula>
    </cfRule>
  </conditionalFormatting>
  <dataValidations count="4">
    <dataValidation allowBlank="true" errorStyle="stop" operator="between" showDropDown="false" showErrorMessage="false" showInputMessage="false" sqref="H4:H403" type="list">
      <formula1>"Not Started,In Progress,Blocked,Complete,Partially Completed"</formula1>
      <formula2>0</formula2>
    </dataValidation>
    <dataValidation allowBlank="true" errorStyle="stop" operator="between" showDropDown="false" showErrorMessage="false" showInputMessage="false" sqref="B4:B403" type="list">
      <formula1>"G1 ED305 live digital twin,G2 SCooP dataset &amp; paper,Shared SCooP testbed,Dual-Link Communication,Semantic Communication"</formula1>
      <formula2>0</formula2>
    </dataValidation>
    <dataValidation allowBlank="true" errorStyle="stop" operator="between" showDropDown="false" showErrorMessage="false" showInputMessage="false" sqref="F4:F403" type="list">
      <formula1>"Sensors &amp; platform,GS-SLAM,Scene detection,Isaac Sim,Sionna RT,SCooP dataset,Dual-link comms,Semantic comms,All (integration)"</formula1>
      <formula2>0</formula2>
    </dataValidation>
    <dataValidation allowBlank="true" errorStyle="stop" operator="between" showDropDown="false" showErrorMessage="false" showInputMessage="false" sqref="J4:J403" type="whole">
      <formula1>1</formula1>
      <formula2>104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A4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4" topLeftCell="G5" activePane="bottomRight" state="frozen"/>
      <selection pane="topLeft" activeCell="A1" activeCellId="0" sqref="A1"/>
      <selection pane="topRight" activeCell="G1" activeCellId="0" sqref="G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6" min="5" style="0" width="9"/>
    <col collapsed="false" customWidth="true" hidden="false" outlineLevel="0" max="50" min="7" style="0" width="3.61"/>
    <col collapsed="false" customWidth="true" hidden="false" outlineLevel="0" max="52" min="52" style="0" width="3"/>
    <col collapsed="false" customWidth="true" hidden="false" outlineLevel="0" max="53" min="53" style="0" width="22"/>
  </cols>
  <sheetData>
    <row r="1" customFormat="false" ht="17.35" hidden="false" customHeight="false" outlineLevel="0" collapsed="false">
      <c r="A1" s="1" t="s">
        <v>5</v>
      </c>
    </row>
    <row r="2" customFormat="false" ht="15" hidden="false" customHeight="false" outlineLevel="0" collapsed="false">
      <c r="A2" s="16" t="s">
        <v>561</v>
      </c>
      <c r="B2" s="16"/>
      <c r="C2" s="17" t="n">
        <v>46195</v>
      </c>
      <c r="E2" s="5" t="s">
        <v>562</v>
      </c>
      <c r="F2" s="18" t="n">
        <f aca="true">TODAY()</f>
        <v>46302</v>
      </c>
    </row>
    <row r="4" customFormat="false" ht="42" hidden="false" customHeight="true" outlineLevel="0" collapsed="false">
      <c r="A4" s="19" t="s">
        <v>83</v>
      </c>
      <c r="B4" s="19" t="s">
        <v>85</v>
      </c>
      <c r="C4" s="19" t="s">
        <v>563</v>
      </c>
      <c r="D4" s="19" t="s">
        <v>87</v>
      </c>
      <c r="E4" s="19" t="s">
        <v>88</v>
      </c>
      <c r="F4" s="19" t="s">
        <v>90</v>
      </c>
      <c r="G4" s="20" t="n">
        <f aca="false">$C$2+7*0</f>
        <v>46195</v>
      </c>
      <c r="H4" s="20" t="n">
        <f aca="false">$C$2+7*1</f>
        <v>46202</v>
      </c>
      <c r="I4" s="20" t="n">
        <f aca="false">$C$2+7*2</f>
        <v>46209</v>
      </c>
      <c r="J4" s="20" t="n">
        <f aca="false">$C$2+7*3</f>
        <v>46216</v>
      </c>
      <c r="K4" s="20" t="n">
        <f aca="false">$C$2+7*4</f>
        <v>46223</v>
      </c>
      <c r="L4" s="20" t="n">
        <f aca="false">$C$2+7*5</f>
        <v>46230</v>
      </c>
      <c r="M4" s="20" t="n">
        <f aca="false">$C$2+7*6</f>
        <v>46237</v>
      </c>
      <c r="N4" s="20" t="n">
        <f aca="false">$C$2+7*7</f>
        <v>46244</v>
      </c>
      <c r="O4" s="20" t="n">
        <f aca="false">$C$2+7*8</f>
        <v>46251</v>
      </c>
      <c r="P4" s="20" t="n">
        <f aca="false">$C$2+7*9</f>
        <v>46258</v>
      </c>
      <c r="Q4" s="20" t="n">
        <f aca="false">$C$2+7*10</f>
        <v>46265</v>
      </c>
      <c r="R4" s="20" t="n">
        <f aca="false">$C$2+7*11</f>
        <v>46272</v>
      </c>
      <c r="S4" s="20" t="n">
        <f aca="false">$C$2+7*12</f>
        <v>46279</v>
      </c>
      <c r="T4" s="20" t="n">
        <f aca="false">$C$2+7*13</f>
        <v>46286</v>
      </c>
      <c r="U4" s="20" t="n">
        <f aca="false">$C$2+7*14</f>
        <v>46293</v>
      </c>
      <c r="V4" s="20" t="n">
        <f aca="false">$C$2+7*15</f>
        <v>46300</v>
      </c>
      <c r="W4" s="20" t="n">
        <f aca="false">$C$2+7*16</f>
        <v>46307</v>
      </c>
      <c r="X4" s="20" t="n">
        <f aca="false">$C$2+7*17</f>
        <v>46314</v>
      </c>
      <c r="Y4" s="20" t="n">
        <f aca="false">$C$2+7*18</f>
        <v>46321</v>
      </c>
      <c r="Z4" s="20" t="n">
        <f aca="false">$C$2+7*19</f>
        <v>46328</v>
      </c>
      <c r="AA4" s="20" t="n">
        <f aca="false">$C$2+7*20</f>
        <v>46335</v>
      </c>
      <c r="AB4" s="20" t="n">
        <f aca="false">$C$2+7*21</f>
        <v>46342</v>
      </c>
      <c r="AC4" s="20" t="n">
        <f aca="false">$C$2+7*22</f>
        <v>46349</v>
      </c>
      <c r="AD4" s="20" t="n">
        <f aca="false">$C$2+7*23</f>
        <v>46356</v>
      </c>
      <c r="AE4" s="20" t="n">
        <f aca="false">$C$2+7*24</f>
        <v>46363</v>
      </c>
      <c r="AF4" s="20" t="n">
        <f aca="false">$C$2+7*25</f>
        <v>46370</v>
      </c>
      <c r="AG4" s="20" t="n">
        <f aca="false">$C$2+7*26</f>
        <v>46377</v>
      </c>
      <c r="AH4" s="20" t="n">
        <f aca="false">$C$2+7*27</f>
        <v>46384</v>
      </c>
      <c r="AI4" s="20" t="n">
        <f aca="false">$C$2+7*28</f>
        <v>46391</v>
      </c>
      <c r="AJ4" s="20" t="n">
        <f aca="false">$C$2+7*29</f>
        <v>46398</v>
      </c>
      <c r="AK4" s="20" t="n">
        <f aca="false">$C$2+7*30</f>
        <v>46405</v>
      </c>
      <c r="AL4" s="20" t="n">
        <f aca="false">$C$2+7*31</f>
        <v>46412</v>
      </c>
      <c r="AM4" s="20" t="n">
        <f aca="false">$C$2+7*32</f>
        <v>46419</v>
      </c>
      <c r="AN4" s="20" t="n">
        <f aca="false">$C$2+7*33</f>
        <v>46426</v>
      </c>
      <c r="AO4" s="20" t="n">
        <f aca="false">$C$2+7*34</f>
        <v>46433</v>
      </c>
      <c r="AP4" s="20" t="n">
        <f aca="false">$C$2+7*35</f>
        <v>46440</v>
      </c>
      <c r="AQ4" s="20" t="n">
        <f aca="false">$C$2+7*36</f>
        <v>46447</v>
      </c>
      <c r="AR4" s="20" t="n">
        <f aca="false">$C$2+7*37</f>
        <v>46454</v>
      </c>
      <c r="AS4" s="20" t="n">
        <f aca="false">$C$2+7*38</f>
        <v>46461</v>
      </c>
      <c r="AT4" s="20" t="n">
        <f aca="false">$C$2+7*39</f>
        <v>46468</v>
      </c>
      <c r="AU4" s="20" t="n">
        <f aca="false">$C$2+7*40</f>
        <v>46475</v>
      </c>
      <c r="AV4" s="20" t="n">
        <f aca="false">$C$2+7*41</f>
        <v>46482</v>
      </c>
      <c r="AW4" s="20" t="n">
        <f aca="false">$C$2+7*42</f>
        <v>46489</v>
      </c>
      <c r="AX4" s="20" t="n">
        <f aca="false">$C$2+7*43</f>
        <v>46496</v>
      </c>
      <c r="BA4" s="5" t="s">
        <v>564</v>
      </c>
    </row>
    <row r="5" customFormat="false" ht="15" hidden="false" customHeight="false" outlineLevel="0" collapsed="false">
      <c r="A5" s="21" t="str">
        <f aca="false">IF(INDEX(Tasks!$A:$A,ROW()-1)="","",INDEX(Tasks!$A:$A,ROW()-1))</f>
        <v>TB-1</v>
      </c>
      <c r="B5" s="21" t="str">
        <f aca="false">IF(INDEX(Tasks!$A:$A,ROW()-1)="","",IF(ISERROR(FIND(".",INDEX(Tasks!$A:$A,ROW()-1))),"","   ")&amp;INDEX(Tasks!$D:$D,ROW()-1))</f>
        <v>Hardware inventory &amp; specs</v>
      </c>
      <c r="C5" s="21" t="str">
        <f aca="false">IF(INDEX(Tasks!$G:$G,ROW()-1)="","",INDEX(Tasks!$G:$G,ROW()-1))</f>
        <v>TBD</v>
      </c>
      <c r="D5" s="21" t="str">
        <f aca="false">IF(INDEX(Tasks!$H:$H,ROW()-1)="","",INDEX(Tasks!$H:$H,ROW()-1))</f>
        <v>Not Started</v>
      </c>
      <c r="E5" s="22" t="n">
        <f aca="false">IF(INDEX(Tasks!$I:$I,ROW()-1)="","",INDEX(Tasks!$I:$I,ROW()-1))</f>
        <v>46307</v>
      </c>
      <c r="F5" s="22" t="n">
        <f aca="false">IF(INDEX(Tasks!$K:$K,ROW()-1)="","",INDEX(Tasks!$K:$K,ROW()-1))</f>
        <v>46318</v>
      </c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Z5" s="24"/>
      <c r="BA5" s="21" t="s">
        <v>47</v>
      </c>
    </row>
    <row r="6" customFormat="false" ht="15" hidden="false" customHeight="false" outlineLevel="0" collapsed="false">
      <c r="A6" s="21" t="str">
        <f aca="false">IF(INDEX(Tasks!$A:$A,ROW()-1)="","",INDEX(Tasks!$A:$A,ROW()-1))</f>
        <v>TB-2</v>
      </c>
      <c r="B6" s="21" t="str">
        <f aca="false">IF(INDEX(Tasks!$A:$A,ROW()-1)="","",IF(ISERROR(FIND(".",INDEX(Tasks!$A:$A,ROW()-1))),"","   ")&amp;INDEX(Tasks!$D:$D,ROW()-1))</f>
        <v>Sensor calibration (all units)</v>
      </c>
      <c r="C6" s="21" t="str">
        <f aca="false">IF(INDEX(Tasks!$G:$G,ROW()-1)="","",INDEX(Tasks!$G:$G,ROW()-1))</f>
        <v>TBD</v>
      </c>
      <c r="D6" s="21" t="str">
        <f aca="false">IF(INDEX(Tasks!$H:$H,ROW()-1)="","",INDEX(Tasks!$H:$H,ROW()-1))</f>
        <v>In Progress</v>
      </c>
      <c r="E6" s="22" t="n">
        <f aca="false">IF(INDEX(Tasks!$I:$I,ROW()-1)="","",INDEX(Tasks!$I:$I,ROW()-1))</f>
        <v>46195</v>
      </c>
      <c r="F6" s="22" t="n">
        <f aca="false">IF(INDEX(Tasks!$K:$K,ROW()-1)="","",INDEX(Tasks!$K:$K,ROW()-1))</f>
        <v>46206</v>
      </c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Z6" s="25"/>
      <c r="BA6" s="21" t="s">
        <v>45</v>
      </c>
    </row>
    <row r="7" customFormat="false" ht="15" hidden="false" customHeight="false" outlineLevel="0" collapsed="false">
      <c r="A7" s="21" t="str">
        <f aca="false">IF(INDEX(Tasks!$A:$A,ROW()-1)="","",INDEX(Tasks!$A:$A,ROW()-1))</f>
        <v>TB-2.1</v>
      </c>
      <c r="B7" s="21" t="str">
        <f aca="false">IF(INDEX(Tasks!$A:$A,ROW()-1)="","",IF(ISERROR(FIND(".",INDEX(Tasks!$A:$A,ROW()-1))),"","   ")&amp;INDEX(Tasks!$D:$D,ROW()-1))</f>
        <v>   Sensor Calibration (LiDAR-Camera, LiDAR-IMU, Camera-Radar, Intrinsics, Realsense-Zed, Mobile-Infra Extrinsics)</v>
      </c>
      <c r="C7" s="21" t="str">
        <f aca="false">IF(INDEX(Tasks!$G:$G,ROW()-1)="","",INDEX(Tasks!$G:$G,ROW()-1))</f>
        <v>TBD</v>
      </c>
      <c r="D7" s="21" t="str">
        <f aca="false">IF(INDEX(Tasks!$H:$H,ROW()-1)="","",INDEX(Tasks!$H:$H,ROW()-1))</f>
        <v>In Progress</v>
      </c>
      <c r="E7" s="22" t="n">
        <f aca="false">IF(INDEX(Tasks!$I:$I,ROW()-1)="","",INDEX(Tasks!$I:$I,ROW()-1))</f>
        <v>46195</v>
      </c>
      <c r="F7" s="22" t="n">
        <f aca="false">IF(INDEX(Tasks!$K:$K,ROW()-1)="","",INDEX(Tasks!$K:$K,ROW()-1))</f>
        <v>46206</v>
      </c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Z7" s="26"/>
      <c r="BA7" s="21" t="s">
        <v>48</v>
      </c>
    </row>
    <row r="8" customFormat="false" ht="15" hidden="false" customHeight="false" outlineLevel="0" collapsed="false">
      <c r="A8" s="21" t="str">
        <f aca="false">IF(INDEX(Tasks!$A:$A,ROW()-1)="","",INDEX(Tasks!$A:$A,ROW()-1))</f>
        <v>TB-2.2</v>
      </c>
      <c r="B8" s="21" t="str">
        <f aca="false">IF(INDEX(Tasks!$A:$A,ROW()-1)="","",IF(ISERROR(FIND(".",INDEX(Tasks!$A:$A,ROW()-1))),"","   ")&amp;INDEX(Tasks!$D:$D,ROW()-1))</f>
        <v>   Calibration: LiDAR - Camera</v>
      </c>
      <c r="C8" s="21" t="str">
        <f aca="false">IF(INDEX(Tasks!$G:$G,ROW()-1)="","",INDEX(Tasks!$G:$G,ROW()-1))</f>
        <v>TBD</v>
      </c>
      <c r="D8" s="21" t="str">
        <f aca="false">IF(INDEX(Tasks!$H:$H,ROW()-1)="","",INDEX(Tasks!$H:$H,ROW()-1))</f>
        <v/>
      </c>
      <c r="E8" s="22" t="str">
        <f aca="false">IF(INDEX(Tasks!$I:$I,ROW()-1)="","",INDEX(Tasks!$I:$I,ROW()-1))</f>
        <v/>
      </c>
      <c r="F8" s="22" t="str">
        <f aca="false">IF(INDEX(Tasks!$K:$K,ROW()-1)="","",INDEX(Tasks!$K:$K,ROW()-1))</f>
        <v/>
      </c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Z8" s="27"/>
      <c r="BA8" s="21" t="s">
        <v>46</v>
      </c>
    </row>
    <row r="9" customFormat="false" ht="15" hidden="false" customHeight="false" outlineLevel="0" collapsed="false">
      <c r="A9" s="21" t="str">
        <f aca="false">IF(INDEX(Tasks!$A:$A,ROW()-1)="","",INDEX(Tasks!$A:$A,ROW()-1))</f>
        <v>TB-2.3</v>
      </c>
      <c r="B9" s="21" t="str">
        <f aca="false">IF(INDEX(Tasks!$A:$A,ROW()-1)="","",IF(ISERROR(FIND(".",INDEX(Tasks!$A:$A,ROW()-1))),"","   ")&amp;INDEX(Tasks!$D:$D,ROW()-1))</f>
        <v>   Calibration: LiDAR - IMU</v>
      </c>
      <c r="C9" s="21" t="str">
        <f aca="false">IF(INDEX(Tasks!$G:$G,ROW()-1)="","",INDEX(Tasks!$G:$G,ROW()-1))</f>
        <v>TBD</v>
      </c>
      <c r="D9" s="21" t="str">
        <f aca="false">IF(INDEX(Tasks!$H:$H,ROW()-1)="","",INDEX(Tasks!$H:$H,ROW()-1))</f>
        <v/>
      </c>
      <c r="E9" s="22" t="str">
        <f aca="false">IF(INDEX(Tasks!$I:$I,ROW()-1)="","",INDEX(Tasks!$I:$I,ROW()-1))</f>
        <v/>
      </c>
      <c r="F9" s="22" t="str">
        <f aca="false">IF(INDEX(Tasks!$K:$K,ROW()-1)="","",INDEX(Tasks!$K:$K,ROW()-1))</f>
        <v/>
      </c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Z9" s="28"/>
      <c r="BA9" s="21" t="s">
        <v>44</v>
      </c>
    </row>
    <row r="10" customFormat="false" ht="15" hidden="false" customHeight="false" outlineLevel="0" collapsed="false">
      <c r="A10" s="21" t="str">
        <f aca="false">IF(INDEX(Tasks!$A:$A,ROW()-1)="","",INDEX(Tasks!$A:$A,ROW()-1))</f>
        <v>TB-2.4</v>
      </c>
      <c r="B10" s="21" t="str">
        <f aca="false">IF(INDEX(Tasks!$A:$A,ROW()-1)="","",IF(ISERROR(FIND(".",INDEX(Tasks!$A:$A,ROW()-1))),"","   ")&amp;INDEX(Tasks!$D:$D,ROW()-1))</f>
        <v>   Calibration: RealSense - ZED</v>
      </c>
      <c r="C10" s="21" t="str">
        <f aca="false">IF(INDEX(Tasks!$G:$G,ROW()-1)="","",INDEX(Tasks!$G:$G,ROW()-1))</f>
        <v>TBD</v>
      </c>
      <c r="D10" s="21" t="str">
        <f aca="false">IF(INDEX(Tasks!$H:$H,ROW()-1)="","",INDEX(Tasks!$H:$H,ROW()-1))</f>
        <v/>
      </c>
      <c r="E10" s="22" t="str">
        <f aca="false">IF(INDEX(Tasks!$I:$I,ROW()-1)="","",INDEX(Tasks!$I:$I,ROW()-1))</f>
        <v/>
      </c>
      <c r="F10" s="22" t="str">
        <f aca="false">IF(INDEX(Tasks!$K:$K,ROW()-1)="","",INDEX(Tasks!$K:$K,ROW()-1))</f>
        <v/>
      </c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Z10" s="29"/>
      <c r="BA10" s="21" t="s">
        <v>254</v>
      </c>
    </row>
    <row r="11" customFormat="false" ht="15" hidden="false" customHeight="false" outlineLevel="0" collapsed="false">
      <c r="A11" s="21" t="str">
        <f aca="false">IF(INDEX(Tasks!$A:$A,ROW()-1)="","",INDEX(Tasks!$A:$A,ROW()-1))</f>
        <v>TB-2.5</v>
      </c>
      <c r="B11" s="21" t="str">
        <f aca="false">IF(INDEX(Tasks!$A:$A,ROW()-1)="","",IF(ISERROR(FIND(".",INDEX(Tasks!$A:$A,ROW()-1))),"","   ")&amp;INDEX(Tasks!$D:$D,ROW()-1))</f>
        <v>   Calibration: ZED - Arducam</v>
      </c>
      <c r="C11" s="21" t="str">
        <f aca="false">IF(INDEX(Tasks!$G:$G,ROW()-1)="","",INDEX(Tasks!$G:$G,ROW()-1))</f>
        <v>TBD</v>
      </c>
      <c r="D11" s="21" t="str">
        <f aca="false">IF(INDEX(Tasks!$H:$H,ROW()-1)="","",INDEX(Tasks!$H:$H,ROW()-1))</f>
        <v/>
      </c>
      <c r="E11" s="22" t="str">
        <f aca="false">IF(INDEX(Tasks!$I:$I,ROW()-1)="","",INDEX(Tasks!$I:$I,ROW()-1))</f>
        <v/>
      </c>
      <c r="F11" s="22" t="str">
        <f aca="false">IF(INDEX(Tasks!$K:$K,ROW()-1)="","",INDEX(Tasks!$K:$K,ROW()-1))</f>
        <v/>
      </c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Z11" s="30"/>
      <c r="BA11" s="21" t="s">
        <v>565</v>
      </c>
    </row>
    <row r="12" customFormat="false" ht="15" hidden="false" customHeight="false" outlineLevel="0" collapsed="false">
      <c r="A12" s="21" t="str">
        <f aca="false">IF(INDEX(Tasks!$A:$A,ROW()-1)="","",INDEX(Tasks!$A:$A,ROW()-1))</f>
        <v>TB-2.6</v>
      </c>
      <c r="B12" s="21" t="str">
        <f aca="false">IF(INDEX(Tasks!$A:$A,ROW()-1)="","",IF(ISERROR(FIND(".",INDEX(Tasks!$A:$A,ROW()-1))),"","   ")&amp;INDEX(Tasks!$D:$D,ROW()-1))</f>
        <v>   Calibration: Radars - ZED</v>
      </c>
      <c r="C12" s="21" t="str">
        <f aca="false">IF(INDEX(Tasks!$G:$G,ROW()-1)="","",INDEX(Tasks!$G:$G,ROW()-1))</f>
        <v>TBD</v>
      </c>
      <c r="D12" s="21" t="str">
        <f aca="false">IF(INDEX(Tasks!$H:$H,ROW()-1)="","",INDEX(Tasks!$H:$H,ROW()-1))</f>
        <v/>
      </c>
      <c r="E12" s="22" t="str">
        <f aca="false">IF(INDEX(Tasks!$I:$I,ROW()-1)="","",INDEX(Tasks!$I:$I,ROW()-1))</f>
        <v/>
      </c>
      <c r="F12" s="22" t="str">
        <f aca="false">IF(INDEX(Tasks!$K:$K,ROW()-1)="","",INDEX(Tasks!$K:$K,ROW()-1))</f>
        <v/>
      </c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</row>
    <row r="13" customFormat="false" ht="15" hidden="false" customHeight="false" outlineLevel="0" collapsed="false">
      <c r="A13" s="21" t="str">
        <f aca="false">IF(INDEX(Tasks!$A:$A,ROW()-1)="","",INDEX(Tasks!$A:$A,ROW()-1))</f>
        <v>TB-3</v>
      </c>
      <c r="B13" s="21" t="str">
        <f aca="false">IF(INDEX(Tasks!$A:$A,ROW()-1)="","",IF(ISERROR(FIND(".",INDEX(Tasks!$A:$A,ROW()-1))),"","   ")&amp;INDEX(Tasks!$D:$D,ROW()-1))</f>
        <v>Time sync &amp; TF chain</v>
      </c>
      <c r="C13" s="21" t="str">
        <f aca="false">IF(INDEX(Tasks!$G:$G,ROW()-1)="","",INDEX(Tasks!$G:$G,ROW()-1))</f>
        <v>TBD</v>
      </c>
      <c r="D13" s="21" t="str">
        <f aca="false">IF(INDEX(Tasks!$H:$H,ROW()-1)="","",INDEX(Tasks!$H:$H,ROW()-1))</f>
        <v>In Progress</v>
      </c>
      <c r="E13" s="22" t="n">
        <f aca="false">IF(INDEX(Tasks!$I:$I,ROW()-1)="","",INDEX(Tasks!$I:$I,ROW()-1))</f>
        <v>46202</v>
      </c>
      <c r="F13" s="22" t="n">
        <f aca="false">IF(INDEX(Tasks!$K:$K,ROW()-1)="","",INDEX(Tasks!$K:$K,ROW()-1))</f>
        <v>46206</v>
      </c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BA13" s="31" t="s">
        <v>566</v>
      </c>
    </row>
    <row r="14" customFormat="false" ht="15" hidden="false" customHeight="false" outlineLevel="0" collapsed="false">
      <c r="A14" s="21" t="str">
        <f aca="false">IF(INDEX(Tasks!$A:$A,ROW()-1)="","",INDEX(Tasks!$A:$A,ROW()-1))</f>
        <v>TB-4</v>
      </c>
      <c r="B14" s="21" t="str">
        <f aca="false">IF(INDEX(Tasks!$A:$A,ROW()-1)="","",IF(ISERROR(FIND(".",INDEX(Tasks!$A:$A,ROW()-1))),"","   ")&amp;INDEX(Tasks!$D:$D,ROW()-1))</f>
        <v>Wi-Fi &amp; comms logging</v>
      </c>
      <c r="C14" s="21" t="str">
        <f aca="false">IF(INDEX(Tasks!$G:$G,ROW()-1)="","",INDEX(Tasks!$G:$G,ROW()-1))</f>
        <v>TBD</v>
      </c>
      <c r="D14" s="21" t="str">
        <f aca="false">IF(INDEX(Tasks!$H:$H,ROW()-1)="","",INDEX(Tasks!$H:$H,ROW()-1))</f>
        <v>In Progress</v>
      </c>
      <c r="E14" s="22" t="n">
        <f aca="false">IF(INDEX(Tasks!$I:$I,ROW()-1)="","",INDEX(Tasks!$I:$I,ROW()-1))</f>
        <v>46307</v>
      </c>
      <c r="F14" s="22" t="n">
        <f aca="false">IF(INDEX(Tasks!$K:$K,ROW()-1)="","",INDEX(Tasks!$K:$K,ROW()-1))</f>
        <v>46318</v>
      </c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</row>
    <row r="15" customFormat="false" ht="15" hidden="false" customHeight="false" outlineLevel="0" collapsed="false">
      <c r="A15" s="21" t="str">
        <f aca="false">IF(INDEX(Tasks!$A:$A,ROW()-1)="","",INDEX(Tasks!$A:$A,ROW()-1))</f>
        <v>TB-5</v>
      </c>
      <c r="B15" s="21" t="str">
        <f aca="false">IF(INDEX(Tasks!$A:$A,ROW()-1)="","",IF(ISERROR(FIND(".",INDEX(Tasks!$A:$A,ROW()-1))),"","   ")&amp;INDEX(Tasks!$D:$D,ROW()-1))</f>
        <v>Recording tooling fixes</v>
      </c>
      <c r="C15" s="21" t="str">
        <f aca="false">IF(INDEX(Tasks!$G:$G,ROW()-1)="","",INDEX(Tasks!$G:$G,ROW()-1))</f>
        <v>TBD</v>
      </c>
      <c r="D15" s="21" t="str">
        <f aca="false">IF(INDEX(Tasks!$H:$H,ROW()-1)="","",INDEX(Tasks!$H:$H,ROW()-1))</f>
        <v>Not Started</v>
      </c>
      <c r="E15" s="22" t="n">
        <f aca="false">IF(INDEX(Tasks!$I:$I,ROW()-1)="","",INDEX(Tasks!$I:$I,ROW()-1))</f>
        <v>46307</v>
      </c>
      <c r="F15" s="22" t="n">
        <f aca="false">IF(INDEX(Tasks!$K:$K,ROW()-1)="","",INDEX(Tasks!$K:$K,ROW()-1))</f>
        <v>46318</v>
      </c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</row>
    <row r="16" customFormat="false" ht="15" hidden="false" customHeight="false" outlineLevel="0" collapsed="false">
      <c r="A16" s="21" t="str">
        <f aca="false">IF(INDEX(Tasks!$A:$A,ROW()-1)="","",INDEX(Tasks!$A:$A,ROW()-1))</f>
        <v>G2-DS-1</v>
      </c>
      <c r="B16" s="21" t="str">
        <f aca="false">IF(INDEX(Tasks!$A:$A,ROW()-1)="","",IF(ISERROR(FIND(".",INDEX(Tasks!$A:$A,ROW()-1))),"","   ")&amp;INDEX(Tasks!$D:$D,ROW()-1))</f>
        <v>Recording campaign</v>
      </c>
      <c r="C16" s="21" t="str">
        <f aca="false">IF(INDEX(Tasks!$G:$G,ROW()-1)="","",INDEX(Tasks!$G:$G,ROW()-1))</f>
        <v>TBD</v>
      </c>
      <c r="D16" s="21" t="str">
        <f aca="false">IF(INDEX(Tasks!$H:$H,ROW()-1)="","",INDEX(Tasks!$H:$H,ROW()-1))</f>
        <v>Partially Completed</v>
      </c>
      <c r="E16" s="22" t="n">
        <f aca="false">IF(INDEX(Tasks!$I:$I,ROW()-1)="","",INDEX(Tasks!$I:$I,ROW()-1))</f>
        <v>46314</v>
      </c>
      <c r="F16" s="22" t="n">
        <f aca="false">IF(INDEX(Tasks!$K:$K,ROW()-1)="","",INDEX(Tasks!$K:$K,ROW()-1))</f>
        <v>46353</v>
      </c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</row>
    <row r="17" customFormat="false" ht="15" hidden="false" customHeight="false" outlineLevel="0" collapsed="false">
      <c r="A17" s="21" t="str">
        <f aca="false">IF(INDEX(Tasks!$A:$A,ROW()-1)="","",INDEX(Tasks!$A:$A,ROW()-1))</f>
        <v>G2-DS-1.1</v>
      </c>
      <c r="B17" s="21" t="str">
        <f aca="false">IF(INDEX(Tasks!$A:$A,ROW()-1)="","",IF(ISERROR(FIND(".",INDEX(Tasks!$A:$A,ROW()-1))),"","   ")&amp;INDEX(Tasks!$D:$D,ROW()-1))</f>
        <v>   Indoor Trajectory Sessions</v>
      </c>
      <c r="C17" s="21" t="str">
        <f aca="false">IF(INDEX(Tasks!$G:$G,ROW()-1)="","",INDEX(Tasks!$G:$G,ROW()-1))</f>
        <v>TBD</v>
      </c>
      <c r="D17" s="21" t="str">
        <f aca="false">IF(INDEX(Tasks!$H:$H,ROW()-1)="","",INDEX(Tasks!$H:$H,ROW()-1))</f>
        <v>Partially Completed</v>
      </c>
      <c r="E17" s="22" t="n">
        <f aca="false">IF(INDEX(Tasks!$I:$I,ROW()-1)="","",INDEX(Tasks!$I:$I,ROW()-1))</f>
        <v>46202</v>
      </c>
      <c r="F17" s="22" t="n">
        <f aca="false">IF(INDEX(Tasks!$K:$K,ROW()-1)="","",INDEX(Tasks!$K:$K,ROW()-1))</f>
        <v>46206</v>
      </c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</row>
    <row r="18" customFormat="false" ht="15" hidden="false" customHeight="false" outlineLevel="0" collapsed="false">
      <c r="A18" s="21" t="str">
        <f aca="false">IF(INDEX(Tasks!$A:$A,ROW()-1)="","",INDEX(Tasks!$A:$A,ROW()-1))</f>
        <v>G2-DS-1.2</v>
      </c>
      <c r="B18" s="21" t="str">
        <f aca="false">IF(INDEX(Tasks!$A:$A,ROW()-1)="","",IF(ISERROR(FIND(".",INDEX(Tasks!$A:$A,ROW()-1))),"","   ")&amp;INDEX(Tasks!$D:$D,ROW()-1))</f>
        <v>   Outdoor Trajectory Sessions</v>
      </c>
      <c r="C18" s="21" t="str">
        <f aca="false">IF(INDEX(Tasks!$G:$G,ROW()-1)="","",INDEX(Tasks!$G:$G,ROW()-1))</f>
        <v>TBD</v>
      </c>
      <c r="D18" s="21" t="str">
        <f aca="false">IF(INDEX(Tasks!$H:$H,ROW()-1)="","",INDEX(Tasks!$H:$H,ROW()-1))</f>
        <v>Not Started</v>
      </c>
      <c r="E18" s="22" t="str">
        <f aca="false">IF(INDEX(Tasks!$I:$I,ROW()-1)="","",INDEX(Tasks!$I:$I,ROW()-1))</f>
        <v/>
      </c>
      <c r="F18" s="22" t="str">
        <f aca="false">IF(INDEX(Tasks!$K:$K,ROW()-1)="","",INDEX(Tasks!$K:$K,ROW()-1))</f>
        <v/>
      </c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</row>
    <row r="19" customFormat="false" ht="15" hidden="false" customHeight="false" outlineLevel="0" collapsed="false">
      <c r="A19" s="21" t="str">
        <f aca="false">IF(INDEX(Tasks!$A:$A,ROW()-1)="","",INDEX(Tasks!$A:$A,ROW()-1))</f>
        <v>G2-DS-1.3</v>
      </c>
      <c r="B19" s="21" t="str">
        <f aca="false">IF(INDEX(Tasks!$A:$A,ROW()-1)="","",IF(ISERROR(FIND(".",INDEX(Tasks!$A:$A,ROW()-1))),"","   ")&amp;INDEX(Tasks!$D:$D,ROW()-1))</f>
        <v>   Record sites 2 and 3</v>
      </c>
      <c r="C19" s="21" t="str">
        <f aca="false">IF(INDEX(Tasks!$G:$G,ROW()-1)="","",INDEX(Tasks!$G:$G,ROW()-1))</f>
        <v>TBD</v>
      </c>
      <c r="D19" s="21" t="str">
        <f aca="false">IF(INDEX(Tasks!$H:$H,ROW()-1)="","",INDEX(Tasks!$H:$H,ROW()-1))</f>
        <v>Not Started</v>
      </c>
      <c r="E19" s="22" t="n">
        <f aca="false">IF(INDEX(Tasks!$I:$I,ROW()-1)="","",INDEX(Tasks!$I:$I,ROW()-1))</f>
        <v>46321</v>
      </c>
      <c r="F19" s="22" t="n">
        <f aca="false">IF(INDEX(Tasks!$K:$K,ROW()-1)="","",INDEX(Tasks!$K:$K,ROW()-1))</f>
        <v>46346</v>
      </c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</row>
    <row r="20" customFormat="false" ht="15" hidden="false" customHeight="false" outlineLevel="0" collapsed="false">
      <c r="A20" s="21" t="str">
        <f aca="false">IF(INDEX(Tasks!$A:$A,ROW()-1)="","",INDEX(Tasks!$A:$A,ROW()-1))</f>
        <v>G2-DS-1.4</v>
      </c>
      <c r="B20" s="21" t="str">
        <f aca="false">IF(INDEX(Tasks!$A:$A,ROW()-1)="","",IF(ISERROR(FIND(".",INDEX(Tasks!$A:$A,ROW()-1))),"","   ")&amp;INDEX(Tasks!$D:$D,ROW()-1))</f>
        <v>   Calibration rosbag</v>
      </c>
      <c r="C20" s="21" t="str">
        <f aca="false">IF(INDEX(Tasks!$G:$G,ROW()-1)="","",INDEX(Tasks!$G:$G,ROW()-1))</f>
        <v>TBD</v>
      </c>
      <c r="D20" s="21" t="str">
        <f aca="false">IF(INDEX(Tasks!$H:$H,ROW()-1)="","",INDEX(Tasks!$H:$H,ROW()-1))</f>
        <v/>
      </c>
      <c r="E20" s="22" t="n">
        <f aca="false">IF(INDEX(Tasks!$I:$I,ROW()-1)="","",INDEX(Tasks!$I:$I,ROW()-1))</f>
        <v>46314</v>
      </c>
      <c r="F20" s="22" t="n">
        <f aca="false">IF(INDEX(Tasks!$K:$K,ROW()-1)="","",INDEX(Tasks!$K:$K,ROW()-1))</f>
        <v>46318</v>
      </c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</row>
    <row r="21" customFormat="false" ht="15" hidden="false" customHeight="false" outlineLevel="0" collapsed="false">
      <c r="A21" s="21" t="str">
        <f aca="false">IF(INDEX(Tasks!$A:$A,ROW()-1)="","",INDEX(Tasks!$A:$A,ROW()-1))</f>
        <v>G2-DS-1.5</v>
      </c>
      <c r="B21" s="21" t="str">
        <f aca="false">IF(INDEX(Tasks!$A:$A,ROW()-1)="","",IF(ISERROR(FIND(".",INDEX(Tasks!$A:$A,ROW()-1))),"","   ")&amp;INDEX(Tasks!$D:$D,ROW()-1))</f>
        <v>   Short test recordings</v>
      </c>
      <c r="C21" s="21" t="str">
        <f aca="false">IF(INDEX(Tasks!$G:$G,ROW()-1)="","",INDEX(Tasks!$G:$G,ROW()-1))</f>
        <v>TBD</v>
      </c>
      <c r="D21" s="21" t="str">
        <f aca="false">IF(INDEX(Tasks!$H:$H,ROW()-1)="","",INDEX(Tasks!$H:$H,ROW()-1))</f>
        <v/>
      </c>
      <c r="E21" s="22" t="n">
        <f aca="false">IF(INDEX(Tasks!$I:$I,ROW()-1)="","",INDEX(Tasks!$I:$I,ROW()-1))</f>
        <v>46314</v>
      </c>
      <c r="F21" s="22" t="n">
        <f aca="false">IF(INDEX(Tasks!$K:$K,ROW()-1)="","",INDEX(Tasks!$K:$K,ROW()-1))</f>
        <v>46318</v>
      </c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</row>
    <row r="22" customFormat="false" ht="15" hidden="false" customHeight="false" outlineLevel="0" collapsed="false">
      <c r="A22" s="21" t="str">
        <f aca="false">IF(INDEX(Tasks!$A:$A,ROW()-1)="","",INDEX(Tasks!$A:$A,ROW()-1))</f>
        <v>G2-DS-2</v>
      </c>
      <c r="B22" s="21" t="str">
        <f aca="false">IF(INDEX(Tasks!$A:$A,ROW()-1)="","",IF(ISERROR(FIND(".",INDEX(Tasks!$A:$A,ROW()-1))),"","   ")&amp;INDEX(Tasks!$D:$D,ROW()-1))</f>
        <v>Per-pass processing</v>
      </c>
      <c r="C22" s="21" t="str">
        <f aca="false">IF(INDEX(Tasks!$G:$G,ROW()-1)="","",INDEX(Tasks!$G:$G,ROW()-1))</f>
        <v>TBD</v>
      </c>
      <c r="D22" s="21" t="str">
        <f aca="false">IF(INDEX(Tasks!$H:$H,ROW()-1)="","",INDEX(Tasks!$H:$H,ROW()-1))</f>
        <v>In Progress</v>
      </c>
      <c r="E22" s="22" t="n">
        <f aca="false">IF(INDEX(Tasks!$I:$I,ROW()-1)="","",INDEX(Tasks!$I:$I,ROW()-1))</f>
        <v>46307</v>
      </c>
      <c r="F22" s="22" t="n">
        <f aca="false">IF(INDEX(Tasks!$K:$K,ROW()-1)="","",INDEX(Tasks!$K:$K,ROW()-1))</f>
        <v>46374</v>
      </c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</row>
    <row r="23" customFormat="false" ht="15" hidden="false" customHeight="false" outlineLevel="0" collapsed="false">
      <c r="A23" s="21" t="str">
        <f aca="false">IF(INDEX(Tasks!$A:$A,ROW()-1)="","",INDEX(Tasks!$A:$A,ROW()-1))</f>
        <v>G2-DS-2.1</v>
      </c>
      <c r="B23" s="21" t="str">
        <f aca="false">IF(INDEX(Tasks!$A:$A,ROW()-1)="","",IF(ISERROR(FIND(".",INDEX(Tasks!$A:$A,ROW()-1))),"","   ")&amp;INDEX(Tasks!$D:$D,ROW()-1))</f>
        <v>   Merging Sensor Data</v>
      </c>
      <c r="C23" s="21" t="str">
        <f aca="false">IF(INDEX(Tasks!$G:$G,ROW()-1)="","",INDEX(Tasks!$G:$G,ROW()-1))</f>
        <v>TBD</v>
      </c>
      <c r="D23" s="21" t="str">
        <f aca="false">IF(INDEX(Tasks!$H:$H,ROW()-1)="","",INDEX(Tasks!$H:$H,ROW()-1))</f>
        <v>In Progress</v>
      </c>
      <c r="E23" s="22" t="n">
        <f aca="false">IF(INDEX(Tasks!$I:$I,ROW()-1)="","",INDEX(Tasks!$I:$I,ROW()-1))</f>
        <v>46202</v>
      </c>
      <c r="F23" s="22" t="n">
        <f aca="false">IF(INDEX(Tasks!$K:$K,ROW()-1)="","",INDEX(Tasks!$K:$K,ROW()-1))</f>
        <v>46206</v>
      </c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</row>
    <row r="24" customFormat="false" ht="15" hidden="false" customHeight="false" outlineLevel="0" collapsed="false">
      <c r="A24" s="21" t="str">
        <f aca="false">IF(INDEX(Tasks!$A:$A,ROW()-1)="","",INDEX(Tasks!$A:$A,ROW()-1))</f>
        <v>G2-DS-2.2</v>
      </c>
      <c r="B24" s="21" t="str">
        <f aca="false">IF(INDEX(Tasks!$A:$A,ROW()-1)="","",IF(ISERROR(FIND(".",INDEX(Tasks!$A:$A,ROW()-1))),"","   ")&amp;INDEX(Tasks!$D:$D,ROW()-1))</f>
        <v>   Timestamp Alignment Post-Processing</v>
      </c>
      <c r="C24" s="21" t="str">
        <f aca="false">IF(INDEX(Tasks!$G:$G,ROW()-1)="","",INDEX(Tasks!$G:$G,ROW()-1))</f>
        <v>TBD</v>
      </c>
      <c r="D24" s="21" t="str">
        <f aca="false">IF(INDEX(Tasks!$H:$H,ROW()-1)="","",INDEX(Tasks!$H:$H,ROW()-1))</f>
        <v>Not Started</v>
      </c>
      <c r="E24" s="22" t="n">
        <f aca="false">IF(INDEX(Tasks!$I:$I,ROW()-1)="","",INDEX(Tasks!$I:$I,ROW()-1))</f>
        <v>46202</v>
      </c>
      <c r="F24" s="22" t="n">
        <f aca="false">IF(INDEX(Tasks!$K:$K,ROW()-1)="","",INDEX(Tasks!$K:$K,ROW()-1))</f>
        <v>46206</v>
      </c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</row>
    <row r="25" customFormat="false" ht="15" hidden="false" customHeight="false" outlineLevel="0" collapsed="false">
      <c r="A25" s="21" t="str">
        <f aca="false">IF(INDEX(Tasks!$A:$A,ROW()-1)="","",INDEX(Tasks!$A:$A,ROW()-1))</f>
        <v>G2-DS-3</v>
      </c>
      <c r="B25" s="21" t="str">
        <f aca="false">IF(INDEX(Tasks!$A:$A,ROW()-1)="","",IF(ISERROR(FIND(".",INDEX(Tasks!$A:$A,ROW()-1))),"","   ")&amp;INDEX(Tasks!$D:$D,ROW()-1))</f>
        <v>Reference maps &amp; board networks per site</v>
      </c>
      <c r="C25" s="21" t="str">
        <f aca="false">IF(INDEX(Tasks!$G:$G,ROW()-1)="","",INDEX(Tasks!$G:$G,ROW()-1))</f>
        <v>TBD</v>
      </c>
      <c r="D25" s="21" t="str">
        <f aca="false">IF(INDEX(Tasks!$H:$H,ROW()-1)="","",INDEX(Tasks!$H:$H,ROW()-1))</f>
        <v>In Progress</v>
      </c>
      <c r="E25" s="22" t="n">
        <f aca="false">IF(INDEX(Tasks!$I:$I,ROW()-1)="","",INDEX(Tasks!$I:$I,ROW()-1))</f>
        <v>46307</v>
      </c>
      <c r="F25" s="22" t="n">
        <f aca="false">IF(INDEX(Tasks!$K:$K,ROW()-1)="","",INDEX(Tasks!$K:$K,ROW()-1))</f>
        <v>46360</v>
      </c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</row>
    <row r="26" customFormat="false" ht="15" hidden="false" customHeight="false" outlineLevel="0" collapsed="false">
      <c r="A26" s="21" t="str">
        <f aca="false">IF(INDEX(Tasks!$A:$A,ROW()-1)="","",INDEX(Tasks!$A:$A,ROW()-1))</f>
        <v>G2-DS-3.1</v>
      </c>
      <c r="B26" s="21" t="str">
        <f aca="false">IF(INDEX(Tasks!$A:$A,ROW()-1)="","",IF(ISERROR(FIND(".",INDEX(Tasks!$A:$A,ROW()-1))),"","   ")&amp;INDEX(Tasks!$D:$D,ROW()-1))</f>
        <v>   Localization and Mapping</v>
      </c>
      <c r="C26" s="21" t="str">
        <f aca="false">IF(INDEX(Tasks!$G:$G,ROW()-1)="","",INDEX(Tasks!$G:$G,ROW()-1))</f>
        <v>TBD</v>
      </c>
      <c r="D26" s="21" t="str">
        <f aca="false">IF(INDEX(Tasks!$H:$H,ROW()-1)="","",INDEX(Tasks!$H:$H,ROW()-1))</f>
        <v>Not Started</v>
      </c>
      <c r="E26" s="22" t="n">
        <f aca="false">IF(INDEX(Tasks!$I:$I,ROW()-1)="","",INDEX(Tasks!$I:$I,ROW()-1))</f>
        <v>46202</v>
      </c>
      <c r="F26" s="22" t="n">
        <f aca="false">IF(INDEX(Tasks!$K:$K,ROW()-1)="","",INDEX(Tasks!$K:$K,ROW()-1))</f>
        <v>46206</v>
      </c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</row>
    <row r="27" customFormat="false" ht="15" hidden="false" customHeight="false" outlineLevel="0" collapsed="false">
      <c r="A27" s="21" t="str">
        <f aca="false">IF(INDEX(Tasks!$A:$A,ROW()-1)="","",INDEX(Tasks!$A:$A,ROW()-1))</f>
        <v>G2-DS-3.2</v>
      </c>
      <c r="B27" s="21" t="str">
        <f aca="false">IF(INDEX(Tasks!$A:$A,ROW()-1)="","",IF(ISERROR(FIND(".",INDEX(Tasks!$A:$A,ROW()-1))),"","   ")&amp;INDEX(Tasks!$D:$D,ROW()-1))</f>
        <v>   Mesh Conversion</v>
      </c>
      <c r="C27" s="21" t="str">
        <f aca="false">IF(INDEX(Tasks!$G:$G,ROW()-1)="","",INDEX(Tasks!$G:$G,ROW()-1))</f>
        <v>TBD</v>
      </c>
      <c r="D27" s="21" t="str">
        <f aca="false">IF(INDEX(Tasks!$H:$H,ROW()-1)="","",INDEX(Tasks!$H:$H,ROW()-1))</f>
        <v>Not Started</v>
      </c>
      <c r="E27" s="22" t="n">
        <f aca="false">IF(INDEX(Tasks!$I:$I,ROW()-1)="","",INDEX(Tasks!$I:$I,ROW()-1))</f>
        <v>46209</v>
      </c>
      <c r="F27" s="22" t="n">
        <f aca="false">IF(INDEX(Tasks!$K:$K,ROW()-1)="","",INDEX(Tasks!$K:$K,ROW()-1))</f>
        <v>46220</v>
      </c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</row>
    <row r="28" customFormat="false" ht="15" hidden="false" customHeight="false" outlineLevel="0" collapsed="false">
      <c r="A28" s="21" t="str">
        <f aca="false">IF(INDEX(Tasks!$A:$A,ROW()-1)="","",INDEX(Tasks!$A:$A,ROW()-1))</f>
        <v>G2-DS-4</v>
      </c>
      <c r="B28" s="21" t="str">
        <f aca="false">IF(INDEX(Tasks!$A:$A,ROW()-1)="","",IF(ISERROR(FIND(".",INDEX(Tasks!$A:$A,ROW()-1))),"","   ")&amp;INDEX(Tasks!$D:$D,ROW()-1))</f>
        <v>Reference poses (map stages 03-10)</v>
      </c>
      <c r="C28" s="21" t="str">
        <f aca="false">IF(INDEX(Tasks!$G:$G,ROW()-1)="","",INDEX(Tasks!$G:$G,ROW()-1))</f>
        <v>TBD</v>
      </c>
      <c r="D28" s="21" t="str">
        <f aca="false">IF(INDEX(Tasks!$H:$H,ROW()-1)="","",INDEX(Tasks!$H:$H,ROW()-1))</f>
        <v>In Progress</v>
      </c>
      <c r="E28" s="22" t="n">
        <f aca="false">IF(INDEX(Tasks!$I:$I,ROW()-1)="","",INDEX(Tasks!$I:$I,ROW()-1))</f>
        <v>46307</v>
      </c>
      <c r="F28" s="22" t="n">
        <f aca="false">IF(INDEX(Tasks!$K:$K,ROW()-1)="","",INDEX(Tasks!$K:$K,ROW()-1))</f>
        <v>46346</v>
      </c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</row>
    <row r="29" customFormat="false" ht="15" hidden="false" customHeight="false" outlineLevel="0" collapsed="false">
      <c r="A29" s="21" t="str">
        <f aca="false">IF(INDEX(Tasks!$A:$A,ROW()-1)="","",INDEX(Tasks!$A:$A,ROW()-1))</f>
        <v>G2-DS-5</v>
      </c>
      <c r="B29" s="21" t="str">
        <f aca="false">IF(INDEX(Tasks!$A:$A,ROW()-1)="","",IF(ISERROR(FIND(".",INDEX(Tasks!$A:$A,ROW()-1))),"","   ")&amp;INDEX(Tasks!$D:$D,ROW()-1))</f>
        <v>Ground-truth validation</v>
      </c>
      <c r="C29" s="21" t="str">
        <f aca="false">IF(INDEX(Tasks!$G:$G,ROW()-1)="","",INDEX(Tasks!$G:$G,ROW()-1))</f>
        <v>TBD</v>
      </c>
      <c r="D29" s="21" t="str">
        <f aca="false">IF(INDEX(Tasks!$H:$H,ROW()-1)="","",INDEX(Tasks!$H:$H,ROW()-1))</f>
        <v>Not Started</v>
      </c>
      <c r="E29" s="22" t="n">
        <f aca="false">IF(INDEX(Tasks!$I:$I,ROW()-1)="","",INDEX(Tasks!$I:$I,ROW()-1))</f>
        <v>46342</v>
      </c>
      <c r="F29" s="22" t="n">
        <f aca="false">IF(INDEX(Tasks!$K:$K,ROW()-1)="","",INDEX(Tasks!$K:$K,ROW()-1))</f>
        <v>46360</v>
      </c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</row>
    <row r="30" customFormat="false" ht="15" hidden="false" customHeight="false" outlineLevel="0" collapsed="false">
      <c r="A30" s="21" t="str">
        <f aca="false">IF(INDEX(Tasks!$A:$A,ROW()-1)="","",INDEX(Tasks!$A:$A,ROW()-1))</f>
        <v>G2-DS-6</v>
      </c>
      <c r="B30" s="21" t="str">
        <f aca="false">IF(INDEX(Tasks!$A:$A,ROW()-1)="","",IF(ISERROR(FIND(".",INDEX(Tasks!$A:$A,ROW()-1))),"","   ")&amp;INDEX(Tasks!$D:$D,ROW()-1))</f>
        <v>Annotations</v>
      </c>
      <c r="C30" s="21" t="str">
        <f aca="false">IF(INDEX(Tasks!$G:$G,ROW()-1)="","",INDEX(Tasks!$G:$G,ROW()-1))</f>
        <v>TBD</v>
      </c>
      <c r="D30" s="21" t="str">
        <f aca="false">IF(INDEX(Tasks!$H:$H,ROW()-1)="","",INDEX(Tasks!$H:$H,ROW()-1))</f>
        <v>Not Started</v>
      </c>
      <c r="E30" s="22" t="n">
        <f aca="false">IF(INDEX(Tasks!$I:$I,ROW()-1)="","",INDEX(Tasks!$I:$I,ROW()-1))</f>
        <v>46335</v>
      </c>
      <c r="F30" s="22" t="n">
        <f aca="false">IF(INDEX(Tasks!$K:$K,ROW()-1)="","",INDEX(Tasks!$K:$K,ROW()-1))</f>
        <v>46381</v>
      </c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</row>
    <row r="31" customFormat="false" ht="15" hidden="false" customHeight="false" outlineLevel="0" collapsed="false">
      <c r="A31" s="21" t="str">
        <f aca="false">IF(INDEX(Tasks!$A:$A,ROW()-1)="","",INDEX(Tasks!$A:$A,ROW()-1))</f>
        <v>G2-DS-6.1</v>
      </c>
      <c r="B31" s="21" t="str">
        <f aca="false">IF(INDEX(Tasks!$A:$A,ROW()-1)="","",IF(ISERROR(FIND(".",INDEX(Tasks!$A:$A,ROW()-1))),"","   ")&amp;INDEX(Tasks!$D:$D,ROW()-1))</f>
        <v>   Label QA (Coverage &amp; Class Balance)</v>
      </c>
      <c r="C31" s="21" t="str">
        <f aca="false">IF(INDEX(Tasks!$G:$G,ROW()-1)="","",INDEX(Tasks!$G:$G,ROW()-1))</f>
        <v>TBD</v>
      </c>
      <c r="D31" s="21" t="str">
        <f aca="false">IF(INDEX(Tasks!$H:$H,ROW()-1)="","",INDEX(Tasks!$H:$H,ROW()-1))</f>
        <v>Not Started</v>
      </c>
      <c r="E31" s="22" t="str">
        <f aca="false">IF(INDEX(Tasks!$I:$I,ROW()-1)="","",INDEX(Tasks!$I:$I,ROW()-1))</f>
        <v/>
      </c>
      <c r="F31" s="22" t="str">
        <f aca="false">IF(INDEX(Tasks!$K:$K,ROW()-1)="","",INDEX(Tasks!$K:$K,ROW()-1))</f>
        <v/>
      </c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</row>
    <row r="32" customFormat="false" ht="15" hidden="false" customHeight="false" outlineLevel="0" collapsed="false">
      <c r="A32" s="21" t="str">
        <f aca="false">IF(INDEX(Tasks!$A:$A,ROW()-1)="","",INDEX(Tasks!$A:$A,ROW()-1))</f>
        <v>G2-DS-7</v>
      </c>
      <c r="B32" s="21" t="str">
        <f aca="false">IF(INDEX(Tasks!$A:$A,ROW()-1)="","",IF(ISERROR(FIND(".",INDEX(Tasks!$A:$A,ROW()-1))),"","   ")&amp;INDEX(Tasks!$D:$D,ROW()-1))</f>
        <v>Collaboration geometry &amp; comm ground truth</v>
      </c>
      <c r="C32" s="21" t="str">
        <f aca="false">IF(INDEX(Tasks!$G:$G,ROW()-1)="","",INDEX(Tasks!$G:$G,ROW()-1))</f>
        <v>TBD</v>
      </c>
      <c r="D32" s="21" t="str">
        <f aca="false">IF(INDEX(Tasks!$H:$H,ROW()-1)="","",INDEX(Tasks!$H:$H,ROW()-1))</f>
        <v>Not Started</v>
      </c>
      <c r="E32" s="22" t="n">
        <f aca="false">IF(INDEX(Tasks!$I:$I,ROW()-1)="","",INDEX(Tasks!$I:$I,ROW()-1))</f>
        <v>46349</v>
      </c>
      <c r="F32" s="22" t="n">
        <f aca="false">IF(INDEX(Tasks!$K:$K,ROW()-1)="","",INDEX(Tasks!$K:$K,ROW()-1))</f>
        <v>46381</v>
      </c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</row>
    <row r="33" customFormat="false" ht="15" hidden="false" customHeight="false" outlineLevel="0" collapsed="false">
      <c r="A33" s="21" t="str">
        <f aca="false">IF(INDEX(Tasks!$A:$A,ROW()-1)="","",INDEX(Tasks!$A:$A,ROW()-1))</f>
        <v>G2-DS-8</v>
      </c>
      <c r="B33" s="21" t="str">
        <f aca="false">IF(INDEX(Tasks!$A:$A,ROW()-1)="","",IF(ISERROR(FIND(".",INDEX(Tasks!$A:$A,ROW()-1))),"","   ")&amp;INDEX(Tasks!$D:$D,ROW()-1))</f>
        <v>Release</v>
      </c>
      <c r="C33" s="21" t="str">
        <f aca="false">IF(INDEX(Tasks!$G:$G,ROW()-1)="","",INDEX(Tasks!$G:$G,ROW()-1))</f>
        <v>TBD</v>
      </c>
      <c r="D33" s="21" t="str">
        <f aca="false">IF(INDEX(Tasks!$H:$H,ROW()-1)="","",INDEX(Tasks!$H:$H,ROW()-1))</f>
        <v>Not Started</v>
      </c>
      <c r="E33" s="22" t="n">
        <f aca="false">IF(INDEX(Tasks!$I:$I,ROW()-1)="","",INDEX(Tasks!$I:$I,ROW()-1))</f>
        <v>46384</v>
      </c>
      <c r="F33" s="22" t="n">
        <f aca="false">IF(INDEX(Tasks!$K:$K,ROW()-1)="","",INDEX(Tasks!$K:$K,ROW()-1))</f>
        <v>46416</v>
      </c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</row>
    <row r="34" customFormat="false" ht="15" hidden="false" customHeight="false" outlineLevel="0" collapsed="false">
      <c r="A34" s="21" t="str">
        <f aca="false">IF(INDEX(Tasks!$A:$A,ROW()-1)="","",INDEX(Tasks!$A:$A,ROW()-1))</f>
        <v>G2-DS-8.1</v>
      </c>
      <c r="B34" s="21" t="str">
        <f aca="false">IF(INDEX(Tasks!$A:$A,ROW()-1)="","",IF(ISERROR(FIND(".",INDEX(Tasks!$A:$A,ROW()-1))),"","   ")&amp;INDEX(Tasks!$D:$D,ROW()-1))</f>
        <v>   Dataset Packaging &amp; Documentation</v>
      </c>
      <c r="C34" s="21" t="str">
        <f aca="false">IF(INDEX(Tasks!$G:$G,ROW()-1)="","",INDEX(Tasks!$G:$G,ROW()-1))</f>
        <v>TBD</v>
      </c>
      <c r="D34" s="21" t="str">
        <f aca="false">IF(INDEX(Tasks!$H:$H,ROW()-1)="","",INDEX(Tasks!$H:$H,ROW()-1))</f>
        <v>Not Started</v>
      </c>
      <c r="E34" s="22" t="str">
        <f aca="false">IF(INDEX(Tasks!$I:$I,ROW()-1)="","",INDEX(Tasks!$I:$I,ROW()-1))</f>
        <v/>
      </c>
      <c r="F34" s="22" t="str">
        <f aca="false">IF(INDEX(Tasks!$K:$K,ROW()-1)="","",INDEX(Tasks!$K:$K,ROW()-1))</f>
        <v/>
      </c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</row>
    <row r="35" customFormat="false" ht="15" hidden="false" customHeight="false" outlineLevel="0" collapsed="false">
      <c r="A35" s="21" t="str">
        <f aca="false">IF(INDEX(Tasks!$A:$A,ROW()-1)="","",INDEX(Tasks!$A:$A,ROW()-1))</f>
        <v>G2-DS-8.2</v>
      </c>
      <c r="B35" s="21" t="str">
        <f aca="false">IF(INDEX(Tasks!$A:$A,ROW()-1)="","",IF(ISERROR(FIND(".",INDEX(Tasks!$A:$A,ROW()-1))),"","   ")&amp;INDEX(Tasks!$D:$D,ROW()-1))</f>
        <v>   Devkit</v>
      </c>
      <c r="C35" s="21" t="str">
        <f aca="false">IF(INDEX(Tasks!$G:$G,ROW()-1)="","",INDEX(Tasks!$G:$G,ROW()-1))</f>
        <v>TBD</v>
      </c>
      <c r="D35" s="21" t="str">
        <f aca="false">IF(INDEX(Tasks!$H:$H,ROW()-1)="","",INDEX(Tasks!$H:$H,ROW()-1))</f>
        <v>Not Started</v>
      </c>
      <c r="E35" s="22" t="n">
        <f aca="false">IF(INDEX(Tasks!$I:$I,ROW()-1)="","",INDEX(Tasks!$I:$I,ROW()-1))</f>
        <v>46384</v>
      </c>
      <c r="F35" s="22" t="n">
        <f aca="false">IF(INDEX(Tasks!$K:$K,ROW()-1)="","",INDEX(Tasks!$K:$K,ROW()-1))</f>
        <v>46409</v>
      </c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</row>
    <row r="36" customFormat="false" ht="15" hidden="false" customHeight="false" outlineLevel="0" collapsed="false">
      <c r="A36" s="21" t="str">
        <f aca="false">IF(INDEX(Tasks!$A:$A,ROW()-1)="","",INDEX(Tasks!$A:$A,ROW()-1))</f>
        <v>G2-DS-8.3</v>
      </c>
      <c r="B36" s="21" t="str">
        <f aca="false">IF(INDEX(Tasks!$A:$A,ROW()-1)="","",IF(ISERROR(FIND(".",INDEX(Tasks!$A:$A,ROW()-1))),"","   ")&amp;INDEX(Tasks!$D:$D,ROW()-1))</f>
        <v>   License, DOI, hosting</v>
      </c>
      <c r="C36" s="21" t="str">
        <f aca="false">IF(INDEX(Tasks!$G:$G,ROW()-1)="","",INDEX(Tasks!$G:$G,ROW()-1))</f>
        <v>TBD</v>
      </c>
      <c r="D36" s="21" t="str">
        <f aca="false">IF(INDEX(Tasks!$H:$H,ROW()-1)="","",INDEX(Tasks!$H:$H,ROW()-1))</f>
        <v>Not Started</v>
      </c>
      <c r="E36" s="22" t="n">
        <f aca="false">IF(INDEX(Tasks!$I:$I,ROW()-1)="","",INDEX(Tasks!$I:$I,ROW()-1))</f>
        <v>46398</v>
      </c>
      <c r="F36" s="22" t="n">
        <f aca="false">IF(INDEX(Tasks!$K:$K,ROW()-1)="","",INDEX(Tasks!$K:$K,ROW()-1))</f>
        <v>46409</v>
      </c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</row>
    <row r="37" customFormat="false" ht="15" hidden="false" customHeight="false" outlineLevel="0" collapsed="false">
      <c r="A37" s="21" t="str">
        <f aca="false">IF(INDEX(Tasks!$A:$A,ROW()-1)="","",INDEX(Tasks!$A:$A,ROW()-1))</f>
        <v>G2-BP-A</v>
      </c>
      <c r="B37" s="21" t="str">
        <f aca="false">IF(INDEX(Tasks!$A:$A,ROW()-1)="","",IF(ISERROR(FIND(".",INDEX(Tasks!$A:$A,ROW()-1))),"","   ")&amp;INDEX(Tasks!$D:$D,ROW()-1))</f>
        <v>Ground-truth numbers (RESULTS_PLAN A0)</v>
      </c>
      <c r="C37" s="21" t="str">
        <f aca="false">IF(INDEX(Tasks!$G:$G,ROW()-1)="","",INDEX(Tasks!$G:$G,ROW()-1))</f>
        <v>TBD</v>
      </c>
      <c r="D37" s="21" t="str">
        <f aca="false">IF(INDEX(Tasks!$H:$H,ROW()-1)="","",INDEX(Tasks!$H:$H,ROW()-1))</f>
        <v>Not Started</v>
      </c>
      <c r="E37" s="22" t="n">
        <f aca="false">IF(INDEX(Tasks!$I:$I,ROW()-1)="","",INDEX(Tasks!$I:$I,ROW()-1))</f>
        <v>46314</v>
      </c>
      <c r="F37" s="22" t="n">
        <f aca="false">IF(INDEX(Tasks!$K:$K,ROW()-1)="","",INDEX(Tasks!$K:$K,ROW()-1))</f>
        <v>46332</v>
      </c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</row>
    <row r="38" customFormat="false" ht="15" hidden="false" customHeight="false" outlineLevel="0" collapsed="false">
      <c r="A38" s="21" t="str">
        <f aca="false">IF(INDEX(Tasks!$A:$A,ROW()-1)="","",INDEX(Tasks!$A:$A,ROW()-1))</f>
        <v>G2-BP-B</v>
      </c>
      <c r="B38" s="21" t="str">
        <f aca="false">IF(INDEX(Tasks!$A:$A,ROW()-1)="","",IF(ISERROR(FIND(".",INDEX(Tasks!$A:$A,ROW()-1))),"","   ")&amp;INDEX(Tasks!$D:$D,ROW()-1))</f>
        <v>Inventory &amp; statistics tables (B)</v>
      </c>
      <c r="C38" s="21" t="str">
        <f aca="false">IF(INDEX(Tasks!$G:$G,ROW()-1)="","",INDEX(Tasks!$G:$G,ROW()-1))</f>
        <v>TBD</v>
      </c>
      <c r="D38" s="21" t="str">
        <f aca="false">IF(INDEX(Tasks!$H:$H,ROW()-1)="","",INDEX(Tasks!$H:$H,ROW()-1))</f>
        <v>Not Started</v>
      </c>
      <c r="E38" s="22" t="n">
        <f aca="false">IF(INDEX(Tasks!$I:$I,ROW()-1)="","",INDEX(Tasks!$I:$I,ROW()-1))</f>
        <v>46342</v>
      </c>
      <c r="F38" s="22" t="n">
        <f aca="false">IF(INDEX(Tasks!$K:$K,ROW()-1)="","",INDEX(Tasks!$K:$K,ROW()-1))</f>
        <v>46360</v>
      </c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</row>
    <row r="39" customFormat="false" ht="15" hidden="false" customHeight="false" outlineLevel="0" collapsed="false">
      <c r="A39" s="21" t="str">
        <f aca="false">IF(INDEX(Tasks!$A:$A,ROW()-1)="","",INDEX(Tasks!$A:$A,ROW()-1))</f>
        <v>G2-BP-C</v>
      </c>
      <c r="B39" s="21" t="str">
        <f aca="false">IF(INDEX(Tasks!$A:$A,ROW()-1)="","",IF(ISERROR(FIND(".",INDEX(Tasks!$A:$A,ROW()-1))),"","   ")&amp;INDEX(Tasks!$D:$D,ROW()-1))</f>
        <v>Geometry validation (C)</v>
      </c>
      <c r="C39" s="21" t="str">
        <f aca="false">IF(INDEX(Tasks!$G:$G,ROW()-1)="","",INDEX(Tasks!$G:$G,ROW()-1))</f>
        <v>TBD</v>
      </c>
      <c r="D39" s="21" t="str">
        <f aca="false">IF(INDEX(Tasks!$H:$H,ROW()-1)="","",INDEX(Tasks!$H:$H,ROW()-1))</f>
        <v>Not Started</v>
      </c>
      <c r="E39" s="22" t="n">
        <f aca="false">IF(INDEX(Tasks!$I:$I,ROW()-1)="","",INDEX(Tasks!$I:$I,ROW()-1))</f>
        <v>46363</v>
      </c>
      <c r="F39" s="22" t="n">
        <f aca="false">IF(INDEX(Tasks!$K:$K,ROW()-1)="","",INDEX(Tasks!$K:$K,ROW()-1))</f>
        <v>46381</v>
      </c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</row>
    <row r="40" customFormat="false" ht="15" hidden="false" customHeight="false" outlineLevel="0" collapsed="false">
      <c r="A40" s="21" t="str">
        <f aca="false">IF(INDEX(Tasks!$A:$A,ROW()-1)="","",INDEX(Tasks!$A:$A,ROW()-1))</f>
        <v>G2-BP-D</v>
      </c>
      <c r="B40" s="21" t="str">
        <f aca="false">IF(INDEX(Tasks!$A:$A,ROW()-1)="","",IF(ISERROR(FIND(".",INDEX(Tasks!$A:$A,ROW()-1))),"","   ")&amp;INDEX(Tasks!$D:$D,ROW()-1))</f>
        <v>T2 collaborative perception under 3 channels (D)</v>
      </c>
      <c r="C40" s="21" t="str">
        <f aca="false">IF(INDEX(Tasks!$G:$G,ROW()-1)="","",INDEX(Tasks!$G:$G,ROW()-1))</f>
        <v>TBD</v>
      </c>
      <c r="D40" s="21" t="str">
        <f aca="false">IF(INDEX(Tasks!$H:$H,ROW()-1)="","",INDEX(Tasks!$H:$H,ROW()-1))</f>
        <v>Not Started</v>
      </c>
      <c r="E40" s="22" t="n">
        <f aca="false">IF(INDEX(Tasks!$I:$I,ROW()-1)="","",INDEX(Tasks!$I:$I,ROW()-1))</f>
        <v>46363</v>
      </c>
      <c r="F40" s="22" t="n">
        <f aca="false">IF(INDEX(Tasks!$K:$K,ROW()-1)="","",INDEX(Tasks!$K:$K,ROW()-1))</f>
        <v>46395</v>
      </c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</row>
    <row r="41" customFormat="false" ht="15" hidden="false" customHeight="false" outlineLevel="0" collapsed="false">
      <c r="A41" s="21" t="str">
        <f aca="false">IF(INDEX(Tasks!$A:$A,ROW()-1)="","",INDEX(Tasks!$A:$A,ROW()-1))</f>
        <v>G2-BP-E</v>
      </c>
      <c r="B41" s="21" t="str">
        <f aca="false">IF(INDEX(Tasks!$A:$A,ROW()-1)="","",IF(ISERROR(FIND(".",INDEX(Tasks!$A:$A,ROW()-1))),"","   ")&amp;INDEX(Tasks!$D:$D,ROW()-1))</f>
        <v>T1 collaborative SLAM (E)</v>
      </c>
      <c r="C41" s="21" t="str">
        <f aca="false">IF(INDEX(Tasks!$G:$G,ROW()-1)="","",INDEX(Tasks!$G:$G,ROW()-1))</f>
        <v>TBD</v>
      </c>
      <c r="D41" s="21" t="str">
        <f aca="false">IF(INDEX(Tasks!$H:$H,ROW()-1)="","",INDEX(Tasks!$H:$H,ROW()-1))</f>
        <v>Not Started</v>
      </c>
      <c r="E41" s="22" t="n">
        <f aca="false">IF(INDEX(Tasks!$I:$I,ROW()-1)="","",INDEX(Tasks!$I:$I,ROW()-1))</f>
        <v>46363</v>
      </c>
      <c r="F41" s="22" t="n">
        <f aca="false">IF(INDEX(Tasks!$K:$K,ROW()-1)="","",INDEX(Tasks!$K:$K,ROW()-1))</f>
        <v>46395</v>
      </c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</row>
    <row r="42" customFormat="false" ht="15" hidden="false" customHeight="false" outlineLevel="0" collapsed="false">
      <c r="A42" s="21" t="str">
        <f aca="false">IF(INDEX(Tasks!$A:$A,ROW()-1)="","",INDEX(Tasks!$A:$A,ROW()-1))</f>
        <v>G2-BP-F</v>
      </c>
      <c r="B42" s="21" t="str">
        <f aca="false">IF(INDEX(Tasks!$A:$A,ROW()-1)="","",IF(ISERROR(FIND(".",INDEX(Tasks!$A:$A,ROW()-1))),"","   ")&amp;INDEX(Tasks!$D:$D,ROW()-1))</f>
        <v>Q2 regression (F)</v>
      </c>
      <c r="C42" s="21" t="str">
        <f aca="false">IF(INDEX(Tasks!$G:$G,ROW()-1)="","",INDEX(Tasks!$G:$G,ROW()-1))</f>
        <v>TBD</v>
      </c>
      <c r="D42" s="21" t="str">
        <f aca="false">IF(INDEX(Tasks!$H:$H,ROW()-1)="","",INDEX(Tasks!$H:$H,ROW()-1))</f>
        <v>Not Started</v>
      </c>
      <c r="E42" s="22" t="n">
        <f aca="false">IF(INDEX(Tasks!$I:$I,ROW()-1)="","",INDEX(Tasks!$I:$I,ROW()-1))</f>
        <v>46398</v>
      </c>
      <c r="F42" s="22" t="n">
        <f aca="false">IF(INDEX(Tasks!$K:$K,ROW()-1)="","",INDEX(Tasks!$K:$K,ROW()-1))</f>
        <v>46409</v>
      </c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</row>
    <row r="43" customFormat="false" ht="15" hidden="false" customHeight="false" outlineLevel="0" collapsed="false">
      <c r="A43" s="21" t="str">
        <f aca="false">IF(INDEX(Tasks!$A:$A,ROW()-1)="","",INDEX(Tasks!$A:$A,ROW()-1))</f>
        <v>G2-BP-G</v>
      </c>
      <c r="B43" s="21" t="str">
        <f aca="false">IF(INDEX(Tasks!$A:$A,ROW()-1)="","",IF(ISERROR(FIND(".",INDEX(Tasks!$A:$A,ROW()-1))),"","   ")&amp;INDEX(Tasks!$D:$D,ROW()-1))</f>
        <v>Write-up (G)</v>
      </c>
      <c r="C43" s="21" t="str">
        <f aca="false">IF(INDEX(Tasks!$G:$G,ROW()-1)="","",INDEX(Tasks!$G:$G,ROW()-1))</f>
        <v>TBD</v>
      </c>
      <c r="D43" s="21" t="str">
        <f aca="false">IF(INDEX(Tasks!$H:$H,ROW()-1)="","",INDEX(Tasks!$H:$H,ROW()-1))</f>
        <v>Not Started</v>
      </c>
      <c r="E43" s="22" t="n">
        <f aca="false">IF(INDEX(Tasks!$I:$I,ROW()-1)="","",INDEX(Tasks!$I:$I,ROW()-1))</f>
        <v>46398</v>
      </c>
      <c r="F43" s="22" t="n">
        <f aca="false">IF(INDEX(Tasks!$K:$K,ROW()-1)="","",INDEX(Tasks!$K:$K,ROW()-1))</f>
        <v>46423</v>
      </c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</row>
    <row r="44" customFormat="false" ht="15" hidden="false" customHeight="false" outlineLevel="0" collapsed="false">
      <c r="A44" s="21" t="str">
        <f aca="false">IF(INDEX(Tasks!$A:$A,ROW()-1)="","",INDEX(Tasks!$A:$A,ROW()-1))</f>
        <v>G2-M1</v>
      </c>
      <c r="B44" s="21" t="str">
        <f aca="false">IF(INDEX(Tasks!$A:$A,ROW()-1)="","",IF(ISERROR(FIND(".",INDEX(Tasks!$A:$A,ROW()-1))),"","   ")&amp;INDEX(Tasks!$D:$D,ROW()-1))</f>
        <v>Paper submitted (IJRR)</v>
      </c>
      <c r="C44" s="21" t="str">
        <f aca="false">IF(INDEX(Tasks!$G:$G,ROW()-1)="","",INDEX(Tasks!$G:$G,ROW()-1))</f>
        <v>TBD</v>
      </c>
      <c r="D44" s="21" t="str">
        <f aca="false">IF(INDEX(Tasks!$H:$H,ROW()-1)="","",INDEX(Tasks!$H:$H,ROW()-1))</f>
        <v>Not Started</v>
      </c>
      <c r="E44" s="22" t="n">
        <f aca="false">IF(INDEX(Tasks!$I:$I,ROW()-1)="","",INDEX(Tasks!$I:$I,ROW()-1))</f>
        <v>46426</v>
      </c>
      <c r="F44" s="22" t="n">
        <f aca="false">IF(INDEX(Tasks!$K:$K,ROW()-1)="","",INDEX(Tasks!$K:$K,ROW()-1))</f>
        <v>46430</v>
      </c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</row>
    <row r="45" customFormat="false" ht="15" hidden="false" customHeight="false" outlineLevel="0" collapsed="false">
      <c r="A45" s="21" t="str">
        <f aca="false">IF(INDEX(Tasks!$A:$A,ROW()-1)="","",INDEX(Tasks!$A:$A,ROW()-1))</f>
        <v>G1-SP-1</v>
      </c>
      <c r="B45" s="21" t="str">
        <f aca="false">IF(INDEX(Tasks!$A:$A,ROW()-1)="","",IF(ISERROR(FIND(".",INDEX(Tasks!$A:$A,ROW()-1))),"","   ")&amp;INDEX(Tasks!$D:$D,ROW()-1))</f>
        <v>Sensor rig &amp; TF tree per robot</v>
      </c>
      <c r="C45" s="21" t="str">
        <f aca="false">IF(INDEX(Tasks!$G:$G,ROW()-1)="","",INDEX(Tasks!$G:$G,ROW()-1))</f>
        <v>TBD</v>
      </c>
      <c r="D45" s="21" t="str">
        <f aca="false">IF(INDEX(Tasks!$H:$H,ROW()-1)="","",INDEX(Tasks!$H:$H,ROW()-1))</f>
        <v>Not Started</v>
      </c>
      <c r="E45" s="22" t="n">
        <f aca="false">IF(INDEX(Tasks!$I:$I,ROW()-1)="","",INDEX(Tasks!$I:$I,ROW()-1))</f>
        <v>46307</v>
      </c>
      <c r="F45" s="22" t="n">
        <f aca="false">IF(INDEX(Tasks!$K:$K,ROW()-1)="","",INDEX(Tasks!$K:$K,ROW()-1))</f>
        <v>46318</v>
      </c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</row>
    <row r="46" customFormat="false" ht="15" hidden="false" customHeight="false" outlineLevel="0" collapsed="false">
      <c r="A46" s="21" t="str">
        <f aca="false">IF(INDEX(Tasks!$A:$A,ROW()-1)="","",INDEX(Tasks!$A:$A,ROW()-1))</f>
        <v>G1-SP-2</v>
      </c>
      <c r="B46" s="21" t="str">
        <f aca="false">IF(INDEX(Tasks!$A:$A,ROW()-1)="","",IF(ISERROR(FIND(".",INDEX(Tasks!$A:$A,ROW()-1))),"","   ")&amp;INDEX(Tasks!$D:$D,ROW()-1))</f>
        <v>Odometry: front end + fusion filter</v>
      </c>
      <c r="C46" s="21" t="str">
        <f aca="false">IF(INDEX(Tasks!$G:$G,ROW()-1)="","",INDEX(Tasks!$G:$G,ROW()-1))</f>
        <v>TBD</v>
      </c>
      <c r="D46" s="21" t="str">
        <f aca="false">IF(INDEX(Tasks!$H:$H,ROW()-1)="","",INDEX(Tasks!$H:$H,ROW()-1))</f>
        <v>Not Started</v>
      </c>
      <c r="E46" s="22" t="n">
        <f aca="false">IF(INDEX(Tasks!$I:$I,ROW()-1)="","",INDEX(Tasks!$I:$I,ROW()-1))</f>
        <v>46314</v>
      </c>
      <c r="F46" s="22" t="n">
        <f aca="false">IF(INDEX(Tasks!$K:$K,ROW()-1)="","",INDEX(Tasks!$K:$K,ROW()-1))</f>
        <v>46339</v>
      </c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</row>
    <row r="47" customFormat="false" ht="15" hidden="false" customHeight="false" outlineLevel="0" collapsed="false">
      <c r="A47" s="21" t="str">
        <f aca="false">IF(INDEX(Tasks!$A:$A,ROW()-1)="","",INDEX(Tasks!$A:$A,ROW()-1))</f>
        <v>G1-SP-3</v>
      </c>
      <c r="B47" s="21" t="str">
        <f aca="false">IF(INDEX(Tasks!$A:$A,ROW()-1)="","",IF(ISERROR(FIND(".",INDEX(Tasks!$A:$A,ROW()-1))),"","   ")&amp;INDEX(Tasks!$D:$D,ROW()-1))</f>
        <v>ED305 camera calibration in the room frame</v>
      </c>
      <c r="C47" s="21" t="str">
        <f aca="false">IF(INDEX(Tasks!$G:$G,ROW()-1)="","",INDEX(Tasks!$G:$G,ROW()-1))</f>
        <v>TBD</v>
      </c>
      <c r="D47" s="21" t="str">
        <f aca="false">IF(INDEX(Tasks!$H:$H,ROW()-1)="","",INDEX(Tasks!$H:$H,ROW()-1))</f>
        <v>Blocked</v>
      </c>
      <c r="E47" s="22" t="n">
        <f aca="false">IF(INDEX(Tasks!$I:$I,ROW()-1)="","",INDEX(Tasks!$I:$I,ROW()-1))</f>
        <v>46307</v>
      </c>
      <c r="F47" s="22" t="n">
        <f aca="false">IF(INDEX(Tasks!$K:$K,ROW()-1)="","",INDEX(Tasks!$K:$K,ROW()-1))</f>
        <v>46318</v>
      </c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</row>
    <row r="48" customFormat="false" ht="15" hidden="false" customHeight="false" outlineLevel="0" collapsed="false">
      <c r="A48" s="21" t="str">
        <f aca="false">IF(INDEX(Tasks!$A:$A,ROW()-1)="","",INDEX(Tasks!$A:$A,ROW()-1))</f>
        <v>G1-SP-4</v>
      </c>
      <c r="B48" s="21" t="str">
        <f aca="false">IF(INDEX(Tasks!$A:$A,ROW()-1)="","",IF(ISERROR(FIND(".",INDEX(Tasks!$A:$A,ROW()-1))),"","   ")&amp;INDEX(Tasks!$D:$D,ROW()-1))</f>
        <v>ED305 coverage &amp; camera placement</v>
      </c>
      <c r="C48" s="21" t="str">
        <f aca="false">IF(INDEX(Tasks!$G:$G,ROW()-1)="","",INDEX(Tasks!$G:$G,ROW()-1))</f>
        <v>TBD</v>
      </c>
      <c r="D48" s="21" t="str">
        <f aca="false">IF(INDEX(Tasks!$H:$H,ROW()-1)="","",INDEX(Tasks!$H:$H,ROW()-1))</f>
        <v>In Progress</v>
      </c>
      <c r="E48" s="22" t="n">
        <f aca="false">IF(INDEX(Tasks!$I:$I,ROW()-1)="","",INDEX(Tasks!$I:$I,ROW()-1))</f>
        <v>46321</v>
      </c>
      <c r="F48" s="22" t="n">
        <f aca="false">IF(INDEX(Tasks!$K:$K,ROW()-1)="","",INDEX(Tasks!$K:$K,ROW()-1))</f>
        <v>46339</v>
      </c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</row>
    <row r="49" customFormat="false" ht="15" hidden="false" customHeight="false" outlineLevel="0" collapsed="false">
      <c r="A49" s="21" t="str">
        <f aca="false">IF(INDEX(Tasks!$A:$A,ROW()-1)="","",INDEX(Tasks!$A:$A,ROW()-1))</f>
        <v>G1-SP-5</v>
      </c>
      <c r="B49" s="21" t="str">
        <f aca="false">IF(INDEX(Tasks!$A:$A,ROW()-1)="","",IF(ISERROR(FIND(".",INDEX(Tasks!$A:$A,ROW()-1))),"","   ")&amp;INDEX(Tasks!$D:$D,ROW()-1))</f>
        <v>Printed pan-tilt heads</v>
      </c>
      <c r="C49" s="21" t="str">
        <f aca="false">IF(INDEX(Tasks!$G:$G,ROW()-1)="","",INDEX(Tasks!$G:$G,ROW()-1))</f>
        <v>TBD</v>
      </c>
      <c r="D49" s="21" t="str">
        <f aca="false">IF(INDEX(Tasks!$H:$H,ROW()-1)="","",INDEX(Tasks!$H:$H,ROW()-1))</f>
        <v>Not Started</v>
      </c>
      <c r="E49" s="22" t="n">
        <f aca="false">IF(INDEX(Tasks!$I:$I,ROW()-1)="","",INDEX(Tasks!$I:$I,ROW()-1))</f>
        <v>46314</v>
      </c>
      <c r="F49" s="22" t="n">
        <f aca="false">IF(INDEX(Tasks!$K:$K,ROW()-1)="","",INDEX(Tasks!$K:$K,ROW()-1))</f>
        <v>46332</v>
      </c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</row>
    <row r="50" customFormat="false" ht="15" hidden="false" customHeight="false" outlineLevel="0" collapsed="false">
      <c r="A50" s="21" t="str">
        <f aca="false">IF(INDEX(Tasks!$A:$A,ROW()-1)="","",INDEX(Tasks!$A:$A,ROW()-1))</f>
        <v>G1-SP-6</v>
      </c>
      <c r="B50" s="21" t="str">
        <f aca="false">IF(INDEX(Tasks!$A:$A,ROW()-1)="","",IF(ISERROR(FIND(".",INDEX(Tasks!$A:$A,ROW()-1))),"","   ")&amp;INDEX(Tasks!$D:$D,ROW()-1))</f>
        <v>ED305 camera time sync</v>
      </c>
      <c r="C50" s="21" t="str">
        <f aca="false">IF(INDEX(Tasks!$G:$G,ROW()-1)="","",INDEX(Tasks!$G:$G,ROW()-1))</f>
        <v>TBD</v>
      </c>
      <c r="D50" s="21" t="str">
        <f aca="false">IF(INDEX(Tasks!$H:$H,ROW()-1)="","",INDEX(Tasks!$H:$H,ROW()-1))</f>
        <v>Not Started</v>
      </c>
      <c r="E50" s="22" t="n">
        <f aca="false">IF(INDEX(Tasks!$I:$I,ROW()-1)="","",INDEX(Tasks!$I:$I,ROW()-1))</f>
        <v>46321</v>
      </c>
      <c r="F50" s="22" t="n">
        <f aca="false">IF(INDEX(Tasks!$K:$K,ROW()-1)="","",INDEX(Tasks!$K:$K,ROW()-1))</f>
        <v>46332</v>
      </c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</row>
    <row r="51" customFormat="false" ht="15" hidden="false" customHeight="false" outlineLevel="0" collapsed="false">
      <c r="A51" s="21" t="str">
        <f aca="false">IF(INDEX(Tasks!$A:$A,ROW()-1)="","",INDEX(Tasks!$A:$A,ROW()-1))</f>
        <v>G1-GS-1</v>
      </c>
      <c r="B51" s="21" t="str">
        <f aca="false">IF(INDEX(Tasks!$A:$A,ROW()-1)="","",IF(ISERROR(FIND(".",INDEX(Tasks!$A:$A,ROW()-1))),"","   ")&amp;INDEX(Tasks!$D:$D,ROW()-1))</f>
        <v>Metric prior</v>
      </c>
      <c r="C51" s="21" t="str">
        <f aca="false">IF(INDEX(Tasks!$G:$G,ROW()-1)="","",INDEX(Tasks!$G:$G,ROW()-1))</f>
        <v>TBD</v>
      </c>
      <c r="D51" s="21" t="str">
        <f aca="false">IF(INDEX(Tasks!$H:$H,ROW()-1)="","",INDEX(Tasks!$H:$H,ROW()-1))</f>
        <v>Not Started</v>
      </c>
      <c r="E51" s="22" t="n">
        <f aca="false">IF(INDEX(Tasks!$I:$I,ROW()-1)="","",INDEX(Tasks!$I:$I,ROW()-1))</f>
        <v>46307</v>
      </c>
      <c r="F51" s="22" t="n">
        <f aca="false">IF(INDEX(Tasks!$K:$K,ROW()-1)="","",INDEX(Tasks!$K:$K,ROW()-1))</f>
        <v>46318</v>
      </c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</row>
    <row r="52" customFormat="false" ht="15" hidden="false" customHeight="false" outlineLevel="0" collapsed="false">
      <c r="A52" s="21" t="str">
        <f aca="false">IF(INDEX(Tasks!$A:$A,ROW()-1)="","",INDEX(Tasks!$A:$A,ROW()-1))</f>
        <v>G1-GS-2</v>
      </c>
      <c r="B52" s="21" t="str">
        <f aca="false">IF(INDEX(Tasks!$A:$A,ROW()-1)="","",IF(ISERROR(FIND(".",INDEX(Tasks!$A:$A,ROW()-1))),"","   ")&amp;INDEX(Tasks!$D:$D,ROW()-1))</f>
        <v>Tracking + keyframe gate</v>
      </c>
      <c r="C52" s="21" t="str">
        <f aca="false">IF(INDEX(Tasks!$G:$G,ROW()-1)="","",INDEX(Tasks!$G:$G,ROW()-1))</f>
        <v>TBD</v>
      </c>
      <c r="D52" s="21" t="str">
        <f aca="false">IF(INDEX(Tasks!$H:$H,ROW()-1)="","",INDEX(Tasks!$H:$H,ROW()-1))</f>
        <v>Not Started</v>
      </c>
      <c r="E52" s="22" t="n">
        <f aca="false">IF(INDEX(Tasks!$I:$I,ROW()-1)="","",INDEX(Tasks!$I:$I,ROW()-1))</f>
        <v>46314</v>
      </c>
      <c r="F52" s="22" t="n">
        <f aca="false">IF(INDEX(Tasks!$K:$K,ROW()-1)="","",INDEX(Tasks!$K:$K,ROW()-1))</f>
        <v>46339</v>
      </c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</row>
    <row r="53" customFormat="false" ht="15" hidden="false" customHeight="false" outlineLevel="0" collapsed="false">
      <c r="A53" s="21" t="str">
        <f aca="false">IF(INDEX(Tasks!$A:$A,ROW()-1)="","",INDEX(Tasks!$A:$A,ROW()-1))</f>
        <v>G1-GS-3</v>
      </c>
      <c r="B53" s="21" t="str">
        <f aca="false">IF(INDEX(Tasks!$A:$A,ROW()-1)="","",IF(ISERROR(FIND(".",INDEX(Tasks!$A:$A,ROW()-1))),"","   ")&amp;INDEX(Tasks!$D:$D,ROW()-1))</f>
        <v>Mapping + loop closure</v>
      </c>
      <c r="C53" s="21" t="str">
        <f aca="false">IF(INDEX(Tasks!$G:$G,ROW()-1)="","",INDEX(Tasks!$G:$G,ROW()-1))</f>
        <v>TBD</v>
      </c>
      <c r="D53" s="21" t="str">
        <f aca="false">IF(INDEX(Tasks!$H:$H,ROW()-1)="","",INDEX(Tasks!$H:$H,ROW()-1))</f>
        <v>Not Started</v>
      </c>
      <c r="E53" s="22" t="n">
        <f aca="false">IF(INDEX(Tasks!$I:$I,ROW()-1)="","",INDEX(Tasks!$I:$I,ROW()-1))</f>
        <v>46328</v>
      </c>
      <c r="F53" s="22" t="n">
        <f aca="false">IF(INDEX(Tasks!$K:$K,ROW()-1)="","",INDEX(Tasks!$K:$K,ROW()-1))</f>
        <v>46353</v>
      </c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</row>
    <row r="54" customFormat="false" ht="15" hidden="false" customHeight="false" outlineLevel="0" collapsed="false">
      <c r="A54" s="21" t="str">
        <f aca="false">IF(INDEX(Tasks!$A:$A,ROW()-1)="","",INDEX(Tasks!$A:$A,ROW()-1))</f>
        <v>G1-GS-3.1</v>
      </c>
      <c r="B54" s="21" t="str">
        <f aca="false">IF(INDEX(Tasks!$A:$A,ROW()-1)="","",IF(ISERROR(FIND(".",INDEX(Tasks!$A:$A,ROW()-1))),"","   ")&amp;INDEX(Tasks!$D:$D,ROW()-1))</f>
        <v>   Dynamic-Object Filter (Pre-Registration)</v>
      </c>
      <c r="C54" s="21" t="str">
        <f aca="false">IF(INDEX(Tasks!$G:$G,ROW()-1)="","",INDEX(Tasks!$G:$G,ROW()-1))</f>
        <v>TBD</v>
      </c>
      <c r="D54" s="21" t="str">
        <f aca="false">IF(INDEX(Tasks!$H:$H,ROW()-1)="","",INDEX(Tasks!$H:$H,ROW()-1))</f>
        <v>Not Started</v>
      </c>
      <c r="E54" s="22" t="n">
        <f aca="false">IF(INDEX(Tasks!$I:$I,ROW()-1)="","",INDEX(Tasks!$I:$I,ROW()-1))</f>
        <v>46202</v>
      </c>
      <c r="F54" s="22" t="n">
        <f aca="false">IF(INDEX(Tasks!$K:$K,ROW()-1)="","",INDEX(Tasks!$K:$K,ROW()-1))</f>
        <v>46206</v>
      </c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</row>
    <row r="55" customFormat="false" ht="15" hidden="false" customHeight="false" outlineLevel="0" collapsed="false">
      <c r="A55" s="21" t="str">
        <f aca="false">IF(INDEX(Tasks!$A:$A,ROW()-1)="","",INDEX(Tasks!$A:$A,ROW()-1))</f>
        <v>G1-GS-3.2</v>
      </c>
      <c r="B55" s="21" t="str">
        <f aca="false">IF(INDEX(Tasks!$A:$A,ROW()-1)="","",IF(ISERROR(FIND(".",INDEX(Tasks!$A:$A,ROW()-1))),"","   ")&amp;INDEX(Tasks!$D:$D,ROW()-1))</f>
        <v>   Static Point Cloud Registration</v>
      </c>
      <c r="C55" s="21" t="str">
        <f aca="false">IF(INDEX(Tasks!$G:$G,ROW()-1)="","",INDEX(Tasks!$G:$G,ROW()-1))</f>
        <v>TBD</v>
      </c>
      <c r="D55" s="21" t="str">
        <f aca="false">IF(INDEX(Tasks!$H:$H,ROW()-1)="","",INDEX(Tasks!$H:$H,ROW()-1))</f>
        <v>Not Started</v>
      </c>
      <c r="E55" s="22" t="n">
        <f aca="false">IF(INDEX(Tasks!$I:$I,ROW()-1)="","",INDEX(Tasks!$I:$I,ROW()-1))</f>
        <v>46202</v>
      </c>
      <c r="F55" s="22" t="n">
        <f aca="false">IF(INDEX(Tasks!$K:$K,ROW()-1)="","",INDEX(Tasks!$K:$K,ROW()-1))</f>
        <v>46206</v>
      </c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</row>
    <row r="56" customFormat="false" ht="15" hidden="false" customHeight="false" outlineLevel="0" collapsed="false">
      <c r="A56" s="21" t="str">
        <f aca="false">IF(INDEX(Tasks!$A:$A,ROW()-1)="","",INDEX(Tasks!$A:$A,ROW()-1))</f>
        <v>G1-GS-4</v>
      </c>
      <c r="B56" s="21" t="str">
        <f aca="false">IF(INDEX(Tasks!$A:$A,ROW()-1)="","",IF(ISERROR(FIND(".",INDEX(Tasks!$A:$A,ROW()-1))),"","   ")&amp;INDEX(Tasks!$D:$D,ROW()-1))</f>
        <v>Real-time budget</v>
      </c>
      <c r="C56" s="21" t="str">
        <f aca="false">IF(INDEX(Tasks!$G:$G,ROW()-1)="","",INDEX(Tasks!$G:$G,ROW()-1))</f>
        <v>TBD</v>
      </c>
      <c r="D56" s="21" t="str">
        <f aca="false">IF(INDEX(Tasks!$H:$H,ROW()-1)="","",INDEX(Tasks!$H:$H,ROW()-1))</f>
        <v>Not Started</v>
      </c>
      <c r="E56" s="22" t="n">
        <f aca="false">IF(INDEX(Tasks!$I:$I,ROW()-1)="","",INDEX(Tasks!$I:$I,ROW()-1))</f>
        <v>46349</v>
      </c>
      <c r="F56" s="22" t="n">
        <f aca="false">IF(INDEX(Tasks!$K:$K,ROW()-1)="","",INDEX(Tasks!$K:$K,ROW()-1))</f>
        <v>46360</v>
      </c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</row>
    <row r="57" customFormat="false" ht="15" hidden="false" customHeight="false" outlineLevel="0" collapsed="false">
      <c r="A57" s="21" t="str">
        <f aca="false">IF(INDEX(Tasks!$A:$A,ROW()-1)="","",INDEX(Tasks!$A:$A,ROW()-1))</f>
        <v>G1-GS-5</v>
      </c>
      <c r="B57" s="21" t="str">
        <f aca="false">IF(INDEX(Tasks!$A:$A,ROW()-1)="","",IF(ISERROR(FIND(".",INDEX(Tasks!$A:$A,ROW()-1))),"","   ")&amp;INDEX(Tasks!$D:$D,ROW()-1))</f>
        <v>Map fusion (multi-robot)</v>
      </c>
      <c r="C57" s="21" t="str">
        <f aca="false">IF(INDEX(Tasks!$G:$G,ROW()-1)="","",INDEX(Tasks!$G:$G,ROW()-1))</f>
        <v>TBD</v>
      </c>
      <c r="D57" s="21" t="str">
        <f aca="false">IF(INDEX(Tasks!$H:$H,ROW()-1)="","",INDEX(Tasks!$H:$H,ROW()-1))</f>
        <v>Not Started</v>
      </c>
      <c r="E57" s="22" t="n">
        <f aca="false">IF(INDEX(Tasks!$I:$I,ROW()-1)="","",INDEX(Tasks!$I:$I,ROW()-1))</f>
        <v>46356</v>
      </c>
      <c r="F57" s="22" t="n">
        <f aca="false">IF(INDEX(Tasks!$K:$K,ROW()-1)="","",INDEX(Tasks!$K:$K,ROW()-1))</f>
        <v>46381</v>
      </c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</row>
    <row r="58" customFormat="false" ht="15" hidden="false" customHeight="false" outlineLevel="0" collapsed="false">
      <c r="A58" s="21" t="str">
        <f aca="false">IF(INDEX(Tasks!$A:$A,ROW()-1)="","",INDEX(Tasks!$A:$A,ROW()-1))</f>
        <v>G1-GS-6</v>
      </c>
      <c r="B58" s="21" t="str">
        <f aca="false">IF(INDEX(Tasks!$A:$A,ROW()-1)="","",IF(ISERROR(FIND(".",INDEX(Tasks!$A:$A,ROW()-1))),"","   ")&amp;INDEX(Tasks!$D:$D,ROW()-1))</f>
        <v>Evaluation</v>
      </c>
      <c r="C58" s="21" t="str">
        <f aca="false">IF(INDEX(Tasks!$G:$G,ROW()-1)="","",INDEX(Tasks!$G:$G,ROW()-1))</f>
        <v>TBD</v>
      </c>
      <c r="D58" s="21" t="str">
        <f aca="false">IF(INDEX(Tasks!$H:$H,ROW()-1)="","",INDEX(Tasks!$H:$H,ROW()-1))</f>
        <v>Not Started</v>
      </c>
      <c r="E58" s="22" t="n">
        <f aca="false">IF(INDEX(Tasks!$I:$I,ROW()-1)="","",INDEX(Tasks!$I:$I,ROW()-1))</f>
        <v>46377</v>
      </c>
      <c r="F58" s="22" t="n">
        <f aca="false">IF(INDEX(Tasks!$K:$K,ROW()-1)="","",INDEX(Tasks!$K:$K,ROW()-1))</f>
        <v>46388</v>
      </c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</row>
    <row r="59" customFormat="false" ht="15" hidden="false" customHeight="false" outlineLevel="0" collapsed="false">
      <c r="A59" s="21" t="str">
        <f aca="false">IF(INDEX(Tasks!$A:$A,ROW()-1)="","",INDEX(Tasks!$A:$A,ROW()-1))</f>
        <v>G1-SD-1</v>
      </c>
      <c r="B59" s="21" t="str">
        <f aca="false">IF(INDEX(Tasks!$A:$A,ROW()-1)="","",IF(ISERROR(FIND(".",INDEX(Tasks!$A:$A,ROW()-1))),"","   ")&amp;INDEX(Tasks!$D:$D,ROW()-1))</f>
        <v>Object asset library</v>
      </c>
      <c r="C59" s="21" t="str">
        <f aca="false">IF(INDEX(Tasks!$G:$G,ROW()-1)="","",INDEX(Tasks!$G:$G,ROW()-1))</f>
        <v>TBD</v>
      </c>
      <c r="D59" s="21" t="str">
        <f aca="false">IF(INDEX(Tasks!$H:$H,ROW()-1)="","",INDEX(Tasks!$H:$H,ROW()-1))</f>
        <v>Not Started</v>
      </c>
      <c r="E59" s="22" t="n">
        <f aca="false">IF(INDEX(Tasks!$I:$I,ROW()-1)="","",INDEX(Tasks!$I:$I,ROW()-1))</f>
        <v>46307</v>
      </c>
      <c r="F59" s="22" t="n">
        <f aca="false">IF(INDEX(Tasks!$K:$K,ROW()-1)="","",INDEX(Tasks!$K:$K,ROW()-1))</f>
        <v>46325</v>
      </c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</row>
    <row r="60" customFormat="false" ht="15" hidden="false" customHeight="false" outlineLevel="0" collapsed="false">
      <c r="A60" s="21" t="str">
        <f aca="false">IF(INDEX(Tasks!$A:$A,ROW()-1)="","",INDEX(Tasks!$A:$A,ROW()-1))</f>
        <v>G1-SD-2</v>
      </c>
      <c r="B60" s="21" t="str">
        <f aca="false">IF(INDEX(Tasks!$A:$A,ROW()-1)="","",IF(ISERROR(FIND(".",INDEX(Tasks!$A:$A,ROW()-1))),"","   ")&amp;INDEX(Tasks!$D:$D,ROW()-1))</f>
        <v>Object retrieval from G*</v>
      </c>
      <c r="C60" s="21" t="str">
        <f aca="false">IF(INDEX(Tasks!$G:$G,ROW()-1)="","",INDEX(Tasks!$G:$G,ROW()-1))</f>
        <v>TBD</v>
      </c>
      <c r="D60" s="21" t="str">
        <f aca="false">IF(INDEX(Tasks!$H:$H,ROW()-1)="","",INDEX(Tasks!$H:$H,ROW()-1))</f>
        <v>Not Started</v>
      </c>
      <c r="E60" s="22" t="n">
        <f aca="false">IF(INDEX(Tasks!$I:$I,ROW()-1)="","",INDEX(Tasks!$I:$I,ROW()-1))</f>
        <v>46328</v>
      </c>
      <c r="F60" s="22" t="n">
        <f aca="false">IF(INDEX(Tasks!$K:$K,ROW()-1)="","",INDEX(Tasks!$K:$K,ROW()-1))</f>
        <v>46353</v>
      </c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</row>
    <row r="61" customFormat="false" ht="15" hidden="false" customHeight="false" outlineLevel="0" collapsed="false">
      <c r="A61" s="21" t="str">
        <f aca="false">IF(INDEX(Tasks!$A:$A,ROW()-1)="","",INDEX(Tasks!$A:$A,ROW()-1))</f>
        <v>G1-SD-2.1</v>
      </c>
      <c r="B61" s="21" t="str">
        <f aca="false">IF(INDEX(Tasks!$A:$A,ROW()-1)="","",IF(ISERROR(FIND(".",INDEX(Tasks!$A:$A,ROW()-1))),"","   ")&amp;INDEX(Tasks!$D:$D,ROW()-1))</f>
        <v>   Object Detection &amp; Instance Identification (RGB / RGBD / LiDAR / Radar)</v>
      </c>
      <c r="C61" s="21" t="str">
        <f aca="false">IF(INDEX(Tasks!$G:$G,ROW()-1)="","",INDEX(Tasks!$G:$G,ROW()-1))</f>
        <v>TBD</v>
      </c>
      <c r="D61" s="21" t="str">
        <f aca="false">IF(INDEX(Tasks!$H:$H,ROW()-1)="","",INDEX(Tasks!$H:$H,ROW()-1))</f>
        <v>Not Started</v>
      </c>
      <c r="E61" s="22" t="n">
        <f aca="false">IF(INDEX(Tasks!$I:$I,ROW()-1)="","",INDEX(Tasks!$I:$I,ROW()-1))</f>
        <v>46209</v>
      </c>
      <c r="F61" s="22" t="n">
        <f aca="false">IF(INDEX(Tasks!$K:$K,ROW()-1)="","",INDEX(Tasks!$K:$K,ROW()-1))</f>
        <v>46220</v>
      </c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</row>
    <row r="62" customFormat="false" ht="15" hidden="false" customHeight="false" outlineLevel="0" collapsed="false">
      <c r="A62" s="21" t="str">
        <f aca="false">IF(INDEX(Tasks!$A:$A,ROW()-1)="","",INDEX(Tasks!$A:$A,ROW()-1))</f>
        <v>G1-SD-2.2</v>
      </c>
      <c r="B62" s="21" t="str">
        <f aca="false">IF(INDEX(Tasks!$A:$A,ROW()-1)="","",IF(ISERROR(FIND(".",INDEX(Tasks!$A:$A,ROW()-1))),"","   ")&amp;INDEX(Tasks!$D:$D,ROW()-1))</f>
        <v>   Radar + Panoptic Fusion Tracking</v>
      </c>
      <c r="C62" s="21" t="str">
        <f aca="false">IF(INDEX(Tasks!$G:$G,ROW()-1)="","",INDEX(Tasks!$G:$G,ROW()-1))</f>
        <v>TBD</v>
      </c>
      <c r="D62" s="21" t="str">
        <f aca="false">IF(INDEX(Tasks!$H:$H,ROW()-1)="","",INDEX(Tasks!$H:$H,ROW()-1))</f>
        <v>Not Started</v>
      </c>
      <c r="E62" s="22" t="n">
        <f aca="false">IF(INDEX(Tasks!$I:$I,ROW()-1)="","",INDEX(Tasks!$I:$I,ROW()-1))</f>
        <v>46209</v>
      </c>
      <c r="F62" s="22" t="n">
        <f aca="false">IF(INDEX(Tasks!$K:$K,ROW()-1)="","",INDEX(Tasks!$K:$K,ROW()-1))</f>
        <v>46220</v>
      </c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</row>
    <row r="63" customFormat="false" ht="15" hidden="false" customHeight="false" outlineLevel="0" collapsed="false">
      <c r="A63" s="21" t="str">
        <f aca="false">IF(INDEX(Tasks!$A:$A,ROW()-1)="","",INDEX(Tasks!$A:$A,ROW()-1))</f>
        <v>G1-SD-3</v>
      </c>
      <c r="B63" s="21" t="str">
        <f aca="false">IF(INDEX(Tasks!$A:$A,ROW()-1)="","",IF(ISERROR(FIND(".",INDEX(Tasks!$A:$A,ROW()-1))),"","   ")&amp;INDEX(Tasks!$D:$D,ROW()-1))</f>
        <v>Decomposition: segments &amp; materials</v>
      </c>
      <c r="C63" s="21" t="str">
        <f aca="false">IF(INDEX(Tasks!$G:$G,ROW()-1)="","",INDEX(Tasks!$G:$G,ROW()-1))</f>
        <v>TBD</v>
      </c>
      <c r="D63" s="21" t="str">
        <f aca="false">IF(INDEX(Tasks!$H:$H,ROW()-1)="","",INDEX(Tasks!$H:$H,ROW()-1))</f>
        <v>Not Started</v>
      </c>
      <c r="E63" s="22" t="n">
        <f aca="false">IF(INDEX(Tasks!$I:$I,ROW()-1)="","",INDEX(Tasks!$I:$I,ROW()-1))</f>
        <v>46335</v>
      </c>
      <c r="F63" s="22" t="n">
        <f aca="false">IF(INDEX(Tasks!$K:$K,ROW()-1)="","",INDEX(Tasks!$K:$K,ROW()-1))</f>
        <v>46360</v>
      </c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</row>
    <row r="64" customFormat="false" ht="15" hidden="false" customHeight="false" outlineLevel="0" collapsed="false">
      <c r="A64" s="21" t="str">
        <f aca="false">IF(INDEX(Tasks!$A:$A,ROW()-1)="","",INDEX(Tasks!$A:$A,ROW()-1))</f>
        <v>G1-SD-4</v>
      </c>
      <c r="B64" s="21" t="str">
        <f aca="false">IF(INDEX(Tasks!$A:$A,ROW()-1)="","",IF(ISERROR(FIND(".",INDEX(Tasks!$A:$A,ROW()-1))),"","   ")&amp;INDEX(Tasks!$D:$D,ROW()-1))</f>
        <v>Change detection</v>
      </c>
      <c r="C64" s="21" t="str">
        <f aca="false">IF(INDEX(Tasks!$G:$G,ROW()-1)="","",INDEX(Tasks!$G:$G,ROW()-1))</f>
        <v>TBD</v>
      </c>
      <c r="D64" s="21" t="str">
        <f aca="false">IF(INDEX(Tasks!$H:$H,ROW()-1)="","",INDEX(Tasks!$H:$H,ROW()-1))</f>
        <v>Not Started</v>
      </c>
      <c r="E64" s="22" t="n">
        <f aca="false">IF(INDEX(Tasks!$I:$I,ROW()-1)="","",INDEX(Tasks!$I:$I,ROW()-1))</f>
        <v>46356</v>
      </c>
      <c r="F64" s="22" t="n">
        <f aca="false">IF(INDEX(Tasks!$K:$K,ROW()-1)="","",INDEX(Tasks!$K:$K,ROW()-1))</f>
        <v>46381</v>
      </c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</row>
    <row r="65" customFormat="false" ht="15" hidden="false" customHeight="false" outlineLevel="0" collapsed="false">
      <c r="A65" s="21" t="str">
        <f aca="false">IF(INDEX(Tasks!$A:$A,ROW()-1)="","",INDEX(Tasks!$A:$A,ROW()-1))</f>
        <v>G1-SD-4.1</v>
      </c>
      <c r="B65" s="21" t="str">
        <f aca="false">IF(INDEX(Tasks!$A:$A,ROW()-1)="","",IF(ISERROR(FIND(".",INDEX(Tasks!$A:$A,ROW()-1))),"","   ")&amp;INDEX(Tasks!$D:$D,ROW()-1))</f>
        <v>   Change Detection (Object Moved / Appeared / Disappeared)</v>
      </c>
      <c r="C65" s="21" t="str">
        <f aca="false">IF(INDEX(Tasks!$G:$G,ROW()-1)="","",INDEX(Tasks!$G:$G,ROW()-1))</f>
        <v>TBD</v>
      </c>
      <c r="D65" s="21" t="str">
        <f aca="false">IF(INDEX(Tasks!$H:$H,ROW()-1)="","",INDEX(Tasks!$H:$H,ROW()-1))</f>
        <v>Not Started</v>
      </c>
      <c r="E65" s="22" t="n">
        <f aca="false">IF(INDEX(Tasks!$I:$I,ROW()-1)="","",INDEX(Tasks!$I:$I,ROW()-1))</f>
        <v>46223</v>
      </c>
      <c r="F65" s="22" t="n">
        <f aca="false">IF(INDEX(Tasks!$K:$K,ROW()-1)="","",INDEX(Tasks!$K:$K,ROW()-1))</f>
        <v>46227</v>
      </c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</row>
    <row r="66" customFormat="false" ht="15" hidden="false" customHeight="false" outlineLevel="0" collapsed="false">
      <c r="A66" s="21" t="str">
        <f aca="false">IF(INDEX(Tasks!$A:$A,ROW()-1)="","",INDEX(Tasks!$A:$A,ROW()-1))</f>
        <v>G1-SD-5</v>
      </c>
      <c r="B66" s="21" t="str">
        <f aca="false">IF(INDEX(Tasks!$A:$A,ROW()-1)="","",IF(ISERROR(FIND(".",INDEX(Tasks!$A:$A,ROW()-1))),"","   ")&amp;INDEX(Tasks!$D:$D,ROW()-1))</f>
        <v>Maintenance with change history</v>
      </c>
      <c r="C66" s="21" t="str">
        <f aca="false">IF(INDEX(Tasks!$G:$G,ROW()-1)="","",INDEX(Tasks!$G:$G,ROW()-1))</f>
        <v>TBD</v>
      </c>
      <c r="D66" s="21" t="str">
        <f aca="false">IF(INDEX(Tasks!$H:$H,ROW()-1)="","",INDEX(Tasks!$H:$H,ROW()-1))</f>
        <v>Not Started</v>
      </c>
      <c r="E66" s="22" t="n">
        <f aca="false">IF(INDEX(Tasks!$I:$I,ROW()-1)="","",INDEX(Tasks!$I:$I,ROW()-1))</f>
        <v>46370</v>
      </c>
      <c r="F66" s="22" t="n">
        <f aca="false">IF(INDEX(Tasks!$K:$K,ROW()-1)="","",INDEX(Tasks!$K:$K,ROW()-1))</f>
        <v>46388</v>
      </c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</row>
    <row r="67" customFormat="false" ht="15" hidden="false" customHeight="false" outlineLevel="0" collapsed="false">
      <c r="A67" s="21" t="str">
        <f aca="false">IF(INDEX(Tasks!$A:$A,ROW()-1)="","",INDEX(Tasks!$A:$A,ROW()-1))</f>
        <v>G1-SD-5.1</v>
      </c>
      <c r="B67" s="21" t="str">
        <f aca="false">IF(INDEX(Tasks!$A:$A,ROW()-1)="","",IF(ISERROR(FIND(".",INDEX(Tasks!$A:$A,ROW()-1))),"","   ")&amp;INDEX(Tasks!$D:$D,ROW()-1))</f>
        <v>   Scene Graph &amp; Map Update on Change (with Change History)</v>
      </c>
      <c r="C67" s="21" t="str">
        <f aca="false">IF(INDEX(Tasks!$G:$G,ROW()-1)="","",INDEX(Tasks!$G:$G,ROW()-1))</f>
        <v>TBD</v>
      </c>
      <c r="D67" s="21" t="str">
        <f aca="false">IF(INDEX(Tasks!$H:$H,ROW()-1)="","",INDEX(Tasks!$H:$H,ROW()-1))</f>
        <v>Not Started</v>
      </c>
      <c r="E67" s="22" t="n">
        <f aca="false">IF(INDEX(Tasks!$I:$I,ROW()-1)="","",INDEX(Tasks!$I:$I,ROW()-1))</f>
        <v>46223</v>
      </c>
      <c r="F67" s="22" t="n">
        <f aca="false">IF(INDEX(Tasks!$K:$K,ROW()-1)="","",INDEX(Tasks!$K:$K,ROW()-1))</f>
        <v>46234</v>
      </c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</row>
    <row r="68" customFormat="false" ht="15" hidden="false" customHeight="false" outlineLevel="0" collapsed="false">
      <c r="A68" s="21" t="str">
        <f aca="false">IF(INDEX(Tasks!$A:$A,ROW()-1)="","",INDEX(Tasks!$A:$A,ROW()-1))</f>
        <v>G1-SD-6</v>
      </c>
      <c r="B68" s="21" t="str">
        <f aca="false">IF(INDEX(Tasks!$A:$A,ROW()-1)="","",IF(ISERROR(FIND(".",INDEX(Tasks!$A:$A,ROW()-1))),"","   ")&amp;INDEX(Tasks!$D:$D,ROW()-1))</f>
        <v>USD edits to Isaac</v>
      </c>
      <c r="C68" s="21" t="str">
        <f aca="false">IF(INDEX(Tasks!$G:$G,ROW()-1)="","",INDEX(Tasks!$G:$G,ROW()-1))</f>
        <v>TBD</v>
      </c>
      <c r="D68" s="21" t="str">
        <f aca="false">IF(INDEX(Tasks!$H:$H,ROW()-1)="","",INDEX(Tasks!$H:$H,ROW()-1))</f>
        <v>Not Started</v>
      </c>
      <c r="E68" s="22" t="n">
        <f aca="false">IF(INDEX(Tasks!$I:$I,ROW()-1)="","",INDEX(Tasks!$I:$I,ROW()-1))</f>
        <v>46370</v>
      </c>
      <c r="F68" s="22" t="n">
        <f aca="false">IF(INDEX(Tasks!$K:$K,ROW()-1)="","",INDEX(Tasks!$K:$K,ROW()-1))</f>
        <v>46388</v>
      </c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</row>
    <row r="69" customFormat="false" ht="15" hidden="false" customHeight="false" outlineLevel="0" collapsed="false">
      <c r="A69" s="21" t="str">
        <f aca="false">IF(INDEX(Tasks!$A:$A,ROW()-1)="","",INDEX(Tasks!$A:$A,ROW()-1))</f>
        <v>G1-SD-7</v>
      </c>
      <c r="B69" s="21" t="str">
        <f aca="false">IF(INDEX(Tasks!$A:$A,ROW()-1)="","",IF(ISERROR(FIND(".",INDEX(Tasks!$A:$A,ROW()-1))),"","   ")&amp;INDEX(Tasks!$D:$D,ROW()-1))</f>
        <v>Live targets from the ED305 cameras</v>
      </c>
      <c r="C69" s="21" t="str">
        <f aca="false">IF(INDEX(Tasks!$G:$G,ROW()-1)="","",INDEX(Tasks!$G:$G,ROW()-1))</f>
        <v>TBD</v>
      </c>
      <c r="D69" s="21" t="str">
        <f aca="false">IF(INDEX(Tasks!$H:$H,ROW()-1)="","",INDEX(Tasks!$H:$H,ROW()-1))</f>
        <v>Not Started</v>
      </c>
      <c r="E69" s="22" t="n">
        <f aca="false">IF(INDEX(Tasks!$I:$I,ROW()-1)="","",INDEX(Tasks!$I:$I,ROW()-1))</f>
        <v>46349</v>
      </c>
      <c r="F69" s="22" t="n">
        <f aca="false">IF(INDEX(Tasks!$K:$K,ROW()-1)="","",INDEX(Tasks!$K:$K,ROW()-1))</f>
        <v>46374</v>
      </c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</row>
    <row r="70" customFormat="false" ht="15" hidden="false" customHeight="false" outlineLevel="0" collapsed="false">
      <c r="A70" s="21" t="str">
        <f aca="false">IF(INDEX(Tasks!$A:$A,ROW()-1)="","",INDEX(Tasks!$A:$A,ROW()-1))</f>
        <v>G1-IS-1</v>
      </c>
      <c r="B70" s="21" t="str">
        <f aca="false">IF(INDEX(Tasks!$A:$A,ROW()-1)="","",IF(ISERROR(FIND(".",INDEX(Tasks!$A:$A,ROW()-1))),"","   ")&amp;INDEX(Tasks!$D:$D,ROW()-1))</f>
        <v>ED305 USD stage in the room frame</v>
      </c>
      <c r="C70" s="21" t="str">
        <f aca="false">IF(INDEX(Tasks!$G:$G,ROW()-1)="","",INDEX(Tasks!$G:$G,ROW()-1))</f>
        <v>TBD</v>
      </c>
      <c r="D70" s="21" t="str">
        <f aca="false">IF(INDEX(Tasks!$H:$H,ROW()-1)="","",INDEX(Tasks!$H:$H,ROW()-1))</f>
        <v>Not Started</v>
      </c>
      <c r="E70" s="22" t="n">
        <f aca="false">IF(INDEX(Tasks!$I:$I,ROW()-1)="","",INDEX(Tasks!$I:$I,ROW()-1))</f>
        <v>46307</v>
      </c>
      <c r="F70" s="22" t="n">
        <f aca="false">IF(INDEX(Tasks!$K:$K,ROW()-1)="","",INDEX(Tasks!$K:$K,ROW()-1))</f>
        <v>46325</v>
      </c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</row>
    <row r="71" customFormat="false" ht="15" hidden="false" customHeight="false" outlineLevel="0" collapsed="false">
      <c r="A71" s="21" t="str">
        <f aca="false">IF(INDEX(Tasks!$A:$A,ROW()-1)="","",INDEX(Tasks!$A:$A,ROW()-1))</f>
        <v>G1-IS-2</v>
      </c>
      <c r="B71" s="21" t="str">
        <f aca="false">IF(INDEX(Tasks!$A:$A,ROW()-1)="","",IF(ISERROR(FIND(".",INDEX(Tasks!$A:$A,ROW()-1))),"","   ")&amp;INDEX(Tasks!$D:$D,ROW()-1))</f>
        <v>Robot + antenna prims, live pose</v>
      </c>
      <c r="C71" s="21" t="str">
        <f aca="false">IF(INDEX(Tasks!$G:$G,ROW()-1)="","",INDEX(Tasks!$G:$G,ROW()-1))</f>
        <v>TBD</v>
      </c>
      <c r="D71" s="21" t="str">
        <f aca="false">IF(INDEX(Tasks!$H:$H,ROW()-1)="","",INDEX(Tasks!$H:$H,ROW()-1))</f>
        <v>Not Started</v>
      </c>
      <c r="E71" s="22" t="n">
        <f aca="false">IF(INDEX(Tasks!$I:$I,ROW()-1)="","",INDEX(Tasks!$I:$I,ROW()-1))</f>
        <v>46321</v>
      </c>
      <c r="F71" s="22" t="n">
        <f aca="false">IF(INDEX(Tasks!$K:$K,ROW()-1)="","",INDEX(Tasks!$K:$K,ROW()-1))</f>
        <v>46339</v>
      </c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</row>
    <row r="72" customFormat="false" ht="15" hidden="false" customHeight="false" outlineLevel="0" collapsed="false">
      <c r="A72" s="21" t="str">
        <f aca="false">IF(INDEX(Tasks!$A:$A,ROW()-1)="","",INDEX(Tasks!$A:$A,ROW()-1))</f>
        <v>G1-IS-3</v>
      </c>
      <c r="B72" s="21" t="str">
        <f aca="false">IF(INDEX(Tasks!$A:$A,ROW()-1)="","",IF(ISERROR(FIND(".",INDEX(Tasks!$A:$A,ROW()-1))),"","   ")&amp;INDEX(Tasks!$D:$D,ROW()-1))</f>
        <v>Gaussian layer</v>
      </c>
      <c r="C72" s="21" t="str">
        <f aca="false">IF(INDEX(Tasks!$G:$G,ROW()-1)="","",INDEX(Tasks!$G:$G,ROW()-1))</f>
        <v>TBD</v>
      </c>
      <c r="D72" s="21" t="str">
        <f aca="false">IF(INDEX(Tasks!$H:$H,ROW()-1)="","",INDEX(Tasks!$H:$H,ROW()-1))</f>
        <v>Not Started</v>
      </c>
      <c r="E72" s="22" t="n">
        <f aca="false">IF(INDEX(Tasks!$I:$I,ROW()-1)="","",INDEX(Tasks!$I:$I,ROW()-1))</f>
        <v>46335</v>
      </c>
      <c r="F72" s="22" t="n">
        <f aca="false">IF(INDEX(Tasks!$K:$K,ROW()-1)="","",INDEX(Tasks!$K:$K,ROW()-1))</f>
        <v>46353</v>
      </c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</row>
    <row r="73" customFormat="false" ht="15" hidden="false" customHeight="false" outlineLevel="0" collapsed="false">
      <c r="A73" s="21" t="str">
        <f aca="false">IF(INDEX(Tasks!$A:$A,ROW()-1)="","",INDEX(Tasks!$A:$A,ROW()-1))</f>
        <v>G1-IS-4</v>
      </c>
      <c r="B73" s="21" t="str">
        <f aca="false">IF(INDEX(Tasks!$A:$A,ROW()-1)="","",IF(ISERROR(FIND(".",INDEX(Tasks!$A:$A,ROW()-1))),"","   ")&amp;INDEX(Tasks!$D:$D,ROW()-1))</f>
        <v>Mesh layer</v>
      </c>
      <c r="C73" s="21" t="str">
        <f aca="false">IF(INDEX(Tasks!$G:$G,ROW()-1)="","",INDEX(Tasks!$G:$G,ROW()-1))</f>
        <v>TBD</v>
      </c>
      <c r="D73" s="21" t="str">
        <f aca="false">IF(INDEX(Tasks!$H:$H,ROW()-1)="","",INDEX(Tasks!$H:$H,ROW()-1))</f>
        <v>Not Started</v>
      </c>
      <c r="E73" s="22" t="n">
        <f aca="false">IF(INDEX(Tasks!$I:$I,ROW()-1)="","",INDEX(Tasks!$I:$I,ROW()-1))</f>
        <v>46328</v>
      </c>
      <c r="F73" s="22" t="n">
        <f aca="false">IF(INDEX(Tasks!$K:$K,ROW()-1)="","",INDEX(Tasks!$K:$K,ROW()-1))</f>
        <v>46346</v>
      </c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</row>
    <row r="74" customFormat="false" ht="15" hidden="false" customHeight="false" outlineLevel="0" collapsed="false">
      <c r="A74" s="21" t="str">
        <f aca="false">IF(INDEX(Tasks!$A:$A,ROW()-1)="","",INDEX(Tasks!$A:$A,ROW()-1))</f>
        <v>G1-IS-5</v>
      </c>
      <c r="B74" s="21" t="str">
        <f aca="false">IF(INDEX(Tasks!$A:$A,ROW()-1)="","",IF(ISERROR(FIND(".",INDEX(Tasks!$A:$A,ROW()-1))),"","   ")&amp;INDEX(Tasks!$D:$D,ROW()-1))</f>
        <v>Expected-view render</v>
      </c>
      <c r="C74" s="21" t="str">
        <f aca="false">IF(INDEX(Tasks!$G:$G,ROW()-1)="","",INDEX(Tasks!$G:$G,ROW()-1))</f>
        <v>TBD</v>
      </c>
      <c r="D74" s="21" t="str">
        <f aca="false">IF(INDEX(Tasks!$H:$H,ROW()-1)="","",INDEX(Tasks!$H:$H,ROW()-1))</f>
        <v>Not Started</v>
      </c>
      <c r="E74" s="22" t="n">
        <f aca="false">IF(INDEX(Tasks!$I:$I,ROW()-1)="","",INDEX(Tasks!$I:$I,ROW()-1))</f>
        <v>46349</v>
      </c>
      <c r="F74" s="22" t="n">
        <f aca="false">IF(INDEX(Tasks!$K:$K,ROW()-1)="","",INDEX(Tasks!$K:$K,ROW()-1))</f>
        <v>46367</v>
      </c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</row>
    <row r="75" customFormat="false" ht="15" hidden="false" customHeight="false" outlineLevel="0" collapsed="false">
      <c r="A75" s="21" t="str">
        <f aca="false">IF(INDEX(Tasks!$A:$A,ROW()-1)="","",INDEX(Tasks!$A:$A,ROW()-1))</f>
        <v>G1-IS-6</v>
      </c>
      <c r="B75" s="21" t="str">
        <f aca="false">IF(INDEX(Tasks!$A:$A,ROW()-1)="","",IF(ISERROR(FIND(".",INDEX(Tasks!$A:$A,ROW()-1))),"","   ")&amp;INDEX(Tasks!$D:$D,ROW()-1))</f>
        <v>Apply live USD edits</v>
      </c>
      <c r="C75" s="21" t="str">
        <f aca="false">IF(INDEX(Tasks!$G:$G,ROW()-1)="","",INDEX(Tasks!$G:$G,ROW()-1))</f>
        <v>TBD</v>
      </c>
      <c r="D75" s="21" t="str">
        <f aca="false">IF(INDEX(Tasks!$H:$H,ROW()-1)="","",INDEX(Tasks!$H:$H,ROW()-1))</f>
        <v>Not Started</v>
      </c>
      <c r="E75" s="22" t="n">
        <f aca="false">IF(INDEX(Tasks!$I:$I,ROW()-1)="","",INDEX(Tasks!$I:$I,ROW()-1))</f>
        <v>46370</v>
      </c>
      <c r="F75" s="22" t="n">
        <f aca="false">IF(INDEX(Tasks!$K:$K,ROW()-1)="","",INDEX(Tasks!$K:$K,ROW()-1))</f>
        <v>46388</v>
      </c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</row>
    <row r="76" customFormat="false" ht="15" hidden="false" customHeight="false" outlineLevel="0" collapsed="false">
      <c r="A76" s="21" t="str">
        <f aca="false">IF(INDEX(Tasks!$A:$A,ROW()-1)="","",INDEX(Tasks!$A:$A,ROW()-1))</f>
        <v>G1-IS-7</v>
      </c>
      <c r="B76" s="21" t="str">
        <f aca="false">IF(INDEX(Tasks!$A:$A,ROW()-1)="","",IF(ISERROR(FIND(".",INDEX(Tasks!$A:$A,ROW()-1))),"","   ")&amp;INDEX(Tasks!$D:$D,ROW()-1))</f>
        <v>Control commands to robots</v>
      </c>
      <c r="C76" s="21" t="str">
        <f aca="false">IF(INDEX(Tasks!$G:$G,ROW()-1)="","",INDEX(Tasks!$G:$G,ROW()-1))</f>
        <v>TBD</v>
      </c>
      <c r="D76" s="21" t="str">
        <f aca="false">IF(INDEX(Tasks!$H:$H,ROW()-1)="","",INDEX(Tasks!$H:$H,ROW()-1))</f>
        <v>Not Started</v>
      </c>
      <c r="E76" s="22" t="n">
        <f aca="false">IF(INDEX(Tasks!$I:$I,ROW()-1)="","",INDEX(Tasks!$I:$I,ROW()-1))</f>
        <v>46391</v>
      </c>
      <c r="F76" s="22" t="n">
        <f aca="false">IF(INDEX(Tasks!$K:$K,ROW()-1)="","",INDEX(Tasks!$K:$K,ROW()-1))</f>
        <v>46402</v>
      </c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</row>
    <row r="77" customFormat="false" ht="15" hidden="false" customHeight="false" outlineLevel="0" collapsed="false">
      <c r="A77" s="21" t="str">
        <f aca="false">IF(INDEX(Tasks!$A:$A,ROW()-1)="","",INDEX(Tasks!$A:$A,ROW()-1))</f>
        <v>G1-IS-8</v>
      </c>
      <c r="B77" s="21" t="str">
        <f aca="false">IF(INDEX(Tasks!$A:$A,ROW()-1)="","",IF(ISERROR(FIND(".",INDEX(Tasks!$A:$A,ROW()-1))),"","   ")&amp;INDEX(Tasks!$D:$D,ROW()-1))</f>
        <v>Export to Sionna</v>
      </c>
      <c r="C77" s="21" t="str">
        <f aca="false">IF(INDEX(Tasks!$G:$G,ROW()-1)="","",INDEX(Tasks!$G:$G,ROW()-1))</f>
        <v>TBD</v>
      </c>
      <c r="D77" s="21" t="str">
        <f aca="false">IF(INDEX(Tasks!$H:$H,ROW()-1)="","",INDEX(Tasks!$H:$H,ROW()-1))</f>
        <v>Not Started</v>
      </c>
      <c r="E77" s="22" t="n">
        <f aca="false">IF(INDEX(Tasks!$I:$I,ROW()-1)="","",INDEX(Tasks!$I:$I,ROW()-1))</f>
        <v>46356</v>
      </c>
      <c r="F77" s="22" t="n">
        <f aca="false">IF(INDEX(Tasks!$K:$K,ROW()-1)="","",INDEX(Tasks!$K:$K,ROW()-1))</f>
        <v>46367</v>
      </c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</row>
    <row r="78" customFormat="false" ht="15" hidden="false" customHeight="false" outlineLevel="0" collapsed="false">
      <c r="A78" s="21" t="str">
        <f aca="false">IF(INDEX(Tasks!$A:$A,ROW()-1)="","",INDEX(Tasks!$A:$A,ROW()-1))</f>
        <v>G1-SR-1</v>
      </c>
      <c r="B78" s="21" t="str">
        <f aca="false">IF(INDEX(Tasks!$A:$A,ROW()-1)="","",IF(ISERROR(FIND(".",INDEX(Tasks!$A:$A,ROW()-1))),"","   ")&amp;INDEX(Tasks!$D:$D,ROW()-1))</f>
        <v>Scene export USD -&gt; Mitsuba</v>
      </c>
      <c r="C78" s="21" t="str">
        <f aca="false">IF(INDEX(Tasks!$G:$G,ROW()-1)="","",INDEX(Tasks!$G:$G,ROW()-1))</f>
        <v>TBD</v>
      </c>
      <c r="D78" s="21" t="str">
        <f aca="false">IF(INDEX(Tasks!$H:$H,ROW()-1)="","",INDEX(Tasks!$H:$H,ROW()-1))</f>
        <v>Not Started</v>
      </c>
      <c r="E78" s="22" t="n">
        <f aca="false">IF(INDEX(Tasks!$I:$I,ROW()-1)="","",INDEX(Tasks!$I:$I,ROW()-1))</f>
        <v>46363</v>
      </c>
      <c r="F78" s="22" t="n">
        <f aca="false">IF(INDEX(Tasks!$K:$K,ROW()-1)="","",INDEX(Tasks!$K:$K,ROW()-1))</f>
        <v>46374</v>
      </c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</row>
    <row r="79" customFormat="false" ht="15" hidden="false" customHeight="false" outlineLevel="0" collapsed="false">
      <c r="A79" s="21" t="str">
        <f aca="false">IF(INDEX(Tasks!$A:$A,ROW()-1)="","",INDEX(Tasks!$A:$A,ROW()-1))</f>
        <v>G1-SR-2</v>
      </c>
      <c r="B79" s="21" t="str">
        <f aca="false">IF(INDEX(Tasks!$A:$A,ROW()-1)="","",IF(ISERROR(FIND(".",INDEX(Tasks!$A:$A,ROW()-1))),"","   ")&amp;INDEX(Tasks!$D:$D,ROW()-1))</f>
        <v>Path solver, all Tx/Rx links</v>
      </c>
      <c r="C79" s="21" t="str">
        <f aca="false">IF(INDEX(Tasks!$G:$G,ROW()-1)="","",INDEX(Tasks!$G:$G,ROW()-1))</f>
        <v>TBD</v>
      </c>
      <c r="D79" s="21" t="str">
        <f aca="false">IF(INDEX(Tasks!$H:$H,ROW()-1)="","",INDEX(Tasks!$H:$H,ROW()-1))</f>
        <v>Not Started</v>
      </c>
      <c r="E79" s="22" t="n">
        <f aca="false">IF(INDEX(Tasks!$I:$I,ROW()-1)="","",INDEX(Tasks!$I:$I,ROW()-1))</f>
        <v>46370</v>
      </c>
      <c r="F79" s="22" t="n">
        <f aca="false">IF(INDEX(Tasks!$K:$K,ROW()-1)="","",INDEX(Tasks!$K:$K,ROW()-1))</f>
        <v>46388</v>
      </c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</row>
    <row r="80" customFormat="false" ht="15" hidden="false" customHeight="false" outlineLevel="0" collapsed="false">
      <c r="A80" s="21" t="str">
        <f aca="false">IF(INDEX(Tasks!$A:$A,ROW()-1)="","",INDEX(Tasks!$A:$A,ROW()-1))</f>
        <v>G1-SR-3</v>
      </c>
      <c r="B80" s="21" t="str">
        <f aca="false">IF(INDEX(Tasks!$A:$A,ROW()-1)="","",IF(ISERROR(FIND(".",INDEX(Tasks!$A:$A,ROW()-1))),"","   ")&amp;INDEX(Tasks!$D:$D,ROW()-1))</f>
        <v>Channel output</v>
      </c>
      <c r="C80" s="21" t="str">
        <f aca="false">IF(INDEX(Tasks!$G:$G,ROW()-1)="","",INDEX(Tasks!$G:$G,ROW()-1))</f>
        <v>TBD</v>
      </c>
      <c r="D80" s="21" t="str">
        <f aca="false">IF(INDEX(Tasks!$H:$H,ROW()-1)="","",INDEX(Tasks!$H:$H,ROW()-1))</f>
        <v>Not Started</v>
      </c>
      <c r="E80" s="22" t="n">
        <f aca="false">IF(INDEX(Tasks!$I:$I,ROW()-1)="","",INDEX(Tasks!$I:$I,ROW()-1))</f>
        <v>46384</v>
      </c>
      <c r="F80" s="22" t="n">
        <f aca="false">IF(INDEX(Tasks!$K:$K,ROW()-1)="","",INDEX(Tasks!$K:$K,ROW()-1))</f>
        <v>46395</v>
      </c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</row>
    <row r="81" customFormat="false" ht="15" hidden="false" customHeight="false" outlineLevel="0" collapsed="false">
      <c r="A81" s="21" t="str">
        <f aca="false">IF(INDEX(Tasks!$A:$A,ROW()-1)="","",INDEX(Tasks!$A:$A,ROW()-1))</f>
        <v>G1-SR-4</v>
      </c>
      <c r="B81" s="21" t="str">
        <f aca="false">IF(INDEX(Tasks!$A:$A,ROW()-1)="","",IF(ISERROR(FIND(".",INDEX(Tasks!$A:$A,ROW()-1))),"","   ")&amp;INDEX(Tasks!$D:$D,ROW()-1))</f>
        <v>Validate against measured channels</v>
      </c>
      <c r="C81" s="21" t="str">
        <f aca="false">IF(INDEX(Tasks!$G:$G,ROW()-1)="","",INDEX(Tasks!$G:$G,ROW()-1))</f>
        <v>TBD</v>
      </c>
      <c r="D81" s="21" t="str">
        <f aca="false">IF(INDEX(Tasks!$H:$H,ROW()-1)="","",INDEX(Tasks!$H:$H,ROW()-1))</f>
        <v>Not Started</v>
      </c>
      <c r="E81" s="22" t="n">
        <f aca="false">IF(INDEX(Tasks!$I:$I,ROW()-1)="","",INDEX(Tasks!$I:$I,ROW()-1))</f>
        <v>46391</v>
      </c>
      <c r="F81" s="22" t="n">
        <f aca="false">IF(INDEX(Tasks!$K:$K,ROW()-1)="","",INDEX(Tasks!$K:$K,ROW()-1))</f>
        <v>46409</v>
      </c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</row>
    <row r="82" customFormat="false" ht="15" hidden="false" customHeight="false" outlineLevel="0" collapsed="false">
      <c r="A82" s="21" t="str">
        <f aca="false">IF(INDEX(Tasks!$A:$A,ROW()-1)="","",INDEX(Tasks!$A:$A,ROW()-1))</f>
        <v>G1-M1</v>
      </c>
      <c r="B82" s="21" t="str">
        <f aca="false">IF(INDEX(Tasks!$A:$A,ROW()-1)="","",IF(ISERROR(FIND(".",INDEX(Tasks!$A:$A,ROW()-1))),"","   ")&amp;INDEX(Tasks!$D:$D,ROW()-1))</f>
        <v>M1 Offline map in Isaac</v>
      </c>
      <c r="C82" s="21" t="str">
        <f aca="false">IF(INDEX(Tasks!$G:$G,ROW()-1)="","",INDEX(Tasks!$G:$G,ROW()-1))</f>
        <v>TBD</v>
      </c>
      <c r="D82" s="21" t="str">
        <f aca="false">IF(INDEX(Tasks!$H:$H,ROW()-1)="","",INDEX(Tasks!$H:$H,ROW()-1))</f>
        <v>Not Started</v>
      </c>
      <c r="E82" s="22" t="n">
        <f aca="false">IF(INDEX(Tasks!$I:$I,ROW()-1)="","",INDEX(Tasks!$I:$I,ROW()-1))</f>
        <v>46349</v>
      </c>
      <c r="F82" s="22" t="n">
        <f aca="false">IF(INDEX(Tasks!$K:$K,ROW()-1)="","",INDEX(Tasks!$K:$K,ROW()-1))</f>
        <v>46353</v>
      </c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</row>
    <row r="83" customFormat="false" ht="15" hidden="false" customHeight="false" outlineLevel="0" collapsed="false">
      <c r="A83" s="21" t="str">
        <f aca="false">IF(INDEX(Tasks!$A:$A,ROW()-1)="","",INDEX(Tasks!$A:$A,ROW()-1))</f>
        <v>G1-M2</v>
      </c>
      <c r="B83" s="21" t="str">
        <f aca="false">IF(INDEX(Tasks!$A:$A,ROW()-1)="","",IF(ISERROR(FIND(".",INDEX(Tasks!$A:$A,ROW()-1))),"","   ")&amp;INDEX(Tasks!$D:$D,ROW()-1))</f>
        <v>M2 Live robot pose in Isaac</v>
      </c>
      <c r="C83" s="21" t="str">
        <f aca="false">IF(INDEX(Tasks!$G:$G,ROW()-1)="","",INDEX(Tasks!$G:$G,ROW()-1))</f>
        <v>TBD</v>
      </c>
      <c r="D83" s="21" t="str">
        <f aca="false">IF(INDEX(Tasks!$H:$H,ROW()-1)="","",INDEX(Tasks!$H:$H,ROW()-1))</f>
        <v>Not Started</v>
      </c>
      <c r="E83" s="22" t="n">
        <f aca="false">IF(INDEX(Tasks!$I:$I,ROW()-1)="","",INDEX(Tasks!$I:$I,ROW()-1))</f>
        <v>46363</v>
      </c>
      <c r="F83" s="22" t="n">
        <f aca="false">IF(INDEX(Tasks!$K:$K,ROW()-1)="","",INDEX(Tasks!$K:$K,ROW()-1))</f>
        <v>46367</v>
      </c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</row>
    <row r="84" customFormat="false" ht="15" hidden="false" customHeight="false" outlineLevel="0" collapsed="false">
      <c r="A84" s="21" t="str">
        <f aca="false">IF(INDEX(Tasks!$A:$A,ROW()-1)="","",INDEX(Tasks!$A:$A,ROW()-1))</f>
        <v>G1-M3</v>
      </c>
      <c r="B84" s="21" t="str">
        <f aca="false">IF(INDEX(Tasks!$A:$A,ROW()-1)="","",IF(ISERROR(FIND(".",INDEX(Tasks!$A:$A,ROW()-1))),"","   ")&amp;INDEX(Tasks!$D:$D,ROW()-1))</f>
        <v>M3 Change loop</v>
      </c>
      <c r="C84" s="21" t="str">
        <f aca="false">IF(INDEX(Tasks!$G:$G,ROW()-1)="","",INDEX(Tasks!$G:$G,ROW()-1))</f>
        <v>TBD</v>
      </c>
      <c r="D84" s="21" t="str">
        <f aca="false">IF(INDEX(Tasks!$H:$H,ROW()-1)="","",INDEX(Tasks!$H:$H,ROW()-1))</f>
        <v>Not Started</v>
      </c>
      <c r="E84" s="22" t="n">
        <f aca="false">IF(INDEX(Tasks!$I:$I,ROW()-1)="","",INDEX(Tasks!$I:$I,ROW()-1))</f>
        <v>46391</v>
      </c>
      <c r="F84" s="22" t="n">
        <f aca="false">IF(INDEX(Tasks!$K:$K,ROW()-1)="","",INDEX(Tasks!$K:$K,ROW()-1))</f>
        <v>46395</v>
      </c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</row>
    <row r="85" customFormat="false" ht="15" hidden="false" customHeight="false" outlineLevel="0" collapsed="false">
      <c r="A85" s="21" t="str">
        <f aca="false">IF(INDEX(Tasks!$A:$A,ROW()-1)="","",INDEX(Tasks!$A:$A,ROW()-1))</f>
        <v>G1-M4</v>
      </c>
      <c r="B85" s="21" t="str">
        <f aca="false">IF(INDEX(Tasks!$A:$A,ROW()-1)="","",IF(ISERROR(FIND(".",INDEX(Tasks!$A:$A,ROW()-1))),"","   ")&amp;INDEX(Tasks!$D:$D,ROW()-1))</f>
        <v>M4 Two robots, fused map</v>
      </c>
      <c r="C85" s="21" t="str">
        <f aca="false">IF(INDEX(Tasks!$G:$G,ROW()-1)="","",INDEX(Tasks!$G:$G,ROW()-1))</f>
        <v>TBD</v>
      </c>
      <c r="D85" s="21" t="str">
        <f aca="false">IF(INDEX(Tasks!$H:$H,ROW()-1)="","",INDEX(Tasks!$H:$H,ROW()-1))</f>
        <v>Not Started</v>
      </c>
      <c r="E85" s="22" t="n">
        <f aca="false">IF(INDEX(Tasks!$I:$I,ROW()-1)="","",INDEX(Tasks!$I:$I,ROW()-1))</f>
        <v>46391</v>
      </c>
      <c r="F85" s="22" t="n">
        <f aca="false">IF(INDEX(Tasks!$K:$K,ROW()-1)="","",INDEX(Tasks!$K:$K,ROW()-1))</f>
        <v>46395</v>
      </c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</row>
    <row r="86" customFormat="false" ht="15" hidden="false" customHeight="false" outlineLevel="0" collapsed="false">
      <c r="A86" s="21" t="str">
        <f aca="false">IF(INDEX(Tasks!$A:$A,ROW()-1)="","",INDEX(Tasks!$A:$A,ROW()-1))</f>
        <v>G1-M5</v>
      </c>
      <c r="B86" s="21" t="str">
        <f aca="false">IF(INDEX(Tasks!$A:$A,ROW()-1)="","",IF(ISERROR(FIND(".",INDEX(Tasks!$A:$A,ROW()-1))),"","   ")&amp;INDEX(Tasks!$D:$D,ROW()-1))</f>
        <v>M5 ED305 targets live in the twin</v>
      </c>
      <c r="C86" s="21" t="str">
        <f aca="false">IF(INDEX(Tasks!$G:$G,ROW()-1)="","",INDEX(Tasks!$G:$G,ROW()-1))</f>
        <v>TBD</v>
      </c>
      <c r="D86" s="21" t="str">
        <f aca="false">IF(INDEX(Tasks!$H:$H,ROW()-1)="","",INDEX(Tasks!$H:$H,ROW()-1))</f>
        <v>Not Started</v>
      </c>
      <c r="E86" s="22" t="n">
        <f aca="false">IF(INDEX(Tasks!$I:$I,ROW()-1)="","",INDEX(Tasks!$I:$I,ROW()-1))</f>
        <v>46398</v>
      </c>
      <c r="F86" s="22" t="n">
        <f aca="false">IF(INDEX(Tasks!$K:$K,ROW()-1)="","",INDEX(Tasks!$K:$K,ROW()-1))</f>
        <v>46402</v>
      </c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</row>
    <row r="87" customFormat="false" ht="15" hidden="false" customHeight="false" outlineLevel="0" collapsed="false">
      <c r="A87" s="21" t="str">
        <f aca="false">IF(INDEX(Tasks!$A:$A,ROW()-1)="","",INDEX(Tasks!$A:$A,ROW()-1))</f>
        <v>G1-M6</v>
      </c>
      <c r="B87" s="21" t="str">
        <f aca="false">IF(INDEX(Tasks!$A:$A,ROW()-1)="","",IF(ISERROR(FIND(".",INDEX(Tasks!$A:$A,ROW()-1))),"","   ")&amp;INDEX(Tasks!$D:$D,ROW()-1))</f>
        <v>M6 Radio channels from the live twin</v>
      </c>
      <c r="C87" s="21" t="str">
        <f aca="false">IF(INDEX(Tasks!$G:$G,ROW()-1)="","",INDEX(Tasks!$G:$G,ROW()-1))</f>
        <v>TBD</v>
      </c>
      <c r="D87" s="21" t="str">
        <f aca="false">IF(INDEX(Tasks!$H:$H,ROW()-1)="","",INDEX(Tasks!$H:$H,ROW()-1))</f>
        <v>Not Started</v>
      </c>
      <c r="E87" s="22" t="n">
        <f aca="false">IF(INDEX(Tasks!$I:$I,ROW()-1)="","",INDEX(Tasks!$I:$I,ROW()-1))</f>
        <v>46405</v>
      </c>
      <c r="F87" s="22" t="n">
        <f aca="false">IF(INDEX(Tasks!$K:$K,ROW()-1)="","",INDEX(Tasks!$K:$K,ROW()-1))</f>
        <v>46409</v>
      </c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</row>
    <row r="88" customFormat="false" ht="15" hidden="false" customHeight="false" outlineLevel="0" collapsed="false">
      <c r="A88" s="21" t="str">
        <f aca="false">IF(INDEX(Tasks!$A:$A,ROW()-1)="","",INDEX(Tasks!$A:$A,ROW()-1))</f>
        <v>DL-1</v>
      </c>
      <c r="B88" s="21" t="str">
        <f aca="false">IF(INDEX(Tasks!$A:$A,ROW()-1)="","",IF(ISERROR(FIND(".",INDEX(Tasks!$A:$A,ROW()-1))),"","   ")&amp;INDEX(Tasks!$D:$D,ROW()-1))</f>
        <v>Define dual-link architecture</v>
      </c>
      <c r="C88" s="21" t="str">
        <f aca="false">IF(INDEX(Tasks!$G:$G,ROW()-1)="","",INDEX(Tasks!$G:$G,ROW()-1))</f>
        <v>TBD</v>
      </c>
      <c r="D88" s="21" t="str">
        <f aca="false">IF(INDEX(Tasks!$H:$H,ROW()-1)="","",INDEX(Tasks!$H:$H,ROW()-1))</f>
        <v>Partially Completed</v>
      </c>
      <c r="E88" s="22" t="n">
        <f aca="false">IF(INDEX(Tasks!$I:$I,ROW()-1)="","",INDEX(Tasks!$I:$I,ROW()-1))</f>
        <v>46195</v>
      </c>
      <c r="F88" s="22" t="n">
        <f aca="false">IF(INDEX(Tasks!$K:$K,ROW()-1)="","",INDEX(Tasks!$K:$K,ROW()-1))</f>
        <v>46199</v>
      </c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</row>
    <row r="89" customFormat="false" ht="15" hidden="false" customHeight="false" outlineLevel="0" collapsed="false">
      <c r="A89" s="21" t="str">
        <f aca="false">IF(INDEX(Tasks!$A:$A,ROW()-1)="","",INDEX(Tasks!$A:$A,ROW()-1))</f>
        <v>DL-1.1</v>
      </c>
      <c r="B89" s="21" t="str">
        <f aca="false">IF(INDEX(Tasks!$A:$A,ROW()-1)="","",IF(ISERROR(FIND(".",INDEX(Tasks!$A:$A,ROW()-1))),"","   ")&amp;INDEX(Tasks!$D:$D,ROW()-1))</f>
        <v>   Link Pairing Selection (WiFi + WiFi)</v>
      </c>
      <c r="C89" s="21" t="str">
        <f aca="false">IF(INDEX(Tasks!$G:$G,ROW()-1)="","",INDEX(Tasks!$G:$G,ROW()-1))</f>
        <v>TBD</v>
      </c>
      <c r="D89" s="21" t="str">
        <f aca="false">IF(INDEX(Tasks!$H:$H,ROW()-1)="","",INDEX(Tasks!$H:$H,ROW()-1))</f>
        <v>Partially Completed</v>
      </c>
      <c r="E89" s="22" t="n">
        <f aca="false">IF(INDEX(Tasks!$I:$I,ROW()-1)="","",INDEX(Tasks!$I:$I,ROW()-1))</f>
        <v>46195</v>
      </c>
      <c r="F89" s="22" t="n">
        <f aca="false">IF(INDEX(Tasks!$K:$K,ROW()-1)="","",INDEX(Tasks!$K:$K,ROW()-1))</f>
        <v>46199</v>
      </c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</row>
    <row r="90" customFormat="false" ht="15" hidden="false" customHeight="false" outlineLevel="0" collapsed="false">
      <c r="A90" s="21" t="str">
        <f aca="false">IF(INDEX(Tasks!$A:$A,ROW()-1)="","",INDEX(Tasks!$A:$A,ROW()-1))</f>
        <v>DL-1.2</v>
      </c>
      <c r="B90" s="21" t="str">
        <f aca="false">IF(INDEX(Tasks!$A:$A,ROW()-1)="","",IF(ISERROR(FIND(".",INDEX(Tasks!$A:$A,ROW()-1))),"","   ")&amp;INDEX(Tasks!$D:$D,ROW()-1))</f>
        <v>   QoS-Tiered Traffic-Steering Policy</v>
      </c>
      <c r="C90" s="21" t="str">
        <f aca="false">IF(INDEX(Tasks!$G:$G,ROW()-1)="","",INDEX(Tasks!$G:$G,ROW()-1))</f>
        <v>TBD</v>
      </c>
      <c r="D90" s="21" t="str">
        <f aca="false">IF(INDEX(Tasks!$H:$H,ROW()-1)="","",INDEX(Tasks!$H:$H,ROW()-1))</f>
        <v>Partially Completed</v>
      </c>
      <c r="E90" s="22" t="n">
        <f aca="false">IF(INDEX(Tasks!$I:$I,ROW()-1)="","",INDEX(Tasks!$I:$I,ROW()-1))</f>
        <v>46195</v>
      </c>
      <c r="F90" s="22" t="n">
        <f aca="false">IF(INDEX(Tasks!$K:$K,ROW()-1)="","",INDEX(Tasks!$K:$K,ROW()-1))</f>
        <v>46199</v>
      </c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</row>
    <row r="91" customFormat="false" ht="15" hidden="false" customHeight="false" outlineLevel="0" collapsed="false">
      <c r="A91" s="21" t="str">
        <f aca="false">IF(INDEX(Tasks!$A:$A,ROW()-1)="","",INDEX(Tasks!$A:$A,ROW()-1))</f>
        <v>DL-2</v>
      </c>
      <c r="B91" s="21" t="str">
        <f aca="false">IF(INDEX(Tasks!$A:$A,ROW()-1)="","",IF(ISERROR(FIND(".",INDEX(Tasks!$A:$A,ROW()-1))),"","   ")&amp;INDEX(Tasks!$D:$D,ROW()-1))</f>
        <v>Build link monitor</v>
      </c>
      <c r="C91" s="21" t="str">
        <f aca="false">IF(INDEX(Tasks!$G:$G,ROW()-1)="","",INDEX(Tasks!$G:$G,ROW()-1))</f>
        <v>TBD</v>
      </c>
      <c r="D91" s="21" t="str">
        <f aca="false">IF(INDEX(Tasks!$H:$H,ROW()-1)="","",INDEX(Tasks!$H:$H,ROW()-1))</f>
        <v>Partially Completed</v>
      </c>
      <c r="E91" s="22" t="n">
        <f aca="false">IF(INDEX(Tasks!$I:$I,ROW()-1)="","",INDEX(Tasks!$I:$I,ROW()-1))</f>
        <v>46195</v>
      </c>
      <c r="F91" s="22" t="n">
        <f aca="false">IF(INDEX(Tasks!$K:$K,ROW()-1)="","",INDEX(Tasks!$K:$K,ROW()-1))</f>
        <v>46199</v>
      </c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</row>
    <row r="92" customFormat="false" ht="15" hidden="false" customHeight="false" outlineLevel="0" collapsed="false">
      <c r="A92" s="21" t="str">
        <f aca="false">IF(INDEX(Tasks!$A:$A,ROW()-1)="","",INDEX(Tasks!$A:$A,ROW()-1))</f>
        <v>DL-2.1</v>
      </c>
      <c r="B92" s="21" t="str">
        <f aca="false">IF(INDEX(Tasks!$A:$A,ROW()-1)="","",IF(ISERROR(FIND(".",INDEX(Tasks!$A:$A,ROW()-1))),"","   ")&amp;INDEX(Tasks!$D:$D,ROW()-1))</f>
        <v>   PER / MTU Tracking</v>
      </c>
      <c r="C92" s="21" t="str">
        <f aca="false">IF(INDEX(Tasks!$G:$G,ROW()-1)="","",INDEX(Tasks!$G:$G,ROW()-1))</f>
        <v>TBD</v>
      </c>
      <c r="D92" s="21" t="str">
        <f aca="false">IF(INDEX(Tasks!$H:$H,ROW()-1)="","",INDEX(Tasks!$H:$H,ROW()-1))</f>
        <v>Partially Completed</v>
      </c>
      <c r="E92" s="22" t="n">
        <f aca="false">IF(INDEX(Tasks!$I:$I,ROW()-1)="","",INDEX(Tasks!$I:$I,ROW()-1))</f>
        <v>46195</v>
      </c>
      <c r="F92" s="22" t="n">
        <f aca="false">IF(INDEX(Tasks!$K:$K,ROW()-1)="","",INDEX(Tasks!$K:$K,ROW()-1))</f>
        <v>46199</v>
      </c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</row>
    <row r="93" customFormat="false" ht="15" hidden="false" customHeight="false" outlineLevel="0" collapsed="false">
      <c r="A93" s="21" t="str">
        <f aca="false">IF(INDEX(Tasks!$A:$A,ROW()-1)="","",INDEX(Tasks!$A:$A,ROW()-1))</f>
        <v>DL-2.2</v>
      </c>
      <c r="B93" s="21" t="str">
        <f aca="false">IF(INDEX(Tasks!$A:$A,ROW()-1)="","",IF(ISERROR(FIND(".",INDEX(Tasks!$A:$A,ROW()-1))),"","   ")&amp;INDEX(Tasks!$D:$D,ROW()-1))</f>
        <v>   Throughput / RTT / Queue-Health Tracking</v>
      </c>
      <c r="C93" s="21" t="str">
        <f aca="false">IF(INDEX(Tasks!$G:$G,ROW()-1)="","",INDEX(Tasks!$G:$G,ROW()-1))</f>
        <v>TBD</v>
      </c>
      <c r="D93" s="21" t="str">
        <f aca="false">IF(INDEX(Tasks!$H:$H,ROW()-1)="","",INDEX(Tasks!$H:$H,ROW()-1))</f>
        <v>Partially Completed</v>
      </c>
      <c r="E93" s="22" t="n">
        <f aca="false">IF(INDEX(Tasks!$I:$I,ROW()-1)="","",INDEX(Tasks!$I:$I,ROW()-1))</f>
        <v>46195</v>
      </c>
      <c r="F93" s="22" t="n">
        <f aca="false">IF(INDEX(Tasks!$K:$K,ROW()-1)="","",INDEX(Tasks!$K:$K,ROW()-1))</f>
        <v>46199</v>
      </c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</row>
    <row r="94" customFormat="false" ht="15" hidden="false" customHeight="false" outlineLevel="0" collapsed="false">
      <c r="A94" s="21" t="str">
        <f aca="false">IF(INDEX(Tasks!$A:$A,ROW()-1)="","",INDEX(Tasks!$A:$A,ROW()-1))</f>
        <v>DL-3</v>
      </c>
      <c r="B94" s="21" t="str">
        <f aca="false">IF(INDEX(Tasks!$A:$A,ROW()-1)="","",IF(ISERROR(FIND(".",INDEX(Tasks!$A:$A,ROW()-1))),"","   ")&amp;INDEX(Tasks!$D:$D,ROW()-1))</f>
        <v>Implement link compression</v>
      </c>
      <c r="C94" s="21" t="str">
        <f aca="false">IF(INDEX(Tasks!$G:$G,ROW()-1)="","",INDEX(Tasks!$G:$G,ROW()-1))</f>
        <v>TBD</v>
      </c>
      <c r="D94" s="21" t="str">
        <f aca="false">IF(INDEX(Tasks!$H:$H,ROW()-1)="","",INDEX(Tasks!$H:$H,ROW()-1))</f>
        <v>In Progress</v>
      </c>
      <c r="E94" s="22" t="n">
        <f aca="false">IF(INDEX(Tasks!$I:$I,ROW()-1)="","",INDEX(Tasks!$I:$I,ROW()-1))</f>
        <v>46195</v>
      </c>
      <c r="F94" s="22" t="n">
        <f aca="false">IF(INDEX(Tasks!$K:$K,ROW()-1)="","",INDEX(Tasks!$K:$K,ROW()-1))</f>
        <v>46199</v>
      </c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</row>
    <row r="95" customFormat="false" ht="15" hidden="false" customHeight="false" outlineLevel="0" collapsed="false">
      <c r="A95" s="21" t="str">
        <f aca="false">IF(INDEX(Tasks!$A:$A,ROW()-1)="","",INDEX(Tasks!$A:$A,ROW()-1))</f>
        <v>DL-3.1</v>
      </c>
      <c r="B95" s="21" t="str">
        <f aca="false">IF(INDEX(Tasks!$A:$A,ROW()-1)="","",IF(ISERROR(FIND(".",INDEX(Tasks!$A:$A,ROW()-1))),"","   ")&amp;INDEX(Tasks!$D:$D,ROW()-1))</f>
        <v>   Compression Module (Link-Monitor Reactive)</v>
      </c>
      <c r="C95" s="21" t="str">
        <f aca="false">IF(INDEX(Tasks!$G:$G,ROW()-1)="","",INDEX(Tasks!$G:$G,ROW()-1))</f>
        <v>TBD</v>
      </c>
      <c r="D95" s="21" t="str">
        <f aca="false">IF(INDEX(Tasks!$H:$H,ROW()-1)="","",INDEX(Tasks!$H:$H,ROW()-1))</f>
        <v>Partially Completed</v>
      </c>
      <c r="E95" s="22" t="n">
        <f aca="false">IF(INDEX(Tasks!$I:$I,ROW()-1)="","",INDEX(Tasks!$I:$I,ROW()-1))</f>
        <v>46195</v>
      </c>
      <c r="F95" s="22" t="n">
        <f aca="false">IF(INDEX(Tasks!$K:$K,ROW()-1)="","",INDEX(Tasks!$K:$K,ROW()-1))</f>
        <v>46199</v>
      </c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</row>
    <row r="96" customFormat="false" ht="15" hidden="false" customHeight="false" outlineLevel="0" collapsed="false">
      <c r="A96" s="21" t="str">
        <f aca="false">IF(INDEX(Tasks!$A:$A,ROW()-1)="","",INDEX(Tasks!$A:$A,ROW()-1))</f>
        <v>DL-3.2</v>
      </c>
      <c r="B96" s="21" t="str">
        <f aca="false">IF(INDEX(Tasks!$A:$A,ROW()-1)="","",IF(ISERROR(FIND(".",INDEX(Tasks!$A:$A,ROW()-1))),"","   ")&amp;INDEX(Tasks!$D:$D,ROW()-1))</f>
        <v>   Compression Threshold Tuning</v>
      </c>
      <c r="C96" s="21" t="str">
        <f aca="false">IF(INDEX(Tasks!$G:$G,ROW()-1)="","",INDEX(Tasks!$G:$G,ROW()-1))</f>
        <v>TBD</v>
      </c>
      <c r="D96" s="21" t="str">
        <f aca="false">IF(INDEX(Tasks!$H:$H,ROW()-1)="","",INDEX(Tasks!$H:$H,ROW()-1))</f>
        <v>In Progress</v>
      </c>
      <c r="E96" s="22" t="n">
        <f aca="false">IF(INDEX(Tasks!$I:$I,ROW()-1)="","",INDEX(Tasks!$I:$I,ROW()-1))</f>
        <v>46195</v>
      </c>
      <c r="F96" s="22" t="n">
        <f aca="false">IF(INDEX(Tasks!$K:$K,ROW()-1)="","",INDEX(Tasks!$K:$K,ROW()-1))</f>
        <v>46199</v>
      </c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</row>
    <row r="97" customFormat="false" ht="15" hidden="false" customHeight="false" outlineLevel="0" collapsed="false">
      <c r="A97" s="21" t="str">
        <f aca="false">IF(INDEX(Tasks!$A:$A,ROW()-1)="","",INDEX(Tasks!$A:$A,ROW()-1))</f>
        <v>DL-4</v>
      </c>
      <c r="B97" s="21" t="str">
        <f aca="false">IF(INDEX(Tasks!$A:$A,ROW()-1)="","",IF(ISERROR(FIND(".",INDEX(Tasks!$A:$A,ROW()-1))),"","   ")&amp;INDEX(Tasks!$D:$D,ROW()-1))</f>
        <v>Validate Switching Strategies — WiFi1 + WiFi2</v>
      </c>
      <c r="C97" s="21" t="str">
        <f aca="false">IF(INDEX(Tasks!$G:$G,ROW()-1)="","",INDEX(Tasks!$G:$G,ROW()-1))</f>
        <v>TBD</v>
      </c>
      <c r="D97" s="21" t="str">
        <f aca="false">IF(INDEX(Tasks!$H:$H,ROW()-1)="","",INDEX(Tasks!$H:$H,ROW()-1))</f>
        <v>Not Started</v>
      </c>
      <c r="E97" s="22" t="n">
        <f aca="false">IF(INDEX(Tasks!$I:$I,ROW()-1)="","",INDEX(Tasks!$I:$I,ROW()-1))</f>
        <v>46195</v>
      </c>
      <c r="F97" s="22" t="n">
        <f aca="false">IF(INDEX(Tasks!$K:$K,ROW()-1)="","",INDEX(Tasks!$K:$K,ROW()-1))</f>
        <v>46199</v>
      </c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</row>
    <row r="98" customFormat="false" ht="15" hidden="false" customHeight="false" outlineLevel="0" collapsed="false">
      <c r="A98" s="21" t="str">
        <f aca="false">IF(INDEX(Tasks!$A:$A,ROW()-1)="","",INDEX(Tasks!$A:$A,ROW()-1))</f>
        <v>DL-4.1</v>
      </c>
      <c r="B98" s="21" t="str">
        <f aca="false">IF(INDEX(Tasks!$A:$A,ROW()-1)="","",IF(ISERROR(FIND(".",INDEX(Tasks!$A:$A,ROW()-1))),"","   ")&amp;INDEX(Tasks!$D:$D,ROW()-1))</f>
        <v>   Single-Link Baseline</v>
      </c>
      <c r="C98" s="21" t="str">
        <f aca="false">IF(INDEX(Tasks!$G:$G,ROW()-1)="","",INDEX(Tasks!$G:$G,ROW()-1))</f>
        <v>TBD</v>
      </c>
      <c r="D98" s="21" t="str">
        <f aca="false">IF(INDEX(Tasks!$H:$H,ROW()-1)="","",INDEX(Tasks!$H:$H,ROW()-1))</f>
        <v>Not Started</v>
      </c>
      <c r="E98" s="22" t="n">
        <f aca="false">IF(INDEX(Tasks!$I:$I,ROW()-1)="","",INDEX(Tasks!$I:$I,ROW()-1))</f>
        <v>46195</v>
      </c>
      <c r="F98" s="22" t="n">
        <f aca="false">IF(INDEX(Tasks!$K:$K,ROW()-1)="","",INDEX(Tasks!$K:$K,ROW()-1))</f>
        <v>46199</v>
      </c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</row>
    <row r="99" customFormat="false" ht="15" hidden="false" customHeight="false" outlineLevel="0" collapsed="false">
      <c r="A99" s="21" t="str">
        <f aca="false">IF(INDEX(Tasks!$A:$A,ROW()-1)="","",INDEX(Tasks!$A:$A,ROW()-1))</f>
        <v>DL-4.2</v>
      </c>
      <c r="B99" s="21" t="str">
        <f aca="false">IF(INDEX(Tasks!$A:$A,ROW()-1)="","",IF(ISERROR(FIND(".",INDEX(Tasks!$A:$A,ROW()-1))),"","   ")&amp;INDEX(Tasks!$D:$D,ROW()-1))</f>
        <v>   Full Topic Switchover</v>
      </c>
      <c r="C99" s="21" t="str">
        <f aca="false">IF(INDEX(Tasks!$G:$G,ROW()-1)="","",INDEX(Tasks!$G:$G,ROW()-1))</f>
        <v>TBD</v>
      </c>
      <c r="D99" s="21" t="str">
        <f aca="false">IF(INDEX(Tasks!$H:$H,ROW()-1)="","",INDEX(Tasks!$H:$H,ROW()-1))</f>
        <v>Not Started</v>
      </c>
      <c r="E99" s="22" t="n">
        <f aca="false">IF(INDEX(Tasks!$I:$I,ROW()-1)="","",INDEX(Tasks!$I:$I,ROW()-1))</f>
        <v>46195</v>
      </c>
      <c r="F99" s="22" t="n">
        <f aca="false">IF(INDEX(Tasks!$K:$K,ROW()-1)="","",INDEX(Tasks!$K:$K,ROW()-1))</f>
        <v>46199</v>
      </c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</row>
    <row r="100" customFormat="false" ht="15" hidden="false" customHeight="false" outlineLevel="0" collapsed="false">
      <c r="A100" s="21" t="str">
        <f aca="false">IF(INDEX(Tasks!$A:$A,ROW()-1)="","",INDEX(Tasks!$A:$A,ROW()-1))</f>
        <v>DL-4.3</v>
      </c>
      <c r="B100" s="21" t="str">
        <f aca="false">IF(INDEX(Tasks!$A:$A,ROW()-1)="","",IF(ISERROR(FIND(".",INDEX(Tasks!$A:$A,ROW()-1))),"","   ")&amp;INDEX(Tasks!$D:$D,ROW()-1))</f>
        <v>   True Dual-Link (QoS-Tiered Per-Topic)</v>
      </c>
      <c r="C100" s="21" t="str">
        <f aca="false">IF(INDEX(Tasks!$G:$G,ROW()-1)="","",INDEX(Tasks!$G:$G,ROW()-1))</f>
        <v>TBD</v>
      </c>
      <c r="D100" s="21" t="str">
        <f aca="false">IF(INDEX(Tasks!$H:$H,ROW()-1)="","",INDEX(Tasks!$H:$H,ROW()-1))</f>
        <v>Not Started</v>
      </c>
      <c r="E100" s="22" t="n">
        <f aca="false">IF(INDEX(Tasks!$I:$I,ROW()-1)="","",INDEX(Tasks!$I:$I,ROW()-1))</f>
        <v>46202</v>
      </c>
      <c r="F100" s="22" t="n">
        <f aca="false">IF(INDEX(Tasks!$K:$K,ROW()-1)="","",INDEX(Tasks!$K:$K,ROW()-1))</f>
        <v>46206</v>
      </c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</row>
    <row r="101" customFormat="false" ht="15" hidden="false" customHeight="false" outlineLevel="0" collapsed="false">
      <c r="A101" s="21" t="str">
        <f aca="false">IF(INDEX(Tasks!$A:$A,ROW()-1)="","",INDEX(Tasks!$A:$A,ROW()-1))</f>
        <v>DL-5</v>
      </c>
      <c r="B101" s="21" t="str">
        <f aca="false">IF(INDEX(Tasks!$A:$A,ROW()-1)="","",IF(ISERROR(FIND(".",INDEX(Tasks!$A:$A,ROW()-1))),"","   ")&amp;INDEX(Tasks!$D:$D,ROW()-1))</f>
        <v>Extend to WiFi + 5G</v>
      </c>
      <c r="C101" s="21" t="str">
        <f aca="false">IF(INDEX(Tasks!$G:$G,ROW()-1)="","",INDEX(Tasks!$G:$G,ROW()-1))</f>
        <v>TBD</v>
      </c>
      <c r="D101" s="21" t="str">
        <f aca="false">IF(INDEX(Tasks!$H:$H,ROW()-1)="","",INDEX(Tasks!$H:$H,ROW()-1))</f>
        <v>Not Started</v>
      </c>
      <c r="E101" s="22" t="n">
        <f aca="false">IF(INDEX(Tasks!$I:$I,ROW()-1)="","",INDEX(Tasks!$I:$I,ROW()-1))</f>
        <v>46202</v>
      </c>
      <c r="F101" s="22" t="n">
        <f aca="false">IF(INDEX(Tasks!$K:$K,ROW()-1)="","",INDEX(Tasks!$K:$K,ROW()-1))</f>
        <v>46213</v>
      </c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</row>
    <row r="102" customFormat="false" ht="15" hidden="false" customHeight="false" outlineLevel="0" collapsed="false">
      <c r="A102" s="21" t="str">
        <f aca="false">IF(INDEX(Tasks!$A:$A,ROW()-1)="","",INDEX(Tasks!$A:$A,ROW()-1))</f>
        <v>DL-5.1</v>
      </c>
      <c r="B102" s="21" t="str">
        <f aca="false">IF(INDEX(Tasks!$A:$A,ROW()-1)="","",IF(ISERROR(FIND(".",INDEX(Tasks!$A:$A,ROW()-1))),"","   ")&amp;INDEX(Tasks!$D:$D,ROW()-1))</f>
        <v>   WiFi + 5G Link Pairing &amp; Switching Validation</v>
      </c>
      <c r="C102" s="21" t="str">
        <f aca="false">IF(INDEX(Tasks!$G:$G,ROW()-1)="","",INDEX(Tasks!$G:$G,ROW()-1))</f>
        <v>TBD</v>
      </c>
      <c r="D102" s="21" t="str">
        <f aca="false">IF(INDEX(Tasks!$H:$H,ROW()-1)="","",INDEX(Tasks!$H:$H,ROW()-1))</f>
        <v>Not Started</v>
      </c>
      <c r="E102" s="22" t="n">
        <f aca="false">IF(INDEX(Tasks!$I:$I,ROW()-1)="","",INDEX(Tasks!$I:$I,ROW()-1))</f>
        <v>46202</v>
      </c>
      <c r="F102" s="22" t="n">
        <f aca="false">IF(INDEX(Tasks!$K:$K,ROW()-1)="","",INDEX(Tasks!$K:$K,ROW()-1))</f>
        <v>46206</v>
      </c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</row>
    <row r="103" customFormat="false" ht="15" hidden="false" customHeight="false" outlineLevel="0" collapsed="false">
      <c r="A103" s="21" t="str">
        <f aca="false">IF(INDEX(Tasks!$A:$A,ROW()-1)="","",INDEX(Tasks!$A:$A,ROW()-1))</f>
        <v>DL-5.2</v>
      </c>
      <c r="B103" s="21" t="str">
        <f aca="false">IF(INDEX(Tasks!$A:$A,ROW()-1)="","",IF(ISERROR(FIND(".",INDEX(Tasks!$A:$A,ROW()-1))),"","   ")&amp;INDEX(Tasks!$D:$D,ROW()-1))</f>
        <v>   Application-Level Testing on WiFi + 5G</v>
      </c>
      <c r="C103" s="21" t="str">
        <f aca="false">IF(INDEX(Tasks!$G:$G,ROW()-1)="","",INDEX(Tasks!$G:$G,ROW()-1))</f>
        <v>TBD</v>
      </c>
      <c r="D103" s="21" t="str">
        <f aca="false">IF(INDEX(Tasks!$H:$H,ROW()-1)="","",INDEX(Tasks!$H:$H,ROW()-1))</f>
        <v>Not Started</v>
      </c>
      <c r="E103" s="22" t="n">
        <f aca="false">IF(INDEX(Tasks!$I:$I,ROW()-1)="","",INDEX(Tasks!$I:$I,ROW()-1))</f>
        <v>46209</v>
      </c>
      <c r="F103" s="22" t="n">
        <f aca="false">IF(INDEX(Tasks!$K:$K,ROW()-1)="","",INDEX(Tasks!$K:$K,ROW()-1))</f>
        <v>46213</v>
      </c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</row>
    <row r="104" customFormat="false" ht="15" hidden="false" customHeight="false" outlineLevel="0" collapsed="false">
      <c r="A104" s="21" t="str">
        <f aca="false">IF(INDEX(Tasks!$A:$A,ROW()-1)="","",INDEX(Tasks!$A:$A,ROW()-1))</f>
        <v>DL-6</v>
      </c>
      <c r="B104" s="21" t="str">
        <f aca="false">IF(INDEX(Tasks!$A:$A,ROW()-1)="","",IF(ISERROR(FIND(".",INDEX(Tasks!$A:$A,ROW()-1))),"","   ")&amp;INDEX(Tasks!$D:$D,ROW()-1))</f>
        <v>Test failover &amp; reliability</v>
      </c>
      <c r="C104" s="21" t="str">
        <f aca="false">IF(INDEX(Tasks!$G:$G,ROW()-1)="","",INDEX(Tasks!$G:$G,ROW()-1))</f>
        <v>TBD</v>
      </c>
      <c r="D104" s="21" t="str">
        <f aca="false">IF(INDEX(Tasks!$H:$H,ROW()-1)="","",INDEX(Tasks!$H:$H,ROW()-1))</f>
        <v>Not Started</v>
      </c>
      <c r="E104" s="22" t="n">
        <f aca="false">IF(INDEX(Tasks!$I:$I,ROW()-1)="","",INDEX(Tasks!$I:$I,ROW()-1))</f>
        <v>46216</v>
      </c>
      <c r="F104" s="22" t="n">
        <f aca="false">IF(INDEX(Tasks!$K:$K,ROW()-1)="","",INDEX(Tasks!$K:$K,ROW()-1))</f>
        <v>46220</v>
      </c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</row>
    <row r="105" customFormat="false" ht="15" hidden="false" customHeight="false" outlineLevel="0" collapsed="false">
      <c r="A105" s="21" t="str">
        <f aca="false">IF(INDEX(Tasks!$A:$A,ROW()-1)="","",INDEX(Tasks!$A:$A,ROW()-1))</f>
        <v>DL-6.1</v>
      </c>
      <c r="B105" s="21" t="str">
        <f aca="false">IF(INDEX(Tasks!$A:$A,ROW()-1)="","",IF(ISERROR(FIND(".",INDEX(Tasks!$A:$A,ROW()-1))),"","   ")&amp;INDEX(Tasks!$D:$D,ROW()-1))</f>
        <v>   Failover Test Scenarios</v>
      </c>
      <c r="C105" s="21" t="str">
        <f aca="false">IF(INDEX(Tasks!$G:$G,ROW()-1)="","",INDEX(Tasks!$G:$G,ROW()-1))</f>
        <v>TBD</v>
      </c>
      <c r="D105" s="21" t="str">
        <f aca="false">IF(INDEX(Tasks!$H:$H,ROW()-1)="","",INDEX(Tasks!$H:$H,ROW()-1))</f>
        <v>Not Started</v>
      </c>
      <c r="E105" s="22" t="n">
        <f aca="false">IF(INDEX(Tasks!$I:$I,ROW()-1)="","",INDEX(Tasks!$I:$I,ROW()-1))</f>
        <v>46216</v>
      </c>
      <c r="F105" s="22" t="n">
        <f aca="false">IF(INDEX(Tasks!$K:$K,ROW()-1)="","",INDEX(Tasks!$K:$K,ROW()-1))</f>
        <v>46220</v>
      </c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</row>
    <row r="106" customFormat="false" ht="15" hidden="false" customHeight="false" outlineLevel="0" collapsed="false">
      <c r="A106" s="21" t="str">
        <f aca="false">IF(INDEX(Tasks!$A:$A,ROW()-1)="","",INDEX(Tasks!$A:$A,ROW()-1))</f>
        <v>DL-6.2</v>
      </c>
      <c r="B106" s="21" t="str">
        <f aca="false">IF(INDEX(Tasks!$A:$A,ROW()-1)="","",IF(ISERROR(FIND(".",INDEX(Tasks!$A:$A,ROW()-1))),"","   ")&amp;INDEX(Tasks!$D:$D,ROW()-1))</f>
        <v>   Availability / Latency Target Validation</v>
      </c>
      <c r="C106" s="21" t="str">
        <f aca="false">IF(INDEX(Tasks!$G:$G,ROW()-1)="","",INDEX(Tasks!$G:$G,ROW()-1))</f>
        <v>TBD</v>
      </c>
      <c r="D106" s="21" t="str">
        <f aca="false">IF(INDEX(Tasks!$H:$H,ROW()-1)="","",INDEX(Tasks!$H:$H,ROW()-1))</f>
        <v>Not Started</v>
      </c>
      <c r="E106" s="22" t="n">
        <f aca="false">IF(INDEX(Tasks!$I:$I,ROW()-1)="","",INDEX(Tasks!$I:$I,ROW()-1))</f>
        <v>46216</v>
      </c>
      <c r="F106" s="22" t="n">
        <f aca="false">IF(INDEX(Tasks!$K:$K,ROW()-1)="","",INDEX(Tasks!$K:$K,ROW()-1))</f>
        <v>46220</v>
      </c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</row>
    <row r="107" customFormat="false" ht="15" hidden="false" customHeight="false" outlineLevel="0" collapsed="false">
      <c r="A107" s="21" t="str">
        <f aca="false">IF(INDEX(Tasks!$A:$A,ROW()-1)="","",INDEX(Tasks!$A:$A,ROW()-1))</f>
        <v>DL-7</v>
      </c>
      <c r="B107" s="21" t="str">
        <f aca="false">IF(INDEX(Tasks!$A:$A,ROW()-1)="","",IF(ISERROR(FIND(".",INDEX(Tasks!$A:$A,ROW()-1))),"","   ")&amp;INDEX(Tasks!$D:$D,ROW()-1))</f>
        <v>Integrate with digital twin</v>
      </c>
      <c r="C107" s="21" t="str">
        <f aca="false">IF(INDEX(Tasks!$G:$G,ROW()-1)="","",INDEX(Tasks!$G:$G,ROW()-1))</f>
        <v>TBD</v>
      </c>
      <c r="D107" s="21" t="str">
        <f aca="false">IF(INDEX(Tasks!$H:$H,ROW()-1)="","",INDEX(Tasks!$H:$H,ROW()-1))</f>
        <v>Not Started</v>
      </c>
      <c r="E107" s="22" t="n">
        <f aca="false">IF(INDEX(Tasks!$I:$I,ROW()-1)="","",INDEX(Tasks!$I:$I,ROW()-1))</f>
        <v>46223</v>
      </c>
      <c r="F107" s="22" t="n">
        <f aca="false">IF(INDEX(Tasks!$K:$K,ROW()-1)="","",INDEX(Tasks!$K:$K,ROW()-1))</f>
        <v>46234</v>
      </c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</row>
    <row r="108" customFormat="false" ht="15" hidden="false" customHeight="false" outlineLevel="0" collapsed="false">
      <c r="A108" s="21" t="str">
        <f aca="false">IF(INDEX(Tasks!$A:$A,ROW()-1)="","",INDEX(Tasks!$A:$A,ROW()-1))</f>
        <v>DL-7.1</v>
      </c>
      <c r="B108" s="21" t="str">
        <f aca="false">IF(INDEX(Tasks!$A:$A,ROW()-1)="","",IF(ISERROR(FIND(".",INDEX(Tasks!$A:$A,ROW()-1))),"","   ")&amp;INDEX(Tasks!$D:$D,ROW()-1))</f>
        <v>   Predictive Handover &lt;-&gt; Twin Tracking Wiring</v>
      </c>
      <c r="C108" s="21" t="str">
        <f aca="false">IF(INDEX(Tasks!$G:$G,ROW()-1)="","",INDEX(Tasks!$G:$G,ROW()-1))</f>
        <v>TBD</v>
      </c>
      <c r="D108" s="21" t="str">
        <f aca="false">IF(INDEX(Tasks!$H:$H,ROW()-1)="","",INDEX(Tasks!$H:$H,ROW()-1))</f>
        <v>Not Started</v>
      </c>
      <c r="E108" s="22" t="n">
        <f aca="false">IF(INDEX(Tasks!$I:$I,ROW()-1)="","",INDEX(Tasks!$I:$I,ROW()-1))</f>
        <v>46223</v>
      </c>
      <c r="F108" s="22" t="n">
        <f aca="false">IF(INDEX(Tasks!$K:$K,ROW()-1)="","",INDEX(Tasks!$K:$K,ROW()-1))</f>
        <v>46227</v>
      </c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</row>
    <row r="109" customFormat="false" ht="15" hidden="false" customHeight="false" outlineLevel="0" collapsed="false">
      <c r="A109" s="21" t="str">
        <f aca="false">IF(INDEX(Tasks!$A:$A,ROW()-1)="","",INDEX(Tasks!$A:$A,ROW()-1))</f>
        <v>DL-7.2</v>
      </c>
      <c r="B109" s="21" t="str">
        <f aca="false">IF(INDEX(Tasks!$A:$A,ROW()-1)="","",IF(ISERROR(FIND(".",INDEX(Tasks!$A:$A,ROW()-1))),"","   ")&amp;INDEX(Tasks!$D:$D,ROW()-1))</f>
        <v>   End-to-End Integration Test</v>
      </c>
      <c r="C109" s="21" t="str">
        <f aca="false">IF(INDEX(Tasks!$G:$G,ROW()-1)="","",INDEX(Tasks!$G:$G,ROW()-1))</f>
        <v>TBD</v>
      </c>
      <c r="D109" s="21" t="str">
        <f aca="false">IF(INDEX(Tasks!$H:$H,ROW()-1)="","",INDEX(Tasks!$H:$H,ROW()-1))</f>
        <v>Not Started</v>
      </c>
      <c r="E109" s="22" t="n">
        <f aca="false">IF(INDEX(Tasks!$I:$I,ROW()-1)="","",INDEX(Tasks!$I:$I,ROW()-1))</f>
        <v>46230</v>
      </c>
      <c r="F109" s="22" t="n">
        <f aca="false">IF(INDEX(Tasks!$K:$K,ROW()-1)="","",INDEX(Tasks!$K:$K,ROW()-1))</f>
        <v>46234</v>
      </c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</row>
    <row r="110" customFormat="false" ht="15" hidden="false" customHeight="false" outlineLevel="0" collapsed="false">
      <c r="A110" s="21" t="str">
        <f aca="false">IF(INDEX(Tasks!$A:$A,ROW()-1)="","",INDEX(Tasks!$A:$A,ROW()-1))</f>
        <v>SC-1</v>
      </c>
      <c r="B110" s="21" t="str">
        <f aca="false">IF(INDEX(Tasks!$A:$A,ROW()-1)="","",IF(ISERROR(FIND(".",INDEX(Tasks!$A:$A,ROW()-1))),"","   ")&amp;INDEX(Tasks!$D:$D,ROW()-1))</f>
        <v>Object Recognition (Camera Encoder/Decoder)</v>
      </c>
      <c r="C110" s="21" t="str">
        <f aca="false">IF(INDEX(Tasks!$G:$G,ROW()-1)="","",INDEX(Tasks!$G:$G,ROW()-1))</f>
        <v>TBD</v>
      </c>
      <c r="D110" s="21" t="str">
        <f aca="false">IF(INDEX(Tasks!$H:$H,ROW()-1)="","",INDEX(Tasks!$H:$H,ROW()-1))</f>
        <v>Not Started</v>
      </c>
      <c r="E110" s="22" t="n">
        <f aca="false">IF(INDEX(Tasks!$I:$I,ROW()-1)="","",INDEX(Tasks!$I:$I,ROW()-1))</f>
        <v>46195</v>
      </c>
      <c r="F110" s="22" t="n">
        <f aca="false">IF(INDEX(Tasks!$K:$K,ROW()-1)="","",INDEX(Tasks!$K:$K,ROW()-1))</f>
        <v>46206</v>
      </c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</row>
    <row r="111" customFormat="false" ht="15" hidden="false" customHeight="false" outlineLevel="0" collapsed="false">
      <c r="A111" s="21" t="str">
        <f aca="false">IF(INDEX(Tasks!$A:$A,ROW()-1)="","",INDEX(Tasks!$A:$A,ROW()-1))</f>
        <v>SC-1.1</v>
      </c>
      <c r="B111" s="21" t="str">
        <f aca="false">IF(INDEX(Tasks!$A:$A,ROW()-1)="","",IF(ISERROR(FIND(".",INDEX(Tasks!$A:$A,ROW()-1))),"","   ")&amp;INDEX(Tasks!$D:$D,ROW()-1))</f>
        <v>   Encoder + Decoder</v>
      </c>
      <c r="C111" s="21" t="str">
        <f aca="false">IF(INDEX(Tasks!$G:$G,ROW()-1)="","",INDEX(Tasks!$G:$G,ROW()-1))</f>
        <v>TBD</v>
      </c>
      <c r="D111" s="21" t="str">
        <f aca="false">IF(INDEX(Tasks!$H:$H,ROW()-1)="","",INDEX(Tasks!$H:$H,ROW()-1))</f>
        <v>Not Started</v>
      </c>
      <c r="E111" s="22" t="n">
        <f aca="false">IF(INDEX(Tasks!$I:$I,ROW()-1)="","",INDEX(Tasks!$I:$I,ROW()-1))</f>
        <v>46195</v>
      </c>
      <c r="F111" s="22" t="n">
        <f aca="false">IF(INDEX(Tasks!$K:$K,ROW()-1)="","",INDEX(Tasks!$K:$K,ROW()-1))</f>
        <v>46206</v>
      </c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</row>
    <row r="112" customFormat="false" ht="15" hidden="false" customHeight="false" outlineLevel="0" collapsed="false">
      <c r="A112" s="21" t="str">
        <f aca="false">IF(INDEX(Tasks!$A:$A,ROW()-1)="","",INDEX(Tasks!$A:$A,ROW()-1))</f>
        <v>SC-1.2</v>
      </c>
      <c r="B112" s="21" t="str">
        <f aca="false">IF(INDEX(Tasks!$A:$A,ROW()-1)="","",IF(ISERROR(FIND(".",INDEX(Tasks!$A:$A,ROW()-1))),"","   ")&amp;INDEX(Tasks!$D:$D,ROW()-1))</f>
        <v>   Accuracy Validation</v>
      </c>
      <c r="C112" s="21" t="str">
        <f aca="false">IF(INDEX(Tasks!$G:$G,ROW()-1)="","",INDEX(Tasks!$G:$G,ROW()-1))</f>
        <v>TBD</v>
      </c>
      <c r="D112" s="21" t="str">
        <f aca="false">IF(INDEX(Tasks!$H:$H,ROW()-1)="","",INDEX(Tasks!$H:$H,ROW()-1))</f>
        <v>Not Started</v>
      </c>
      <c r="E112" s="22" t="n">
        <f aca="false">IF(INDEX(Tasks!$I:$I,ROW()-1)="","",INDEX(Tasks!$I:$I,ROW()-1))</f>
        <v>46202</v>
      </c>
      <c r="F112" s="22" t="n">
        <f aca="false">IF(INDEX(Tasks!$K:$K,ROW()-1)="","",INDEX(Tasks!$K:$K,ROW()-1))</f>
        <v>46206</v>
      </c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</row>
    <row r="113" customFormat="false" ht="15" hidden="false" customHeight="false" outlineLevel="0" collapsed="false">
      <c r="A113" s="21" t="str">
        <f aca="false">IF(INDEX(Tasks!$A:$A,ROW()-1)="","",INDEX(Tasks!$A:$A,ROW()-1))</f>
        <v>SC-2</v>
      </c>
      <c r="B113" s="21" t="str">
        <f aca="false">IF(INDEX(Tasks!$A:$A,ROW()-1)="","",IF(ISERROR(FIND(".",INDEX(Tasks!$A:$A,ROW()-1))),"","   ")&amp;INDEX(Tasks!$D:$D,ROW()-1))</f>
        <v>Build Core Framework</v>
      </c>
      <c r="C113" s="21" t="str">
        <f aca="false">IF(INDEX(Tasks!$G:$G,ROW()-1)="","",INDEX(Tasks!$G:$G,ROW()-1))</f>
        <v>TBD</v>
      </c>
      <c r="D113" s="21" t="str">
        <f aca="false">IF(INDEX(Tasks!$H:$H,ROW()-1)="","",INDEX(Tasks!$H:$H,ROW()-1))</f>
        <v>Not Started</v>
      </c>
      <c r="E113" s="22" t="n">
        <f aca="false">IF(INDEX(Tasks!$I:$I,ROW()-1)="","",INDEX(Tasks!$I:$I,ROW()-1))</f>
        <v>46209</v>
      </c>
      <c r="F113" s="22" t="n">
        <f aca="false">IF(INDEX(Tasks!$K:$K,ROW()-1)="","",INDEX(Tasks!$K:$K,ROW()-1))</f>
        <v>46220</v>
      </c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</row>
    <row r="114" customFormat="false" ht="15" hidden="false" customHeight="false" outlineLevel="0" collapsed="false">
      <c r="A114" s="21" t="str">
        <f aca="false">IF(INDEX(Tasks!$A:$A,ROW()-1)="","",INDEX(Tasks!$A:$A,ROW()-1))</f>
        <v>SC-2.1</v>
      </c>
      <c r="B114" s="21" t="str">
        <f aca="false">IF(INDEX(Tasks!$A:$A,ROW()-1)="","",IF(ISERROR(FIND(".",INDEX(Tasks!$A:$A,ROW()-1))),"","   ")&amp;INDEX(Tasks!$D:$D,ROW()-1))</f>
        <v>   Baseline 3-Stage Framework</v>
      </c>
      <c r="C114" s="21" t="str">
        <f aca="false">IF(INDEX(Tasks!$G:$G,ROW()-1)="","",INDEX(Tasks!$G:$G,ROW()-1))</f>
        <v>TBD</v>
      </c>
      <c r="D114" s="21" t="str">
        <f aca="false">IF(INDEX(Tasks!$H:$H,ROW()-1)="","",INDEX(Tasks!$H:$H,ROW()-1))</f>
        <v>Not Started</v>
      </c>
      <c r="E114" s="22" t="n">
        <f aca="false">IF(INDEX(Tasks!$I:$I,ROW()-1)="","",INDEX(Tasks!$I:$I,ROW()-1))</f>
        <v>46209</v>
      </c>
      <c r="F114" s="22" t="n">
        <f aca="false">IF(INDEX(Tasks!$K:$K,ROW()-1)="","",INDEX(Tasks!$K:$K,ROW()-1))</f>
        <v>46220</v>
      </c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</row>
    <row r="115" customFormat="false" ht="15" hidden="false" customHeight="false" outlineLevel="0" collapsed="false">
      <c r="A115" s="21" t="str">
        <f aca="false">IF(INDEX(Tasks!$A:$A,ROW()-1)="","",INDEX(Tasks!$A:$A,ROW()-1))</f>
        <v>SC-2.2</v>
      </c>
      <c r="B115" s="21" t="str">
        <f aca="false">IF(INDEX(Tasks!$A:$A,ROW()-1)="","",IF(ISERROR(FIND(".",INDEX(Tasks!$A:$A,ROW()-1))),"","   ")&amp;INDEX(Tasks!$D:$D,ROW()-1))</f>
        <v>   Realistic Channel Model</v>
      </c>
      <c r="C115" s="21" t="str">
        <f aca="false">IF(INDEX(Tasks!$G:$G,ROW()-1)="","",INDEX(Tasks!$G:$G,ROW()-1))</f>
        <v>TBD</v>
      </c>
      <c r="D115" s="21" t="str">
        <f aca="false">IF(INDEX(Tasks!$H:$H,ROW()-1)="","",INDEX(Tasks!$H:$H,ROW()-1))</f>
        <v>Not Started</v>
      </c>
      <c r="E115" s="22" t="n">
        <f aca="false">IF(INDEX(Tasks!$I:$I,ROW()-1)="","",INDEX(Tasks!$I:$I,ROW()-1))</f>
        <v>46216</v>
      </c>
      <c r="F115" s="22" t="n">
        <f aca="false">IF(INDEX(Tasks!$K:$K,ROW()-1)="","",INDEX(Tasks!$K:$K,ROW()-1))</f>
        <v>46220</v>
      </c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</row>
    <row r="116" customFormat="false" ht="15" hidden="false" customHeight="false" outlineLevel="0" collapsed="false">
      <c r="A116" s="21" t="str">
        <f aca="false">IF(INDEX(Tasks!$A:$A,ROW()-1)="","",INDEX(Tasks!$A:$A,ROW()-1))</f>
        <v>SC-3</v>
      </c>
      <c r="B116" s="21" t="str">
        <f aca="false">IF(INDEX(Tasks!$A:$A,ROW()-1)="","",IF(ISERROR(FIND(".",INDEX(Tasks!$A:$A,ROW()-1))),"","   ")&amp;INDEX(Tasks!$D:$D,ROW()-1))</f>
        <v>Dynamic Bandwidth Management</v>
      </c>
      <c r="C116" s="21" t="str">
        <f aca="false">IF(INDEX(Tasks!$G:$G,ROW()-1)="","",INDEX(Tasks!$G:$G,ROW()-1))</f>
        <v>TBD</v>
      </c>
      <c r="D116" s="21" t="str">
        <f aca="false">IF(INDEX(Tasks!$H:$H,ROW()-1)="","",INDEX(Tasks!$H:$H,ROW()-1))</f>
        <v>Not Started</v>
      </c>
      <c r="E116" s="22" t="str">
        <f aca="false">IF(INDEX(Tasks!$I:$I,ROW()-1)="","",INDEX(Tasks!$I:$I,ROW()-1))</f>
        <v/>
      </c>
      <c r="F116" s="22" t="str">
        <f aca="false">IF(INDEX(Tasks!$K:$K,ROW()-1)="","",INDEX(Tasks!$K:$K,ROW()-1))</f>
        <v/>
      </c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</row>
    <row r="117" customFormat="false" ht="15" hidden="false" customHeight="false" outlineLevel="0" collapsed="false">
      <c r="A117" s="21" t="str">
        <f aca="false">IF(INDEX(Tasks!$A:$A,ROW()-1)="","",INDEX(Tasks!$A:$A,ROW()-1))</f>
        <v>SC-3.1</v>
      </c>
      <c r="B117" s="21" t="str">
        <f aca="false">IF(INDEX(Tasks!$A:$A,ROW()-1)="","",IF(ISERROR(FIND(".",INDEX(Tasks!$A:$A,ROW()-1))),"","   ")&amp;INDEX(Tasks!$D:$D,ROW()-1))</f>
        <v>   Semantic Allocation</v>
      </c>
      <c r="C117" s="21" t="str">
        <f aca="false">IF(INDEX(Tasks!$G:$G,ROW()-1)="","",INDEX(Tasks!$G:$G,ROW()-1))</f>
        <v>TBD</v>
      </c>
      <c r="D117" s="21" t="str">
        <f aca="false">IF(INDEX(Tasks!$H:$H,ROW()-1)="","",INDEX(Tasks!$H:$H,ROW()-1))</f>
        <v>Not Started</v>
      </c>
      <c r="E117" s="22" t="str">
        <f aca="false">IF(INDEX(Tasks!$I:$I,ROW()-1)="","",INDEX(Tasks!$I:$I,ROW()-1))</f>
        <v/>
      </c>
      <c r="F117" s="22" t="str">
        <f aca="false">IF(INDEX(Tasks!$K:$K,ROW()-1)="","",INDEX(Tasks!$K:$K,ROW()-1))</f>
        <v/>
      </c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</row>
    <row r="118" customFormat="false" ht="15" hidden="false" customHeight="false" outlineLevel="0" collapsed="false">
      <c r="A118" s="21" t="str">
        <f aca="false">IF(INDEX(Tasks!$A:$A,ROW()-1)="","",INDEX(Tasks!$A:$A,ROW()-1))</f>
        <v>SC-3.2</v>
      </c>
      <c r="B118" s="21" t="str">
        <f aca="false">IF(INDEX(Tasks!$A:$A,ROW()-1)="","",IF(ISERROR(FIND(".",INDEX(Tasks!$A:$A,ROW()-1))),"","   ")&amp;INDEX(Tasks!$D:$D,ROW()-1))</f>
        <v>   Physical Constraint Bounds</v>
      </c>
      <c r="C118" s="21" t="str">
        <f aca="false">IF(INDEX(Tasks!$G:$G,ROW()-1)="","",INDEX(Tasks!$G:$G,ROW()-1))</f>
        <v>TBD</v>
      </c>
      <c r="D118" s="21" t="str">
        <f aca="false">IF(INDEX(Tasks!$H:$H,ROW()-1)="","",INDEX(Tasks!$H:$H,ROW()-1))</f>
        <v>Not Started</v>
      </c>
      <c r="E118" s="22" t="str">
        <f aca="false">IF(INDEX(Tasks!$I:$I,ROW()-1)="","",INDEX(Tasks!$I:$I,ROW()-1))</f>
        <v/>
      </c>
      <c r="F118" s="22" t="str">
        <f aca="false">IF(INDEX(Tasks!$K:$K,ROW()-1)="","",INDEX(Tasks!$K:$K,ROW()-1))</f>
        <v/>
      </c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</row>
    <row r="119" customFormat="false" ht="15" hidden="false" customHeight="false" outlineLevel="0" collapsed="false">
      <c r="A119" s="21" t="str">
        <f aca="false">IF(INDEX(Tasks!$A:$A,ROW()-1)="","",INDEX(Tasks!$A:$A,ROW()-1))</f>
        <v>SC-3.3</v>
      </c>
      <c r="B119" s="21" t="str">
        <f aca="false">IF(INDEX(Tasks!$A:$A,ROW()-1)="","",IF(ISERROR(FIND(".",INDEX(Tasks!$A:$A,ROW()-1))),"","   ")&amp;INDEX(Tasks!$D:$D,ROW()-1))</f>
        <v>   Per-Modality Truncation</v>
      </c>
      <c r="C119" s="21" t="str">
        <f aca="false">IF(INDEX(Tasks!$G:$G,ROW()-1)="","",INDEX(Tasks!$G:$G,ROW()-1))</f>
        <v>TBD</v>
      </c>
      <c r="D119" s="21" t="str">
        <f aca="false">IF(INDEX(Tasks!$H:$H,ROW()-1)="","",INDEX(Tasks!$H:$H,ROW()-1))</f>
        <v>Not Started</v>
      </c>
      <c r="E119" s="22" t="str">
        <f aca="false">IF(INDEX(Tasks!$I:$I,ROW()-1)="","",INDEX(Tasks!$I:$I,ROW()-1))</f>
        <v/>
      </c>
      <c r="F119" s="22" t="str">
        <f aca="false">IF(INDEX(Tasks!$K:$K,ROW()-1)="","",INDEX(Tasks!$K:$K,ROW()-1))</f>
        <v/>
      </c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</row>
    <row r="120" customFormat="false" ht="15" hidden="false" customHeight="false" outlineLevel="0" collapsed="false">
      <c r="A120" s="21" t="str">
        <f aca="false">IF(INDEX(Tasks!$A:$A,ROW()-1)="","",INDEX(Tasks!$A:$A,ROW()-1))</f>
        <v>SC-3.4</v>
      </c>
      <c r="B120" s="21" t="str">
        <f aca="false">IF(INDEX(Tasks!$A:$A,ROW()-1)="","",IF(ISERROR(FIND(".",INDEX(Tasks!$A:$A,ROW()-1))),"","   ")&amp;INDEX(Tasks!$D:$D,ROW()-1))</f>
        <v>   Cost-Aware Feedback Loop</v>
      </c>
      <c r="C120" s="21" t="str">
        <f aca="false">IF(INDEX(Tasks!$G:$G,ROW()-1)="","",INDEX(Tasks!$G:$G,ROW()-1))</f>
        <v>TBD</v>
      </c>
      <c r="D120" s="21" t="str">
        <f aca="false">IF(INDEX(Tasks!$H:$H,ROW()-1)="","",INDEX(Tasks!$H:$H,ROW()-1))</f>
        <v>Not Started</v>
      </c>
      <c r="E120" s="22" t="str">
        <f aca="false">IF(INDEX(Tasks!$I:$I,ROW()-1)="","",INDEX(Tasks!$I:$I,ROW()-1))</f>
        <v/>
      </c>
      <c r="F120" s="22" t="str">
        <f aca="false">IF(INDEX(Tasks!$K:$K,ROW()-1)="","",INDEX(Tasks!$K:$K,ROW()-1))</f>
        <v/>
      </c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</row>
    <row r="121" customFormat="false" ht="15" hidden="false" customHeight="false" outlineLevel="0" collapsed="false">
      <c r="A121" s="21" t="str">
        <f aca="false">IF(INDEX(Tasks!$A:$A,ROW()-1)="","",INDEX(Tasks!$A:$A,ROW()-1))</f>
        <v>SC-4</v>
      </c>
      <c r="B121" s="21" t="str">
        <f aca="false">IF(INDEX(Tasks!$A:$A,ROW()-1)="","",IF(ISERROR(FIND(".",INDEX(Tasks!$A:$A,ROW()-1))),"","   ")&amp;INDEX(Tasks!$D:$D,ROW()-1))</f>
        <v>Multi-Task Transmission</v>
      </c>
      <c r="C121" s="21" t="str">
        <f aca="false">IF(INDEX(Tasks!$G:$G,ROW()-1)="","",INDEX(Tasks!$G:$G,ROW()-1))</f>
        <v>TBD</v>
      </c>
      <c r="D121" s="21" t="str">
        <f aca="false">IF(INDEX(Tasks!$H:$H,ROW()-1)="","",INDEX(Tasks!$H:$H,ROW()-1))</f>
        <v>Not Started</v>
      </c>
      <c r="E121" s="22" t="str">
        <f aca="false">IF(INDEX(Tasks!$I:$I,ROW()-1)="","",INDEX(Tasks!$I:$I,ROW()-1))</f>
        <v/>
      </c>
      <c r="F121" s="22" t="str">
        <f aca="false">IF(INDEX(Tasks!$K:$K,ROW()-1)="","",INDEX(Tasks!$K:$K,ROW()-1))</f>
        <v/>
      </c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</row>
    <row r="122" customFormat="false" ht="15" hidden="false" customHeight="false" outlineLevel="0" collapsed="false">
      <c r="A122" s="21" t="str">
        <f aca="false">IF(INDEX(Tasks!$A:$A,ROW()-1)="","",INDEX(Tasks!$A:$A,ROW()-1))</f>
        <v>SC-5</v>
      </c>
      <c r="B122" s="21" t="str">
        <f aca="false">IF(INDEX(Tasks!$A:$A,ROW()-1)="","",IF(ISERROR(FIND(".",INDEX(Tasks!$A:$A,ROW()-1))),"","   ")&amp;INDEX(Tasks!$D:$D,ROW()-1))</f>
        <v>Train &amp; Evaluate on Dataset</v>
      </c>
      <c r="C122" s="21" t="str">
        <f aca="false">IF(INDEX(Tasks!$G:$G,ROW()-1)="","",INDEX(Tasks!$G:$G,ROW()-1))</f>
        <v>TBD</v>
      </c>
      <c r="D122" s="21" t="str">
        <f aca="false">IF(INDEX(Tasks!$H:$H,ROW()-1)="","",INDEX(Tasks!$H:$H,ROW()-1))</f>
        <v>Not Started</v>
      </c>
      <c r="E122" s="22" t="str">
        <f aca="false">IF(INDEX(Tasks!$I:$I,ROW()-1)="","",INDEX(Tasks!$I:$I,ROW()-1))</f>
        <v/>
      </c>
      <c r="F122" s="22" t="str">
        <f aca="false">IF(INDEX(Tasks!$K:$K,ROW()-1)="","",INDEX(Tasks!$K:$K,ROW()-1))</f>
        <v/>
      </c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</row>
    <row r="123" customFormat="false" ht="15" hidden="false" customHeight="false" outlineLevel="0" collapsed="false">
      <c r="A123" s="21" t="str">
        <f aca="false">IF(INDEX(Tasks!$A:$A,ROW()-1)="","",INDEX(Tasks!$A:$A,ROW()-1))</f>
        <v>SC-6</v>
      </c>
      <c r="B123" s="21" t="str">
        <f aca="false">IF(INDEX(Tasks!$A:$A,ROW()-1)="","",IF(ISERROR(FIND(".",INDEX(Tasks!$A:$A,ROW()-1))),"","   ")&amp;INDEX(Tasks!$D:$D,ROW()-1))</f>
        <v>Integrate with Dual-Link</v>
      </c>
      <c r="C123" s="21" t="str">
        <f aca="false">IF(INDEX(Tasks!$G:$G,ROW()-1)="","",INDEX(Tasks!$G:$G,ROW()-1))</f>
        <v>TBD</v>
      </c>
      <c r="D123" s="21" t="str">
        <f aca="false">IF(INDEX(Tasks!$H:$H,ROW()-1)="","",INDEX(Tasks!$H:$H,ROW()-1))</f>
        <v>Not Started</v>
      </c>
      <c r="E123" s="22" t="str">
        <f aca="false">IF(INDEX(Tasks!$I:$I,ROW()-1)="","",INDEX(Tasks!$I:$I,ROW()-1))</f>
        <v/>
      </c>
      <c r="F123" s="22" t="str">
        <f aca="false">IF(INDEX(Tasks!$K:$K,ROW()-1)="","",INDEX(Tasks!$K:$K,ROW()-1))</f>
        <v/>
      </c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</row>
    <row r="124" customFormat="false" ht="15" hidden="false" customHeight="false" outlineLevel="0" collapsed="false">
      <c r="A124" s="21" t="str">
        <f aca="false">IF(INDEX(Tasks!$A:$A,ROW()-1)="","",INDEX(Tasks!$A:$A,ROW()-1))</f>
        <v/>
      </c>
      <c r="B124" s="21" t="str">
        <f aca="false">IF(INDEX(Tasks!$A:$A,ROW()-1)="","",IF(ISERROR(FIND(".",INDEX(Tasks!$A:$A,ROW()-1))),"","   ")&amp;INDEX(Tasks!$D:$D,ROW()-1))</f>
        <v/>
      </c>
      <c r="C124" s="21" t="str">
        <f aca="false">IF(INDEX(Tasks!$G:$G,ROW()-1)="","",INDEX(Tasks!$G:$G,ROW()-1))</f>
        <v/>
      </c>
      <c r="D124" s="21" t="str">
        <f aca="false">IF(INDEX(Tasks!$H:$H,ROW()-1)="","",INDEX(Tasks!$H:$H,ROW()-1))</f>
        <v/>
      </c>
      <c r="E124" s="22" t="str">
        <f aca="false">IF(INDEX(Tasks!$I:$I,ROW()-1)="","",INDEX(Tasks!$I:$I,ROW()-1))</f>
        <v/>
      </c>
      <c r="F124" s="22" t="str">
        <f aca="false">IF(INDEX(Tasks!$K:$K,ROW()-1)="","",INDEX(Tasks!$K:$K,ROW()-1))</f>
        <v/>
      </c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</row>
    <row r="125" customFormat="false" ht="15" hidden="false" customHeight="false" outlineLevel="0" collapsed="false">
      <c r="A125" s="21" t="str">
        <f aca="false">IF(INDEX(Tasks!$A:$A,ROW()-1)="","",INDEX(Tasks!$A:$A,ROW()-1))</f>
        <v/>
      </c>
      <c r="B125" s="21" t="str">
        <f aca="false">IF(INDEX(Tasks!$A:$A,ROW()-1)="","",IF(ISERROR(FIND(".",INDEX(Tasks!$A:$A,ROW()-1))),"","   ")&amp;INDEX(Tasks!$D:$D,ROW()-1))</f>
        <v/>
      </c>
      <c r="C125" s="21" t="str">
        <f aca="false">IF(INDEX(Tasks!$G:$G,ROW()-1)="","",INDEX(Tasks!$G:$G,ROW()-1))</f>
        <v/>
      </c>
      <c r="D125" s="21" t="str">
        <f aca="false">IF(INDEX(Tasks!$H:$H,ROW()-1)="","",INDEX(Tasks!$H:$H,ROW()-1))</f>
        <v/>
      </c>
      <c r="E125" s="22" t="str">
        <f aca="false">IF(INDEX(Tasks!$I:$I,ROW()-1)="","",INDEX(Tasks!$I:$I,ROW()-1))</f>
        <v/>
      </c>
      <c r="F125" s="22" t="str">
        <f aca="false">IF(INDEX(Tasks!$K:$K,ROW()-1)="","",INDEX(Tasks!$K:$K,ROW()-1))</f>
        <v/>
      </c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</row>
    <row r="126" customFormat="false" ht="15" hidden="false" customHeight="false" outlineLevel="0" collapsed="false">
      <c r="A126" s="21" t="str">
        <f aca="false">IF(INDEX(Tasks!$A:$A,ROW()-1)="","",INDEX(Tasks!$A:$A,ROW()-1))</f>
        <v/>
      </c>
      <c r="B126" s="21" t="str">
        <f aca="false">IF(INDEX(Tasks!$A:$A,ROW()-1)="","",IF(ISERROR(FIND(".",INDEX(Tasks!$A:$A,ROW()-1))),"","   ")&amp;INDEX(Tasks!$D:$D,ROW()-1))</f>
        <v/>
      </c>
      <c r="C126" s="21" t="str">
        <f aca="false">IF(INDEX(Tasks!$G:$G,ROW()-1)="","",INDEX(Tasks!$G:$G,ROW()-1))</f>
        <v/>
      </c>
      <c r="D126" s="21" t="str">
        <f aca="false">IF(INDEX(Tasks!$H:$H,ROW()-1)="","",INDEX(Tasks!$H:$H,ROW()-1))</f>
        <v/>
      </c>
      <c r="E126" s="22" t="str">
        <f aca="false">IF(INDEX(Tasks!$I:$I,ROW()-1)="","",INDEX(Tasks!$I:$I,ROW()-1))</f>
        <v/>
      </c>
      <c r="F126" s="22" t="str">
        <f aca="false">IF(INDEX(Tasks!$K:$K,ROW()-1)="","",INDEX(Tasks!$K:$K,ROW()-1))</f>
        <v/>
      </c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</row>
    <row r="127" customFormat="false" ht="15" hidden="false" customHeight="false" outlineLevel="0" collapsed="false">
      <c r="A127" s="21" t="str">
        <f aca="false">IF(INDEX(Tasks!$A:$A,ROW()-1)="","",INDEX(Tasks!$A:$A,ROW()-1))</f>
        <v/>
      </c>
      <c r="B127" s="21" t="str">
        <f aca="false">IF(INDEX(Tasks!$A:$A,ROW()-1)="","",IF(ISERROR(FIND(".",INDEX(Tasks!$A:$A,ROW()-1))),"","   ")&amp;INDEX(Tasks!$D:$D,ROW()-1))</f>
        <v/>
      </c>
      <c r="C127" s="21" t="str">
        <f aca="false">IF(INDEX(Tasks!$G:$G,ROW()-1)="","",INDEX(Tasks!$G:$G,ROW()-1))</f>
        <v/>
      </c>
      <c r="D127" s="21" t="str">
        <f aca="false">IF(INDEX(Tasks!$H:$H,ROW()-1)="","",INDEX(Tasks!$H:$H,ROW()-1))</f>
        <v/>
      </c>
      <c r="E127" s="22" t="str">
        <f aca="false">IF(INDEX(Tasks!$I:$I,ROW()-1)="","",INDEX(Tasks!$I:$I,ROW()-1))</f>
        <v/>
      </c>
      <c r="F127" s="22" t="str">
        <f aca="false">IF(INDEX(Tasks!$K:$K,ROW()-1)="","",INDEX(Tasks!$K:$K,ROW()-1))</f>
        <v/>
      </c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</row>
    <row r="128" customFormat="false" ht="15" hidden="false" customHeight="false" outlineLevel="0" collapsed="false">
      <c r="A128" s="21" t="str">
        <f aca="false">IF(INDEX(Tasks!$A:$A,ROW()-1)="","",INDEX(Tasks!$A:$A,ROW()-1))</f>
        <v/>
      </c>
      <c r="B128" s="21" t="str">
        <f aca="false">IF(INDEX(Tasks!$A:$A,ROW()-1)="","",IF(ISERROR(FIND(".",INDEX(Tasks!$A:$A,ROW()-1))),"","   ")&amp;INDEX(Tasks!$D:$D,ROW()-1))</f>
        <v/>
      </c>
      <c r="C128" s="21" t="str">
        <f aca="false">IF(INDEX(Tasks!$G:$G,ROW()-1)="","",INDEX(Tasks!$G:$G,ROW()-1))</f>
        <v/>
      </c>
      <c r="D128" s="21" t="str">
        <f aca="false">IF(INDEX(Tasks!$H:$H,ROW()-1)="","",INDEX(Tasks!$H:$H,ROW()-1))</f>
        <v/>
      </c>
      <c r="E128" s="22" t="str">
        <f aca="false">IF(INDEX(Tasks!$I:$I,ROW()-1)="","",INDEX(Tasks!$I:$I,ROW()-1))</f>
        <v/>
      </c>
      <c r="F128" s="22" t="str">
        <f aca="false">IF(INDEX(Tasks!$K:$K,ROW()-1)="","",INDEX(Tasks!$K:$K,ROW()-1))</f>
        <v/>
      </c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</row>
    <row r="129" customFormat="false" ht="15" hidden="false" customHeight="false" outlineLevel="0" collapsed="false">
      <c r="A129" s="21" t="str">
        <f aca="false">IF(INDEX(Tasks!$A:$A,ROW()-1)="","",INDEX(Tasks!$A:$A,ROW()-1))</f>
        <v/>
      </c>
      <c r="B129" s="21" t="str">
        <f aca="false">IF(INDEX(Tasks!$A:$A,ROW()-1)="","",IF(ISERROR(FIND(".",INDEX(Tasks!$A:$A,ROW()-1))),"","   ")&amp;INDEX(Tasks!$D:$D,ROW()-1))</f>
        <v/>
      </c>
      <c r="C129" s="21" t="str">
        <f aca="false">IF(INDEX(Tasks!$G:$G,ROW()-1)="","",INDEX(Tasks!$G:$G,ROW()-1))</f>
        <v/>
      </c>
      <c r="D129" s="21" t="str">
        <f aca="false">IF(INDEX(Tasks!$H:$H,ROW()-1)="","",INDEX(Tasks!$H:$H,ROW()-1))</f>
        <v/>
      </c>
      <c r="E129" s="22" t="str">
        <f aca="false">IF(INDEX(Tasks!$I:$I,ROW()-1)="","",INDEX(Tasks!$I:$I,ROW()-1))</f>
        <v/>
      </c>
      <c r="F129" s="22" t="str">
        <f aca="false">IF(INDEX(Tasks!$K:$K,ROW()-1)="","",INDEX(Tasks!$K:$K,ROW()-1))</f>
        <v/>
      </c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</row>
    <row r="130" customFormat="false" ht="15" hidden="false" customHeight="false" outlineLevel="0" collapsed="false">
      <c r="A130" s="21" t="str">
        <f aca="false">IF(INDEX(Tasks!$A:$A,ROW()-1)="","",INDEX(Tasks!$A:$A,ROW()-1))</f>
        <v/>
      </c>
      <c r="B130" s="21" t="str">
        <f aca="false">IF(INDEX(Tasks!$A:$A,ROW()-1)="","",IF(ISERROR(FIND(".",INDEX(Tasks!$A:$A,ROW()-1))),"","   ")&amp;INDEX(Tasks!$D:$D,ROW()-1))</f>
        <v/>
      </c>
      <c r="C130" s="21" t="str">
        <f aca="false">IF(INDEX(Tasks!$G:$G,ROW()-1)="","",INDEX(Tasks!$G:$G,ROW()-1))</f>
        <v/>
      </c>
      <c r="D130" s="21" t="str">
        <f aca="false">IF(INDEX(Tasks!$H:$H,ROW()-1)="","",INDEX(Tasks!$H:$H,ROW()-1))</f>
        <v/>
      </c>
      <c r="E130" s="22" t="str">
        <f aca="false">IF(INDEX(Tasks!$I:$I,ROW()-1)="","",INDEX(Tasks!$I:$I,ROW()-1))</f>
        <v/>
      </c>
      <c r="F130" s="22" t="str">
        <f aca="false">IF(INDEX(Tasks!$K:$K,ROW()-1)="","",INDEX(Tasks!$K:$K,ROW()-1))</f>
        <v/>
      </c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</row>
    <row r="131" customFormat="false" ht="15" hidden="false" customHeight="false" outlineLevel="0" collapsed="false">
      <c r="A131" s="21" t="str">
        <f aca="false">IF(INDEX(Tasks!$A:$A,ROW()-1)="","",INDEX(Tasks!$A:$A,ROW()-1))</f>
        <v/>
      </c>
      <c r="B131" s="21" t="str">
        <f aca="false">IF(INDEX(Tasks!$A:$A,ROW()-1)="","",IF(ISERROR(FIND(".",INDEX(Tasks!$A:$A,ROW()-1))),"","   ")&amp;INDEX(Tasks!$D:$D,ROW()-1))</f>
        <v/>
      </c>
      <c r="C131" s="21" t="str">
        <f aca="false">IF(INDEX(Tasks!$G:$G,ROW()-1)="","",INDEX(Tasks!$G:$G,ROW()-1))</f>
        <v/>
      </c>
      <c r="D131" s="21" t="str">
        <f aca="false">IF(INDEX(Tasks!$H:$H,ROW()-1)="","",INDEX(Tasks!$H:$H,ROW()-1))</f>
        <v/>
      </c>
      <c r="E131" s="22" t="str">
        <f aca="false">IF(INDEX(Tasks!$I:$I,ROW()-1)="","",INDEX(Tasks!$I:$I,ROW()-1))</f>
        <v/>
      </c>
      <c r="F131" s="22" t="str">
        <f aca="false">IF(INDEX(Tasks!$K:$K,ROW()-1)="","",INDEX(Tasks!$K:$K,ROW()-1))</f>
        <v/>
      </c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</row>
    <row r="132" customFormat="false" ht="15" hidden="false" customHeight="false" outlineLevel="0" collapsed="false">
      <c r="A132" s="21" t="str">
        <f aca="false">IF(INDEX(Tasks!$A:$A,ROW()-1)="","",INDEX(Tasks!$A:$A,ROW()-1))</f>
        <v/>
      </c>
      <c r="B132" s="21" t="str">
        <f aca="false">IF(INDEX(Tasks!$A:$A,ROW()-1)="","",IF(ISERROR(FIND(".",INDEX(Tasks!$A:$A,ROW()-1))),"","   ")&amp;INDEX(Tasks!$D:$D,ROW()-1))</f>
        <v/>
      </c>
      <c r="C132" s="21" t="str">
        <f aca="false">IF(INDEX(Tasks!$G:$G,ROW()-1)="","",INDEX(Tasks!$G:$G,ROW()-1))</f>
        <v/>
      </c>
      <c r="D132" s="21" t="str">
        <f aca="false">IF(INDEX(Tasks!$H:$H,ROW()-1)="","",INDEX(Tasks!$H:$H,ROW()-1))</f>
        <v/>
      </c>
      <c r="E132" s="22" t="str">
        <f aca="false">IF(INDEX(Tasks!$I:$I,ROW()-1)="","",INDEX(Tasks!$I:$I,ROW()-1))</f>
        <v/>
      </c>
      <c r="F132" s="22" t="str">
        <f aca="false">IF(INDEX(Tasks!$K:$K,ROW()-1)="","",INDEX(Tasks!$K:$K,ROW()-1))</f>
        <v/>
      </c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</row>
    <row r="133" customFormat="false" ht="15" hidden="false" customHeight="false" outlineLevel="0" collapsed="false">
      <c r="A133" s="21" t="str">
        <f aca="false">IF(INDEX(Tasks!$A:$A,ROW()-1)="","",INDEX(Tasks!$A:$A,ROW()-1))</f>
        <v/>
      </c>
      <c r="B133" s="21" t="str">
        <f aca="false">IF(INDEX(Tasks!$A:$A,ROW()-1)="","",IF(ISERROR(FIND(".",INDEX(Tasks!$A:$A,ROW()-1))),"","   ")&amp;INDEX(Tasks!$D:$D,ROW()-1))</f>
        <v/>
      </c>
      <c r="C133" s="21" t="str">
        <f aca="false">IF(INDEX(Tasks!$G:$G,ROW()-1)="","",INDEX(Tasks!$G:$G,ROW()-1))</f>
        <v/>
      </c>
      <c r="D133" s="21" t="str">
        <f aca="false">IF(INDEX(Tasks!$H:$H,ROW()-1)="","",INDEX(Tasks!$H:$H,ROW()-1))</f>
        <v/>
      </c>
      <c r="E133" s="22" t="str">
        <f aca="false">IF(INDEX(Tasks!$I:$I,ROW()-1)="","",INDEX(Tasks!$I:$I,ROW()-1))</f>
        <v/>
      </c>
      <c r="F133" s="22" t="str">
        <f aca="false">IF(INDEX(Tasks!$K:$K,ROW()-1)="","",INDEX(Tasks!$K:$K,ROW()-1))</f>
        <v/>
      </c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</row>
    <row r="134" customFormat="false" ht="15" hidden="false" customHeight="false" outlineLevel="0" collapsed="false">
      <c r="A134" s="21" t="str">
        <f aca="false">IF(INDEX(Tasks!$A:$A,ROW()-1)="","",INDEX(Tasks!$A:$A,ROW()-1))</f>
        <v/>
      </c>
      <c r="B134" s="21" t="str">
        <f aca="false">IF(INDEX(Tasks!$A:$A,ROW()-1)="","",IF(ISERROR(FIND(".",INDEX(Tasks!$A:$A,ROW()-1))),"","   ")&amp;INDEX(Tasks!$D:$D,ROW()-1))</f>
        <v/>
      </c>
      <c r="C134" s="21" t="str">
        <f aca="false">IF(INDEX(Tasks!$G:$G,ROW()-1)="","",INDEX(Tasks!$G:$G,ROW()-1))</f>
        <v/>
      </c>
      <c r="D134" s="21" t="str">
        <f aca="false">IF(INDEX(Tasks!$H:$H,ROW()-1)="","",INDEX(Tasks!$H:$H,ROW()-1))</f>
        <v/>
      </c>
      <c r="E134" s="22" t="str">
        <f aca="false">IF(INDEX(Tasks!$I:$I,ROW()-1)="","",INDEX(Tasks!$I:$I,ROW()-1))</f>
        <v/>
      </c>
      <c r="F134" s="22" t="str">
        <f aca="false">IF(INDEX(Tasks!$K:$K,ROW()-1)="","",INDEX(Tasks!$K:$K,ROW()-1))</f>
        <v/>
      </c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</row>
    <row r="135" customFormat="false" ht="15" hidden="false" customHeight="false" outlineLevel="0" collapsed="false">
      <c r="A135" s="21" t="str">
        <f aca="false">IF(INDEX(Tasks!$A:$A,ROW()-1)="","",INDEX(Tasks!$A:$A,ROW()-1))</f>
        <v/>
      </c>
      <c r="B135" s="21" t="str">
        <f aca="false">IF(INDEX(Tasks!$A:$A,ROW()-1)="","",IF(ISERROR(FIND(".",INDEX(Tasks!$A:$A,ROW()-1))),"","   ")&amp;INDEX(Tasks!$D:$D,ROW()-1))</f>
        <v/>
      </c>
      <c r="C135" s="21" t="str">
        <f aca="false">IF(INDEX(Tasks!$G:$G,ROW()-1)="","",INDEX(Tasks!$G:$G,ROW()-1))</f>
        <v/>
      </c>
      <c r="D135" s="21" t="str">
        <f aca="false">IF(INDEX(Tasks!$H:$H,ROW()-1)="","",INDEX(Tasks!$H:$H,ROW()-1))</f>
        <v/>
      </c>
      <c r="E135" s="22" t="str">
        <f aca="false">IF(INDEX(Tasks!$I:$I,ROW()-1)="","",INDEX(Tasks!$I:$I,ROW()-1))</f>
        <v/>
      </c>
      <c r="F135" s="22" t="str">
        <f aca="false">IF(INDEX(Tasks!$K:$K,ROW()-1)="","",INDEX(Tasks!$K:$K,ROW()-1))</f>
        <v/>
      </c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</row>
    <row r="136" customFormat="false" ht="15" hidden="false" customHeight="false" outlineLevel="0" collapsed="false">
      <c r="A136" s="21" t="str">
        <f aca="false">IF(INDEX(Tasks!$A:$A,ROW()-1)="","",INDEX(Tasks!$A:$A,ROW()-1))</f>
        <v/>
      </c>
      <c r="B136" s="21" t="str">
        <f aca="false">IF(INDEX(Tasks!$A:$A,ROW()-1)="","",IF(ISERROR(FIND(".",INDEX(Tasks!$A:$A,ROW()-1))),"","   ")&amp;INDEX(Tasks!$D:$D,ROW()-1))</f>
        <v/>
      </c>
      <c r="C136" s="21" t="str">
        <f aca="false">IF(INDEX(Tasks!$G:$G,ROW()-1)="","",INDEX(Tasks!$G:$G,ROW()-1))</f>
        <v/>
      </c>
      <c r="D136" s="21" t="str">
        <f aca="false">IF(INDEX(Tasks!$H:$H,ROW()-1)="","",INDEX(Tasks!$H:$H,ROW()-1))</f>
        <v/>
      </c>
      <c r="E136" s="22" t="str">
        <f aca="false">IF(INDEX(Tasks!$I:$I,ROW()-1)="","",INDEX(Tasks!$I:$I,ROW()-1))</f>
        <v/>
      </c>
      <c r="F136" s="22" t="str">
        <f aca="false">IF(INDEX(Tasks!$K:$K,ROW()-1)="","",INDEX(Tasks!$K:$K,ROW()-1))</f>
        <v/>
      </c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</row>
    <row r="137" customFormat="false" ht="15" hidden="false" customHeight="false" outlineLevel="0" collapsed="false">
      <c r="A137" s="21" t="str">
        <f aca="false">IF(INDEX(Tasks!$A:$A,ROW()-1)="","",INDEX(Tasks!$A:$A,ROW()-1))</f>
        <v/>
      </c>
      <c r="B137" s="21" t="str">
        <f aca="false">IF(INDEX(Tasks!$A:$A,ROW()-1)="","",IF(ISERROR(FIND(".",INDEX(Tasks!$A:$A,ROW()-1))),"","   ")&amp;INDEX(Tasks!$D:$D,ROW()-1))</f>
        <v/>
      </c>
      <c r="C137" s="21" t="str">
        <f aca="false">IF(INDEX(Tasks!$G:$G,ROW()-1)="","",INDEX(Tasks!$G:$G,ROW()-1))</f>
        <v/>
      </c>
      <c r="D137" s="21" t="str">
        <f aca="false">IF(INDEX(Tasks!$H:$H,ROW()-1)="","",INDEX(Tasks!$H:$H,ROW()-1))</f>
        <v/>
      </c>
      <c r="E137" s="22" t="str">
        <f aca="false">IF(INDEX(Tasks!$I:$I,ROW()-1)="","",INDEX(Tasks!$I:$I,ROW()-1))</f>
        <v/>
      </c>
      <c r="F137" s="22" t="str">
        <f aca="false">IF(INDEX(Tasks!$K:$K,ROW()-1)="","",INDEX(Tasks!$K:$K,ROW()-1))</f>
        <v/>
      </c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</row>
    <row r="138" customFormat="false" ht="15" hidden="false" customHeight="false" outlineLevel="0" collapsed="false">
      <c r="A138" s="21" t="str">
        <f aca="false">IF(INDEX(Tasks!$A:$A,ROW()-1)="","",INDEX(Tasks!$A:$A,ROW()-1))</f>
        <v/>
      </c>
      <c r="B138" s="21" t="str">
        <f aca="false">IF(INDEX(Tasks!$A:$A,ROW()-1)="","",IF(ISERROR(FIND(".",INDEX(Tasks!$A:$A,ROW()-1))),"","   ")&amp;INDEX(Tasks!$D:$D,ROW()-1))</f>
        <v/>
      </c>
      <c r="C138" s="21" t="str">
        <f aca="false">IF(INDEX(Tasks!$G:$G,ROW()-1)="","",INDEX(Tasks!$G:$G,ROW()-1))</f>
        <v/>
      </c>
      <c r="D138" s="21" t="str">
        <f aca="false">IF(INDEX(Tasks!$H:$H,ROW()-1)="","",INDEX(Tasks!$H:$H,ROW()-1))</f>
        <v/>
      </c>
      <c r="E138" s="22" t="str">
        <f aca="false">IF(INDEX(Tasks!$I:$I,ROW()-1)="","",INDEX(Tasks!$I:$I,ROW()-1))</f>
        <v/>
      </c>
      <c r="F138" s="22" t="str">
        <f aca="false">IF(INDEX(Tasks!$K:$K,ROW()-1)="","",INDEX(Tasks!$K:$K,ROW()-1))</f>
        <v/>
      </c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</row>
    <row r="139" customFormat="false" ht="15" hidden="false" customHeight="false" outlineLevel="0" collapsed="false">
      <c r="A139" s="21" t="str">
        <f aca="false">IF(INDEX(Tasks!$A:$A,ROW()-1)="","",INDEX(Tasks!$A:$A,ROW()-1))</f>
        <v/>
      </c>
      <c r="B139" s="21" t="str">
        <f aca="false">IF(INDEX(Tasks!$A:$A,ROW()-1)="","",IF(ISERROR(FIND(".",INDEX(Tasks!$A:$A,ROW()-1))),"","   ")&amp;INDEX(Tasks!$D:$D,ROW()-1))</f>
        <v/>
      </c>
      <c r="C139" s="21" t="str">
        <f aca="false">IF(INDEX(Tasks!$G:$G,ROW()-1)="","",INDEX(Tasks!$G:$G,ROW()-1))</f>
        <v/>
      </c>
      <c r="D139" s="21" t="str">
        <f aca="false">IF(INDEX(Tasks!$H:$H,ROW()-1)="","",INDEX(Tasks!$H:$H,ROW()-1))</f>
        <v/>
      </c>
      <c r="E139" s="22" t="str">
        <f aca="false">IF(INDEX(Tasks!$I:$I,ROW()-1)="","",INDEX(Tasks!$I:$I,ROW()-1))</f>
        <v/>
      </c>
      <c r="F139" s="22" t="str">
        <f aca="false">IF(INDEX(Tasks!$K:$K,ROW()-1)="","",INDEX(Tasks!$K:$K,ROW()-1))</f>
        <v/>
      </c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</row>
    <row r="140" customFormat="false" ht="15" hidden="false" customHeight="false" outlineLevel="0" collapsed="false">
      <c r="A140" s="21" t="str">
        <f aca="false">IF(INDEX(Tasks!$A:$A,ROW()-1)="","",INDEX(Tasks!$A:$A,ROW()-1))</f>
        <v/>
      </c>
      <c r="B140" s="21" t="str">
        <f aca="false">IF(INDEX(Tasks!$A:$A,ROW()-1)="","",IF(ISERROR(FIND(".",INDEX(Tasks!$A:$A,ROW()-1))),"","   ")&amp;INDEX(Tasks!$D:$D,ROW()-1))</f>
        <v/>
      </c>
      <c r="C140" s="21" t="str">
        <f aca="false">IF(INDEX(Tasks!$G:$G,ROW()-1)="","",INDEX(Tasks!$G:$G,ROW()-1))</f>
        <v/>
      </c>
      <c r="D140" s="21" t="str">
        <f aca="false">IF(INDEX(Tasks!$H:$H,ROW()-1)="","",INDEX(Tasks!$H:$H,ROW()-1))</f>
        <v/>
      </c>
      <c r="E140" s="22" t="str">
        <f aca="false">IF(INDEX(Tasks!$I:$I,ROW()-1)="","",INDEX(Tasks!$I:$I,ROW()-1))</f>
        <v/>
      </c>
      <c r="F140" s="22" t="str">
        <f aca="false">IF(INDEX(Tasks!$K:$K,ROW()-1)="","",INDEX(Tasks!$K:$K,ROW()-1))</f>
        <v/>
      </c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</row>
    <row r="141" customFormat="false" ht="15" hidden="false" customHeight="false" outlineLevel="0" collapsed="false">
      <c r="A141" s="21" t="str">
        <f aca="false">IF(INDEX(Tasks!$A:$A,ROW()-1)="","",INDEX(Tasks!$A:$A,ROW()-1))</f>
        <v/>
      </c>
      <c r="B141" s="21" t="str">
        <f aca="false">IF(INDEX(Tasks!$A:$A,ROW()-1)="","",IF(ISERROR(FIND(".",INDEX(Tasks!$A:$A,ROW()-1))),"","   ")&amp;INDEX(Tasks!$D:$D,ROW()-1))</f>
        <v/>
      </c>
      <c r="C141" s="21" t="str">
        <f aca="false">IF(INDEX(Tasks!$G:$G,ROW()-1)="","",INDEX(Tasks!$G:$G,ROW()-1))</f>
        <v/>
      </c>
      <c r="D141" s="21" t="str">
        <f aca="false">IF(INDEX(Tasks!$H:$H,ROW()-1)="","",INDEX(Tasks!$H:$H,ROW()-1))</f>
        <v/>
      </c>
      <c r="E141" s="22" t="str">
        <f aca="false">IF(INDEX(Tasks!$I:$I,ROW()-1)="","",INDEX(Tasks!$I:$I,ROW()-1))</f>
        <v/>
      </c>
      <c r="F141" s="22" t="str">
        <f aca="false">IF(INDEX(Tasks!$K:$K,ROW()-1)="","",INDEX(Tasks!$K:$K,ROW()-1))</f>
        <v/>
      </c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</row>
    <row r="142" customFormat="false" ht="15" hidden="false" customHeight="false" outlineLevel="0" collapsed="false">
      <c r="A142" s="21" t="str">
        <f aca="false">IF(INDEX(Tasks!$A:$A,ROW()-1)="","",INDEX(Tasks!$A:$A,ROW()-1))</f>
        <v/>
      </c>
      <c r="B142" s="21" t="str">
        <f aca="false">IF(INDEX(Tasks!$A:$A,ROW()-1)="","",IF(ISERROR(FIND(".",INDEX(Tasks!$A:$A,ROW()-1))),"","   ")&amp;INDEX(Tasks!$D:$D,ROW()-1))</f>
        <v/>
      </c>
      <c r="C142" s="21" t="str">
        <f aca="false">IF(INDEX(Tasks!$G:$G,ROW()-1)="","",INDEX(Tasks!$G:$G,ROW()-1))</f>
        <v/>
      </c>
      <c r="D142" s="21" t="str">
        <f aca="false">IF(INDEX(Tasks!$H:$H,ROW()-1)="","",INDEX(Tasks!$H:$H,ROW()-1))</f>
        <v/>
      </c>
      <c r="E142" s="22" t="str">
        <f aca="false">IF(INDEX(Tasks!$I:$I,ROW()-1)="","",INDEX(Tasks!$I:$I,ROW()-1))</f>
        <v/>
      </c>
      <c r="F142" s="22" t="str">
        <f aca="false">IF(INDEX(Tasks!$K:$K,ROW()-1)="","",INDEX(Tasks!$K:$K,ROW()-1))</f>
        <v/>
      </c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</row>
    <row r="143" customFormat="false" ht="15" hidden="false" customHeight="false" outlineLevel="0" collapsed="false">
      <c r="A143" s="21" t="str">
        <f aca="false">IF(INDEX(Tasks!$A:$A,ROW()-1)="","",INDEX(Tasks!$A:$A,ROW()-1))</f>
        <v/>
      </c>
      <c r="B143" s="21" t="str">
        <f aca="false">IF(INDEX(Tasks!$A:$A,ROW()-1)="","",IF(ISERROR(FIND(".",INDEX(Tasks!$A:$A,ROW()-1))),"","   ")&amp;INDEX(Tasks!$D:$D,ROW()-1))</f>
        <v/>
      </c>
      <c r="C143" s="21" t="str">
        <f aca="false">IF(INDEX(Tasks!$G:$G,ROW()-1)="","",INDEX(Tasks!$G:$G,ROW()-1))</f>
        <v/>
      </c>
      <c r="D143" s="21" t="str">
        <f aca="false">IF(INDEX(Tasks!$H:$H,ROW()-1)="","",INDEX(Tasks!$H:$H,ROW()-1))</f>
        <v/>
      </c>
      <c r="E143" s="22" t="str">
        <f aca="false">IF(INDEX(Tasks!$I:$I,ROW()-1)="","",INDEX(Tasks!$I:$I,ROW()-1))</f>
        <v/>
      </c>
      <c r="F143" s="22" t="str">
        <f aca="false">IF(INDEX(Tasks!$K:$K,ROW()-1)="","",INDEX(Tasks!$K:$K,ROW()-1))</f>
        <v/>
      </c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</row>
    <row r="144" customFormat="false" ht="15" hidden="false" customHeight="false" outlineLevel="0" collapsed="false">
      <c r="A144" s="21" t="str">
        <f aca="false">IF(INDEX(Tasks!$A:$A,ROW()-1)="","",INDEX(Tasks!$A:$A,ROW()-1))</f>
        <v/>
      </c>
      <c r="B144" s="21" t="str">
        <f aca="false">IF(INDEX(Tasks!$A:$A,ROW()-1)="","",IF(ISERROR(FIND(".",INDEX(Tasks!$A:$A,ROW()-1))),"","   ")&amp;INDEX(Tasks!$D:$D,ROW()-1))</f>
        <v/>
      </c>
      <c r="C144" s="21" t="str">
        <f aca="false">IF(INDEX(Tasks!$G:$G,ROW()-1)="","",INDEX(Tasks!$G:$G,ROW()-1))</f>
        <v/>
      </c>
      <c r="D144" s="21" t="str">
        <f aca="false">IF(INDEX(Tasks!$H:$H,ROW()-1)="","",INDEX(Tasks!$H:$H,ROW()-1))</f>
        <v/>
      </c>
      <c r="E144" s="22" t="str">
        <f aca="false">IF(INDEX(Tasks!$I:$I,ROW()-1)="","",INDEX(Tasks!$I:$I,ROW()-1))</f>
        <v/>
      </c>
      <c r="F144" s="22" t="str">
        <f aca="false">IF(INDEX(Tasks!$K:$K,ROW()-1)="","",INDEX(Tasks!$K:$K,ROW()-1))</f>
        <v/>
      </c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</row>
    <row r="145" customFormat="false" ht="15" hidden="false" customHeight="false" outlineLevel="0" collapsed="false">
      <c r="A145" s="21" t="str">
        <f aca="false">IF(INDEX(Tasks!$A:$A,ROW()-1)="","",INDEX(Tasks!$A:$A,ROW()-1))</f>
        <v/>
      </c>
      <c r="B145" s="21" t="str">
        <f aca="false">IF(INDEX(Tasks!$A:$A,ROW()-1)="","",IF(ISERROR(FIND(".",INDEX(Tasks!$A:$A,ROW()-1))),"","   ")&amp;INDEX(Tasks!$D:$D,ROW()-1))</f>
        <v/>
      </c>
      <c r="C145" s="21" t="str">
        <f aca="false">IF(INDEX(Tasks!$G:$G,ROW()-1)="","",INDEX(Tasks!$G:$G,ROW()-1))</f>
        <v/>
      </c>
      <c r="D145" s="21" t="str">
        <f aca="false">IF(INDEX(Tasks!$H:$H,ROW()-1)="","",INDEX(Tasks!$H:$H,ROW()-1))</f>
        <v/>
      </c>
      <c r="E145" s="22" t="str">
        <f aca="false">IF(INDEX(Tasks!$I:$I,ROW()-1)="","",INDEX(Tasks!$I:$I,ROW()-1))</f>
        <v/>
      </c>
      <c r="F145" s="22" t="str">
        <f aca="false">IF(INDEX(Tasks!$K:$K,ROW()-1)="","",INDEX(Tasks!$K:$K,ROW()-1))</f>
        <v/>
      </c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</row>
    <row r="146" customFormat="false" ht="15" hidden="false" customHeight="false" outlineLevel="0" collapsed="false">
      <c r="A146" s="21" t="str">
        <f aca="false">IF(INDEX(Tasks!$A:$A,ROW()-1)="","",INDEX(Tasks!$A:$A,ROW()-1))</f>
        <v/>
      </c>
      <c r="B146" s="21" t="str">
        <f aca="false">IF(INDEX(Tasks!$A:$A,ROW()-1)="","",IF(ISERROR(FIND(".",INDEX(Tasks!$A:$A,ROW()-1))),"","   ")&amp;INDEX(Tasks!$D:$D,ROW()-1))</f>
        <v/>
      </c>
      <c r="C146" s="21" t="str">
        <f aca="false">IF(INDEX(Tasks!$G:$G,ROW()-1)="","",INDEX(Tasks!$G:$G,ROW()-1))</f>
        <v/>
      </c>
      <c r="D146" s="21" t="str">
        <f aca="false">IF(INDEX(Tasks!$H:$H,ROW()-1)="","",INDEX(Tasks!$H:$H,ROW()-1))</f>
        <v/>
      </c>
      <c r="E146" s="22" t="str">
        <f aca="false">IF(INDEX(Tasks!$I:$I,ROW()-1)="","",INDEX(Tasks!$I:$I,ROW()-1))</f>
        <v/>
      </c>
      <c r="F146" s="22" t="str">
        <f aca="false">IF(INDEX(Tasks!$K:$K,ROW()-1)="","",INDEX(Tasks!$K:$K,ROW()-1))</f>
        <v/>
      </c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</row>
    <row r="147" customFormat="false" ht="15" hidden="false" customHeight="false" outlineLevel="0" collapsed="false">
      <c r="A147" s="21" t="str">
        <f aca="false">IF(INDEX(Tasks!$A:$A,ROW()-1)="","",INDEX(Tasks!$A:$A,ROW()-1))</f>
        <v/>
      </c>
      <c r="B147" s="21" t="str">
        <f aca="false">IF(INDEX(Tasks!$A:$A,ROW()-1)="","",IF(ISERROR(FIND(".",INDEX(Tasks!$A:$A,ROW()-1))),"","   ")&amp;INDEX(Tasks!$D:$D,ROW()-1))</f>
        <v/>
      </c>
      <c r="C147" s="21" t="str">
        <f aca="false">IF(INDEX(Tasks!$G:$G,ROW()-1)="","",INDEX(Tasks!$G:$G,ROW()-1))</f>
        <v/>
      </c>
      <c r="D147" s="21" t="str">
        <f aca="false">IF(INDEX(Tasks!$H:$H,ROW()-1)="","",INDEX(Tasks!$H:$H,ROW()-1))</f>
        <v/>
      </c>
      <c r="E147" s="22" t="str">
        <f aca="false">IF(INDEX(Tasks!$I:$I,ROW()-1)="","",INDEX(Tasks!$I:$I,ROW()-1))</f>
        <v/>
      </c>
      <c r="F147" s="22" t="str">
        <f aca="false">IF(INDEX(Tasks!$K:$K,ROW()-1)="","",INDEX(Tasks!$K:$K,ROW()-1))</f>
        <v/>
      </c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</row>
    <row r="148" customFormat="false" ht="15" hidden="false" customHeight="false" outlineLevel="0" collapsed="false">
      <c r="A148" s="21" t="str">
        <f aca="false">IF(INDEX(Tasks!$A:$A,ROW()-1)="","",INDEX(Tasks!$A:$A,ROW()-1))</f>
        <v/>
      </c>
      <c r="B148" s="21" t="str">
        <f aca="false">IF(INDEX(Tasks!$A:$A,ROW()-1)="","",IF(ISERROR(FIND(".",INDEX(Tasks!$A:$A,ROW()-1))),"","   ")&amp;INDEX(Tasks!$D:$D,ROW()-1))</f>
        <v/>
      </c>
      <c r="C148" s="21" t="str">
        <f aca="false">IF(INDEX(Tasks!$G:$G,ROW()-1)="","",INDEX(Tasks!$G:$G,ROW()-1))</f>
        <v/>
      </c>
      <c r="D148" s="21" t="str">
        <f aca="false">IF(INDEX(Tasks!$H:$H,ROW()-1)="","",INDEX(Tasks!$H:$H,ROW()-1))</f>
        <v/>
      </c>
      <c r="E148" s="22" t="str">
        <f aca="false">IF(INDEX(Tasks!$I:$I,ROW()-1)="","",INDEX(Tasks!$I:$I,ROW()-1))</f>
        <v/>
      </c>
      <c r="F148" s="22" t="str">
        <f aca="false">IF(INDEX(Tasks!$K:$K,ROW()-1)="","",INDEX(Tasks!$K:$K,ROW()-1))</f>
        <v/>
      </c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</row>
    <row r="149" customFormat="false" ht="15" hidden="false" customHeight="false" outlineLevel="0" collapsed="false">
      <c r="A149" s="21" t="str">
        <f aca="false">IF(INDEX(Tasks!$A:$A,ROW()-1)="","",INDEX(Tasks!$A:$A,ROW()-1))</f>
        <v/>
      </c>
      <c r="B149" s="21" t="str">
        <f aca="false">IF(INDEX(Tasks!$A:$A,ROW()-1)="","",IF(ISERROR(FIND(".",INDEX(Tasks!$A:$A,ROW()-1))),"","   ")&amp;INDEX(Tasks!$D:$D,ROW()-1))</f>
        <v/>
      </c>
      <c r="C149" s="21" t="str">
        <f aca="false">IF(INDEX(Tasks!$G:$G,ROW()-1)="","",INDEX(Tasks!$G:$G,ROW()-1))</f>
        <v/>
      </c>
      <c r="D149" s="21" t="str">
        <f aca="false">IF(INDEX(Tasks!$H:$H,ROW()-1)="","",INDEX(Tasks!$H:$H,ROW()-1))</f>
        <v/>
      </c>
      <c r="E149" s="22" t="str">
        <f aca="false">IF(INDEX(Tasks!$I:$I,ROW()-1)="","",INDEX(Tasks!$I:$I,ROW()-1))</f>
        <v/>
      </c>
      <c r="F149" s="22" t="str">
        <f aca="false">IF(INDEX(Tasks!$K:$K,ROW()-1)="","",INDEX(Tasks!$K:$K,ROW()-1))</f>
        <v/>
      </c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</row>
    <row r="150" customFormat="false" ht="15" hidden="false" customHeight="false" outlineLevel="0" collapsed="false">
      <c r="A150" s="21" t="str">
        <f aca="false">IF(INDEX(Tasks!$A:$A,ROW()-1)="","",INDEX(Tasks!$A:$A,ROW()-1))</f>
        <v/>
      </c>
      <c r="B150" s="21" t="str">
        <f aca="false">IF(INDEX(Tasks!$A:$A,ROW()-1)="","",IF(ISERROR(FIND(".",INDEX(Tasks!$A:$A,ROW()-1))),"","   ")&amp;INDEX(Tasks!$D:$D,ROW()-1))</f>
        <v/>
      </c>
      <c r="C150" s="21" t="str">
        <f aca="false">IF(INDEX(Tasks!$G:$G,ROW()-1)="","",INDEX(Tasks!$G:$G,ROW()-1))</f>
        <v/>
      </c>
      <c r="D150" s="21" t="str">
        <f aca="false">IF(INDEX(Tasks!$H:$H,ROW()-1)="","",INDEX(Tasks!$H:$H,ROW()-1))</f>
        <v/>
      </c>
      <c r="E150" s="22" t="str">
        <f aca="false">IF(INDEX(Tasks!$I:$I,ROW()-1)="","",INDEX(Tasks!$I:$I,ROW()-1))</f>
        <v/>
      </c>
      <c r="F150" s="22" t="str">
        <f aca="false">IF(INDEX(Tasks!$K:$K,ROW()-1)="","",INDEX(Tasks!$K:$K,ROW()-1))</f>
        <v/>
      </c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</row>
    <row r="151" customFormat="false" ht="15" hidden="false" customHeight="false" outlineLevel="0" collapsed="false">
      <c r="A151" s="21" t="str">
        <f aca="false">IF(INDEX(Tasks!$A:$A,ROW()-1)="","",INDEX(Tasks!$A:$A,ROW()-1))</f>
        <v/>
      </c>
      <c r="B151" s="21" t="str">
        <f aca="false">IF(INDEX(Tasks!$A:$A,ROW()-1)="","",IF(ISERROR(FIND(".",INDEX(Tasks!$A:$A,ROW()-1))),"","   ")&amp;INDEX(Tasks!$D:$D,ROW()-1))</f>
        <v/>
      </c>
      <c r="C151" s="21" t="str">
        <f aca="false">IF(INDEX(Tasks!$G:$G,ROW()-1)="","",INDEX(Tasks!$G:$G,ROW()-1))</f>
        <v/>
      </c>
      <c r="D151" s="21" t="str">
        <f aca="false">IF(INDEX(Tasks!$H:$H,ROW()-1)="","",INDEX(Tasks!$H:$H,ROW()-1))</f>
        <v/>
      </c>
      <c r="E151" s="22" t="str">
        <f aca="false">IF(INDEX(Tasks!$I:$I,ROW()-1)="","",INDEX(Tasks!$I:$I,ROW()-1))</f>
        <v/>
      </c>
      <c r="F151" s="22" t="str">
        <f aca="false">IF(INDEX(Tasks!$K:$K,ROW()-1)="","",INDEX(Tasks!$K:$K,ROW()-1))</f>
        <v/>
      </c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</row>
    <row r="152" customFormat="false" ht="15" hidden="false" customHeight="false" outlineLevel="0" collapsed="false">
      <c r="A152" s="21" t="str">
        <f aca="false">IF(INDEX(Tasks!$A:$A,ROW()-1)="","",INDEX(Tasks!$A:$A,ROW()-1))</f>
        <v/>
      </c>
      <c r="B152" s="21" t="str">
        <f aca="false">IF(INDEX(Tasks!$A:$A,ROW()-1)="","",IF(ISERROR(FIND(".",INDEX(Tasks!$A:$A,ROW()-1))),"","   ")&amp;INDEX(Tasks!$D:$D,ROW()-1))</f>
        <v/>
      </c>
      <c r="C152" s="21" t="str">
        <f aca="false">IF(INDEX(Tasks!$G:$G,ROW()-1)="","",INDEX(Tasks!$G:$G,ROW()-1))</f>
        <v/>
      </c>
      <c r="D152" s="21" t="str">
        <f aca="false">IF(INDEX(Tasks!$H:$H,ROW()-1)="","",INDEX(Tasks!$H:$H,ROW()-1))</f>
        <v/>
      </c>
      <c r="E152" s="22" t="str">
        <f aca="false">IF(INDEX(Tasks!$I:$I,ROW()-1)="","",INDEX(Tasks!$I:$I,ROW()-1))</f>
        <v/>
      </c>
      <c r="F152" s="22" t="str">
        <f aca="false">IF(INDEX(Tasks!$K:$K,ROW()-1)="","",INDEX(Tasks!$K:$K,ROW()-1))</f>
        <v/>
      </c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</row>
    <row r="153" customFormat="false" ht="15" hidden="false" customHeight="false" outlineLevel="0" collapsed="false">
      <c r="A153" s="21" t="str">
        <f aca="false">IF(INDEX(Tasks!$A:$A,ROW()-1)="","",INDEX(Tasks!$A:$A,ROW()-1))</f>
        <v/>
      </c>
      <c r="B153" s="21" t="str">
        <f aca="false">IF(INDEX(Tasks!$A:$A,ROW()-1)="","",IF(ISERROR(FIND(".",INDEX(Tasks!$A:$A,ROW()-1))),"","   ")&amp;INDEX(Tasks!$D:$D,ROW()-1))</f>
        <v/>
      </c>
      <c r="C153" s="21" t="str">
        <f aca="false">IF(INDEX(Tasks!$G:$G,ROW()-1)="","",INDEX(Tasks!$G:$G,ROW()-1))</f>
        <v/>
      </c>
      <c r="D153" s="21" t="str">
        <f aca="false">IF(INDEX(Tasks!$H:$H,ROW()-1)="","",INDEX(Tasks!$H:$H,ROW()-1))</f>
        <v/>
      </c>
      <c r="E153" s="22" t="str">
        <f aca="false">IF(INDEX(Tasks!$I:$I,ROW()-1)="","",INDEX(Tasks!$I:$I,ROW()-1))</f>
        <v/>
      </c>
      <c r="F153" s="22" t="str">
        <f aca="false">IF(INDEX(Tasks!$K:$K,ROW()-1)="","",INDEX(Tasks!$K:$K,ROW()-1))</f>
        <v/>
      </c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</row>
    <row r="154" customFormat="false" ht="15" hidden="false" customHeight="false" outlineLevel="0" collapsed="false">
      <c r="A154" s="21" t="str">
        <f aca="false">IF(INDEX(Tasks!$A:$A,ROW()-1)="","",INDEX(Tasks!$A:$A,ROW()-1))</f>
        <v/>
      </c>
      <c r="B154" s="21" t="str">
        <f aca="false">IF(INDEX(Tasks!$A:$A,ROW()-1)="","",IF(ISERROR(FIND(".",INDEX(Tasks!$A:$A,ROW()-1))),"","   ")&amp;INDEX(Tasks!$D:$D,ROW()-1))</f>
        <v/>
      </c>
      <c r="C154" s="21" t="str">
        <f aca="false">IF(INDEX(Tasks!$G:$G,ROW()-1)="","",INDEX(Tasks!$G:$G,ROW()-1))</f>
        <v/>
      </c>
      <c r="D154" s="21" t="str">
        <f aca="false">IF(INDEX(Tasks!$H:$H,ROW()-1)="","",INDEX(Tasks!$H:$H,ROW()-1))</f>
        <v/>
      </c>
      <c r="E154" s="22" t="str">
        <f aca="false">IF(INDEX(Tasks!$I:$I,ROW()-1)="","",INDEX(Tasks!$I:$I,ROW()-1))</f>
        <v/>
      </c>
      <c r="F154" s="22" t="str">
        <f aca="false">IF(INDEX(Tasks!$K:$K,ROW()-1)="","",INDEX(Tasks!$K:$K,ROW()-1))</f>
        <v/>
      </c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</row>
    <row r="155" customFormat="false" ht="15" hidden="false" customHeight="false" outlineLevel="0" collapsed="false">
      <c r="A155" s="21" t="str">
        <f aca="false">IF(INDEX(Tasks!$A:$A,ROW()-1)="","",INDEX(Tasks!$A:$A,ROW()-1))</f>
        <v/>
      </c>
      <c r="B155" s="21" t="str">
        <f aca="false">IF(INDEX(Tasks!$A:$A,ROW()-1)="","",IF(ISERROR(FIND(".",INDEX(Tasks!$A:$A,ROW()-1))),"","   ")&amp;INDEX(Tasks!$D:$D,ROW()-1))</f>
        <v/>
      </c>
      <c r="C155" s="21" t="str">
        <f aca="false">IF(INDEX(Tasks!$G:$G,ROW()-1)="","",INDEX(Tasks!$G:$G,ROW()-1))</f>
        <v/>
      </c>
      <c r="D155" s="21" t="str">
        <f aca="false">IF(INDEX(Tasks!$H:$H,ROW()-1)="","",INDEX(Tasks!$H:$H,ROW()-1))</f>
        <v/>
      </c>
      <c r="E155" s="22" t="str">
        <f aca="false">IF(INDEX(Tasks!$I:$I,ROW()-1)="","",INDEX(Tasks!$I:$I,ROW()-1))</f>
        <v/>
      </c>
      <c r="F155" s="22" t="str">
        <f aca="false">IF(INDEX(Tasks!$K:$K,ROW()-1)="","",INDEX(Tasks!$K:$K,ROW()-1))</f>
        <v/>
      </c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</row>
    <row r="156" customFormat="false" ht="15" hidden="false" customHeight="false" outlineLevel="0" collapsed="false">
      <c r="A156" s="21" t="str">
        <f aca="false">IF(INDEX(Tasks!$A:$A,ROW()-1)="","",INDEX(Tasks!$A:$A,ROW()-1))</f>
        <v/>
      </c>
      <c r="B156" s="21" t="str">
        <f aca="false">IF(INDEX(Tasks!$A:$A,ROW()-1)="","",IF(ISERROR(FIND(".",INDEX(Tasks!$A:$A,ROW()-1))),"","   ")&amp;INDEX(Tasks!$D:$D,ROW()-1))</f>
        <v/>
      </c>
      <c r="C156" s="21" t="str">
        <f aca="false">IF(INDEX(Tasks!$G:$G,ROW()-1)="","",INDEX(Tasks!$G:$G,ROW()-1))</f>
        <v/>
      </c>
      <c r="D156" s="21" t="str">
        <f aca="false">IF(INDEX(Tasks!$H:$H,ROW()-1)="","",INDEX(Tasks!$H:$H,ROW()-1))</f>
        <v/>
      </c>
      <c r="E156" s="22" t="str">
        <f aca="false">IF(INDEX(Tasks!$I:$I,ROW()-1)="","",INDEX(Tasks!$I:$I,ROW()-1))</f>
        <v/>
      </c>
      <c r="F156" s="22" t="str">
        <f aca="false">IF(INDEX(Tasks!$K:$K,ROW()-1)="","",INDEX(Tasks!$K:$K,ROW()-1))</f>
        <v/>
      </c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</row>
    <row r="157" customFormat="false" ht="15" hidden="false" customHeight="false" outlineLevel="0" collapsed="false">
      <c r="A157" s="21" t="str">
        <f aca="false">IF(INDEX(Tasks!$A:$A,ROW()-1)="","",INDEX(Tasks!$A:$A,ROW()-1))</f>
        <v/>
      </c>
      <c r="B157" s="21" t="str">
        <f aca="false">IF(INDEX(Tasks!$A:$A,ROW()-1)="","",IF(ISERROR(FIND(".",INDEX(Tasks!$A:$A,ROW()-1))),"","   ")&amp;INDEX(Tasks!$D:$D,ROW()-1))</f>
        <v/>
      </c>
      <c r="C157" s="21" t="str">
        <f aca="false">IF(INDEX(Tasks!$G:$G,ROW()-1)="","",INDEX(Tasks!$G:$G,ROW()-1))</f>
        <v/>
      </c>
      <c r="D157" s="21" t="str">
        <f aca="false">IF(INDEX(Tasks!$H:$H,ROW()-1)="","",INDEX(Tasks!$H:$H,ROW()-1))</f>
        <v/>
      </c>
      <c r="E157" s="22" t="str">
        <f aca="false">IF(INDEX(Tasks!$I:$I,ROW()-1)="","",INDEX(Tasks!$I:$I,ROW()-1))</f>
        <v/>
      </c>
      <c r="F157" s="22" t="str">
        <f aca="false">IF(INDEX(Tasks!$K:$K,ROW()-1)="","",INDEX(Tasks!$K:$K,ROW()-1))</f>
        <v/>
      </c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</row>
    <row r="158" customFormat="false" ht="15" hidden="false" customHeight="false" outlineLevel="0" collapsed="false">
      <c r="A158" s="21" t="str">
        <f aca="false">IF(INDEX(Tasks!$A:$A,ROW()-1)="","",INDEX(Tasks!$A:$A,ROW()-1))</f>
        <v/>
      </c>
      <c r="B158" s="21" t="str">
        <f aca="false">IF(INDEX(Tasks!$A:$A,ROW()-1)="","",IF(ISERROR(FIND(".",INDEX(Tasks!$A:$A,ROW()-1))),"","   ")&amp;INDEX(Tasks!$D:$D,ROW()-1))</f>
        <v/>
      </c>
      <c r="C158" s="21" t="str">
        <f aca="false">IF(INDEX(Tasks!$G:$G,ROW()-1)="","",INDEX(Tasks!$G:$G,ROW()-1))</f>
        <v/>
      </c>
      <c r="D158" s="21" t="str">
        <f aca="false">IF(INDEX(Tasks!$H:$H,ROW()-1)="","",INDEX(Tasks!$H:$H,ROW()-1))</f>
        <v/>
      </c>
      <c r="E158" s="22" t="str">
        <f aca="false">IF(INDEX(Tasks!$I:$I,ROW()-1)="","",INDEX(Tasks!$I:$I,ROW()-1))</f>
        <v/>
      </c>
      <c r="F158" s="22" t="str">
        <f aca="false">IF(INDEX(Tasks!$K:$K,ROW()-1)="","",INDEX(Tasks!$K:$K,ROW()-1))</f>
        <v/>
      </c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</row>
    <row r="159" customFormat="false" ht="15" hidden="false" customHeight="false" outlineLevel="0" collapsed="false">
      <c r="A159" s="21" t="str">
        <f aca="false">IF(INDEX(Tasks!$A:$A,ROW()-1)="","",INDEX(Tasks!$A:$A,ROW()-1))</f>
        <v/>
      </c>
      <c r="B159" s="21" t="str">
        <f aca="false">IF(INDEX(Tasks!$A:$A,ROW()-1)="","",IF(ISERROR(FIND(".",INDEX(Tasks!$A:$A,ROW()-1))),"","   ")&amp;INDEX(Tasks!$D:$D,ROW()-1))</f>
        <v/>
      </c>
      <c r="C159" s="21" t="str">
        <f aca="false">IF(INDEX(Tasks!$G:$G,ROW()-1)="","",INDEX(Tasks!$G:$G,ROW()-1))</f>
        <v/>
      </c>
      <c r="D159" s="21" t="str">
        <f aca="false">IF(INDEX(Tasks!$H:$H,ROW()-1)="","",INDEX(Tasks!$H:$H,ROW()-1))</f>
        <v/>
      </c>
      <c r="E159" s="22" t="str">
        <f aca="false">IF(INDEX(Tasks!$I:$I,ROW()-1)="","",INDEX(Tasks!$I:$I,ROW()-1))</f>
        <v/>
      </c>
      <c r="F159" s="22" t="str">
        <f aca="false">IF(INDEX(Tasks!$K:$K,ROW()-1)="","",INDEX(Tasks!$K:$K,ROW()-1))</f>
        <v/>
      </c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</row>
    <row r="160" customFormat="false" ht="15" hidden="false" customHeight="false" outlineLevel="0" collapsed="false">
      <c r="A160" s="21" t="str">
        <f aca="false">IF(INDEX(Tasks!$A:$A,ROW()-1)="","",INDEX(Tasks!$A:$A,ROW()-1))</f>
        <v/>
      </c>
      <c r="B160" s="21" t="str">
        <f aca="false">IF(INDEX(Tasks!$A:$A,ROW()-1)="","",IF(ISERROR(FIND(".",INDEX(Tasks!$A:$A,ROW()-1))),"","   ")&amp;INDEX(Tasks!$D:$D,ROW()-1))</f>
        <v/>
      </c>
      <c r="C160" s="21" t="str">
        <f aca="false">IF(INDEX(Tasks!$G:$G,ROW()-1)="","",INDEX(Tasks!$G:$G,ROW()-1))</f>
        <v/>
      </c>
      <c r="D160" s="21" t="str">
        <f aca="false">IF(INDEX(Tasks!$H:$H,ROW()-1)="","",INDEX(Tasks!$H:$H,ROW()-1))</f>
        <v/>
      </c>
      <c r="E160" s="22" t="str">
        <f aca="false">IF(INDEX(Tasks!$I:$I,ROW()-1)="","",INDEX(Tasks!$I:$I,ROW()-1))</f>
        <v/>
      </c>
      <c r="F160" s="22" t="str">
        <f aca="false">IF(INDEX(Tasks!$K:$K,ROW()-1)="","",INDEX(Tasks!$K:$K,ROW()-1))</f>
        <v/>
      </c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</row>
    <row r="161" customFormat="false" ht="15" hidden="false" customHeight="false" outlineLevel="0" collapsed="false">
      <c r="A161" s="21" t="str">
        <f aca="false">IF(INDEX(Tasks!$A:$A,ROW()-1)="","",INDEX(Tasks!$A:$A,ROW()-1))</f>
        <v/>
      </c>
      <c r="B161" s="21" t="str">
        <f aca="false">IF(INDEX(Tasks!$A:$A,ROW()-1)="","",IF(ISERROR(FIND(".",INDEX(Tasks!$A:$A,ROW()-1))),"","   ")&amp;INDEX(Tasks!$D:$D,ROW()-1))</f>
        <v/>
      </c>
      <c r="C161" s="21" t="str">
        <f aca="false">IF(INDEX(Tasks!$G:$G,ROW()-1)="","",INDEX(Tasks!$G:$G,ROW()-1))</f>
        <v/>
      </c>
      <c r="D161" s="21" t="str">
        <f aca="false">IF(INDEX(Tasks!$H:$H,ROW()-1)="","",INDEX(Tasks!$H:$H,ROW()-1))</f>
        <v/>
      </c>
      <c r="E161" s="22" t="str">
        <f aca="false">IF(INDEX(Tasks!$I:$I,ROW()-1)="","",INDEX(Tasks!$I:$I,ROW()-1))</f>
        <v/>
      </c>
      <c r="F161" s="22" t="str">
        <f aca="false">IF(INDEX(Tasks!$K:$K,ROW()-1)="","",INDEX(Tasks!$K:$K,ROW()-1))</f>
        <v/>
      </c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</row>
    <row r="162" customFormat="false" ht="15" hidden="false" customHeight="false" outlineLevel="0" collapsed="false">
      <c r="A162" s="21" t="str">
        <f aca="false">IF(INDEX(Tasks!$A:$A,ROW()-1)="","",INDEX(Tasks!$A:$A,ROW()-1))</f>
        <v/>
      </c>
      <c r="B162" s="21" t="str">
        <f aca="false">IF(INDEX(Tasks!$A:$A,ROW()-1)="","",IF(ISERROR(FIND(".",INDEX(Tasks!$A:$A,ROW()-1))),"","   ")&amp;INDEX(Tasks!$D:$D,ROW()-1))</f>
        <v/>
      </c>
      <c r="C162" s="21" t="str">
        <f aca="false">IF(INDEX(Tasks!$G:$G,ROW()-1)="","",INDEX(Tasks!$G:$G,ROW()-1))</f>
        <v/>
      </c>
      <c r="D162" s="21" t="str">
        <f aca="false">IF(INDEX(Tasks!$H:$H,ROW()-1)="","",INDEX(Tasks!$H:$H,ROW()-1))</f>
        <v/>
      </c>
      <c r="E162" s="22" t="str">
        <f aca="false">IF(INDEX(Tasks!$I:$I,ROW()-1)="","",INDEX(Tasks!$I:$I,ROW()-1))</f>
        <v/>
      </c>
      <c r="F162" s="22" t="str">
        <f aca="false">IF(INDEX(Tasks!$K:$K,ROW()-1)="","",INDEX(Tasks!$K:$K,ROW()-1))</f>
        <v/>
      </c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</row>
    <row r="163" customFormat="false" ht="15" hidden="false" customHeight="false" outlineLevel="0" collapsed="false">
      <c r="A163" s="21" t="str">
        <f aca="false">IF(INDEX(Tasks!$A:$A,ROW()-1)="","",INDEX(Tasks!$A:$A,ROW()-1))</f>
        <v/>
      </c>
      <c r="B163" s="21" t="str">
        <f aca="false">IF(INDEX(Tasks!$A:$A,ROW()-1)="","",IF(ISERROR(FIND(".",INDEX(Tasks!$A:$A,ROW()-1))),"","   ")&amp;INDEX(Tasks!$D:$D,ROW()-1))</f>
        <v/>
      </c>
      <c r="C163" s="21" t="str">
        <f aca="false">IF(INDEX(Tasks!$G:$G,ROW()-1)="","",INDEX(Tasks!$G:$G,ROW()-1))</f>
        <v/>
      </c>
      <c r="D163" s="21" t="str">
        <f aca="false">IF(INDEX(Tasks!$H:$H,ROW()-1)="","",INDEX(Tasks!$H:$H,ROW()-1))</f>
        <v/>
      </c>
      <c r="E163" s="22" t="str">
        <f aca="false">IF(INDEX(Tasks!$I:$I,ROW()-1)="","",INDEX(Tasks!$I:$I,ROW()-1))</f>
        <v/>
      </c>
      <c r="F163" s="22" t="str">
        <f aca="false">IF(INDEX(Tasks!$K:$K,ROW()-1)="","",INDEX(Tasks!$K:$K,ROW()-1))</f>
        <v/>
      </c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</row>
    <row r="164" customFormat="false" ht="15" hidden="false" customHeight="false" outlineLevel="0" collapsed="false">
      <c r="A164" s="21" t="str">
        <f aca="false">IF(INDEX(Tasks!$A:$A,ROW()-1)="","",INDEX(Tasks!$A:$A,ROW()-1))</f>
        <v/>
      </c>
      <c r="B164" s="21" t="str">
        <f aca="false">IF(INDEX(Tasks!$A:$A,ROW()-1)="","",IF(ISERROR(FIND(".",INDEX(Tasks!$A:$A,ROW()-1))),"","   ")&amp;INDEX(Tasks!$D:$D,ROW()-1))</f>
        <v/>
      </c>
      <c r="C164" s="21" t="str">
        <f aca="false">IF(INDEX(Tasks!$G:$G,ROW()-1)="","",INDEX(Tasks!$G:$G,ROW()-1))</f>
        <v/>
      </c>
      <c r="D164" s="21" t="str">
        <f aca="false">IF(INDEX(Tasks!$H:$H,ROW()-1)="","",INDEX(Tasks!$H:$H,ROW()-1))</f>
        <v/>
      </c>
      <c r="E164" s="22" t="str">
        <f aca="false">IF(INDEX(Tasks!$I:$I,ROW()-1)="","",INDEX(Tasks!$I:$I,ROW()-1))</f>
        <v/>
      </c>
      <c r="F164" s="22" t="str">
        <f aca="false">IF(INDEX(Tasks!$K:$K,ROW()-1)="","",INDEX(Tasks!$K:$K,ROW()-1))</f>
        <v/>
      </c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</row>
    <row r="165" customFormat="false" ht="15" hidden="false" customHeight="false" outlineLevel="0" collapsed="false">
      <c r="A165" s="21" t="str">
        <f aca="false">IF(INDEX(Tasks!$A:$A,ROW()-1)="","",INDEX(Tasks!$A:$A,ROW()-1))</f>
        <v/>
      </c>
      <c r="B165" s="21" t="str">
        <f aca="false">IF(INDEX(Tasks!$A:$A,ROW()-1)="","",IF(ISERROR(FIND(".",INDEX(Tasks!$A:$A,ROW()-1))),"","   ")&amp;INDEX(Tasks!$D:$D,ROW()-1))</f>
        <v/>
      </c>
      <c r="C165" s="21" t="str">
        <f aca="false">IF(INDEX(Tasks!$G:$G,ROW()-1)="","",INDEX(Tasks!$G:$G,ROW()-1))</f>
        <v/>
      </c>
      <c r="D165" s="21" t="str">
        <f aca="false">IF(INDEX(Tasks!$H:$H,ROW()-1)="","",INDEX(Tasks!$H:$H,ROW()-1))</f>
        <v/>
      </c>
      <c r="E165" s="22" t="str">
        <f aca="false">IF(INDEX(Tasks!$I:$I,ROW()-1)="","",INDEX(Tasks!$I:$I,ROW()-1))</f>
        <v/>
      </c>
      <c r="F165" s="22" t="str">
        <f aca="false">IF(INDEX(Tasks!$K:$K,ROW()-1)="","",INDEX(Tasks!$K:$K,ROW()-1))</f>
        <v/>
      </c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</row>
    <row r="166" customFormat="false" ht="15" hidden="false" customHeight="false" outlineLevel="0" collapsed="false">
      <c r="A166" s="21" t="str">
        <f aca="false">IF(INDEX(Tasks!$A:$A,ROW()-1)="","",INDEX(Tasks!$A:$A,ROW()-1))</f>
        <v/>
      </c>
      <c r="B166" s="21" t="str">
        <f aca="false">IF(INDEX(Tasks!$A:$A,ROW()-1)="","",IF(ISERROR(FIND(".",INDEX(Tasks!$A:$A,ROW()-1))),"","   ")&amp;INDEX(Tasks!$D:$D,ROW()-1))</f>
        <v/>
      </c>
      <c r="C166" s="21" t="str">
        <f aca="false">IF(INDEX(Tasks!$G:$G,ROW()-1)="","",INDEX(Tasks!$G:$G,ROW()-1))</f>
        <v/>
      </c>
      <c r="D166" s="21" t="str">
        <f aca="false">IF(INDEX(Tasks!$H:$H,ROW()-1)="","",INDEX(Tasks!$H:$H,ROW()-1))</f>
        <v/>
      </c>
      <c r="E166" s="22" t="str">
        <f aca="false">IF(INDEX(Tasks!$I:$I,ROW()-1)="","",INDEX(Tasks!$I:$I,ROW()-1))</f>
        <v/>
      </c>
      <c r="F166" s="22" t="str">
        <f aca="false">IF(INDEX(Tasks!$K:$K,ROW()-1)="","",INDEX(Tasks!$K:$K,ROW()-1))</f>
        <v/>
      </c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</row>
    <row r="167" customFormat="false" ht="15" hidden="false" customHeight="false" outlineLevel="0" collapsed="false">
      <c r="A167" s="21" t="str">
        <f aca="false">IF(INDEX(Tasks!$A:$A,ROW()-1)="","",INDEX(Tasks!$A:$A,ROW()-1))</f>
        <v/>
      </c>
      <c r="B167" s="21" t="str">
        <f aca="false">IF(INDEX(Tasks!$A:$A,ROW()-1)="","",IF(ISERROR(FIND(".",INDEX(Tasks!$A:$A,ROW()-1))),"","   ")&amp;INDEX(Tasks!$D:$D,ROW()-1))</f>
        <v/>
      </c>
      <c r="C167" s="21" t="str">
        <f aca="false">IF(INDEX(Tasks!$G:$G,ROW()-1)="","",INDEX(Tasks!$G:$G,ROW()-1))</f>
        <v/>
      </c>
      <c r="D167" s="21" t="str">
        <f aca="false">IF(INDEX(Tasks!$H:$H,ROW()-1)="","",INDEX(Tasks!$H:$H,ROW()-1))</f>
        <v/>
      </c>
      <c r="E167" s="22" t="str">
        <f aca="false">IF(INDEX(Tasks!$I:$I,ROW()-1)="","",INDEX(Tasks!$I:$I,ROW()-1))</f>
        <v/>
      </c>
      <c r="F167" s="22" t="str">
        <f aca="false">IF(INDEX(Tasks!$K:$K,ROW()-1)="","",INDEX(Tasks!$K:$K,ROW()-1))</f>
        <v/>
      </c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</row>
    <row r="168" customFormat="false" ht="15" hidden="false" customHeight="false" outlineLevel="0" collapsed="false">
      <c r="A168" s="21" t="str">
        <f aca="false">IF(INDEX(Tasks!$A:$A,ROW()-1)="","",INDEX(Tasks!$A:$A,ROW()-1))</f>
        <v/>
      </c>
      <c r="B168" s="21" t="str">
        <f aca="false">IF(INDEX(Tasks!$A:$A,ROW()-1)="","",IF(ISERROR(FIND(".",INDEX(Tasks!$A:$A,ROW()-1))),"","   ")&amp;INDEX(Tasks!$D:$D,ROW()-1))</f>
        <v/>
      </c>
      <c r="C168" s="21" t="str">
        <f aca="false">IF(INDEX(Tasks!$G:$G,ROW()-1)="","",INDEX(Tasks!$G:$G,ROW()-1))</f>
        <v/>
      </c>
      <c r="D168" s="21" t="str">
        <f aca="false">IF(INDEX(Tasks!$H:$H,ROW()-1)="","",INDEX(Tasks!$H:$H,ROW()-1))</f>
        <v/>
      </c>
      <c r="E168" s="22" t="str">
        <f aca="false">IF(INDEX(Tasks!$I:$I,ROW()-1)="","",INDEX(Tasks!$I:$I,ROW()-1))</f>
        <v/>
      </c>
      <c r="F168" s="22" t="str">
        <f aca="false">IF(INDEX(Tasks!$K:$K,ROW()-1)="","",INDEX(Tasks!$K:$K,ROW()-1))</f>
        <v/>
      </c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</row>
    <row r="169" customFormat="false" ht="15" hidden="false" customHeight="false" outlineLevel="0" collapsed="false">
      <c r="A169" s="21" t="str">
        <f aca="false">IF(INDEX(Tasks!$A:$A,ROW()-1)="","",INDEX(Tasks!$A:$A,ROW()-1))</f>
        <v/>
      </c>
      <c r="B169" s="21" t="str">
        <f aca="false">IF(INDEX(Tasks!$A:$A,ROW()-1)="","",IF(ISERROR(FIND(".",INDEX(Tasks!$A:$A,ROW()-1))),"","   ")&amp;INDEX(Tasks!$D:$D,ROW()-1))</f>
        <v/>
      </c>
      <c r="C169" s="21" t="str">
        <f aca="false">IF(INDEX(Tasks!$G:$G,ROW()-1)="","",INDEX(Tasks!$G:$G,ROW()-1))</f>
        <v/>
      </c>
      <c r="D169" s="21" t="str">
        <f aca="false">IF(INDEX(Tasks!$H:$H,ROW()-1)="","",INDEX(Tasks!$H:$H,ROW()-1))</f>
        <v/>
      </c>
      <c r="E169" s="22" t="str">
        <f aca="false">IF(INDEX(Tasks!$I:$I,ROW()-1)="","",INDEX(Tasks!$I:$I,ROW()-1))</f>
        <v/>
      </c>
      <c r="F169" s="22" t="str">
        <f aca="false">IF(INDEX(Tasks!$K:$K,ROW()-1)="","",INDEX(Tasks!$K:$K,ROW()-1))</f>
        <v/>
      </c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</row>
    <row r="170" customFormat="false" ht="15" hidden="false" customHeight="false" outlineLevel="0" collapsed="false">
      <c r="A170" s="21" t="str">
        <f aca="false">IF(INDEX(Tasks!$A:$A,ROW()-1)="","",INDEX(Tasks!$A:$A,ROW()-1))</f>
        <v/>
      </c>
      <c r="B170" s="21" t="str">
        <f aca="false">IF(INDEX(Tasks!$A:$A,ROW()-1)="","",IF(ISERROR(FIND(".",INDEX(Tasks!$A:$A,ROW()-1))),"","   ")&amp;INDEX(Tasks!$D:$D,ROW()-1))</f>
        <v/>
      </c>
      <c r="C170" s="21" t="str">
        <f aca="false">IF(INDEX(Tasks!$G:$G,ROW()-1)="","",INDEX(Tasks!$G:$G,ROW()-1))</f>
        <v/>
      </c>
      <c r="D170" s="21" t="str">
        <f aca="false">IF(INDEX(Tasks!$H:$H,ROW()-1)="","",INDEX(Tasks!$H:$H,ROW()-1))</f>
        <v/>
      </c>
      <c r="E170" s="22" t="str">
        <f aca="false">IF(INDEX(Tasks!$I:$I,ROW()-1)="","",INDEX(Tasks!$I:$I,ROW()-1))</f>
        <v/>
      </c>
      <c r="F170" s="22" t="str">
        <f aca="false">IF(INDEX(Tasks!$K:$K,ROW()-1)="","",INDEX(Tasks!$K:$K,ROW()-1))</f>
        <v/>
      </c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</row>
    <row r="171" customFormat="false" ht="15" hidden="false" customHeight="false" outlineLevel="0" collapsed="false">
      <c r="A171" s="21" t="str">
        <f aca="false">IF(INDEX(Tasks!$A:$A,ROW()-1)="","",INDEX(Tasks!$A:$A,ROW()-1))</f>
        <v/>
      </c>
      <c r="B171" s="21" t="str">
        <f aca="false">IF(INDEX(Tasks!$A:$A,ROW()-1)="","",IF(ISERROR(FIND(".",INDEX(Tasks!$A:$A,ROW()-1))),"","   ")&amp;INDEX(Tasks!$D:$D,ROW()-1))</f>
        <v/>
      </c>
      <c r="C171" s="21" t="str">
        <f aca="false">IF(INDEX(Tasks!$G:$G,ROW()-1)="","",INDEX(Tasks!$G:$G,ROW()-1))</f>
        <v/>
      </c>
      <c r="D171" s="21" t="str">
        <f aca="false">IF(INDEX(Tasks!$H:$H,ROW()-1)="","",INDEX(Tasks!$H:$H,ROW()-1))</f>
        <v/>
      </c>
      <c r="E171" s="22" t="str">
        <f aca="false">IF(INDEX(Tasks!$I:$I,ROW()-1)="","",INDEX(Tasks!$I:$I,ROW()-1))</f>
        <v/>
      </c>
      <c r="F171" s="22" t="str">
        <f aca="false">IF(INDEX(Tasks!$K:$K,ROW()-1)="","",INDEX(Tasks!$K:$K,ROW()-1))</f>
        <v/>
      </c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</row>
    <row r="172" customFormat="false" ht="15" hidden="false" customHeight="false" outlineLevel="0" collapsed="false">
      <c r="A172" s="21" t="str">
        <f aca="false">IF(INDEX(Tasks!$A:$A,ROW()-1)="","",INDEX(Tasks!$A:$A,ROW()-1))</f>
        <v/>
      </c>
      <c r="B172" s="21" t="str">
        <f aca="false">IF(INDEX(Tasks!$A:$A,ROW()-1)="","",IF(ISERROR(FIND(".",INDEX(Tasks!$A:$A,ROW()-1))),"","   ")&amp;INDEX(Tasks!$D:$D,ROW()-1))</f>
        <v/>
      </c>
      <c r="C172" s="21" t="str">
        <f aca="false">IF(INDEX(Tasks!$G:$G,ROW()-1)="","",INDEX(Tasks!$G:$G,ROW()-1))</f>
        <v/>
      </c>
      <c r="D172" s="21" t="str">
        <f aca="false">IF(INDEX(Tasks!$H:$H,ROW()-1)="","",INDEX(Tasks!$H:$H,ROW()-1))</f>
        <v/>
      </c>
      <c r="E172" s="22" t="str">
        <f aca="false">IF(INDEX(Tasks!$I:$I,ROW()-1)="","",INDEX(Tasks!$I:$I,ROW()-1))</f>
        <v/>
      </c>
      <c r="F172" s="22" t="str">
        <f aca="false">IF(INDEX(Tasks!$K:$K,ROW()-1)="","",INDEX(Tasks!$K:$K,ROW()-1))</f>
        <v/>
      </c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</row>
    <row r="173" customFormat="false" ht="15" hidden="false" customHeight="false" outlineLevel="0" collapsed="false">
      <c r="A173" s="21" t="str">
        <f aca="false">IF(INDEX(Tasks!$A:$A,ROW()-1)="","",INDEX(Tasks!$A:$A,ROW()-1))</f>
        <v/>
      </c>
      <c r="B173" s="21" t="str">
        <f aca="false">IF(INDEX(Tasks!$A:$A,ROW()-1)="","",IF(ISERROR(FIND(".",INDEX(Tasks!$A:$A,ROW()-1))),"","   ")&amp;INDEX(Tasks!$D:$D,ROW()-1))</f>
        <v/>
      </c>
      <c r="C173" s="21" t="str">
        <f aca="false">IF(INDEX(Tasks!$G:$G,ROW()-1)="","",INDEX(Tasks!$G:$G,ROW()-1))</f>
        <v/>
      </c>
      <c r="D173" s="21" t="str">
        <f aca="false">IF(INDEX(Tasks!$H:$H,ROW()-1)="","",INDEX(Tasks!$H:$H,ROW()-1))</f>
        <v/>
      </c>
      <c r="E173" s="22" t="str">
        <f aca="false">IF(INDEX(Tasks!$I:$I,ROW()-1)="","",INDEX(Tasks!$I:$I,ROW()-1))</f>
        <v/>
      </c>
      <c r="F173" s="22" t="str">
        <f aca="false">IF(INDEX(Tasks!$K:$K,ROW()-1)="","",INDEX(Tasks!$K:$K,ROW()-1))</f>
        <v/>
      </c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</row>
    <row r="174" customFormat="false" ht="15" hidden="false" customHeight="false" outlineLevel="0" collapsed="false">
      <c r="A174" s="21" t="str">
        <f aca="false">IF(INDEX(Tasks!$A:$A,ROW()-1)="","",INDEX(Tasks!$A:$A,ROW()-1))</f>
        <v/>
      </c>
      <c r="B174" s="21" t="str">
        <f aca="false">IF(INDEX(Tasks!$A:$A,ROW()-1)="","",IF(ISERROR(FIND(".",INDEX(Tasks!$A:$A,ROW()-1))),"","   ")&amp;INDEX(Tasks!$D:$D,ROW()-1))</f>
        <v/>
      </c>
      <c r="C174" s="21" t="str">
        <f aca="false">IF(INDEX(Tasks!$G:$G,ROW()-1)="","",INDEX(Tasks!$G:$G,ROW()-1))</f>
        <v/>
      </c>
      <c r="D174" s="21" t="str">
        <f aca="false">IF(INDEX(Tasks!$H:$H,ROW()-1)="","",INDEX(Tasks!$H:$H,ROW()-1))</f>
        <v/>
      </c>
      <c r="E174" s="22" t="str">
        <f aca="false">IF(INDEX(Tasks!$I:$I,ROW()-1)="","",INDEX(Tasks!$I:$I,ROW()-1))</f>
        <v/>
      </c>
      <c r="F174" s="22" t="str">
        <f aca="false">IF(INDEX(Tasks!$K:$K,ROW()-1)="","",INDEX(Tasks!$K:$K,ROW()-1))</f>
        <v/>
      </c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</row>
    <row r="175" customFormat="false" ht="15" hidden="false" customHeight="false" outlineLevel="0" collapsed="false">
      <c r="A175" s="21" t="str">
        <f aca="false">IF(INDEX(Tasks!$A:$A,ROW()-1)="","",INDEX(Tasks!$A:$A,ROW()-1))</f>
        <v/>
      </c>
      <c r="B175" s="21" t="str">
        <f aca="false">IF(INDEX(Tasks!$A:$A,ROW()-1)="","",IF(ISERROR(FIND(".",INDEX(Tasks!$A:$A,ROW()-1))),"","   ")&amp;INDEX(Tasks!$D:$D,ROW()-1))</f>
        <v/>
      </c>
      <c r="C175" s="21" t="str">
        <f aca="false">IF(INDEX(Tasks!$G:$G,ROW()-1)="","",INDEX(Tasks!$G:$G,ROW()-1))</f>
        <v/>
      </c>
      <c r="D175" s="21" t="str">
        <f aca="false">IF(INDEX(Tasks!$H:$H,ROW()-1)="","",INDEX(Tasks!$H:$H,ROW()-1))</f>
        <v/>
      </c>
      <c r="E175" s="22" t="str">
        <f aca="false">IF(INDEX(Tasks!$I:$I,ROW()-1)="","",INDEX(Tasks!$I:$I,ROW()-1))</f>
        <v/>
      </c>
      <c r="F175" s="22" t="str">
        <f aca="false">IF(INDEX(Tasks!$K:$K,ROW()-1)="","",INDEX(Tasks!$K:$K,ROW()-1))</f>
        <v/>
      </c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</row>
    <row r="176" customFormat="false" ht="15" hidden="false" customHeight="false" outlineLevel="0" collapsed="false">
      <c r="A176" s="21" t="str">
        <f aca="false">IF(INDEX(Tasks!$A:$A,ROW()-1)="","",INDEX(Tasks!$A:$A,ROW()-1))</f>
        <v/>
      </c>
      <c r="B176" s="21" t="str">
        <f aca="false">IF(INDEX(Tasks!$A:$A,ROW()-1)="","",IF(ISERROR(FIND(".",INDEX(Tasks!$A:$A,ROW()-1))),"","   ")&amp;INDEX(Tasks!$D:$D,ROW()-1))</f>
        <v/>
      </c>
      <c r="C176" s="21" t="str">
        <f aca="false">IF(INDEX(Tasks!$G:$G,ROW()-1)="","",INDEX(Tasks!$G:$G,ROW()-1))</f>
        <v/>
      </c>
      <c r="D176" s="21" t="str">
        <f aca="false">IF(INDEX(Tasks!$H:$H,ROW()-1)="","",INDEX(Tasks!$H:$H,ROW()-1))</f>
        <v/>
      </c>
      <c r="E176" s="22" t="str">
        <f aca="false">IF(INDEX(Tasks!$I:$I,ROW()-1)="","",INDEX(Tasks!$I:$I,ROW()-1))</f>
        <v/>
      </c>
      <c r="F176" s="22" t="str">
        <f aca="false">IF(INDEX(Tasks!$K:$K,ROW()-1)="","",INDEX(Tasks!$K:$K,ROW()-1))</f>
        <v/>
      </c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</row>
    <row r="177" customFormat="false" ht="15" hidden="false" customHeight="false" outlineLevel="0" collapsed="false">
      <c r="A177" s="21" t="str">
        <f aca="false">IF(INDEX(Tasks!$A:$A,ROW()-1)="","",INDEX(Tasks!$A:$A,ROW()-1))</f>
        <v/>
      </c>
      <c r="B177" s="21" t="str">
        <f aca="false">IF(INDEX(Tasks!$A:$A,ROW()-1)="","",IF(ISERROR(FIND(".",INDEX(Tasks!$A:$A,ROW()-1))),"","   ")&amp;INDEX(Tasks!$D:$D,ROW()-1))</f>
        <v/>
      </c>
      <c r="C177" s="21" t="str">
        <f aca="false">IF(INDEX(Tasks!$G:$G,ROW()-1)="","",INDEX(Tasks!$G:$G,ROW()-1))</f>
        <v/>
      </c>
      <c r="D177" s="21" t="str">
        <f aca="false">IF(INDEX(Tasks!$H:$H,ROW()-1)="","",INDEX(Tasks!$H:$H,ROW()-1))</f>
        <v/>
      </c>
      <c r="E177" s="22" t="str">
        <f aca="false">IF(INDEX(Tasks!$I:$I,ROW()-1)="","",INDEX(Tasks!$I:$I,ROW()-1))</f>
        <v/>
      </c>
      <c r="F177" s="22" t="str">
        <f aca="false">IF(INDEX(Tasks!$K:$K,ROW()-1)="","",INDEX(Tasks!$K:$K,ROW()-1))</f>
        <v/>
      </c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</row>
    <row r="178" customFormat="false" ht="15" hidden="false" customHeight="false" outlineLevel="0" collapsed="false">
      <c r="A178" s="21" t="str">
        <f aca="false">IF(INDEX(Tasks!$A:$A,ROW()-1)="","",INDEX(Tasks!$A:$A,ROW()-1))</f>
        <v/>
      </c>
      <c r="B178" s="21" t="str">
        <f aca="false">IF(INDEX(Tasks!$A:$A,ROW()-1)="","",IF(ISERROR(FIND(".",INDEX(Tasks!$A:$A,ROW()-1))),"","   ")&amp;INDEX(Tasks!$D:$D,ROW()-1))</f>
        <v/>
      </c>
      <c r="C178" s="21" t="str">
        <f aca="false">IF(INDEX(Tasks!$G:$G,ROW()-1)="","",INDEX(Tasks!$G:$G,ROW()-1))</f>
        <v/>
      </c>
      <c r="D178" s="21" t="str">
        <f aca="false">IF(INDEX(Tasks!$H:$H,ROW()-1)="","",INDEX(Tasks!$H:$H,ROW()-1))</f>
        <v/>
      </c>
      <c r="E178" s="22" t="str">
        <f aca="false">IF(INDEX(Tasks!$I:$I,ROW()-1)="","",INDEX(Tasks!$I:$I,ROW()-1))</f>
        <v/>
      </c>
      <c r="F178" s="22" t="str">
        <f aca="false">IF(INDEX(Tasks!$K:$K,ROW()-1)="","",INDEX(Tasks!$K:$K,ROW()-1))</f>
        <v/>
      </c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</row>
    <row r="179" customFormat="false" ht="15" hidden="false" customHeight="false" outlineLevel="0" collapsed="false">
      <c r="A179" s="21" t="str">
        <f aca="false">IF(INDEX(Tasks!$A:$A,ROW()-1)="","",INDEX(Tasks!$A:$A,ROW()-1))</f>
        <v/>
      </c>
      <c r="B179" s="21" t="str">
        <f aca="false">IF(INDEX(Tasks!$A:$A,ROW()-1)="","",IF(ISERROR(FIND(".",INDEX(Tasks!$A:$A,ROW()-1))),"","   ")&amp;INDEX(Tasks!$D:$D,ROW()-1))</f>
        <v/>
      </c>
      <c r="C179" s="21" t="str">
        <f aca="false">IF(INDEX(Tasks!$G:$G,ROW()-1)="","",INDEX(Tasks!$G:$G,ROW()-1))</f>
        <v/>
      </c>
      <c r="D179" s="21" t="str">
        <f aca="false">IF(INDEX(Tasks!$H:$H,ROW()-1)="","",INDEX(Tasks!$H:$H,ROW()-1))</f>
        <v/>
      </c>
      <c r="E179" s="22" t="str">
        <f aca="false">IF(INDEX(Tasks!$I:$I,ROW()-1)="","",INDEX(Tasks!$I:$I,ROW()-1))</f>
        <v/>
      </c>
      <c r="F179" s="22" t="str">
        <f aca="false">IF(INDEX(Tasks!$K:$K,ROW()-1)="","",INDEX(Tasks!$K:$K,ROW()-1))</f>
        <v/>
      </c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</row>
    <row r="180" customFormat="false" ht="15" hidden="false" customHeight="false" outlineLevel="0" collapsed="false">
      <c r="A180" s="21" t="str">
        <f aca="false">IF(INDEX(Tasks!$A:$A,ROW()-1)="","",INDEX(Tasks!$A:$A,ROW()-1))</f>
        <v/>
      </c>
      <c r="B180" s="21" t="str">
        <f aca="false">IF(INDEX(Tasks!$A:$A,ROW()-1)="","",IF(ISERROR(FIND(".",INDEX(Tasks!$A:$A,ROW()-1))),"","   ")&amp;INDEX(Tasks!$D:$D,ROW()-1))</f>
        <v/>
      </c>
      <c r="C180" s="21" t="str">
        <f aca="false">IF(INDEX(Tasks!$G:$G,ROW()-1)="","",INDEX(Tasks!$G:$G,ROW()-1))</f>
        <v/>
      </c>
      <c r="D180" s="21" t="str">
        <f aca="false">IF(INDEX(Tasks!$H:$H,ROW()-1)="","",INDEX(Tasks!$H:$H,ROW()-1))</f>
        <v/>
      </c>
      <c r="E180" s="22" t="str">
        <f aca="false">IF(INDEX(Tasks!$I:$I,ROW()-1)="","",INDEX(Tasks!$I:$I,ROW()-1))</f>
        <v/>
      </c>
      <c r="F180" s="22" t="str">
        <f aca="false">IF(INDEX(Tasks!$K:$K,ROW()-1)="","",INDEX(Tasks!$K:$K,ROW()-1))</f>
        <v/>
      </c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</row>
    <row r="181" customFormat="false" ht="15" hidden="false" customHeight="false" outlineLevel="0" collapsed="false">
      <c r="A181" s="21" t="str">
        <f aca="false">IF(INDEX(Tasks!$A:$A,ROW()-1)="","",INDEX(Tasks!$A:$A,ROW()-1))</f>
        <v/>
      </c>
      <c r="B181" s="21" t="str">
        <f aca="false">IF(INDEX(Tasks!$A:$A,ROW()-1)="","",IF(ISERROR(FIND(".",INDEX(Tasks!$A:$A,ROW()-1))),"","   ")&amp;INDEX(Tasks!$D:$D,ROW()-1))</f>
        <v/>
      </c>
      <c r="C181" s="21" t="str">
        <f aca="false">IF(INDEX(Tasks!$G:$G,ROW()-1)="","",INDEX(Tasks!$G:$G,ROW()-1))</f>
        <v/>
      </c>
      <c r="D181" s="21" t="str">
        <f aca="false">IF(INDEX(Tasks!$H:$H,ROW()-1)="","",INDEX(Tasks!$H:$H,ROW()-1))</f>
        <v/>
      </c>
      <c r="E181" s="22" t="str">
        <f aca="false">IF(INDEX(Tasks!$I:$I,ROW()-1)="","",INDEX(Tasks!$I:$I,ROW()-1))</f>
        <v/>
      </c>
      <c r="F181" s="22" t="str">
        <f aca="false">IF(INDEX(Tasks!$K:$K,ROW()-1)="","",INDEX(Tasks!$K:$K,ROW()-1))</f>
        <v/>
      </c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</row>
    <row r="182" customFormat="false" ht="15" hidden="false" customHeight="false" outlineLevel="0" collapsed="false">
      <c r="A182" s="21" t="str">
        <f aca="false">IF(INDEX(Tasks!$A:$A,ROW()-1)="","",INDEX(Tasks!$A:$A,ROW()-1))</f>
        <v/>
      </c>
      <c r="B182" s="21" t="str">
        <f aca="false">IF(INDEX(Tasks!$A:$A,ROW()-1)="","",IF(ISERROR(FIND(".",INDEX(Tasks!$A:$A,ROW()-1))),"","   ")&amp;INDEX(Tasks!$D:$D,ROW()-1))</f>
        <v/>
      </c>
      <c r="C182" s="21" t="str">
        <f aca="false">IF(INDEX(Tasks!$G:$G,ROW()-1)="","",INDEX(Tasks!$G:$G,ROW()-1))</f>
        <v/>
      </c>
      <c r="D182" s="21" t="str">
        <f aca="false">IF(INDEX(Tasks!$H:$H,ROW()-1)="","",INDEX(Tasks!$H:$H,ROW()-1))</f>
        <v/>
      </c>
      <c r="E182" s="22" t="str">
        <f aca="false">IF(INDEX(Tasks!$I:$I,ROW()-1)="","",INDEX(Tasks!$I:$I,ROW()-1))</f>
        <v/>
      </c>
      <c r="F182" s="22" t="str">
        <f aca="false">IF(INDEX(Tasks!$K:$K,ROW()-1)="","",INDEX(Tasks!$K:$K,ROW()-1))</f>
        <v/>
      </c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</row>
    <row r="183" customFormat="false" ht="15" hidden="false" customHeight="false" outlineLevel="0" collapsed="false">
      <c r="A183" s="21" t="str">
        <f aca="false">IF(INDEX(Tasks!$A:$A,ROW()-1)="","",INDEX(Tasks!$A:$A,ROW()-1))</f>
        <v/>
      </c>
      <c r="B183" s="21" t="str">
        <f aca="false">IF(INDEX(Tasks!$A:$A,ROW()-1)="","",IF(ISERROR(FIND(".",INDEX(Tasks!$A:$A,ROW()-1))),"","   ")&amp;INDEX(Tasks!$D:$D,ROW()-1))</f>
        <v/>
      </c>
      <c r="C183" s="21" t="str">
        <f aca="false">IF(INDEX(Tasks!$G:$G,ROW()-1)="","",INDEX(Tasks!$G:$G,ROW()-1))</f>
        <v/>
      </c>
      <c r="D183" s="21" t="str">
        <f aca="false">IF(INDEX(Tasks!$H:$H,ROW()-1)="","",INDEX(Tasks!$H:$H,ROW()-1))</f>
        <v/>
      </c>
      <c r="E183" s="22" t="str">
        <f aca="false">IF(INDEX(Tasks!$I:$I,ROW()-1)="","",INDEX(Tasks!$I:$I,ROW()-1))</f>
        <v/>
      </c>
      <c r="F183" s="22" t="str">
        <f aca="false">IF(INDEX(Tasks!$K:$K,ROW()-1)="","",INDEX(Tasks!$K:$K,ROW()-1))</f>
        <v/>
      </c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</row>
    <row r="184" customFormat="false" ht="15" hidden="false" customHeight="false" outlineLevel="0" collapsed="false">
      <c r="A184" s="21" t="str">
        <f aca="false">IF(INDEX(Tasks!$A:$A,ROW()-1)="","",INDEX(Tasks!$A:$A,ROW()-1))</f>
        <v/>
      </c>
      <c r="B184" s="21" t="str">
        <f aca="false">IF(INDEX(Tasks!$A:$A,ROW()-1)="","",IF(ISERROR(FIND(".",INDEX(Tasks!$A:$A,ROW()-1))),"","   ")&amp;INDEX(Tasks!$D:$D,ROW()-1))</f>
        <v/>
      </c>
      <c r="C184" s="21" t="str">
        <f aca="false">IF(INDEX(Tasks!$G:$G,ROW()-1)="","",INDEX(Tasks!$G:$G,ROW()-1))</f>
        <v/>
      </c>
      <c r="D184" s="21" t="str">
        <f aca="false">IF(INDEX(Tasks!$H:$H,ROW()-1)="","",INDEX(Tasks!$H:$H,ROW()-1))</f>
        <v/>
      </c>
      <c r="E184" s="22" t="str">
        <f aca="false">IF(INDEX(Tasks!$I:$I,ROW()-1)="","",INDEX(Tasks!$I:$I,ROW()-1))</f>
        <v/>
      </c>
      <c r="F184" s="22" t="str">
        <f aca="false">IF(INDEX(Tasks!$K:$K,ROW()-1)="","",INDEX(Tasks!$K:$K,ROW()-1))</f>
        <v/>
      </c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</row>
    <row r="185" customFormat="false" ht="15" hidden="false" customHeight="false" outlineLevel="0" collapsed="false">
      <c r="A185" s="21" t="str">
        <f aca="false">IF(INDEX(Tasks!$A:$A,ROW()-1)="","",INDEX(Tasks!$A:$A,ROW()-1))</f>
        <v/>
      </c>
      <c r="B185" s="21" t="str">
        <f aca="false">IF(INDEX(Tasks!$A:$A,ROW()-1)="","",IF(ISERROR(FIND(".",INDEX(Tasks!$A:$A,ROW()-1))),"","   ")&amp;INDEX(Tasks!$D:$D,ROW()-1))</f>
        <v/>
      </c>
      <c r="C185" s="21" t="str">
        <f aca="false">IF(INDEX(Tasks!$G:$G,ROW()-1)="","",INDEX(Tasks!$G:$G,ROW()-1))</f>
        <v/>
      </c>
      <c r="D185" s="21" t="str">
        <f aca="false">IF(INDEX(Tasks!$H:$H,ROW()-1)="","",INDEX(Tasks!$H:$H,ROW()-1))</f>
        <v/>
      </c>
      <c r="E185" s="22" t="str">
        <f aca="false">IF(INDEX(Tasks!$I:$I,ROW()-1)="","",INDEX(Tasks!$I:$I,ROW()-1))</f>
        <v/>
      </c>
      <c r="F185" s="22" t="str">
        <f aca="false">IF(INDEX(Tasks!$K:$K,ROW()-1)="","",INDEX(Tasks!$K:$K,ROW()-1))</f>
        <v/>
      </c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</row>
    <row r="186" customFormat="false" ht="15" hidden="false" customHeight="false" outlineLevel="0" collapsed="false">
      <c r="A186" s="21" t="str">
        <f aca="false">IF(INDEX(Tasks!$A:$A,ROW()-1)="","",INDEX(Tasks!$A:$A,ROW()-1))</f>
        <v/>
      </c>
      <c r="B186" s="21" t="str">
        <f aca="false">IF(INDEX(Tasks!$A:$A,ROW()-1)="","",IF(ISERROR(FIND(".",INDEX(Tasks!$A:$A,ROW()-1))),"","   ")&amp;INDEX(Tasks!$D:$D,ROW()-1))</f>
        <v/>
      </c>
      <c r="C186" s="21" t="str">
        <f aca="false">IF(INDEX(Tasks!$G:$G,ROW()-1)="","",INDEX(Tasks!$G:$G,ROW()-1))</f>
        <v/>
      </c>
      <c r="D186" s="21" t="str">
        <f aca="false">IF(INDEX(Tasks!$H:$H,ROW()-1)="","",INDEX(Tasks!$H:$H,ROW()-1))</f>
        <v/>
      </c>
      <c r="E186" s="22" t="str">
        <f aca="false">IF(INDEX(Tasks!$I:$I,ROW()-1)="","",INDEX(Tasks!$I:$I,ROW()-1))</f>
        <v/>
      </c>
      <c r="F186" s="22" t="str">
        <f aca="false">IF(INDEX(Tasks!$K:$K,ROW()-1)="","",INDEX(Tasks!$K:$K,ROW()-1))</f>
        <v/>
      </c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</row>
    <row r="187" customFormat="false" ht="15" hidden="false" customHeight="false" outlineLevel="0" collapsed="false">
      <c r="A187" s="21" t="str">
        <f aca="false">IF(INDEX(Tasks!$A:$A,ROW()-1)="","",INDEX(Tasks!$A:$A,ROW()-1))</f>
        <v/>
      </c>
      <c r="B187" s="21" t="str">
        <f aca="false">IF(INDEX(Tasks!$A:$A,ROW()-1)="","",IF(ISERROR(FIND(".",INDEX(Tasks!$A:$A,ROW()-1))),"","   ")&amp;INDEX(Tasks!$D:$D,ROW()-1))</f>
        <v/>
      </c>
      <c r="C187" s="21" t="str">
        <f aca="false">IF(INDEX(Tasks!$G:$G,ROW()-1)="","",INDEX(Tasks!$G:$G,ROW()-1))</f>
        <v/>
      </c>
      <c r="D187" s="21" t="str">
        <f aca="false">IF(INDEX(Tasks!$H:$H,ROW()-1)="","",INDEX(Tasks!$H:$H,ROW()-1))</f>
        <v/>
      </c>
      <c r="E187" s="22" t="str">
        <f aca="false">IF(INDEX(Tasks!$I:$I,ROW()-1)="","",INDEX(Tasks!$I:$I,ROW()-1))</f>
        <v/>
      </c>
      <c r="F187" s="22" t="str">
        <f aca="false">IF(INDEX(Tasks!$K:$K,ROW()-1)="","",INDEX(Tasks!$K:$K,ROW()-1))</f>
        <v/>
      </c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</row>
    <row r="188" customFormat="false" ht="15" hidden="false" customHeight="false" outlineLevel="0" collapsed="false">
      <c r="A188" s="21" t="str">
        <f aca="false">IF(INDEX(Tasks!$A:$A,ROW()-1)="","",INDEX(Tasks!$A:$A,ROW()-1))</f>
        <v/>
      </c>
      <c r="B188" s="21" t="str">
        <f aca="false">IF(INDEX(Tasks!$A:$A,ROW()-1)="","",IF(ISERROR(FIND(".",INDEX(Tasks!$A:$A,ROW()-1))),"","   ")&amp;INDEX(Tasks!$D:$D,ROW()-1))</f>
        <v/>
      </c>
      <c r="C188" s="21" t="str">
        <f aca="false">IF(INDEX(Tasks!$G:$G,ROW()-1)="","",INDEX(Tasks!$G:$G,ROW()-1))</f>
        <v/>
      </c>
      <c r="D188" s="21" t="str">
        <f aca="false">IF(INDEX(Tasks!$H:$H,ROW()-1)="","",INDEX(Tasks!$H:$H,ROW()-1))</f>
        <v/>
      </c>
      <c r="E188" s="22" t="str">
        <f aca="false">IF(INDEX(Tasks!$I:$I,ROW()-1)="","",INDEX(Tasks!$I:$I,ROW()-1))</f>
        <v/>
      </c>
      <c r="F188" s="22" t="str">
        <f aca="false">IF(INDEX(Tasks!$K:$K,ROW()-1)="","",INDEX(Tasks!$K:$K,ROW()-1))</f>
        <v/>
      </c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</row>
    <row r="189" customFormat="false" ht="15" hidden="false" customHeight="false" outlineLevel="0" collapsed="false">
      <c r="A189" s="21" t="str">
        <f aca="false">IF(INDEX(Tasks!$A:$A,ROW()-1)="","",INDEX(Tasks!$A:$A,ROW()-1))</f>
        <v/>
      </c>
      <c r="B189" s="21" t="str">
        <f aca="false">IF(INDEX(Tasks!$A:$A,ROW()-1)="","",IF(ISERROR(FIND(".",INDEX(Tasks!$A:$A,ROW()-1))),"","   ")&amp;INDEX(Tasks!$D:$D,ROW()-1))</f>
        <v/>
      </c>
      <c r="C189" s="21" t="str">
        <f aca="false">IF(INDEX(Tasks!$G:$G,ROW()-1)="","",INDEX(Tasks!$G:$G,ROW()-1))</f>
        <v/>
      </c>
      <c r="D189" s="21" t="str">
        <f aca="false">IF(INDEX(Tasks!$H:$H,ROW()-1)="","",INDEX(Tasks!$H:$H,ROW()-1))</f>
        <v/>
      </c>
      <c r="E189" s="22" t="str">
        <f aca="false">IF(INDEX(Tasks!$I:$I,ROW()-1)="","",INDEX(Tasks!$I:$I,ROW()-1))</f>
        <v/>
      </c>
      <c r="F189" s="22" t="str">
        <f aca="false">IF(INDEX(Tasks!$K:$K,ROW()-1)="","",INDEX(Tasks!$K:$K,ROW()-1))</f>
        <v/>
      </c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</row>
    <row r="190" customFormat="false" ht="15" hidden="false" customHeight="false" outlineLevel="0" collapsed="false">
      <c r="A190" s="21" t="str">
        <f aca="false">IF(INDEX(Tasks!$A:$A,ROW()-1)="","",INDEX(Tasks!$A:$A,ROW()-1))</f>
        <v/>
      </c>
      <c r="B190" s="21" t="str">
        <f aca="false">IF(INDEX(Tasks!$A:$A,ROW()-1)="","",IF(ISERROR(FIND(".",INDEX(Tasks!$A:$A,ROW()-1))),"","   ")&amp;INDEX(Tasks!$D:$D,ROW()-1))</f>
        <v/>
      </c>
      <c r="C190" s="21" t="str">
        <f aca="false">IF(INDEX(Tasks!$G:$G,ROW()-1)="","",INDEX(Tasks!$G:$G,ROW()-1))</f>
        <v/>
      </c>
      <c r="D190" s="21" t="str">
        <f aca="false">IF(INDEX(Tasks!$H:$H,ROW()-1)="","",INDEX(Tasks!$H:$H,ROW()-1))</f>
        <v/>
      </c>
      <c r="E190" s="22" t="str">
        <f aca="false">IF(INDEX(Tasks!$I:$I,ROW()-1)="","",INDEX(Tasks!$I:$I,ROW()-1))</f>
        <v/>
      </c>
      <c r="F190" s="22" t="str">
        <f aca="false">IF(INDEX(Tasks!$K:$K,ROW()-1)="","",INDEX(Tasks!$K:$K,ROW()-1))</f>
        <v/>
      </c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</row>
    <row r="191" customFormat="false" ht="15" hidden="false" customHeight="false" outlineLevel="0" collapsed="false">
      <c r="A191" s="21" t="str">
        <f aca="false">IF(INDEX(Tasks!$A:$A,ROW()-1)="","",INDEX(Tasks!$A:$A,ROW()-1))</f>
        <v/>
      </c>
      <c r="B191" s="21" t="str">
        <f aca="false">IF(INDEX(Tasks!$A:$A,ROW()-1)="","",IF(ISERROR(FIND(".",INDEX(Tasks!$A:$A,ROW()-1))),"","   ")&amp;INDEX(Tasks!$D:$D,ROW()-1))</f>
        <v/>
      </c>
      <c r="C191" s="21" t="str">
        <f aca="false">IF(INDEX(Tasks!$G:$G,ROW()-1)="","",INDEX(Tasks!$G:$G,ROW()-1))</f>
        <v/>
      </c>
      <c r="D191" s="21" t="str">
        <f aca="false">IF(INDEX(Tasks!$H:$H,ROW()-1)="","",INDEX(Tasks!$H:$H,ROW()-1))</f>
        <v/>
      </c>
      <c r="E191" s="22" t="str">
        <f aca="false">IF(INDEX(Tasks!$I:$I,ROW()-1)="","",INDEX(Tasks!$I:$I,ROW()-1))</f>
        <v/>
      </c>
      <c r="F191" s="22" t="str">
        <f aca="false">IF(INDEX(Tasks!$K:$K,ROW()-1)="","",INDEX(Tasks!$K:$K,ROW()-1))</f>
        <v/>
      </c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</row>
    <row r="192" customFormat="false" ht="15" hidden="false" customHeight="false" outlineLevel="0" collapsed="false">
      <c r="A192" s="21" t="str">
        <f aca="false">IF(INDEX(Tasks!$A:$A,ROW()-1)="","",INDEX(Tasks!$A:$A,ROW()-1))</f>
        <v/>
      </c>
      <c r="B192" s="21" t="str">
        <f aca="false">IF(INDEX(Tasks!$A:$A,ROW()-1)="","",IF(ISERROR(FIND(".",INDEX(Tasks!$A:$A,ROW()-1))),"","   ")&amp;INDEX(Tasks!$D:$D,ROW()-1))</f>
        <v/>
      </c>
      <c r="C192" s="21" t="str">
        <f aca="false">IF(INDEX(Tasks!$G:$G,ROW()-1)="","",INDEX(Tasks!$G:$G,ROW()-1))</f>
        <v/>
      </c>
      <c r="D192" s="21" t="str">
        <f aca="false">IF(INDEX(Tasks!$H:$H,ROW()-1)="","",INDEX(Tasks!$H:$H,ROW()-1))</f>
        <v/>
      </c>
      <c r="E192" s="22" t="str">
        <f aca="false">IF(INDEX(Tasks!$I:$I,ROW()-1)="","",INDEX(Tasks!$I:$I,ROW()-1))</f>
        <v/>
      </c>
      <c r="F192" s="22" t="str">
        <f aca="false">IF(INDEX(Tasks!$K:$K,ROW()-1)="","",INDEX(Tasks!$K:$K,ROW()-1))</f>
        <v/>
      </c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</row>
    <row r="193" customFormat="false" ht="15" hidden="false" customHeight="false" outlineLevel="0" collapsed="false">
      <c r="A193" s="21" t="str">
        <f aca="false">IF(INDEX(Tasks!$A:$A,ROW()-1)="","",INDEX(Tasks!$A:$A,ROW()-1))</f>
        <v/>
      </c>
      <c r="B193" s="21" t="str">
        <f aca="false">IF(INDEX(Tasks!$A:$A,ROW()-1)="","",IF(ISERROR(FIND(".",INDEX(Tasks!$A:$A,ROW()-1))),"","   ")&amp;INDEX(Tasks!$D:$D,ROW()-1))</f>
        <v/>
      </c>
      <c r="C193" s="21" t="str">
        <f aca="false">IF(INDEX(Tasks!$G:$G,ROW()-1)="","",INDEX(Tasks!$G:$G,ROW()-1))</f>
        <v/>
      </c>
      <c r="D193" s="21" t="str">
        <f aca="false">IF(INDEX(Tasks!$H:$H,ROW()-1)="","",INDEX(Tasks!$H:$H,ROW()-1))</f>
        <v/>
      </c>
      <c r="E193" s="22" t="str">
        <f aca="false">IF(INDEX(Tasks!$I:$I,ROW()-1)="","",INDEX(Tasks!$I:$I,ROW()-1))</f>
        <v/>
      </c>
      <c r="F193" s="22" t="str">
        <f aca="false">IF(INDEX(Tasks!$K:$K,ROW()-1)="","",INDEX(Tasks!$K:$K,ROW()-1))</f>
        <v/>
      </c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</row>
    <row r="194" customFormat="false" ht="15" hidden="false" customHeight="false" outlineLevel="0" collapsed="false">
      <c r="A194" s="21" t="str">
        <f aca="false">IF(INDEX(Tasks!$A:$A,ROW()-1)="","",INDEX(Tasks!$A:$A,ROW()-1))</f>
        <v/>
      </c>
      <c r="B194" s="21" t="str">
        <f aca="false">IF(INDEX(Tasks!$A:$A,ROW()-1)="","",IF(ISERROR(FIND(".",INDEX(Tasks!$A:$A,ROW()-1))),"","   ")&amp;INDEX(Tasks!$D:$D,ROW()-1))</f>
        <v/>
      </c>
      <c r="C194" s="21" t="str">
        <f aca="false">IF(INDEX(Tasks!$G:$G,ROW()-1)="","",INDEX(Tasks!$G:$G,ROW()-1))</f>
        <v/>
      </c>
      <c r="D194" s="21" t="str">
        <f aca="false">IF(INDEX(Tasks!$H:$H,ROW()-1)="","",INDEX(Tasks!$H:$H,ROW()-1))</f>
        <v/>
      </c>
      <c r="E194" s="22" t="str">
        <f aca="false">IF(INDEX(Tasks!$I:$I,ROW()-1)="","",INDEX(Tasks!$I:$I,ROW()-1))</f>
        <v/>
      </c>
      <c r="F194" s="22" t="str">
        <f aca="false">IF(INDEX(Tasks!$K:$K,ROW()-1)="","",INDEX(Tasks!$K:$K,ROW()-1))</f>
        <v/>
      </c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</row>
    <row r="195" customFormat="false" ht="15" hidden="false" customHeight="false" outlineLevel="0" collapsed="false">
      <c r="A195" s="21" t="str">
        <f aca="false">IF(INDEX(Tasks!$A:$A,ROW()-1)="","",INDEX(Tasks!$A:$A,ROW()-1))</f>
        <v/>
      </c>
      <c r="B195" s="21" t="str">
        <f aca="false">IF(INDEX(Tasks!$A:$A,ROW()-1)="","",IF(ISERROR(FIND(".",INDEX(Tasks!$A:$A,ROW()-1))),"","   ")&amp;INDEX(Tasks!$D:$D,ROW()-1))</f>
        <v/>
      </c>
      <c r="C195" s="21" t="str">
        <f aca="false">IF(INDEX(Tasks!$G:$G,ROW()-1)="","",INDEX(Tasks!$G:$G,ROW()-1))</f>
        <v/>
      </c>
      <c r="D195" s="21" t="str">
        <f aca="false">IF(INDEX(Tasks!$H:$H,ROW()-1)="","",INDEX(Tasks!$H:$H,ROW()-1))</f>
        <v/>
      </c>
      <c r="E195" s="22" t="str">
        <f aca="false">IF(INDEX(Tasks!$I:$I,ROW()-1)="","",INDEX(Tasks!$I:$I,ROW()-1))</f>
        <v/>
      </c>
      <c r="F195" s="22" t="str">
        <f aca="false">IF(INDEX(Tasks!$K:$K,ROW()-1)="","",INDEX(Tasks!$K:$K,ROW()-1))</f>
        <v/>
      </c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</row>
    <row r="196" customFormat="false" ht="15" hidden="false" customHeight="false" outlineLevel="0" collapsed="false">
      <c r="A196" s="21" t="str">
        <f aca="false">IF(INDEX(Tasks!$A:$A,ROW()-1)="","",INDEX(Tasks!$A:$A,ROW()-1))</f>
        <v/>
      </c>
      <c r="B196" s="21" t="str">
        <f aca="false">IF(INDEX(Tasks!$A:$A,ROW()-1)="","",IF(ISERROR(FIND(".",INDEX(Tasks!$A:$A,ROW()-1))),"","   ")&amp;INDEX(Tasks!$D:$D,ROW()-1))</f>
        <v/>
      </c>
      <c r="C196" s="21" t="str">
        <f aca="false">IF(INDEX(Tasks!$G:$G,ROW()-1)="","",INDEX(Tasks!$G:$G,ROW()-1))</f>
        <v/>
      </c>
      <c r="D196" s="21" t="str">
        <f aca="false">IF(INDEX(Tasks!$H:$H,ROW()-1)="","",INDEX(Tasks!$H:$H,ROW()-1))</f>
        <v/>
      </c>
      <c r="E196" s="22" t="str">
        <f aca="false">IF(INDEX(Tasks!$I:$I,ROW()-1)="","",INDEX(Tasks!$I:$I,ROW()-1))</f>
        <v/>
      </c>
      <c r="F196" s="22" t="str">
        <f aca="false">IF(INDEX(Tasks!$K:$K,ROW()-1)="","",INDEX(Tasks!$K:$K,ROW()-1))</f>
        <v/>
      </c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</row>
    <row r="197" customFormat="false" ht="15" hidden="false" customHeight="false" outlineLevel="0" collapsed="false">
      <c r="A197" s="21" t="str">
        <f aca="false">IF(INDEX(Tasks!$A:$A,ROW()-1)="","",INDEX(Tasks!$A:$A,ROW()-1))</f>
        <v/>
      </c>
      <c r="B197" s="21" t="str">
        <f aca="false">IF(INDEX(Tasks!$A:$A,ROW()-1)="","",IF(ISERROR(FIND(".",INDEX(Tasks!$A:$A,ROW()-1))),"","   ")&amp;INDEX(Tasks!$D:$D,ROW()-1))</f>
        <v/>
      </c>
      <c r="C197" s="21" t="str">
        <f aca="false">IF(INDEX(Tasks!$G:$G,ROW()-1)="","",INDEX(Tasks!$G:$G,ROW()-1))</f>
        <v/>
      </c>
      <c r="D197" s="21" t="str">
        <f aca="false">IF(INDEX(Tasks!$H:$H,ROW()-1)="","",INDEX(Tasks!$H:$H,ROW()-1))</f>
        <v/>
      </c>
      <c r="E197" s="22" t="str">
        <f aca="false">IF(INDEX(Tasks!$I:$I,ROW()-1)="","",INDEX(Tasks!$I:$I,ROW()-1))</f>
        <v/>
      </c>
      <c r="F197" s="22" t="str">
        <f aca="false">IF(INDEX(Tasks!$K:$K,ROW()-1)="","",INDEX(Tasks!$K:$K,ROW()-1))</f>
        <v/>
      </c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</row>
    <row r="198" customFormat="false" ht="15" hidden="false" customHeight="false" outlineLevel="0" collapsed="false">
      <c r="A198" s="21" t="str">
        <f aca="false">IF(INDEX(Tasks!$A:$A,ROW()-1)="","",INDEX(Tasks!$A:$A,ROW()-1))</f>
        <v/>
      </c>
      <c r="B198" s="21" t="str">
        <f aca="false">IF(INDEX(Tasks!$A:$A,ROW()-1)="","",IF(ISERROR(FIND(".",INDEX(Tasks!$A:$A,ROW()-1))),"","   ")&amp;INDEX(Tasks!$D:$D,ROW()-1))</f>
        <v/>
      </c>
      <c r="C198" s="21" t="str">
        <f aca="false">IF(INDEX(Tasks!$G:$G,ROW()-1)="","",INDEX(Tasks!$G:$G,ROW()-1))</f>
        <v/>
      </c>
      <c r="D198" s="21" t="str">
        <f aca="false">IF(INDEX(Tasks!$H:$H,ROW()-1)="","",INDEX(Tasks!$H:$H,ROW()-1))</f>
        <v/>
      </c>
      <c r="E198" s="22" t="str">
        <f aca="false">IF(INDEX(Tasks!$I:$I,ROW()-1)="","",INDEX(Tasks!$I:$I,ROW()-1))</f>
        <v/>
      </c>
      <c r="F198" s="22" t="str">
        <f aca="false">IF(INDEX(Tasks!$K:$K,ROW()-1)="","",INDEX(Tasks!$K:$K,ROW()-1))</f>
        <v/>
      </c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</row>
    <row r="199" customFormat="false" ht="15" hidden="false" customHeight="false" outlineLevel="0" collapsed="false">
      <c r="A199" s="21" t="str">
        <f aca="false">IF(INDEX(Tasks!$A:$A,ROW()-1)="","",INDEX(Tasks!$A:$A,ROW()-1))</f>
        <v/>
      </c>
      <c r="B199" s="21" t="str">
        <f aca="false">IF(INDEX(Tasks!$A:$A,ROW()-1)="","",IF(ISERROR(FIND(".",INDEX(Tasks!$A:$A,ROW()-1))),"","   ")&amp;INDEX(Tasks!$D:$D,ROW()-1))</f>
        <v/>
      </c>
      <c r="C199" s="21" t="str">
        <f aca="false">IF(INDEX(Tasks!$G:$G,ROW()-1)="","",INDEX(Tasks!$G:$G,ROW()-1))</f>
        <v/>
      </c>
      <c r="D199" s="21" t="str">
        <f aca="false">IF(INDEX(Tasks!$H:$H,ROW()-1)="","",INDEX(Tasks!$H:$H,ROW()-1))</f>
        <v/>
      </c>
      <c r="E199" s="22" t="str">
        <f aca="false">IF(INDEX(Tasks!$I:$I,ROW()-1)="","",INDEX(Tasks!$I:$I,ROW()-1))</f>
        <v/>
      </c>
      <c r="F199" s="22" t="str">
        <f aca="false">IF(INDEX(Tasks!$K:$K,ROW()-1)="","",INDEX(Tasks!$K:$K,ROW()-1))</f>
        <v/>
      </c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</row>
    <row r="200" customFormat="false" ht="15" hidden="false" customHeight="false" outlineLevel="0" collapsed="false">
      <c r="A200" s="21" t="str">
        <f aca="false">IF(INDEX(Tasks!$A:$A,ROW()-1)="","",INDEX(Tasks!$A:$A,ROW()-1))</f>
        <v/>
      </c>
      <c r="B200" s="21" t="str">
        <f aca="false">IF(INDEX(Tasks!$A:$A,ROW()-1)="","",IF(ISERROR(FIND(".",INDEX(Tasks!$A:$A,ROW()-1))),"","   ")&amp;INDEX(Tasks!$D:$D,ROW()-1))</f>
        <v/>
      </c>
      <c r="C200" s="21" t="str">
        <f aca="false">IF(INDEX(Tasks!$G:$G,ROW()-1)="","",INDEX(Tasks!$G:$G,ROW()-1))</f>
        <v/>
      </c>
      <c r="D200" s="21" t="str">
        <f aca="false">IF(INDEX(Tasks!$H:$H,ROW()-1)="","",INDEX(Tasks!$H:$H,ROW()-1))</f>
        <v/>
      </c>
      <c r="E200" s="22" t="str">
        <f aca="false">IF(INDEX(Tasks!$I:$I,ROW()-1)="","",INDEX(Tasks!$I:$I,ROW()-1))</f>
        <v/>
      </c>
      <c r="F200" s="22" t="str">
        <f aca="false">IF(INDEX(Tasks!$K:$K,ROW()-1)="","",INDEX(Tasks!$K:$K,ROW()-1))</f>
        <v/>
      </c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</row>
    <row r="201" customFormat="false" ht="15" hidden="false" customHeight="false" outlineLevel="0" collapsed="false">
      <c r="A201" s="21" t="str">
        <f aca="false">IF(INDEX(Tasks!$A:$A,ROW()-1)="","",INDEX(Tasks!$A:$A,ROW()-1))</f>
        <v/>
      </c>
      <c r="B201" s="21" t="str">
        <f aca="false">IF(INDEX(Tasks!$A:$A,ROW()-1)="","",IF(ISERROR(FIND(".",INDEX(Tasks!$A:$A,ROW()-1))),"","   ")&amp;INDEX(Tasks!$D:$D,ROW()-1))</f>
        <v/>
      </c>
      <c r="C201" s="21" t="str">
        <f aca="false">IF(INDEX(Tasks!$G:$G,ROW()-1)="","",INDEX(Tasks!$G:$G,ROW()-1))</f>
        <v/>
      </c>
      <c r="D201" s="21" t="str">
        <f aca="false">IF(INDEX(Tasks!$H:$H,ROW()-1)="","",INDEX(Tasks!$H:$H,ROW()-1))</f>
        <v/>
      </c>
      <c r="E201" s="22" t="str">
        <f aca="false">IF(INDEX(Tasks!$I:$I,ROW()-1)="","",INDEX(Tasks!$I:$I,ROW()-1))</f>
        <v/>
      </c>
      <c r="F201" s="22" t="str">
        <f aca="false">IF(INDEX(Tasks!$K:$K,ROW()-1)="","",INDEX(Tasks!$K:$K,ROW()-1))</f>
        <v/>
      </c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</row>
    <row r="202" customFormat="false" ht="15" hidden="false" customHeight="false" outlineLevel="0" collapsed="false">
      <c r="A202" s="21" t="str">
        <f aca="false">IF(INDEX(Tasks!$A:$A,ROW()-1)="","",INDEX(Tasks!$A:$A,ROW()-1))</f>
        <v/>
      </c>
      <c r="B202" s="21" t="str">
        <f aca="false">IF(INDEX(Tasks!$A:$A,ROW()-1)="","",IF(ISERROR(FIND(".",INDEX(Tasks!$A:$A,ROW()-1))),"","   ")&amp;INDEX(Tasks!$D:$D,ROW()-1))</f>
        <v/>
      </c>
      <c r="C202" s="21" t="str">
        <f aca="false">IF(INDEX(Tasks!$G:$G,ROW()-1)="","",INDEX(Tasks!$G:$G,ROW()-1))</f>
        <v/>
      </c>
      <c r="D202" s="21" t="str">
        <f aca="false">IF(INDEX(Tasks!$H:$H,ROW()-1)="","",INDEX(Tasks!$H:$H,ROW()-1))</f>
        <v/>
      </c>
      <c r="E202" s="22" t="str">
        <f aca="false">IF(INDEX(Tasks!$I:$I,ROW()-1)="","",INDEX(Tasks!$I:$I,ROW()-1))</f>
        <v/>
      </c>
      <c r="F202" s="22" t="str">
        <f aca="false">IF(INDEX(Tasks!$K:$K,ROW()-1)="","",INDEX(Tasks!$K:$K,ROW()-1))</f>
        <v/>
      </c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</row>
    <row r="203" customFormat="false" ht="15" hidden="false" customHeight="false" outlineLevel="0" collapsed="false">
      <c r="A203" s="21" t="str">
        <f aca="false">IF(INDEX(Tasks!$A:$A,ROW()-1)="","",INDEX(Tasks!$A:$A,ROW()-1))</f>
        <v/>
      </c>
      <c r="B203" s="21" t="str">
        <f aca="false">IF(INDEX(Tasks!$A:$A,ROW()-1)="","",IF(ISERROR(FIND(".",INDEX(Tasks!$A:$A,ROW()-1))),"","   ")&amp;INDEX(Tasks!$D:$D,ROW()-1))</f>
        <v/>
      </c>
      <c r="C203" s="21" t="str">
        <f aca="false">IF(INDEX(Tasks!$G:$G,ROW()-1)="","",INDEX(Tasks!$G:$G,ROW()-1))</f>
        <v/>
      </c>
      <c r="D203" s="21" t="str">
        <f aca="false">IF(INDEX(Tasks!$H:$H,ROW()-1)="","",INDEX(Tasks!$H:$H,ROW()-1))</f>
        <v/>
      </c>
      <c r="E203" s="22" t="str">
        <f aca="false">IF(INDEX(Tasks!$I:$I,ROW()-1)="","",INDEX(Tasks!$I:$I,ROW()-1))</f>
        <v/>
      </c>
      <c r="F203" s="22" t="str">
        <f aca="false">IF(INDEX(Tasks!$K:$K,ROW()-1)="","",INDEX(Tasks!$K:$K,ROW()-1))</f>
        <v/>
      </c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</row>
    <row r="204" customFormat="false" ht="15" hidden="false" customHeight="false" outlineLevel="0" collapsed="false">
      <c r="A204" s="21" t="str">
        <f aca="false">IF(INDEX(Tasks!$A:$A,ROW()-1)="","",INDEX(Tasks!$A:$A,ROW()-1))</f>
        <v/>
      </c>
      <c r="B204" s="21" t="str">
        <f aca="false">IF(INDEX(Tasks!$A:$A,ROW()-1)="","",IF(ISERROR(FIND(".",INDEX(Tasks!$A:$A,ROW()-1))),"","   ")&amp;INDEX(Tasks!$D:$D,ROW()-1))</f>
        <v/>
      </c>
      <c r="C204" s="21" t="str">
        <f aca="false">IF(INDEX(Tasks!$G:$G,ROW()-1)="","",INDEX(Tasks!$G:$G,ROW()-1))</f>
        <v/>
      </c>
      <c r="D204" s="21" t="str">
        <f aca="false">IF(INDEX(Tasks!$H:$H,ROW()-1)="","",INDEX(Tasks!$H:$H,ROW()-1))</f>
        <v/>
      </c>
      <c r="E204" s="22" t="str">
        <f aca="false">IF(INDEX(Tasks!$I:$I,ROW()-1)="","",INDEX(Tasks!$I:$I,ROW()-1))</f>
        <v/>
      </c>
      <c r="F204" s="22" t="str">
        <f aca="false">IF(INDEX(Tasks!$K:$K,ROW()-1)="","",INDEX(Tasks!$K:$K,ROW()-1))</f>
        <v/>
      </c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</row>
    <row r="205" customFormat="false" ht="15" hidden="false" customHeight="false" outlineLevel="0" collapsed="false">
      <c r="A205" s="21" t="str">
        <f aca="false">IF(INDEX(Tasks!$A:$A,ROW()-1)="","",INDEX(Tasks!$A:$A,ROW()-1))</f>
        <v/>
      </c>
      <c r="B205" s="21" t="str">
        <f aca="false">IF(INDEX(Tasks!$A:$A,ROW()-1)="","",IF(ISERROR(FIND(".",INDEX(Tasks!$A:$A,ROW()-1))),"","   ")&amp;INDEX(Tasks!$D:$D,ROW()-1))</f>
        <v/>
      </c>
      <c r="C205" s="21" t="str">
        <f aca="false">IF(INDEX(Tasks!$G:$G,ROW()-1)="","",INDEX(Tasks!$G:$G,ROW()-1))</f>
        <v/>
      </c>
      <c r="D205" s="21" t="str">
        <f aca="false">IF(INDEX(Tasks!$H:$H,ROW()-1)="","",INDEX(Tasks!$H:$H,ROW()-1))</f>
        <v/>
      </c>
      <c r="E205" s="22" t="str">
        <f aca="false">IF(INDEX(Tasks!$I:$I,ROW()-1)="","",INDEX(Tasks!$I:$I,ROW()-1))</f>
        <v/>
      </c>
      <c r="F205" s="22" t="str">
        <f aca="false">IF(INDEX(Tasks!$K:$K,ROW()-1)="","",INDEX(Tasks!$K:$K,ROW()-1))</f>
        <v/>
      </c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</row>
    <row r="206" customFormat="false" ht="15" hidden="false" customHeight="false" outlineLevel="0" collapsed="false">
      <c r="A206" s="21" t="str">
        <f aca="false">IF(INDEX(Tasks!$A:$A,ROW()-1)="","",INDEX(Tasks!$A:$A,ROW()-1))</f>
        <v/>
      </c>
      <c r="B206" s="21" t="str">
        <f aca="false">IF(INDEX(Tasks!$A:$A,ROW()-1)="","",IF(ISERROR(FIND(".",INDEX(Tasks!$A:$A,ROW()-1))),"","   ")&amp;INDEX(Tasks!$D:$D,ROW()-1))</f>
        <v/>
      </c>
      <c r="C206" s="21" t="str">
        <f aca="false">IF(INDEX(Tasks!$G:$G,ROW()-1)="","",INDEX(Tasks!$G:$G,ROW()-1))</f>
        <v/>
      </c>
      <c r="D206" s="21" t="str">
        <f aca="false">IF(INDEX(Tasks!$H:$H,ROW()-1)="","",INDEX(Tasks!$H:$H,ROW()-1))</f>
        <v/>
      </c>
      <c r="E206" s="22" t="str">
        <f aca="false">IF(INDEX(Tasks!$I:$I,ROW()-1)="","",INDEX(Tasks!$I:$I,ROW()-1))</f>
        <v/>
      </c>
      <c r="F206" s="22" t="str">
        <f aca="false">IF(INDEX(Tasks!$K:$K,ROW()-1)="","",INDEX(Tasks!$K:$K,ROW()-1))</f>
        <v/>
      </c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</row>
    <row r="207" customFormat="false" ht="15" hidden="false" customHeight="false" outlineLevel="0" collapsed="false">
      <c r="A207" s="21" t="str">
        <f aca="false">IF(INDEX(Tasks!$A:$A,ROW()-1)="","",INDEX(Tasks!$A:$A,ROW()-1))</f>
        <v/>
      </c>
      <c r="B207" s="21" t="str">
        <f aca="false">IF(INDEX(Tasks!$A:$A,ROW()-1)="","",IF(ISERROR(FIND(".",INDEX(Tasks!$A:$A,ROW()-1))),"","   ")&amp;INDEX(Tasks!$D:$D,ROW()-1))</f>
        <v/>
      </c>
      <c r="C207" s="21" t="str">
        <f aca="false">IF(INDEX(Tasks!$G:$G,ROW()-1)="","",INDEX(Tasks!$G:$G,ROW()-1))</f>
        <v/>
      </c>
      <c r="D207" s="21" t="str">
        <f aca="false">IF(INDEX(Tasks!$H:$H,ROW()-1)="","",INDEX(Tasks!$H:$H,ROW()-1))</f>
        <v/>
      </c>
      <c r="E207" s="22" t="str">
        <f aca="false">IF(INDEX(Tasks!$I:$I,ROW()-1)="","",INDEX(Tasks!$I:$I,ROW()-1))</f>
        <v/>
      </c>
      <c r="F207" s="22" t="str">
        <f aca="false">IF(INDEX(Tasks!$K:$K,ROW()-1)="","",INDEX(Tasks!$K:$K,ROW()-1))</f>
        <v/>
      </c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</row>
    <row r="208" customFormat="false" ht="15" hidden="false" customHeight="false" outlineLevel="0" collapsed="false">
      <c r="A208" s="21" t="str">
        <f aca="false">IF(INDEX(Tasks!$A:$A,ROW()-1)="","",INDEX(Tasks!$A:$A,ROW()-1))</f>
        <v/>
      </c>
      <c r="B208" s="21" t="str">
        <f aca="false">IF(INDEX(Tasks!$A:$A,ROW()-1)="","",IF(ISERROR(FIND(".",INDEX(Tasks!$A:$A,ROW()-1))),"","   ")&amp;INDEX(Tasks!$D:$D,ROW()-1))</f>
        <v/>
      </c>
      <c r="C208" s="21" t="str">
        <f aca="false">IF(INDEX(Tasks!$G:$G,ROW()-1)="","",INDEX(Tasks!$G:$G,ROW()-1))</f>
        <v/>
      </c>
      <c r="D208" s="21" t="str">
        <f aca="false">IF(INDEX(Tasks!$H:$H,ROW()-1)="","",INDEX(Tasks!$H:$H,ROW()-1))</f>
        <v/>
      </c>
      <c r="E208" s="22" t="str">
        <f aca="false">IF(INDEX(Tasks!$I:$I,ROW()-1)="","",INDEX(Tasks!$I:$I,ROW()-1))</f>
        <v/>
      </c>
      <c r="F208" s="22" t="str">
        <f aca="false">IF(INDEX(Tasks!$K:$K,ROW()-1)="","",INDEX(Tasks!$K:$K,ROW()-1))</f>
        <v/>
      </c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</row>
    <row r="209" customFormat="false" ht="15" hidden="false" customHeight="false" outlineLevel="0" collapsed="false">
      <c r="A209" s="21" t="str">
        <f aca="false">IF(INDEX(Tasks!$A:$A,ROW()-1)="","",INDEX(Tasks!$A:$A,ROW()-1))</f>
        <v/>
      </c>
      <c r="B209" s="21" t="str">
        <f aca="false">IF(INDEX(Tasks!$A:$A,ROW()-1)="","",IF(ISERROR(FIND(".",INDEX(Tasks!$A:$A,ROW()-1))),"","   ")&amp;INDEX(Tasks!$D:$D,ROW()-1))</f>
        <v/>
      </c>
      <c r="C209" s="21" t="str">
        <f aca="false">IF(INDEX(Tasks!$G:$G,ROW()-1)="","",INDEX(Tasks!$G:$G,ROW()-1))</f>
        <v/>
      </c>
      <c r="D209" s="21" t="str">
        <f aca="false">IF(INDEX(Tasks!$H:$H,ROW()-1)="","",INDEX(Tasks!$H:$H,ROW()-1))</f>
        <v/>
      </c>
      <c r="E209" s="22" t="str">
        <f aca="false">IF(INDEX(Tasks!$I:$I,ROW()-1)="","",INDEX(Tasks!$I:$I,ROW()-1))</f>
        <v/>
      </c>
      <c r="F209" s="22" t="str">
        <f aca="false">IF(INDEX(Tasks!$K:$K,ROW()-1)="","",INDEX(Tasks!$K:$K,ROW()-1))</f>
        <v/>
      </c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</row>
    <row r="210" customFormat="false" ht="15" hidden="false" customHeight="false" outlineLevel="0" collapsed="false">
      <c r="A210" s="21" t="str">
        <f aca="false">IF(INDEX(Tasks!$A:$A,ROW()-1)="","",INDEX(Tasks!$A:$A,ROW()-1))</f>
        <v/>
      </c>
      <c r="B210" s="21" t="str">
        <f aca="false">IF(INDEX(Tasks!$A:$A,ROW()-1)="","",IF(ISERROR(FIND(".",INDEX(Tasks!$A:$A,ROW()-1))),"","   ")&amp;INDEX(Tasks!$D:$D,ROW()-1))</f>
        <v/>
      </c>
      <c r="C210" s="21" t="str">
        <f aca="false">IF(INDEX(Tasks!$G:$G,ROW()-1)="","",INDEX(Tasks!$G:$G,ROW()-1))</f>
        <v/>
      </c>
      <c r="D210" s="21" t="str">
        <f aca="false">IF(INDEX(Tasks!$H:$H,ROW()-1)="","",INDEX(Tasks!$H:$H,ROW()-1))</f>
        <v/>
      </c>
      <c r="E210" s="22" t="str">
        <f aca="false">IF(INDEX(Tasks!$I:$I,ROW()-1)="","",INDEX(Tasks!$I:$I,ROW()-1))</f>
        <v/>
      </c>
      <c r="F210" s="22" t="str">
        <f aca="false">IF(INDEX(Tasks!$K:$K,ROW()-1)="","",INDEX(Tasks!$K:$K,ROW()-1))</f>
        <v/>
      </c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</row>
    <row r="211" customFormat="false" ht="15" hidden="false" customHeight="false" outlineLevel="0" collapsed="false">
      <c r="A211" s="21" t="str">
        <f aca="false">IF(INDEX(Tasks!$A:$A,ROW()-1)="","",INDEX(Tasks!$A:$A,ROW()-1))</f>
        <v/>
      </c>
      <c r="B211" s="21" t="str">
        <f aca="false">IF(INDEX(Tasks!$A:$A,ROW()-1)="","",IF(ISERROR(FIND(".",INDEX(Tasks!$A:$A,ROW()-1))),"","   ")&amp;INDEX(Tasks!$D:$D,ROW()-1))</f>
        <v/>
      </c>
      <c r="C211" s="21" t="str">
        <f aca="false">IF(INDEX(Tasks!$G:$G,ROW()-1)="","",INDEX(Tasks!$G:$G,ROW()-1))</f>
        <v/>
      </c>
      <c r="D211" s="21" t="str">
        <f aca="false">IF(INDEX(Tasks!$H:$H,ROW()-1)="","",INDEX(Tasks!$H:$H,ROW()-1))</f>
        <v/>
      </c>
      <c r="E211" s="22" t="str">
        <f aca="false">IF(INDEX(Tasks!$I:$I,ROW()-1)="","",INDEX(Tasks!$I:$I,ROW()-1))</f>
        <v/>
      </c>
      <c r="F211" s="22" t="str">
        <f aca="false">IF(INDEX(Tasks!$K:$K,ROW()-1)="","",INDEX(Tasks!$K:$K,ROW()-1))</f>
        <v/>
      </c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</row>
    <row r="212" customFormat="false" ht="15" hidden="false" customHeight="false" outlineLevel="0" collapsed="false">
      <c r="A212" s="21" t="str">
        <f aca="false">IF(INDEX(Tasks!$A:$A,ROW()-1)="","",INDEX(Tasks!$A:$A,ROW()-1))</f>
        <v/>
      </c>
      <c r="B212" s="21" t="str">
        <f aca="false">IF(INDEX(Tasks!$A:$A,ROW()-1)="","",IF(ISERROR(FIND(".",INDEX(Tasks!$A:$A,ROW()-1))),"","   ")&amp;INDEX(Tasks!$D:$D,ROW()-1))</f>
        <v/>
      </c>
      <c r="C212" s="21" t="str">
        <f aca="false">IF(INDEX(Tasks!$G:$G,ROW()-1)="","",INDEX(Tasks!$G:$G,ROW()-1))</f>
        <v/>
      </c>
      <c r="D212" s="21" t="str">
        <f aca="false">IF(INDEX(Tasks!$H:$H,ROW()-1)="","",INDEX(Tasks!$H:$H,ROW()-1))</f>
        <v/>
      </c>
      <c r="E212" s="22" t="str">
        <f aca="false">IF(INDEX(Tasks!$I:$I,ROW()-1)="","",INDEX(Tasks!$I:$I,ROW()-1))</f>
        <v/>
      </c>
      <c r="F212" s="22" t="str">
        <f aca="false">IF(INDEX(Tasks!$K:$K,ROW()-1)="","",INDEX(Tasks!$K:$K,ROW()-1))</f>
        <v/>
      </c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</row>
    <row r="213" customFormat="false" ht="15" hidden="false" customHeight="false" outlineLevel="0" collapsed="false">
      <c r="A213" s="21" t="str">
        <f aca="false">IF(INDEX(Tasks!$A:$A,ROW()-1)="","",INDEX(Tasks!$A:$A,ROW()-1))</f>
        <v/>
      </c>
      <c r="B213" s="21" t="str">
        <f aca="false">IF(INDEX(Tasks!$A:$A,ROW()-1)="","",IF(ISERROR(FIND(".",INDEX(Tasks!$A:$A,ROW()-1))),"","   ")&amp;INDEX(Tasks!$D:$D,ROW()-1))</f>
        <v/>
      </c>
      <c r="C213" s="21" t="str">
        <f aca="false">IF(INDEX(Tasks!$G:$G,ROW()-1)="","",INDEX(Tasks!$G:$G,ROW()-1))</f>
        <v/>
      </c>
      <c r="D213" s="21" t="str">
        <f aca="false">IF(INDEX(Tasks!$H:$H,ROW()-1)="","",INDEX(Tasks!$H:$H,ROW()-1))</f>
        <v/>
      </c>
      <c r="E213" s="22" t="str">
        <f aca="false">IF(INDEX(Tasks!$I:$I,ROW()-1)="","",INDEX(Tasks!$I:$I,ROW()-1))</f>
        <v/>
      </c>
      <c r="F213" s="22" t="str">
        <f aca="false">IF(INDEX(Tasks!$K:$K,ROW()-1)="","",INDEX(Tasks!$K:$K,ROW()-1))</f>
        <v/>
      </c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</row>
    <row r="214" customFormat="false" ht="15" hidden="false" customHeight="false" outlineLevel="0" collapsed="false">
      <c r="A214" s="21" t="str">
        <f aca="false">IF(INDEX(Tasks!$A:$A,ROW()-1)="","",INDEX(Tasks!$A:$A,ROW()-1))</f>
        <v/>
      </c>
      <c r="B214" s="21" t="str">
        <f aca="false">IF(INDEX(Tasks!$A:$A,ROW()-1)="","",IF(ISERROR(FIND(".",INDEX(Tasks!$A:$A,ROW()-1))),"","   ")&amp;INDEX(Tasks!$D:$D,ROW()-1))</f>
        <v/>
      </c>
      <c r="C214" s="21" t="str">
        <f aca="false">IF(INDEX(Tasks!$G:$G,ROW()-1)="","",INDEX(Tasks!$G:$G,ROW()-1))</f>
        <v/>
      </c>
      <c r="D214" s="21" t="str">
        <f aca="false">IF(INDEX(Tasks!$H:$H,ROW()-1)="","",INDEX(Tasks!$H:$H,ROW()-1))</f>
        <v/>
      </c>
      <c r="E214" s="22" t="str">
        <f aca="false">IF(INDEX(Tasks!$I:$I,ROW()-1)="","",INDEX(Tasks!$I:$I,ROW()-1))</f>
        <v/>
      </c>
      <c r="F214" s="22" t="str">
        <f aca="false">IF(INDEX(Tasks!$K:$K,ROW()-1)="","",INDEX(Tasks!$K:$K,ROW()-1))</f>
        <v/>
      </c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</row>
    <row r="215" customFormat="false" ht="15" hidden="false" customHeight="false" outlineLevel="0" collapsed="false">
      <c r="A215" s="21" t="str">
        <f aca="false">IF(INDEX(Tasks!$A:$A,ROW()-1)="","",INDEX(Tasks!$A:$A,ROW()-1))</f>
        <v/>
      </c>
      <c r="B215" s="21" t="str">
        <f aca="false">IF(INDEX(Tasks!$A:$A,ROW()-1)="","",IF(ISERROR(FIND(".",INDEX(Tasks!$A:$A,ROW()-1))),"","   ")&amp;INDEX(Tasks!$D:$D,ROW()-1))</f>
        <v/>
      </c>
      <c r="C215" s="21" t="str">
        <f aca="false">IF(INDEX(Tasks!$G:$G,ROW()-1)="","",INDEX(Tasks!$G:$G,ROW()-1))</f>
        <v/>
      </c>
      <c r="D215" s="21" t="str">
        <f aca="false">IF(INDEX(Tasks!$H:$H,ROW()-1)="","",INDEX(Tasks!$H:$H,ROW()-1))</f>
        <v/>
      </c>
      <c r="E215" s="22" t="str">
        <f aca="false">IF(INDEX(Tasks!$I:$I,ROW()-1)="","",INDEX(Tasks!$I:$I,ROW()-1))</f>
        <v/>
      </c>
      <c r="F215" s="22" t="str">
        <f aca="false">IF(INDEX(Tasks!$K:$K,ROW()-1)="","",INDEX(Tasks!$K:$K,ROW()-1))</f>
        <v/>
      </c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</row>
    <row r="216" customFormat="false" ht="15" hidden="false" customHeight="false" outlineLevel="0" collapsed="false">
      <c r="A216" s="21" t="str">
        <f aca="false">IF(INDEX(Tasks!$A:$A,ROW()-1)="","",INDEX(Tasks!$A:$A,ROW()-1))</f>
        <v/>
      </c>
      <c r="B216" s="21" t="str">
        <f aca="false">IF(INDEX(Tasks!$A:$A,ROW()-1)="","",IF(ISERROR(FIND(".",INDEX(Tasks!$A:$A,ROW()-1))),"","   ")&amp;INDEX(Tasks!$D:$D,ROW()-1))</f>
        <v/>
      </c>
      <c r="C216" s="21" t="str">
        <f aca="false">IF(INDEX(Tasks!$G:$G,ROW()-1)="","",INDEX(Tasks!$G:$G,ROW()-1))</f>
        <v/>
      </c>
      <c r="D216" s="21" t="str">
        <f aca="false">IF(INDEX(Tasks!$H:$H,ROW()-1)="","",INDEX(Tasks!$H:$H,ROW()-1))</f>
        <v/>
      </c>
      <c r="E216" s="22" t="str">
        <f aca="false">IF(INDEX(Tasks!$I:$I,ROW()-1)="","",INDEX(Tasks!$I:$I,ROW()-1))</f>
        <v/>
      </c>
      <c r="F216" s="22" t="str">
        <f aca="false">IF(INDEX(Tasks!$K:$K,ROW()-1)="","",INDEX(Tasks!$K:$K,ROW()-1))</f>
        <v/>
      </c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</row>
    <row r="217" customFormat="false" ht="15" hidden="false" customHeight="false" outlineLevel="0" collapsed="false">
      <c r="A217" s="21" t="str">
        <f aca="false">IF(INDEX(Tasks!$A:$A,ROW()-1)="","",INDEX(Tasks!$A:$A,ROW()-1))</f>
        <v/>
      </c>
      <c r="B217" s="21" t="str">
        <f aca="false">IF(INDEX(Tasks!$A:$A,ROW()-1)="","",IF(ISERROR(FIND(".",INDEX(Tasks!$A:$A,ROW()-1))),"","   ")&amp;INDEX(Tasks!$D:$D,ROW()-1))</f>
        <v/>
      </c>
      <c r="C217" s="21" t="str">
        <f aca="false">IF(INDEX(Tasks!$G:$G,ROW()-1)="","",INDEX(Tasks!$G:$G,ROW()-1))</f>
        <v/>
      </c>
      <c r="D217" s="21" t="str">
        <f aca="false">IF(INDEX(Tasks!$H:$H,ROW()-1)="","",INDEX(Tasks!$H:$H,ROW()-1))</f>
        <v/>
      </c>
      <c r="E217" s="22" t="str">
        <f aca="false">IF(INDEX(Tasks!$I:$I,ROW()-1)="","",INDEX(Tasks!$I:$I,ROW()-1))</f>
        <v/>
      </c>
      <c r="F217" s="22" t="str">
        <f aca="false">IF(INDEX(Tasks!$K:$K,ROW()-1)="","",INDEX(Tasks!$K:$K,ROW()-1))</f>
        <v/>
      </c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</row>
    <row r="218" customFormat="false" ht="15" hidden="false" customHeight="false" outlineLevel="0" collapsed="false">
      <c r="A218" s="21" t="str">
        <f aca="false">IF(INDEX(Tasks!$A:$A,ROW()-1)="","",INDEX(Tasks!$A:$A,ROW()-1))</f>
        <v/>
      </c>
      <c r="B218" s="21" t="str">
        <f aca="false">IF(INDEX(Tasks!$A:$A,ROW()-1)="","",IF(ISERROR(FIND(".",INDEX(Tasks!$A:$A,ROW()-1))),"","   ")&amp;INDEX(Tasks!$D:$D,ROW()-1))</f>
        <v/>
      </c>
      <c r="C218" s="21" t="str">
        <f aca="false">IF(INDEX(Tasks!$G:$G,ROW()-1)="","",INDEX(Tasks!$G:$G,ROW()-1))</f>
        <v/>
      </c>
      <c r="D218" s="21" t="str">
        <f aca="false">IF(INDEX(Tasks!$H:$H,ROW()-1)="","",INDEX(Tasks!$H:$H,ROW()-1))</f>
        <v/>
      </c>
      <c r="E218" s="22" t="str">
        <f aca="false">IF(INDEX(Tasks!$I:$I,ROW()-1)="","",INDEX(Tasks!$I:$I,ROW()-1))</f>
        <v/>
      </c>
      <c r="F218" s="22" t="str">
        <f aca="false">IF(INDEX(Tasks!$K:$K,ROW()-1)="","",INDEX(Tasks!$K:$K,ROW()-1))</f>
        <v/>
      </c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</row>
    <row r="219" customFormat="false" ht="15" hidden="false" customHeight="false" outlineLevel="0" collapsed="false">
      <c r="A219" s="21" t="str">
        <f aca="false">IF(INDEX(Tasks!$A:$A,ROW()-1)="","",INDEX(Tasks!$A:$A,ROW()-1))</f>
        <v/>
      </c>
      <c r="B219" s="21" t="str">
        <f aca="false">IF(INDEX(Tasks!$A:$A,ROW()-1)="","",IF(ISERROR(FIND(".",INDEX(Tasks!$A:$A,ROW()-1))),"","   ")&amp;INDEX(Tasks!$D:$D,ROW()-1))</f>
        <v/>
      </c>
      <c r="C219" s="21" t="str">
        <f aca="false">IF(INDEX(Tasks!$G:$G,ROW()-1)="","",INDEX(Tasks!$G:$G,ROW()-1))</f>
        <v/>
      </c>
      <c r="D219" s="21" t="str">
        <f aca="false">IF(INDEX(Tasks!$H:$H,ROW()-1)="","",INDEX(Tasks!$H:$H,ROW()-1))</f>
        <v/>
      </c>
      <c r="E219" s="22" t="str">
        <f aca="false">IF(INDEX(Tasks!$I:$I,ROW()-1)="","",INDEX(Tasks!$I:$I,ROW()-1))</f>
        <v/>
      </c>
      <c r="F219" s="22" t="str">
        <f aca="false">IF(INDEX(Tasks!$K:$K,ROW()-1)="","",INDEX(Tasks!$K:$K,ROW()-1))</f>
        <v/>
      </c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</row>
    <row r="220" customFormat="false" ht="15" hidden="false" customHeight="false" outlineLevel="0" collapsed="false">
      <c r="A220" s="21" t="str">
        <f aca="false">IF(INDEX(Tasks!$A:$A,ROW()-1)="","",INDEX(Tasks!$A:$A,ROW()-1))</f>
        <v/>
      </c>
      <c r="B220" s="21" t="str">
        <f aca="false">IF(INDEX(Tasks!$A:$A,ROW()-1)="","",IF(ISERROR(FIND(".",INDEX(Tasks!$A:$A,ROW()-1))),"","   ")&amp;INDEX(Tasks!$D:$D,ROW()-1))</f>
        <v/>
      </c>
      <c r="C220" s="21" t="str">
        <f aca="false">IF(INDEX(Tasks!$G:$G,ROW()-1)="","",INDEX(Tasks!$G:$G,ROW()-1))</f>
        <v/>
      </c>
      <c r="D220" s="21" t="str">
        <f aca="false">IF(INDEX(Tasks!$H:$H,ROW()-1)="","",INDEX(Tasks!$H:$H,ROW()-1))</f>
        <v/>
      </c>
      <c r="E220" s="22" t="str">
        <f aca="false">IF(INDEX(Tasks!$I:$I,ROW()-1)="","",INDEX(Tasks!$I:$I,ROW()-1))</f>
        <v/>
      </c>
      <c r="F220" s="22" t="str">
        <f aca="false">IF(INDEX(Tasks!$K:$K,ROW()-1)="","",INDEX(Tasks!$K:$K,ROW()-1))</f>
        <v/>
      </c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</row>
    <row r="221" customFormat="false" ht="15" hidden="false" customHeight="false" outlineLevel="0" collapsed="false">
      <c r="A221" s="21" t="str">
        <f aca="false">IF(INDEX(Tasks!$A:$A,ROW()-1)="","",INDEX(Tasks!$A:$A,ROW()-1))</f>
        <v/>
      </c>
      <c r="B221" s="21" t="str">
        <f aca="false">IF(INDEX(Tasks!$A:$A,ROW()-1)="","",IF(ISERROR(FIND(".",INDEX(Tasks!$A:$A,ROW()-1))),"","   ")&amp;INDEX(Tasks!$D:$D,ROW()-1))</f>
        <v/>
      </c>
      <c r="C221" s="21" t="str">
        <f aca="false">IF(INDEX(Tasks!$G:$G,ROW()-1)="","",INDEX(Tasks!$G:$G,ROW()-1))</f>
        <v/>
      </c>
      <c r="D221" s="21" t="str">
        <f aca="false">IF(INDEX(Tasks!$H:$H,ROW()-1)="","",INDEX(Tasks!$H:$H,ROW()-1))</f>
        <v/>
      </c>
      <c r="E221" s="22" t="str">
        <f aca="false">IF(INDEX(Tasks!$I:$I,ROW()-1)="","",INDEX(Tasks!$I:$I,ROW()-1))</f>
        <v/>
      </c>
      <c r="F221" s="22" t="str">
        <f aca="false">IF(INDEX(Tasks!$K:$K,ROW()-1)="","",INDEX(Tasks!$K:$K,ROW()-1))</f>
        <v/>
      </c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</row>
    <row r="222" customFormat="false" ht="15" hidden="false" customHeight="false" outlineLevel="0" collapsed="false">
      <c r="A222" s="21" t="str">
        <f aca="false">IF(INDEX(Tasks!$A:$A,ROW()-1)="","",INDEX(Tasks!$A:$A,ROW()-1))</f>
        <v/>
      </c>
      <c r="B222" s="21" t="str">
        <f aca="false">IF(INDEX(Tasks!$A:$A,ROW()-1)="","",IF(ISERROR(FIND(".",INDEX(Tasks!$A:$A,ROW()-1))),"","   ")&amp;INDEX(Tasks!$D:$D,ROW()-1))</f>
        <v/>
      </c>
      <c r="C222" s="21" t="str">
        <f aca="false">IF(INDEX(Tasks!$G:$G,ROW()-1)="","",INDEX(Tasks!$G:$G,ROW()-1))</f>
        <v/>
      </c>
      <c r="D222" s="21" t="str">
        <f aca="false">IF(INDEX(Tasks!$H:$H,ROW()-1)="","",INDEX(Tasks!$H:$H,ROW()-1))</f>
        <v/>
      </c>
      <c r="E222" s="22" t="str">
        <f aca="false">IF(INDEX(Tasks!$I:$I,ROW()-1)="","",INDEX(Tasks!$I:$I,ROW()-1))</f>
        <v/>
      </c>
      <c r="F222" s="22" t="str">
        <f aca="false">IF(INDEX(Tasks!$K:$K,ROW()-1)="","",INDEX(Tasks!$K:$K,ROW()-1))</f>
        <v/>
      </c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</row>
    <row r="223" customFormat="false" ht="15" hidden="false" customHeight="false" outlineLevel="0" collapsed="false">
      <c r="A223" s="21" t="str">
        <f aca="false">IF(INDEX(Tasks!$A:$A,ROW()-1)="","",INDEX(Tasks!$A:$A,ROW()-1))</f>
        <v/>
      </c>
      <c r="B223" s="21" t="str">
        <f aca="false">IF(INDEX(Tasks!$A:$A,ROW()-1)="","",IF(ISERROR(FIND(".",INDEX(Tasks!$A:$A,ROW()-1))),"","   ")&amp;INDEX(Tasks!$D:$D,ROW()-1))</f>
        <v/>
      </c>
      <c r="C223" s="21" t="str">
        <f aca="false">IF(INDEX(Tasks!$G:$G,ROW()-1)="","",INDEX(Tasks!$G:$G,ROW()-1))</f>
        <v/>
      </c>
      <c r="D223" s="21" t="str">
        <f aca="false">IF(INDEX(Tasks!$H:$H,ROW()-1)="","",INDEX(Tasks!$H:$H,ROW()-1))</f>
        <v/>
      </c>
      <c r="E223" s="22" t="str">
        <f aca="false">IF(INDEX(Tasks!$I:$I,ROW()-1)="","",INDEX(Tasks!$I:$I,ROW()-1))</f>
        <v/>
      </c>
      <c r="F223" s="22" t="str">
        <f aca="false">IF(INDEX(Tasks!$K:$K,ROW()-1)="","",INDEX(Tasks!$K:$K,ROW()-1))</f>
        <v/>
      </c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</row>
    <row r="224" customFormat="false" ht="15" hidden="false" customHeight="false" outlineLevel="0" collapsed="false">
      <c r="A224" s="21" t="str">
        <f aca="false">IF(INDEX(Tasks!$A:$A,ROW()-1)="","",INDEX(Tasks!$A:$A,ROW()-1))</f>
        <v/>
      </c>
      <c r="B224" s="21" t="str">
        <f aca="false">IF(INDEX(Tasks!$A:$A,ROW()-1)="","",IF(ISERROR(FIND(".",INDEX(Tasks!$A:$A,ROW()-1))),"","   ")&amp;INDEX(Tasks!$D:$D,ROW()-1))</f>
        <v/>
      </c>
      <c r="C224" s="21" t="str">
        <f aca="false">IF(INDEX(Tasks!$G:$G,ROW()-1)="","",INDEX(Tasks!$G:$G,ROW()-1))</f>
        <v/>
      </c>
      <c r="D224" s="21" t="str">
        <f aca="false">IF(INDEX(Tasks!$H:$H,ROW()-1)="","",INDEX(Tasks!$H:$H,ROW()-1))</f>
        <v/>
      </c>
      <c r="E224" s="22" t="str">
        <f aca="false">IF(INDEX(Tasks!$I:$I,ROW()-1)="","",INDEX(Tasks!$I:$I,ROW()-1))</f>
        <v/>
      </c>
      <c r="F224" s="22" t="str">
        <f aca="false">IF(INDEX(Tasks!$K:$K,ROW()-1)="","",INDEX(Tasks!$K:$K,ROW()-1))</f>
        <v/>
      </c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</row>
    <row r="225" customFormat="false" ht="15" hidden="false" customHeight="false" outlineLevel="0" collapsed="false">
      <c r="A225" s="21" t="str">
        <f aca="false">IF(INDEX(Tasks!$A:$A,ROW()-1)="","",INDEX(Tasks!$A:$A,ROW()-1))</f>
        <v/>
      </c>
      <c r="B225" s="21" t="str">
        <f aca="false">IF(INDEX(Tasks!$A:$A,ROW()-1)="","",IF(ISERROR(FIND(".",INDEX(Tasks!$A:$A,ROW()-1))),"","   ")&amp;INDEX(Tasks!$D:$D,ROW()-1))</f>
        <v/>
      </c>
      <c r="C225" s="21" t="str">
        <f aca="false">IF(INDEX(Tasks!$G:$G,ROW()-1)="","",INDEX(Tasks!$G:$G,ROW()-1))</f>
        <v/>
      </c>
      <c r="D225" s="21" t="str">
        <f aca="false">IF(INDEX(Tasks!$H:$H,ROW()-1)="","",INDEX(Tasks!$H:$H,ROW()-1))</f>
        <v/>
      </c>
      <c r="E225" s="22" t="str">
        <f aca="false">IF(INDEX(Tasks!$I:$I,ROW()-1)="","",INDEX(Tasks!$I:$I,ROW()-1))</f>
        <v/>
      </c>
      <c r="F225" s="22" t="str">
        <f aca="false">IF(INDEX(Tasks!$K:$K,ROW()-1)="","",INDEX(Tasks!$K:$K,ROW()-1))</f>
        <v/>
      </c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</row>
    <row r="226" customFormat="false" ht="15" hidden="false" customHeight="false" outlineLevel="0" collapsed="false">
      <c r="A226" s="21" t="str">
        <f aca="false">IF(INDEX(Tasks!$A:$A,ROW()-1)="","",INDEX(Tasks!$A:$A,ROW()-1))</f>
        <v/>
      </c>
      <c r="B226" s="21" t="str">
        <f aca="false">IF(INDEX(Tasks!$A:$A,ROW()-1)="","",IF(ISERROR(FIND(".",INDEX(Tasks!$A:$A,ROW()-1))),"","   ")&amp;INDEX(Tasks!$D:$D,ROW()-1))</f>
        <v/>
      </c>
      <c r="C226" s="21" t="str">
        <f aca="false">IF(INDEX(Tasks!$G:$G,ROW()-1)="","",INDEX(Tasks!$G:$G,ROW()-1))</f>
        <v/>
      </c>
      <c r="D226" s="21" t="str">
        <f aca="false">IF(INDEX(Tasks!$H:$H,ROW()-1)="","",INDEX(Tasks!$H:$H,ROW()-1))</f>
        <v/>
      </c>
      <c r="E226" s="22" t="str">
        <f aca="false">IF(INDEX(Tasks!$I:$I,ROW()-1)="","",INDEX(Tasks!$I:$I,ROW()-1))</f>
        <v/>
      </c>
      <c r="F226" s="22" t="str">
        <f aca="false">IF(INDEX(Tasks!$K:$K,ROW()-1)="","",INDEX(Tasks!$K:$K,ROW()-1))</f>
        <v/>
      </c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</row>
    <row r="227" customFormat="false" ht="15" hidden="false" customHeight="false" outlineLevel="0" collapsed="false">
      <c r="A227" s="21" t="str">
        <f aca="false">IF(INDEX(Tasks!$A:$A,ROW()-1)="","",INDEX(Tasks!$A:$A,ROW()-1))</f>
        <v/>
      </c>
      <c r="B227" s="21" t="str">
        <f aca="false">IF(INDEX(Tasks!$A:$A,ROW()-1)="","",IF(ISERROR(FIND(".",INDEX(Tasks!$A:$A,ROW()-1))),"","   ")&amp;INDEX(Tasks!$D:$D,ROW()-1))</f>
        <v/>
      </c>
      <c r="C227" s="21" t="str">
        <f aca="false">IF(INDEX(Tasks!$G:$G,ROW()-1)="","",INDEX(Tasks!$G:$G,ROW()-1))</f>
        <v/>
      </c>
      <c r="D227" s="21" t="str">
        <f aca="false">IF(INDEX(Tasks!$H:$H,ROW()-1)="","",INDEX(Tasks!$H:$H,ROW()-1))</f>
        <v/>
      </c>
      <c r="E227" s="22" t="str">
        <f aca="false">IF(INDEX(Tasks!$I:$I,ROW()-1)="","",INDEX(Tasks!$I:$I,ROW()-1))</f>
        <v/>
      </c>
      <c r="F227" s="22" t="str">
        <f aca="false">IF(INDEX(Tasks!$K:$K,ROW()-1)="","",INDEX(Tasks!$K:$K,ROW()-1))</f>
        <v/>
      </c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</row>
    <row r="228" customFormat="false" ht="15" hidden="false" customHeight="false" outlineLevel="0" collapsed="false">
      <c r="A228" s="21" t="str">
        <f aca="false">IF(INDEX(Tasks!$A:$A,ROW()-1)="","",INDEX(Tasks!$A:$A,ROW()-1))</f>
        <v/>
      </c>
      <c r="B228" s="21" t="str">
        <f aca="false">IF(INDEX(Tasks!$A:$A,ROW()-1)="","",IF(ISERROR(FIND(".",INDEX(Tasks!$A:$A,ROW()-1))),"","   ")&amp;INDEX(Tasks!$D:$D,ROW()-1))</f>
        <v/>
      </c>
      <c r="C228" s="21" t="str">
        <f aca="false">IF(INDEX(Tasks!$G:$G,ROW()-1)="","",INDEX(Tasks!$G:$G,ROW()-1))</f>
        <v/>
      </c>
      <c r="D228" s="21" t="str">
        <f aca="false">IF(INDEX(Tasks!$H:$H,ROW()-1)="","",INDEX(Tasks!$H:$H,ROW()-1))</f>
        <v/>
      </c>
      <c r="E228" s="22" t="str">
        <f aca="false">IF(INDEX(Tasks!$I:$I,ROW()-1)="","",INDEX(Tasks!$I:$I,ROW()-1))</f>
        <v/>
      </c>
      <c r="F228" s="22" t="str">
        <f aca="false">IF(INDEX(Tasks!$K:$K,ROW()-1)="","",INDEX(Tasks!$K:$K,ROW()-1))</f>
        <v/>
      </c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</row>
    <row r="229" customFormat="false" ht="15" hidden="false" customHeight="false" outlineLevel="0" collapsed="false">
      <c r="A229" s="21" t="str">
        <f aca="false">IF(INDEX(Tasks!$A:$A,ROW()-1)="","",INDEX(Tasks!$A:$A,ROW()-1))</f>
        <v/>
      </c>
      <c r="B229" s="21" t="str">
        <f aca="false">IF(INDEX(Tasks!$A:$A,ROW()-1)="","",IF(ISERROR(FIND(".",INDEX(Tasks!$A:$A,ROW()-1))),"","   ")&amp;INDEX(Tasks!$D:$D,ROW()-1))</f>
        <v/>
      </c>
      <c r="C229" s="21" t="str">
        <f aca="false">IF(INDEX(Tasks!$G:$G,ROW()-1)="","",INDEX(Tasks!$G:$G,ROW()-1))</f>
        <v/>
      </c>
      <c r="D229" s="21" t="str">
        <f aca="false">IF(INDEX(Tasks!$H:$H,ROW()-1)="","",INDEX(Tasks!$H:$H,ROW()-1))</f>
        <v/>
      </c>
      <c r="E229" s="22" t="str">
        <f aca="false">IF(INDEX(Tasks!$I:$I,ROW()-1)="","",INDEX(Tasks!$I:$I,ROW()-1))</f>
        <v/>
      </c>
      <c r="F229" s="22" t="str">
        <f aca="false">IF(INDEX(Tasks!$K:$K,ROW()-1)="","",INDEX(Tasks!$K:$K,ROW()-1))</f>
        <v/>
      </c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</row>
    <row r="230" customFormat="false" ht="15" hidden="false" customHeight="false" outlineLevel="0" collapsed="false">
      <c r="A230" s="21" t="str">
        <f aca="false">IF(INDEX(Tasks!$A:$A,ROW()-1)="","",INDEX(Tasks!$A:$A,ROW()-1))</f>
        <v/>
      </c>
      <c r="B230" s="21" t="str">
        <f aca="false">IF(INDEX(Tasks!$A:$A,ROW()-1)="","",IF(ISERROR(FIND(".",INDEX(Tasks!$A:$A,ROW()-1))),"","   ")&amp;INDEX(Tasks!$D:$D,ROW()-1))</f>
        <v/>
      </c>
      <c r="C230" s="21" t="str">
        <f aca="false">IF(INDEX(Tasks!$G:$G,ROW()-1)="","",INDEX(Tasks!$G:$G,ROW()-1))</f>
        <v/>
      </c>
      <c r="D230" s="21" t="str">
        <f aca="false">IF(INDEX(Tasks!$H:$H,ROW()-1)="","",INDEX(Tasks!$H:$H,ROW()-1))</f>
        <v/>
      </c>
      <c r="E230" s="22" t="str">
        <f aca="false">IF(INDEX(Tasks!$I:$I,ROW()-1)="","",INDEX(Tasks!$I:$I,ROW()-1))</f>
        <v/>
      </c>
      <c r="F230" s="22" t="str">
        <f aca="false">IF(INDEX(Tasks!$K:$K,ROW()-1)="","",INDEX(Tasks!$K:$K,ROW()-1))</f>
        <v/>
      </c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</row>
    <row r="231" customFormat="false" ht="15" hidden="false" customHeight="false" outlineLevel="0" collapsed="false">
      <c r="A231" s="21" t="str">
        <f aca="false">IF(INDEX(Tasks!$A:$A,ROW()-1)="","",INDEX(Tasks!$A:$A,ROW()-1))</f>
        <v/>
      </c>
      <c r="B231" s="21" t="str">
        <f aca="false">IF(INDEX(Tasks!$A:$A,ROW()-1)="","",IF(ISERROR(FIND(".",INDEX(Tasks!$A:$A,ROW()-1))),"","   ")&amp;INDEX(Tasks!$D:$D,ROW()-1))</f>
        <v/>
      </c>
      <c r="C231" s="21" t="str">
        <f aca="false">IF(INDEX(Tasks!$G:$G,ROW()-1)="","",INDEX(Tasks!$G:$G,ROW()-1))</f>
        <v/>
      </c>
      <c r="D231" s="21" t="str">
        <f aca="false">IF(INDEX(Tasks!$H:$H,ROW()-1)="","",INDEX(Tasks!$H:$H,ROW()-1))</f>
        <v/>
      </c>
      <c r="E231" s="22" t="str">
        <f aca="false">IF(INDEX(Tasks!$I:$I,ROW()-1)="","",INDEX(Tasks!$I:$I,ROW()-1))</f>
        <v/>
      </c>
      <c r="F231" s="22" t="str">
        <f aca="false">IF(INDEX(Tasks!$K:$K,ROW()-1)="","",INDEX(Tasks!$K:$K,ROW()-1))</f>
        <v/>
      </c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</row>
    <row r="232" customFormat="false" ht="15" hidden="false" customHeight="false" outlineLevel="0" collapsed="false">
      <c r="A232" s="21" t="str">
        <f aca="false">IF(INDEX(Tasks!$A:$A,ROW()-1)="","",INDEX(Tasks!$A:$A,ROW()-1))</f>
        <v/>
      </c>
      <c r="B232" s="21" t="str">
        <f aca="false">IF(INDEX(Tasks!$A:$A,ROW()-1)="","",IF(ISERROR(FIND(".",INDEX(Tasks!$A:$A,ROW()-1))),"","   ")&amp;INDEX(Tasks!$D:$D,ROW()-1))</f>
        <v/>
      </c>
      <c r="C232" s="21" t="str">
        <f aca="false">IF(INDEX(Tasks!$G:$G,ROW()-1)="","",INDEX(Tasks!$G:$G,ROW()-1))</f>
        <v/>
      </c>
      <c r="D232" s="21" t="str">
        <f aca="false">IF(INDEX(Tasks!$H:$H,ROW()-1)="","",INDEX(Tasks!$H:$H,ROW()-1))</f>
        <v/>
      </c>
      <c r="E232" s="22" t="str">
        <f aca="false">IF(INDEX(Tasks!$I:$I,ROW()-1)="","",INDEX(Tasks!$I:$I,ROW()-1))</f>
        <v/>
      </c>
      <c r="F232" s="22" t="str">
        <f aca="false">IF(INDEX(Tasks!$K:$K,ROW()-1)="","",INDEX(Tasks!$K:$K,ROW()-1))</f>
        <v/>
      </c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</row>
    <row r="233" customFormat="false" ht="15" hidden="false" customHeight="false" outlineLevel="0" collapsed="false">
      <c r="A233" s="21" t="str">
        <f aca="false">IF(INDEX(Tasks!$A:$A,ROW()-1)="","",INDEX(Tasks!$A:$A,ROW()-1))</f>
        <v/>
      </c>
      <c r="B233" s="21" t="str">
        <f aca="false">IF(INDEX(Tasks!$A:$A,ROW()-1)="","",IF(ISERROR(FIND(".",INDEX(Tasks!$A:$A,ROW()-1))),"","   ")&amp;INDEX(Tasks!$D:$D,ROW()-1))</f>
        <v/>
      </c>
      <c r="C233" s="21" t="str">
        <f aca="false">IF(INDEX(Tasks!$G:$G,ROW()-1)="","",INDEX(Tasks!$G:$G,ROW()-1))</f>
        <v/>
      </c>
      <c r="D233" s="21" t="str">
        <f aca="false">IF(INDEX(Tasks!$H:$H,ROW()-1)="","",INDEX(Tasks!$H:$H,ROW()-1))</f>
        <v/>
      </c>
      <c r="E233" s="22" t="str">
        <f aca="false">IF(INDEX(Tasks!$I:$I,ROW()-1)="","",INDEX(Tasks!$I:$I,ROW()-1))</f>
        <v/>
      </c>
      <c r="F233" s="22" t="str">
        <f aca="false">IF(INDEX(Tasks!$K:$K,ROW()-1)="","",INDEX(Tasks!$K:$K,ROW()-1))</f>
        <v/>
      </c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</row>
    <row r="234" customFormat="false" ht="15" hidden="false" customHeight="false" outlineLevel="0" collapsed="false">
      <c r="A234" s="21" t="str">
        <f aca="false">IF(INDEX(Tasks!$A:$A,ROW()-1)="","",INDEX(Tasks!$A:$A,ROW()-1))</f>
        <v/>
      </c>
      <c r="B234" s="21" t="str">
        <f aca="false">IF(INDEX(Tasks!$A:$A,ROW()-1)="","",IF(ISERROR(FIND(".",INDEX(Tasks!$A:$A,ROW()-1))),"","   ")&amp;INDEX(Tasks!$D:$D,ROW()-1))</f>
        <v/>
      </c>
      <c r="C234" s="21" t="str">
        <f aca="false">IF(INDEX(Tasks!$G:$G,ROW()-1)="","",INDEX(Tasks!$G:$G,ROW()-1))</f>
        <v/>
      </c>
      <c r="D234" s="21" t="str">
        <f aca="false">IF(INDEX(Tasks!$H:$H,ROW()-1)="","",INDEX(Tasks!$H:$H,ROW()-1))</f>
        <v/>
      </c>
      <c r="E234" s="22" t="str">
        <f aca="false">IF(INDEX(Tasks!$I:$I,ROW()-1)="","",INDEX(Tasks!$I:$I,ROW()-1))</f>
        <v/>
      </c>
      <c r="F234" s="22" t="str">
        <f aca="false">IF(INDEX(Tasks!$K:$K,ROW()-1)="","",INDEX(Tasks!$K:$K,ROW()-1))</f>
        <v/>
      </c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</row>
    <row r="235" customFormat="false" ht="15" hidden="false" customHeight="false" outlineLevel="0" collapsed="false">
      <c r="A235" s="21" t="str">
        <f aca="false">IF(INDEX(Tasks!$A:$A,ROW()-1)="","",INDEX(Tasks!$A:$A,ROW()-1))</f>
        <v/>
      </c>
      <c r="B235" s="21" t="str">
        <f aca="false">IF(INDEX(Tasks!$A:$A,ROW()-1)="","",IF(ISERROR(FIND(".",INDEX(Tasks!$A:$A,ROW()-1))),"","   ")&amp;INDEX(Tasks!$D:$D,ROW()-1))</f>
        <v/>
      </c>
      <c r="C235" s="21" t="str">
        <f aca="false">IF(INDEX(Tasks!$G:$G,ROW()-1)="","",INDEX(Tasks!$G:$G,ROW()-1))</f>
        <v/>
      </c>
      <c r="D235" s="21" t="str">
        <f aca="false">IF(INDEX(Tasks!$H:$H,ROW()-1)="","",INDEX(Tasks!$H:$H,ROW()-1))</f>
        <v/>
      </c>
      <c r="E235" s="22" t="str">
        <f aca="false">IF(INDEX(Tasks!$I:$I,ROW()-1)="","",INDEX(Tasks!$I:$I,ROW()-1))</f>
        <v/>
      </c>
      <c r="F235" s="22" t="str">
        <f aca="false">IF(INDEX(Tasks!$K:$K,ROW()-1)="","",INDEX(Tasks!$K:$K,ROW()-1))</f>
        <v/>
      </c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</row>
    <row r="236" customFormat="false" ht="15" hidden="false" customHeight="false" outlineLevel="0" collapsed="false">
      <c r="A236" s="21" t="str">
        <f aca="false">IF(INDEX(Tasks!$A:$A,ROW()-1)="","",INDEX(Tasks!$A:$A,ROW()-1))</f>
        <v/>
      </c>
      <c r="B236" s="21" t="str">
        <f aca="false">IF(INDEX(Tasks!$A:$A,ROW()-1)="","",IF(ISERROR(FIND(".",INDEX(Tasks!$A:$A,ROW()-1))),"","   ")&amp;INDEX(Tasks!$D:$D,ROW()-1))</f>
        <v/>
      </c>
      <c r="C236" s="21" t="str">
        <f aca="false">IF(INDEX(Tasks!$G:$G,ROW()-1)="","",INDEX(Tasks!$G:$G,ROW()-1))</f>
        <v/>
      </c>
      <c r="D236" s="21" t="str">
        <f aca="false">IF(INDEX(Tasks!$H:$H,ROW()-1)="","",INDEX(Tasks!$H:$H,ROW()-1))</f>
        <v/>
      </c>
      <c r="E236" s="22" t="str">
        <f aca="false">IF(INDEX(Tasks!$I:$I,ROW()-1)="","",INDEX(Tasks!$I:$I,ROW()-1))</f>
        <v/>
      </c>
      <c r="F236" s="22" t="str">
        <f aca="false">IF(INDEX(Tasks!$K:$K,ROW()-1)="","",INDEX(Tasks!$K:$K,ROW()-1))</f>
        <v/>
      </c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</row>
    <row r="237" customFormat="false" ht="15" hidden="false" customHeight="false" outlineLevel="0" collapsed="false">
      <c r="A237" s="21" t="str">
        <f aca="false">IF(INDEX(Tasks!$A:$A,ROW()-1)="","",INDEX(Tasks!$A:$A,ROW()-1))</f>
        <v/>
      </c>
      <c r="B237" s="21" t="str">
        <f aca="false">IF(INDEX(Tasks!$A:$A,ROW()-1)="","",IF(ISERROR(FIND(".",INDEX(Tasks!$A:$A,ROW()-1))),"","   ")&amp;INDEX(Tasks!$D:$D,ROW()-1))</f>
        <v/>
      </c>
      <c r="C237" s="21" t="str">
        <f aca="false">IF(INDEX(Tasks!$G:$G,ROW()-1)="","",INDEX(Tasks!$G:$G,ROW()-1))</f>
        <v/>
      </c>
      <c r="D237" s="21" t="str">
        <f aca="false">IF(INDEX(Tasks!$H:$H,ROW()-1)="","",INDEX(Tasks!$H:$H,ROW()-1))</f>
        <v/>
      </c>
      <c r="E237" s="22" t="str">
        <f aca="false">IF(INDEX(Tasks!$I:$I,ROW()-1)="","",INDEX(Tasks!$I:$I,ROW()-1))</f>
        <v/>
      </c>
      <c r="F237" s="22" t="str">
        <f aca="false">IF(INDEX(Tasks!$K:$K,ROW()-1)="","",INDEX(Tasks!$K:$K,ROW()-1))</f>
        <v/>
      </c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</row>
    <row r="238" customFormat="false" ht="15" hidden="false" customHeight="false" outlineLevel="0" collapsed="false">
      <c r="A238" s="21" t="str">
        <f aca="false">IF(INDEX(Tasks!$A:$A,ROW()-1)="","",INDEX(Tasks!$A:$A,ROW()-1))</f>
        <v/>
      </c>
      <c r="B238" s="21" t="str">
        <f aca="false">IF(INDEX(Tasks!$A:$A,ROW()-1)="","",IF(ISERROR(FIND(".",INDEX(Tasks!$A:$A,ROW()-1))),"","   ")&amp;INDEX(Tasks!$D:$D,ROW()-1))</f>
        <v/>
      </c>
      <c r="C238" s="21" t="str">
        <f aca="false">IF(INDEX(Tasks!$G:$G,ROW()-1)="","",INDEX(Tasks!$G:$G,ROW()-1))</f>
        <v/>
      </c>
      <c r="D238" s="21" t="str">
        <f aca="false">IF(INDEX(Tasks!$H:$H,ROW()-1)="","",INDEX(Tasks!$H:$H,ROW()-1))</f>
        <v/>
      </c>
      <c r="E238" s="22" t="str">
        <f aca="false">IF(INDEX(Tasks!$I:$I,ROW()-1)="","",INDEX(Tasks!$I:$I,ROW()-1))</f>
        <v/>
      </c>
      <c r="F238" s="22" t="str">
        <f aca="false">IF(INDEX(Tasks!$K:$K,ROW()-1)="","",INDEX(Tasks!$K:$K,ROW()-1))</f>
        <v/>
      </c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</row>
    <row r="239" customFormat="false" ht="15" hidden="false" customHeight="false" outlineLevel="0" collapsed="false">
      <c r="A239" s="21" t="str">
        <f aca="false">IF(INDEX(Tasks!$A:$A,ROW()-1)="","",INDEX(Tasks!$A:$A,ROW()-1))</f>
        <v/>
      </c>
      <c r="B239" s="21" t="str">
        <f aca="false">IF(INDEX(Tasks!$A:$A,ROW()-1)="","",IF(ISERROR(FIND(".",INDEX(Tasks!$A:$A,ROW()-1))),"","   ")&amp;INDEX(Tasks!$D:$D,ROW()-1))</f>
        <v/>
      </c>
      <c r="C239" s="21" t="str">
        <f aca="false">IF(INDEX(Tasks!$G:$G,ROW()-1)="","",INDEX(Tasks!$G:$G,ROW()-1))</f>
        <v/>
      </c>
      <c r="D239" s="21" t="str">
        <f aca="false">IF(INDEX(Tasks!$H:$H,ROW()-1)="","",INDEX(Tasks!$H:$H,ROW()-1))</f>
        <v/>
      </c>
      <c r="E239" s="22" t="str">
        <f aca="false">IF(INDEX(Tasks!$I:$I,ROW()-1)="","",INDEX(Tasks!$I:$I,ROW()-1))</f>
        <v/>
      </c>
      <c r="F239" s="22" t="str">
        <f aca="false">IF(INDEX(Tasks!$K:$K,ROW()-1)="","",INDEX(Tasks!$K:$K,ROW()-1))</f>
        <v/>
      </c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</row>
    <row r="240" customFormat="false" ht="15" hidden="false" customHeight="false" outlineLevel="0" collapsed="false">
      <c r="A240" s="21" t="str">
        <f aca="false">IF(INDEX(Tasks!$A:$A,ROW()-1)="","",INDEX(Tasks!$A:$A,ROW()-1))</f>
        <v/>
      </c>
      <c r="B240" s="21" t="str">
        <f aca="false">IF(INDEX(Tasks!$A:$A,ROW()-1)="","",IF(ISERROR(FIND(".",INDEX(Tasks!$A:$A,ROW()-1))),"","   ")&amp;INDEX(Tasks!$D:$D,ROW()-1))</f>
        <v/>
      </c>
      <c r="C240" s="21" t="str">
        <f aca="false">IF(INDEX(Tasks!$G:$G,ROW()-1)="","",INDEX(Tasks!$G:$G,ROW()-1))</f>
        <v/>
      </c>
      <c r="D240" s="21" t="str">
        <f aca="false">IF(INDEX(Tasks!$H:$H,ROW()-1)="","",INDEX(Tasks!$H:$H,ROW()-1))</f>
        <v/>
      </c>
      <c r="E240" s="22" t="str">
        <f aca="false">IF(INDEX(Tasks!$I:$I,ROW()-1)="","",INDEX(Tasks!$I:$I,ROW()-1))</f>
        <v/>
      </c>
      <c r="F240" s="22" t="str">
        <f aca="false">IF(INDEX(Tasks!$K:$K,ROW()-1)="","",INDEX(Tasks!$K:$K,ROW()-1))</f>
        <v/>
      </c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</row>
    <row r="241" customFormat="false" ht="15" hidden="false" customHeight="false" outlineLevel="0" collapsed="false">
      <c r="A241" s="21" t="str">
        <f aca="false">IF(INDEX(Tasks!$A:$A,ROW()-1)="","",INDEX(Tasks!$A:$A,ROW()-1))</f>
        <v/>
      </c>
      <c r="B241" s="21" t="str">
        <f aca="false">IF(INDEX(Tasks!$A:$A,ROW()-1)="","",IF(ISERROR(FIND(".",INDEX(Tasks!$A:$A,ROW()-1))),"","   ")&amp;INDEX(Tasks!$D:$D,ROW()-1))</f>
        <v/>
      </c>
      <c r="C241" s="21" t="str">
        <f aca="false">IF(INDEX(Tasks!$G:$G,ROW()-1)="","",INDEX(Tasks!$G:$G,ROW()-1))</f>
        <v/>
      </c>
      <c r="D241" s="21" t="str">
        <f aca="false">IF(INDEX(Tasks!$H:$H,ROW()-1)="","",INDEX(Tasks!$H:$H,ROW()-1))</f>
        <v/>
      </c>
      <c r="E241" s="22" t="str">
        <f aca="false">IF(INDEX(Tasks!$I:$I,ROW()-1)="","",INDEX(Tasks!$I:$I,ROW()-1))</f>
        <v/>
      </c>
      <c r="F241" s="22" t="str">
        <f aca="false">IF(INDEX(Tasks!$K:$K,ROW()-1)="","",INDEX(Tasks!$K:$K,ROW()-1))</f>
        <v/>
      </c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</row>
    <row r="242" customFormat="false" ht="15" hidden="false" customHeight="false" outlineLevel="0" collapsed="false">
      <c r="A242" s="21" t="str">
        <f aca="false">IF(INDEX(Tasks!$A:$A,ROW()-1)="","",INDEX(Tasks!$A:$A,ROW()-1))</f>
        <v/>
      </c>
      <c r="B242" s="21" t="str">
        <f aca="false">IF(INDEX(Tasks!$A:$A,ROW()-1)="","",IF(ISERROR(FIND(".",INDEX(Tasks!$A:$A,ROW()-1))),"","   ")&amp;INDEX(Tasks!$D:$D,ROW()-1))</f>
        <v/>
      </c>
      <c r="C242" s="21" t="str">
        <f aca="false">IF(INDEX(Tasks!$G:$G,ROW()-1)="","",INDEX(Tasks!$G:$G,ROW()-1))</f>
        <v/>
      </c>
      <c r="D242" s="21" t="str">
        <f aca="false">IF(INDEX(Tasks!$H:$H,ROW()-1)="","",INDEX(Tasks!$H:$H,ROW()-1))</f>
        <v/>
      </c>
      <c r="E242" s="22" t="str">
        <f aca="false">IF(INDEX(Tasks!$I:$I,ROW()-1)="","",INDEX(Tasks!$I:$I,ROW()-1))</f>
        <v/>
      </c>
      <c r="F242" s="22" t="str">
        <f aca="false">IF(INDEX(Tasks!$K:$K,ROW()-1)="","",INDEX(Tasks!$K:$K,ROW()-1))</f>
        <v/>
      </c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</row>
    <row r="243" customFormat="false" ht="15" hidden="false" customHeight="false" outlineLevel="0" collapsed="false">
      <c r="A243" s="21" t="str">
        <f aca="false">IF(INDEX(Tasks!$A:$A,ROW()-1)="","",INDEX(Tasks!$A:$A,ROW()-1))</f>
        <v/>
      </c>
      <c r="B243" s="21" t="str">
        <f aca="false">IF(INDEX(Tasks!$A:$A,ROW()-1)="","",IF(ISERROR(FIND(".",INDEX(Tasks!$A:$A,ROW()-1))),"","   ")&amp;INDEX(Tasks!$D:$D,ROW()-1))</f>
        <v/>
      </c>
      <c r="C243" s="21" t="str">
        <f aca="false">IF(INDEX(Tasks!$G:$G,ROW()-1)="","",INDEX(Tasks!$G:$G,ROW()-1))</f>
        <v/>
      </c>
      <c r="D243" s="21" t="str">
        <f aca="false">IF(INDEX(Tasks!$H:$H,ROW()-1)="","",INDEX(Tasks!$H:$H,ROW()-1))</f>
        <v/>
      </c>
      <c r="E243" s="22" t="str">
        <f aca="false">IF(INDEX(Tasks!$I:$I,ROW()-1)="","",INDEX(Tasks!$I:$I,ROW()-1))</f>
        <v/>
      </c>
      <c r="F243" s="22" t="str">
        <f aca="false">IF(INDEX(Tasks!$K:$K,ROW()-1)="","",INDEX(Tasks!$K:$K,ROW()-1))</f>
        <v/>
      </c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  <c r="AX243" s="23"/>
    </row>
    <row r="244" customFormat="false" ht="15" hidden="false" customHeight="false" outlineLevel="0" collapsed="false">
      <c r="A244" s="21" t="str">
        <f aca="false">IF(INDEX(Tasks!$A:$A,ROW()-1)="","",INDEX(Tasks!$A:$A,ROW()-1))</f>
        <v/>
      </c>
      <c r="B244" s="21" t="str">
        <f aca="false">IF(INDEX(Tasks!$A:$A,ROW()-1)="","",IF(ISERROR(FIND(".",INDEX(Tasks!$A:$A,ROW()-1))),"","   ")&amp;INDEX(Tasks!$D:$D,ROW()-1))</f>
        <v/>
      </c>
      <c r="C244" s="21" t="str">
        <f aca="false">IF(INDEX(Tasks!$G:$G,ROW()-1)="","",INDEX(Tasks!$G:$G,ROW()-1))</f>
        <v/>
      </c>
      <c r="D244" s="21" t="str">
        <f aca="false">IF(INDEX(Tasks!$H:$H,ROW()-1)="","",INDEX(Tasks!$H:$H,ROW()-1))</f>
        <v/>
      </c>
      <c r="E244" s="22" t="str">
        <f aca="false">IF(INDEX(Tasks!$I:$I,ROW()-1)="","",INDEX(Tasks!$I:$I,ROW()-1))</f>
        <v/>
      </c>
      <c r="F244" s="22" t="str">
        <f aca="false">IF(INDEX(Tasks!$K:$K,ROW()-1)="","",INDEX(Tasks!$K:$K,ROW()-1))</f>
        <v/>
      </c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</row>
    <row r="245" customFormat="false" ht="15" hidden="false" customHeight="false" outlineLevel="0" collapsed="false">
      <c r="A245" s="21" t="str">
        <f aca="false">IF(INDEX(Tasks!$A:$A,ROW()-1)="","",INDEX(Tasks!$A:$A,ROW()-1))</f>
        <v/>
      </c>
      <c r="B245" s="21" t="str">
        <f aca="false">IF(INDEX(Tasks!$A:$A,ROW()-1)="","",IF(ISERROR(FIND(".",INDEX(Tasks!$A:$A,ROW()-1))),"","   ")&amp;INDEX(Tasks!$D:$D,ROW()-1))</f>
        <v/>
      </c>
      <c r="C245" s="21" t="str">
        <f aca="false">IF(INDEX(Tasks!$G:$G,ROW()-1)="","",INDEX(Tasks!$G:$G,ROW()-1))</f>
        <v/>
      </c>
      <c r="D245" s="21" t="str">
        <f aca="false">IF(INDEX(Tasks!$H:$H,ROW()-1)="","",INDEX(Tasks!$H:$H,ROW()-1))</f>
        <v/>
      </c>
      <c r="E245" s="22" t="str">
        <f aca="false">IF(INDEX(Tasks!$I:$I,ROW()-1)="","",INDEX(Tasks!$I:$I,ROW()-1))</f>
        <v/>
      </c>
      <c r="F245" s="22" t="str">
        <f aca="false">IF(INDEX(Tasks!$K:$K,ROW()-1)="","",INDEX(Tasks!$K:$K,ROW()-1))</f>
        <v/>
      </c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  <c r="AT245" s="23"/>
      <c r="AU245" s="23"/>
      <c r="AV245" s="23"/>
      <c r="AW245" s="23"/>
      <c r="AX245" s="23"/>
    </row>
    <row r="246" customFormat="false" ht="15" hidden="false" customHeight="false" outlineLevel="0" collapsed="false">
      <c r="A246" s="21" t="str">
        <f aca="false">IF(INDEX(Tasks!$A:$A,ROW()-1)="","",INDEX(Tasks!$A:$A,ROW()-1))</f>
        <v/>
      </c>
      <c r="B246" s="21" t="str">
        <f aca="false">IF(INDEX(Tasks!$A:$A,ROW()-1)="","",IF(ISERROR(FIND(".",INDEX(Tasks!$A:$A,ROW()-1))),"","   ")&amp;INDEX(Tasks!$D:$D,ROW()-1))</f>
        <v/>
      </c>
      <c r="C246" s="21" t="str">
        <f aca="false">IF(INDEX(Tasks!$G:$G,ROW()-1)="","",INDEX(Tasks!$G:$G,ROW()-1))</f>
        <v/>
      </c>
      <c r="D246" s="21" t="str">
        <f aca="false">IF(INDEX(Tasks!$H:$H,ROW()-1)="","",INDEX(Tasks!$H:$H,ROW()-1))</f>
        <v/>
      </c>
      <c r="E246" s="22" t="str">
        <f aca="false">IF(INDEX(Tasks!$I:$I,ROW()-1)="","",INDEX(Tasks!$I:$I,ROW()-1))</f>
        <v/>
      </c>
      <c r="F246" s="22" t="str">
        <f aca="false">IF(INDEX(Tasks!$K:$K,ROW()-1)="","",INDEX(Tasks!$K:$K,ROW()-1))</f>
        <v/>
      </c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  <c r="AX246" s="23"/>
    </row>
    <row r="247" customFormat="false" ht="15" hidden="false" customHeight="false" outlineLevel="0" collapsed="false">
      <c r="A247" s="21" t="str">
        <f aca="false">IF(INDEX(Tasks!$A:$A,ROW()-1)="","",INDEX(Tasks!$A:$A,ROW()-1))</f>
        <v/>
      </c>
      <c r="B247" s="21" t="str">
        <f aca="false">IF(INDEX(Tasks!$A:$A,ROW()-1)="","",IF(ISERROR(FIND(".",INDEX(Tasks!$A:$A,ROW()-1))),"","   ")&amp;INDEX(Tasks!$D:$D,ROW()-1))</f>
        <v/>
      </c>
      <c r="C247" s="21" t="str">
        <f aca="false">IF(INDEX(Tasks!$G:$G,ROW()-1)="","",INDEX(Tasks!$G:$G,ROW()-1))</f>
        <v/>
      </c>
      <c r="D247" s="21" t="str">
        <f aca="false">IF(INDEX(Tasks!$H:$H,ROW()-1)="","",INDEX(Tasks!$H:$H,ROW()-1))</f>
        <v/>
      </c>
      <c r="E247" s="22" t="str">
        <f aca="false">IF(INDEX(Tasks!$I:$I,ROW()-1)="","",INDEX(Tasks!$I:$I,ROW()-1))</f>
        <v/>
      </c>
      <c r="F247" s="22" t="str">
        <f aca="false">IF(INDEX(Tasks!$K:$K,ROW()-1)="","",INDEX(Tasks!$K:$K,ROW()-1))</f>
        <v/>
      </c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</row>
    <row r="248" customFormat="false" ht="15" hidden="false" customHeight="false" outlineLevel="0" collapsed="false">
      <c r="A248" s="21" t="str">
        <f aca="false">IF(INDEX(Tasks!$A:$A,ROW()-1)="","",INDEX(Tasks!$A:$A,ROW()-1))</f>
        <v/>
      </c>
      <c r="B248" s="21" t="str">
        <f aca="false">IF(INDEX(Tasks!$A:$A,ROW()-1)="","",IF(ISERROR(FIND(".",INDEX(Tasks!$A:$A,ROW()-1))),"","   ")&amp;INDEX(Tasks!$D:$D,ROW()-1))</f>
        <v/>
      </c>
      <c r="C248" s="21" t="str">
        <f aca="false">IF(INDEX(Tasks!$G:$G,ROW()-1)="","",INDEX(Tasks!$G:$G,ROW()-1))</f>
        <v/>
      </c>
      <c r="D248" s="21" t="str">
        <f aca="false">IF(INDEX(Tasks!$H:$H,ROW()-1)="","",INDEX(Tasks!$H:$H,ROW()-1))</f>
        <v/>
      </c>
      <c r="E248" s="22" t="str">
        <f aca="false">IF(INDEX(Tasks!$I:$I,ROW()-1)="","",INDEX(Tasks!$I:$I,ROW()-1))</f>
        <v/>
      </c>
      <c r="F248" s="22" t="str">
        <f aca="false">IF(INDEX(Tasks!$K:$K,ROW()-1)="","",INDEX(Tasks!$K:$K,ROW()-1))</f>
        <v/>
      </c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</row>
    <row r="249" customFormat="false" ht="15" hidden="false" customHeight="false" outlineLevel="0" collapsed="false">
      <c r="A249" s="21" t="str">
        <f aca="false">IF(INDEX(Tasks!$A:$A,ROW()-1)="","",INDEX(Tasks!$A:$A,ROW()-1))</f>
        <v/>
      </c>
      <c r="B249" s="21" t="str">
        <f aca="false">IF(INDEX(Tasks!$A:$A,ROW()-1)="","",IF(ISERROR(FIND(".",INDEX(Tasks!$A:$A,ROW()-1))),"","   ")&amp;INDEX(Tasks!$D:$D,ROW()-1))</f>
        <v/>
      </c>
      <c r="C249" s="21" t="str">
        <f aca="false">IF(INDEX(Tasks!$G:$G,ROW()-1)="","",INDEX(Tasks!$G:$G,ROW()-1))</f>
        <v/>
      </c>
      <c r="D249" s="21" t="str">
        <f aca="false">IF(INDEX(Tasks!$H:$H,ROW()-1)="","",INDEX(Tasks!$H:$H,ROW()-1))</f>
        <v/>
      </c>
      <c r="E249" s="22" t="str">
        <f aca="false">IF(INDEX(Tasks!$I:$I,ROW()-1)="","",INDEX(Tasks!$I:$I,ROW()-1))</f>
        <v/>
      </c>
      <c r="F249" s="22" t="str">
        <f aca="false">IF(INDEX(Tasks!$K:$K,ROW()-1)="","",INDEX(Tasks!$K:$K,ROW()-1))</f>
        <v/>
      </c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23"/>
      <c r="AU249" s="23"/>
      <c r="AV249" s="23"/>
      <c r="AW249" s="23"/>
      <c r="AX249" s="23"/>
    </row>
    <row r="250" customFormat="false" ht="15" hidden="false" customHeight="false" outlineLevel="0" collapsed="false">
      <c r="A250" s="21" t="str">
        <f aca="false">IF(INDEX(Tasks!$A:$A,ROW()-1)="","",INDEX(Tasks!$A:$A,ROW()-1))</f>
        <v/>
      </c>
      <c r="B250" s="21" t="str">
        <f aca="false">IF(INDEX(Tasks!$A:$A,ROW()-1)="","",IF(ISERROR(FIND(".",INDEX(Tasks!$A:$A,ROW()-1))),"","   ")&amp;INDEX(Tasks!$D:$D,ROW()-1))</f>
        <v/>
      </c>
      <c r="C250" s="21" t="str">
        <f aca="false">IF(INDEX(Tasks!$G:$G,ROW()-1)="","",INDEX(Tasks!$G:$G,ROW()-1))</f>
        <v/>
      </c>
      <c r="D250" s="21" t="str">
        <f aca="false">IF(INDEX(Tasks!$H:$H,ROW()-1)="","",INDEX(Tasks!$H:$H,ROW()-1))</f>
        <v/>
      </c>
      <c r="E250" s="22" t="str">
        <f aca="false">IF(INDEX(Tasks!$I:$I,ROW()-1)="","",INDEX(Tasks!$I:$I,ROW()-1))</f>
        <v/>
      </c>
      <c r="F250" s="22" t="str">
        <f aca="false">IF(INDEX(Tasks!$K:$K,ROW()-1)="","",INDEX(Tasks!$K:$K,ROW()-1))</f>
        <v/>
      </c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23"/>
      <c r="AT250" s="23"/>
      <c r="AU250" s="23"/>
      <c r="AV250" s="23"/>
      <c r="AW250" s="23"/>
      <c r="AX250" s="23"/>
    </row>
    <row r="251" customFormat="false" ht="15" hidden="false" customHeight="false" outlineLevel="0" collapsed="false">
      <c r="A251" s="21" t="str">
        <f aca="false">IF(INDEX(Tasks!$A:$A,ROW()-1)="","",INDEX(Tasks!$A:$A,ROW()-1))</f>
        <v/>
      </c>
      <c r="B251" s="21" t="str">
        <f aca="false">IF(INDEX(Tasks!$A:$A,ROW()-1)="","",IF(ISERROR(FIND(".",INDEX(Tasks!$A:$A,ROW()-1))),"","   ")&amp;INDEX(Tasks!$D:$D,ROW()-1))</f>
        <v/>
      </c>
      <c r="C251" s="21" t="str">
        <f aca="false">IF(INDEX(Tasks!$G:$G,ROW()-1)="","",INDEX(Tasks!$G:$G,ROW()-1))</f>
        <v/>
      </c>
      <c r="D251" s="21" t="str">
        <f aca="false">IF(INDEX(Tasks!$H:$H,ROW()-1)="","",INDEX(Tasks!$H:$H,ROW()-1))</f>
        <v/>
      </c>
      <c r="E251" s="22" t="str">
        <f aca="false">IF(INDEX(Tasks!$I:$I,ROW()-1)="","",INDEX(Tasks!$I:$I,ROW()-1))</f>
        <v/>
      </c>
      <c r="F251" s="22" t="str">
        <f aca="false">IF(INDEX(Tasks!$K:$K,ROW()-1)="","",INDEX(Tasks!$K:$K,ROW()-1))</f>
        <v/>
      </c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</row>
    <row r="252" customFormat="false" ht="15" hidden="false" customHeight="false" outlineLevel="0" collapsed="false">
      <c r="A252" s="21" t="str">
        <f aca="false">IF(INDEX(Tasks!$A:$A,ROW()-1)="","",INDEX(Tasks!$A:$A,ROW()-1))</f>
        <v/>
      </c>
      <c r="B252" s="21" t="str">
        <f aca="false">IF(INDEX(Tasks!$A:$A,ROW()-1)="","",IF(ISERROR(FIND(".",INDEX(Tasks!$A:$A,ROW()-1))),"","   ")&amp;INDEX(Tasks!$D:$D,ROW()-1))</f>
        <v/>
      </c>
      <c r="C252" s="21" t="str">
        <f aca="false">IF(INDEX(Tasks!$G:$G,ROW()-1)="","",INDEX(Tasks!$G:$G,ROW()-1))</f>
        <v/>
      </c>
      <c r="D252" s="21" t="str">
        <f aca="false">IF(INDEX(Tasks!$H:$H,ROW()-1)="","",INDEX(Tasks!$H:$H,ROW()-1))</f>
        <v/>
      </c>
      <c r="E252" s="22" t="str">
        <f aca="false">IF(INDEX(Tasks!$I:$I,ROW()-1)="","",INDEX(Tasks!$I:$I,ROW()-1))</f>
        <v/>
      </c>
      <c r="F252" s="22" t="str">
        <f aca="false">IF(INDEX(Tasks!$K:$K,ROW()-1)="","",INDEX(Tasks!$K:$K,ROW()-1))</f>
        <v/>
      </c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</row>
    <row r="253" customFormat="false" ht="15" hidden="false" customHeight="false" outlineLevel="0" collapsed="false">
      <c r="A253" s="21" t="str">
        <f aca="false">IF(INDEX(Tasks!$A:$A,ROW()-1)="","",INDEX(Tasks!$A:$A,ROW()-1))</f>
        <v/>
      </c>
      <c r="B253" s="21" t="str">
        <f aca="false">IF(INDEX(Tasks!$A:$A,ROW()-1)="","",IF(ISERROR(FIND(".",INDEX(Tasks!$A:$A,ROW()-1))),"","   ")&amp;INDEX(Tasks!$D:$D,ROW()-1))</f>
        <v/>
      </c>
      <c r="C253" s="21" t="str">
        <f aca="false">IF(INDEX(Tasks!$G:$G,ROW()-1)="","",INDEX(Tasks!$G:$G,ROW()-1))</f>
        <v/>
      </c>
      <c r="D253" s="21" t="str">
        <f aca="false">IF(INDEX(Tasks!$H:$H,ROW()-1)="","",INDEX(Tasks!$H:$H,ROW()-1))</f>
        <v/>
      </c>
      <c r="E253" s="22" t="str">
        <f aca="false">IF(INDEX(Tasks!$I:$I,ROW()-1)="","",INDEX(Tasks!$I:$I,ROW()-1))</f>
        <v/>
      </c>
      <c r="F253" s="22" t="str">
        <f aca="false">IF(INDEX(Tasks!$K:$K,ROW()-1)="","",INDEX(Tasks!$K:$K,ROW()-1))</f>
        <v/>
      </c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/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</row>
    <row r="254" customFormat="false" ht="15" hidden="false" customHeight="false" outlineLevel="0" collapsed="false">
      <c r="A254" s="21" t="str">
        <f aca="false">IF(INDEX(Tasks!$A:$A,ROW()-1)="","",INDEX(Tasks!$A:$A,ROW()-1))</f>
        <v/>
      </c>
      <c r="B254" s="21" t="str">
        <f aca="false">IF(INDEX(Tasks!$A:$A,ROW()-1)="","",IF(ISERROR(FIND(".",INDEX(Tasks!$A:$A,ROW()-1))),"","   ")&amp;INDEX(Tasks!$D:$D,ROW()-1))</f>
        <v/>
      </c>
      <c r="C254" s="21" t="str">
        <f aca="false">IF(INDEX(Tasks!$G:$G,ROW()-1)="","",INDEX(Tasks!$G:$G,ROW()-1))</f>
        <v/>
      </c>
      <c r="D254" s="21" t="str">
        <f aca="false">IF(INDEX(Tasks!$H:$H,ROW()-1)="","",INDEX(Tasks!$H:$H,ROW()-1))</f>
        <v/>
      </c>
      <c r="E254" s="22" t="str">
        <f aca="false">IF(INDEX(Tasks!$I:$I,ROW()-1)="","",INDEX(Tasks!$I:$I,ROW()-1))</f>
        <v/>
      </c>
      <c r="F254" s="22" t="str">
        <f aca="false">IF(INDEX(Tasks!$K:$K,ROW()-1)="","",INDEX(Tasks!$K:$K,ROW()-1))</f>
        <v/>
      </c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</row>
    <row r="255" customFormat="false" ht="15" hidden="false" customHeight="false" outlineLevel="0" collapsed="false">
      <c r="A255" s="21" t="str">
        <f aca="false">IF(INDEX(Tasks!$A:$A,ROW()-1)="","",INDEX(Tasks!$A:$A,ROW()-1))</f>
        <v/>
      </c>
      <c r="B255" s="21" t="str">
        <f aca="false">IF(INDEX(Tasks!$A:$A,ROW()-1)="","",IF(ISERROR(FIND(".",INDEX(Tasks!$A:$A,ROW()-1))),"","   ")&amp;INDEX(Tasks!$D:$D,ROW()-1))</f>
        <v/>
      </c>
      <c r="C255" s="21" t="str">
        <f aca="false">IF(INDEX(Tasks!$G:$G,ROW()-1)="","",INDEX(Tasks!$G:$G,ROW()-1))</f>
        <v/>
      </c>
      <c r="D255" s="21" t="str">
        <f aca="false">IF(INDEX(Tasks!$H:$H,ROW()-1)="","",INDEX(Tasks!$H:$H,ROW()-1))</f>
        <v/>
      </c>
      <c r="E255" s="22" t="str">
        <f aca="false">IF(INDEX(Tasks!$I:$I,ROW()-1)="","",INDEX(Tasks!$I:$I,ROW()-1))</f>
        <v/>
      </c>
      <c r="F255" s="22" t="str">
        <f aca="false">IF(INDEX(Tasks!$K:$K,ROW()-1)="","",INDEX(Tasks!$K:$K,ROW()-1))</f>
        <v/>
      </c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/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</row>
    <row r="256" customFormat="false" ht="15" hidden="false" customHeight="false" outlineLevel="0" collapsed="false">
      <c r="A256" s="21" t="str">
        <f aca="false">IF(INDEX(Tasks!$A:$A,ROW()-1)="","",INDEX(Tasks!$A:$A,ROW()-1))</f>
        <v/>
      </c>
      <c r="B256" s="21" t="str">
        <f aca="false">IF(INDEX(Tasks!$A:$A,ROW()-1)="","",IF(ISERROR(FIND(".",INDEX(Tasks!$A:$A,ROW()-1))),"","   ")&amp;INDEX(Tasks!$D:$D,ROW()-1))</f>
        <v/>
      </c>
      <c r="C256" s="21" t="str">
        <f aca="false">IF(INDEX(Tasks!$G:$G,ROW()-1)="","",INDEX(Tasks!$G:$G,ROW()-1))</f>
        <v/>
      </c>
      <c r="D256" s="21" t="str">
        <f aca="false">IF(INDEX(Tasks!$H:$H,ROW()-1)="","",INDEX(Tasks!$H:$H,ROW()-1))</f>
        <v/>
      </c>
      <c r="E256" s="22" t="str">
        <f aca="false">IF(INDEX(Tasks!$I:$I,ROW()-1)="","",INDEX(Tasks!$I:$I,ROW()-1))</f>
        <v/>
      </c>
      <c r="F256" s="22" t="str">
        <f aca="false">IF(INDEX(Tasks!$K:$K,ROW()-1)="","",INDEX(Tasks!$K:$K,ROW()-1))</f>
        <v/>
      </c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  <c r="AQ256" s="23"/>
      <c r="AR256" s="23"/>
      <c r="AS256" s="23"/>
      <c r="AT256" s="23"/>
      <c r="AU256" s="23"/>
      <c r="AV256" s="23"/>
      <c r="AW256" s="23"/>
      <c r="AX256" s="23"/>
    </row>
    <row r="257" customFormat="false" ht="15" hidden="false" customHeight="false" outlineLevel="0" collapsed="false">
      <c r="A257" s="21" t="str">
        <f aca="false">IF(INDEX(Tasks!$A:$A,ROW()-1)="","",INDEX(Tasks!$A:$A,ROW()-1))</f>
        <v/>
      </c>
      <c r="B257" s="21" t="str">
        <f aca="false">IF(INDEX(Tasks!$A:$A,ROW()-1)="","",IF(ISERROR(FIND(".",INDEX(Tasks!$A:$A,ROW()-1))),"","   ")&amp;INDEX(Tasks!$D:$D,ROW()-1))</f>
        <v/>
      </c>
      <c r="C257" s="21" t="str">
        <f aca="false">IF(INDEX(Tasks!$G:$G,ROW()-1)="","",INDEX(Tasks!$G:$G,ROW()-1))</f>
        <v/>
      </c>
      <c r="D257" s="21" t="str">
        <f aca="false">IF(INDEX(Tasks!$H:$H,ROW()-1)="","",INDEX(Tasks!$H:$H,ROW()-1))</f>
        <v/>
      </c>
      <c r="E257" s="22" t="str">
        <f aca="false">IF(INDEX(Tasks!$I:$I,ROW()-1)="","",INDEX(Tasks!$I:$I,ROW()-1))</f>
        <v/>
      </c>
      <c r="F257" s="22" t="str">
        <f aca="false">IF(INDEX(Tasks!$K:$K,ROW()-1)="","",INDEX(Tasks!$K:$K,ROW()-1))</f>
        <v/>
      </c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</row>
    <row r="258" customFormat="false" ht="15" hidden="false" customHeight="false" outlineLevel="0" collapsed="false">
      <c r="A258" s="21" t="str">
        <f aca="false">IF(INDEX(Tasks!$A:$A,ROW()-1)="","",INDEX(Tasks!$A:$A,ROW()-1))</f>
        <v/>
      </c>
      <c r="B258" s="21" t="str">
        <f aca="false">IF(INDEX(Tasks!$A:$A,ROW()-1)="","",IF(ISERROR(FIND(".",INDEX(Tasks!$A:$A,ROW()-1))),"","   ")&amp;INDEX(Tasks!$D:$D,ROW()-1))</f>
        <v/>
      </c>
      <c r="C258" s="21" t="str">
        <f aca="false">IF(INDEX(Tasks!$G:$G,ROW()-1)="","",INDEX(Tasks!$G:$G,ROW()-1))</f>
        <v/>
      </c>
      <c r="D258" s="21" t="str">
        <f aca="false">IF(INDEX(Tasks!$H:$H,ROW()-1)="","",INDEX(Tasks!$H:$H,ROW()-1))</f>
        <v/>
      </c>
      <c r="E258" s="22" t="str">
        <f aca="false">IF(INDEX(Tasks!$I:$I,ROW()-1)="","",INDEX(Tasks!$I:$I,ROW()-1))</f>
        <v/>
      </c>
      <c r="F258" s="22" t="str">
        <f aca="false">IF(INDEX(Tasks!$K:$K,ROW()-1)="","",INDEX(Tasks!$K:$K,ROW()-1))</f>
        <v/>
      </c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  <c r="AL258" s="23"/>
      <c r="AM258" s="23"/>
      <c r="AN258" s="23"/>
      <c r="AO258" s="23"/>
      <c r="AP258" s="23"/>
      <c r="AQ258" s="23"/>
      <c r="AR258" s="23"/>
      <c r="AS258" s="23"/>
      <c r="AT258" s="23"/>
      <c r="AU258" s="23"/>
      <c r="AV258" s="23"/>
      <c r="AW258" s="23"/>
      <c r="AX258" s="23"/>
    </row>
    <row r="259" customFormat="false" ht="15" hidden="false" customHeight="false" outlineLevel="0" collapsed="false">
      <c r="A259" s="21" t="str">
        <f aca="false">IF(INDEX(Tasks!$A:$A,ROW()-1)="","",INDEX(Tasks!$A:$A,ROW()-1))</f>
        <v/>
      </c>
      <c r="B259" s="21" t="str">
        <f aca="false">IF(INDEX(Tasks!$A:$A,ROW()-1)="","",IF(ISERROR(FIND(".",INDEX(Tasks!$A:$A,ROW()-1))),"","   ")&amp;INDEX(Tasks!$D:$D,ROW()-1))</f>
        <v/>
      </c>
      <c r="C259" s="21" t="str">
        <f aca="false">IF(INDEX(Tasks!$G:$G,ROW()-1)="","",INDEX(Tasks!$G:$G,ROW()-1))</f>
        <v/>
      </c>
      <c r="D259" s="21" t="str">
        <f aca="false">IF(INDEX(Tasks!$H:$H,ROW()-1)="","",INDEX(Tasks!$H:$H,ROW()-1))</f>
        <v/>
      </c>
      <c r="E259" s="22" t="str">
        <f aca="false">IF(INDEX(Tasks!$I:$I,ROW()-1)="","",INDEX(Tasks!$I:$I,ROW()-1))</f>
        <v/>
      </c>
      <c r="F259" s="22" t="str">
        <f aca="false">IF(INDEX(Tasks!$K:$K,ROW()-1)="","",INDEX(Tasks!$K:$K,ROW()-1))</f>
        <v/>
      </c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  <c r="AL259" s="23"/>
      <c r="AM259" s="23"/>
      <c r="AN259" s="23"/>
      <c r="AO259" s="23"/>
      <c r="AP259" s="23"/>
      <c r="AQ259" s="23"/>
      <c r="AR259" s="23"/>
      <c r="AS259" s="23"/>
      <c r="AT259" s="23"/>
      <c r="AU259" s="23"/>
      <c r="AV259" s="23"/>
      <c r="AW259" s="23"/>
      <c r="AX259" s="23"/>
    </row>
    <row r="260" customFormat="false" ht="15" hidden="false" customHeight="false" outlineLevel="0" collapsed="false">
      <c r="A260" s="21" t="str">
        <f aca="false">IF(INDEX(Tasks!$A:$A,ROW()-1)="","",INDEX(Tasks!$A:$A,ROW()-1))</f>
        <v/>
      </c>
      <c r="B260" s="21" t="str">
        <f aca="false">IF(INDEX(Tasks!$A:$A,ROW()-1)="","",IF(ISERROR(FIND(".",INDEX(Tasks!$A:$A,ROW()-1))),"","   ")&amp;INDEX(Tasks!$D:$D,ROW()-1))</f>
        <v/>
      </c>
      <c r="C260" s="21" t="str">
        <f aca="false">IF(INDEX(Tasks!$G:$G,ROW()-1)="","",INDEX(Tasks!$G:$G,ROW()-1))</f>
        <v/>
      </c>
      <c r="D260" s="21" t="str">
        <f aca="false">IF(INDEX(Tasks!$H:$H,ROW()-1)="","",INDEX(Tasks!$H:$H,ROW()-1))</f>
        <v/>
      </c>
      <c r="E260" s="22" t="str">
        <f aca="false">IF(INDEX(Tasks!$I:$I,ROW()-1)="","",INDEX(Tasks!$I:$I,ROW()-1))</f>
        <v/>
      </c>
      <c r="F260" s="22" t="str">
        <f aca="false">IF(INDEX(Tasks!$K:$K,ROW()-1)="","",INDEX(Tasks!$K:$K,ROW()-1))</f>
        <v/>
      </c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</row>
    <row r="261" customFormat="false" ht="15" hidden="false" customHeight="false" outlineLevel="0" collapsed="false">
      <c r="A261" s="21" t="str">
        <f aca="false">IF(INDEX(Tasks!$A:$A,ROW()-1)="","",INDEX(Tasks!$A:$A,ROW()-1))</f>
        <v/>
      </c>
      <c r="B261" s="21" t="str">
        <f aca="false">IF(INDEX(Tasks!$A:$A,ROW()-1)="","",IF(ISERROR(FIND(".",INDEX(Tasks!$A:$A,ROW()-1))),"","   ")&amp;INDEX(Tasks!$D:$D,ROW()-1))</f>
        <v/>
      </c>
      <c r="C261" s="21" t="str">
        <f aca="false">IF(INDEX(Tasks!$G:$G,ROW()-1)="","",INDEX(Tasks!$G:$G,ROW()-1))</f>
        <v/>
      </c>
      <c r="D261" s="21" t="str">
        <f aca="false">IF(INDEX(Tasks!$H:$H,ROW()-1)="","",INDEX(Tasks!$H:$H,ROW()-1))</f>
        <v/>
      </c>
      <c r="E261" s="22" t="str">
        <f aca="false">IF(INDEX(Tasks!$I:$I,ROW()-1)="","",INDEX(Tasks!$I:$I,ROW()-1))</f>
        <v/>
      </c>
      <c r="F261" s="22" t="str">
        <f aca="false">IF(INDEX(Tasks!$K:$K,ROW()-1)="","",INDEX(Tasks!$K:$K,ROW()-1))</f>
        <v/>
      </c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  <c r="AL261" s="23"/>
      <c r="AM261" s="23"/>
      <c r="AN261" s="23"/>
      <c r="AO261" s="23"/>
      <c r="AP261" s="23"/>
      <c r="AQ261" s="23"/>
      <c r="AR261" s="23"/>
      <c r="AS261" s="23"/>
      <c r="AT261" s="23"/>
      <c r="AU261" s="23"/>
      <c r="AV261" s="23"/>
      <c r="AW261" s="23"/>
      <c r="AX261" s="23"/>
    </row>
    <row r="262" customFormat="false" ht="15" hidden="false" customHeight="false" outlineLevel="0" collapsed="false">
      <c r="A262" s="21" t="str">
        <f aca="false">IF(INDEX(Tasks!$A:$A,ROW()-1)="","",INDEX(Tasks!$A:$A,ROW()-1))</f>
        <v/>
      </c>
      <c r="B262" s="21" t="str">
        <f aca="false">IF(INDEX(Tasks!$A:$A,ROW()-1)="","",IF(ISERROR(FIND(".",INDEX(Tasks!$A:$A,ROW()-1))),"","   ")&amp;INDEX(Tasks!$D:$D,ROW()-1))</f>
        <v/>
      </c>
      <c r="C262" s="21" t="str">
        <f aca="false">IF(INDEX(Tasks!$G:$G,ROW()-1)="","",INDEX(Tasks!$G:$G,ROW()-1))</f>
        <v/>
      </c>
      <c r="D262" s="21" t="str">
        <f aca="false">IF(INDEX(Tasks!$H:$H,ROW()-1)="","",INDEX(Tasks!$H:$H,ROW()-1))</f>
        <v/>
      </c>
      <c r="E262" s="22" t="str">
        <f aca="false">IF(INDEX(Tasks!$I:$I,ROW()-1)="","",INDEX(Tasks!$I:$I,ROW()-1))</f>
        <v/>
      </c>
      <c r="F262" s="22" t="str">
        <f aca="false">IF(INDEX(Tasks!$K:$K,ROW()-1)="","",INDEX(Tasks!$K:$K,ROW()-1))</f>
        <v/>
      </c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  <c r="AL262" s="23"/>
      <c r="AM262" s="23"/>
      <c r="AN262" s="23"/>
      <c r="AO262" s="23"/>
      <c r="AP262" s="23"/>
      <c r="AQ262" s="23"/>
      <c r="AR262" s="23"/>
      <c r="AS262" s="23"/>
      <c r="AT262" s="23"/>
      <c r="AU262" s="23"/>
      <c r="AV262" s="23"/>
      <c r="AW262" s="23"/>
      <c r="AX262" s="23"/>
    </row>
    <row r="263" customFormat="false" ht="15" hidden="false" customHeight="false" outlineLevel="0" collapsed="false">
      <c r="A263" s="21" t="str">
        <f aca="false">IF(INDEX(Tasks!$A:$A,ROW()-1)="","",INDEX(Tasks!$A:$A,ROW()-1))</f>
        <v/>
      </c>
      <c r="B263" s="21" t="str">
        <f aca="false">IF(INDEX(Tasks!$A:$A,ROW()-1)="","",IF(ISERROR(FIND(".",INDEX(Tasks!$A:$A,ROW()-1))),"","   ")&amp;INDEX(Tasks!$D:$D,ROW()-1))</f>
        <v/>
      </c>
      <c r="C263" s="21" t="str">
        <f aca="false">IF(INDEX(Tasks!$G:$G,ROW()-1)="","",INDEX(Tasks!$G:$G,ROW()-1))</f>
        <v/>
      </c>
      <c r="D263" s="21" t="str">
        <f aca="false">IF(INDEX(Tasks!$H:$H,ROW()-1)="","",INDEX(Tasks!$H:$H,ROW()-1))</f>
        <v/>
      </c>
      <c r="E263" s="22" t="str">
        <f aca="false">IF(INDEX(Tasks!$I:$I,ROW()-1)="","",INDEX(Tasks!$I:$I,ROW()-1))</f>
        <v/>
      </c>
      <c r="F263" s="22" t="str">
        <f aca="false">IF(INDEX(Tasks!$K:$K,ROW()-1)="","",INDEX(Tasks!$K:$K,ROW()-1))</f>
        <v/>
      </c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  <c r="AL263" s="23"/>
      <c r="AM263" s="23"/>
      <c r="AN263" s="23"/>
      <c r="AO263" s="23"/>
      <c r="AP263" s="23"/>
      <c r="AQ263" s="23"/>
      <c r="AR263" s="23"/>
      <c r="AS263" s="23"/>
      <c r="AT263" s="23"/>
      <c r="AU263" s="23"/>
      <c r="AV263" s="23"/>
      <c r="AW263" s="23"/>
      <c r="AX263" s="23"/>
    </row>
    <row r="264" customFormat="false" ht="15" hidden="false" customHeight="false" outlineLevel="0" collapsed="false">
      <c r="A264" s="21" t="str">
        <f aca="false">IF(INDEX(Tasks!$A:$A,ROW()-1)="","",INDEX(Tasks!$A:$A,ROW()-1))</f>
        <v/>
      </c>
      <c r="B264" s="21" t="str">
        <f aca="false">IF(INDEX(Tasks!$A:$A,ROW()-1)="","",IF(ISERROR(FIND(".",INDEX(Tasks!$A:$A,ROW()-1))),"","   ")&amp;INDEX(Tasks!$D:$D,ROW()-1))</f>
        <v/>
      </c>
      <c r="C264" s="21" t="str">
        <f aca="false">IF(INDEX(Tasks!$G:$G,ROW()-1)="","",INDEX(Tasks!$G:$G,ROW()-1))</f>
        <v/>
      </c>
      <c r="D264" s="21" t="str">
        <f aca="false">IF(INDEX(Tasks!$H:$H,ROW()-1)="","",INDEX(Tasks!$H:$H,ROW()-1))</f>
        <v/>
      </c>
      <c r="E264" s="22" t="str">
        <f aca="false">IF(INDEX(Tasks!$I:$I,ROW()-1)="","",INDEX(Tasks!$I:$I,ROW()-1))</f>
        <v/>
      </c>
      <c r="F264" s="22" t="str">
        <f aca="false">IF(INDEX(Tasks!$K:$K,ROW()-1)="","",INDEX(Tasks!$K:$K,ROW()-1))</f>
        <v/>
      </c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/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</row>
    <row r="265" customFormat="false" ht="15" hidden="false" customHeight="false" outlineLevel="0" collapsed="false">
      <c r="A265" s="21" t="str">
        <f aca="false">IF(INDEX(Tasks!$A:$A,ROW()-1)="","",INDEX(Tasks!$A:$A,ROW()-1))</f>
        <v/>
      </c>
      <c r="B265" s="21" t="str">
        <f aca="false">IF(INDEX(Tasks!$A:$A,ROW()-1)="","",IF(ISERROR(FIND(".",INDEX(Tasks!$A:$A,ROW()-1))),"","   ")&amp;INDEX(Tasks!$D:$D,ROW()-1))</f>
        <v/>
      </c>
      <c r="C265" s="21" t="str">
        <f aca="false">IF(INDEX(Tasks!$G:$G,ROW()-1)="","",INDEX(Tasks!$G:$G,ROW()-1))</f>
        <v/>
      </c>
      <c r="D265" s="21" t="str">
        <f aca="false">IF(INDEX(Tasks!$H:$H,ROW()-1)="","",INDEX(Tasks!$H:$H,ROW()-1))</f>
        <v/>
      </c>
      <c r="E265" s="22" t="str">
        <f aca="false">IF(INDEX(Tasks!$I:$I,ROW()-1)="","",INDEX(Tasks!$I:$I,ROW()-1))</f>
        <v/>
      </c>
      <c r="F265" s="22" t="str">
        <f aca="false">IF(INDEX(Tasks!$K:$K,ROW()-1)="","",INDEX(Tasks!$K:$K,ROW()-1))</f>
        <v/>
      </c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/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</row>
    <row r="266" customFormat="false" ht="15" hidden="false" customHeight="false" outlineLevel="0" collapsed="false">
      <c r="A266" s="21" t="str">
        <f aca="false">IF(INDEX(Tasks!$A:$A,ROW()-1)="","",INDEX(Tasks!$A:$A,ROW()-1))</f>
        <v/>
      </c>
      <c r="B266" s="21" t="str">
        <f aca="false">IF(INDEX(Tasks!$A:$A,ROW()-1)="","",IF(ISERROR(FIND(".",INDEX(Tasks!$A:$A,ROW()-1))),"","   ")&amp;INDEX(Tasks!$D:$D,ROW()-1))</f>
        <v/>
      </c>
      <c r="C266" s="21" t="str">
        <f aca="false">IF(INDEX(Tasks!$G:$G,ROW()-1)="","",INDEX(Tasks!$G:$G,ROW()-1))</f>
        <v/>
      </c>
      <c r="D266" s="21" t="str">
        <f aca="false">IF(INDEX(Tasks!$H:$H,ROW()-1)="","",INDEX(Tasks!$H:$H,ROW()-1))</f>
        <v/>
      </c>
      <c r="E266" s="22" t="str">
        <f aca="false">IF(INDEX(Tasks!$I:$I,ROW()-1)="","",INDEX(Tasks!$I:$I,ROW()-1))</f>
        <v/>
      </c>
      <c r="F266" s="22" t="str">
        <f aca="false">IF(INDEX(Tasks!$K:$K,ROW()-1)="","",INDEX(Tasks!$K:$K,ROW()-1))</f>
        <v/>
      </c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  <c r="AL266" s="23"/>
      <c r="AM266" s="23"/>
      <c r="AN266" s="23"/>
      <c r="AO266" s="23"/>
      <c r="AP266" s="23"/>
      <c r="AQ266" s="23"/>
      <c r="AR266" s="23"/>
      <c r="AS266" s="23"/>
      <c r="AT266" s="23"/>
      <c r="AU266" s="23"/>
      <c r="AV266" s="23"/>
      <c r="AW266" s="23"/>
      <c r="AX266" s="23"/>
    </row>
    <row r="267" customFormat="false" ht="15" hidden="false" customHeight="false" outlineLevel="0" collapsed="false">
      <c r="A267" s="21" t="str">
        <f aca="false">IF(INDEX(Tasks!$A:$A,ROW()-1)="","",INDEX(Tasks!$A:$A,ROW()-1))</f>
        <v/>
      </c>
      <c r="B267" s="21" t="str">
        <f aca="false">IF(INDEX(Tasks!$A:$A,ROW()-1)="","",IF(ISERROR(FIND(".",INDEX(Tasks!$A:$A,ROW()-1))),"","   ")&amp;INDEX(Tasks!$D:$D,ROW()-1))</f>
        <v/>
      </c>
      <c r="C267" s="21" t="str">
        <f aca="false">IF(INDEX(Tasks!$G:$G,ROW()-1)="","",INDEX(Tasks!$G:$G,ROW()-1))</f>
        <v/>
      </c>
      <c r="D267" s="21" t="str">
        <f aca="false">IF(INDEX(Tasks!$H:$H,ROW()-1)="","",INDEX(Tasks!$H:$H,ROW()-1))</f>
        <v/>
      </c>
      <c r="E267" s="22" t="str">
        <f aca="false">IF(INDEX(Tasks!$I:$I,ROW()-1)="","",INDEX(Tasks!$I:$I,ROW()-1))</f>
        <v/>
      </c>
      <c r="F267" s="22" t="str">
        <f aca="false">IF(INDEX(Tasks!$K:$K,ROW()-1)="","",INDEX(Tasks!$K:$K,ROW()-1))</f>
        <v/>
      </c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/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</row>
    <row r="268" customFormat="false" ht="15" hidden="false" customHeight="false" outlineLevel="0" collapsed="false">
      <c r="A268" s="21" t="str">
        <f aca="false">IF(INDEX(Tasks!$A:$A,ROW()-1)="","",INDEX(Tasks!$A:$A,ROW()-1))</f>
        <v/>
      </c>
      <c r="B268" s="21" t="str">
        <f aca="false">IF(INDEX(Tasks!$A:$A,ROW()-1)="","",IF(ISERROR(FIND(".",INDEX(Tasks!$A:$A,ROW()-1))),"","   ")&amp;INDEX(Tasks!$D:$D,ROW()-1))</f>
        <v/>
      </c>
      <c r="C268" s="21" t="str">
        <f aca="false">IF(INDEX(Tasks!$G:$G,ROW()-1)="","",INDEX(Tasks!$G:$G,ROW()-1))</f>
        <v/>
      </c>
      <c r="D268" s="21" t="str">
        <f aca="false">IF(INDEX(Tasks!$H:$H,ROW()-1)="","",INDEX(Tasks!$H:$H,ROW()-1))</f>
        <v/>
      </c>
      <c r="E268" s="22" t="str">
        <f aca="false">IF(INDEX(Tasks!$I:$I,ROW()-1)="","",INDEX(Tasks!$I:$I,ROW()-1))</f>
        <v/>
      </c>
      <c r="F268" s="22" t="str">
        <f aca="false">IF(INDEX(Tasks!$K:$K,ROW()-1)="","",INDEX(Tasks!$K:$K,ROW()-1))</f>
        <v/>
      </c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  <c r="AL268" s="23"/>
      <c r="AM268" s="23"/>
      <c r="AN268" s="23"/>
      <c r="AO268" s="23"/>
      <c r="AP268" s="23"/>
      <c r="AQ268" s="23"/>
      <c r="AR268" s="23"/>
      <c r="AS268" s="23"/>
      <c r="AT268" s="23"/>
      <c r="AU268" s="23"/>
      <c r="AV268" s="23"/>
      <c r="AW268" s="23"/>
      <c r="AX268" s="23"/>
    </row>
    <row r="269" customFormat="false" ht="15" hidden="false" customHeight="false" outlineLevel="0" collapsed="false">
      <c r="A269" s="21" t="str">
        <f aca="false">IF(INDEX(Tasks!$A:$A,ROW()-1)="","",INDEX(Tasks!$A:$A,ROW()-1))</f>
        <v/>
      </c>
      <c r="B269" s="21" t="str">
        <f aca="false">IF(INDEX(Tasks!$A:$A,ROW()-1)="","",IF(ISERROR(FIND(".",INDEX(Tasks!$A:$A,ROW()-1))),"","   ")&amp;INDEX(Tasks!$D:$D,ROW()-1))</f>
        <v/>
      </c>
      <c r="C269" s="21" t="str">
        <f aca="false">IF(INDEX(Tasks!$G:$G,ROW()-1)="","",INDEX(Tasks!$G:$G,ROW()-1))</f>
        <v/>
      </c>
      <c r="D269" s="21" t="str">
        <f aca="false">IF(INDEX(Tasks!$H:$H,ROW()-1)="","",INDEX(Tasks!$H:$H,ROW()-1))</f>
        <v/>
      </c>
      <c r="E269" s="22" t="str">
        <f aca="false">IF(INDEX(Tasks!$I:$I,ROW()-1)="","",INDEX(Tasks!$I:$I,ROW()-1))</f>
        <v/>
      </c>
      <c r="F269" s="22" t="str">
        <f aca="false">IF(INDEX(Tasks!$K:$K,ROW()-1)="","",INDEX(Tasks!$K:$K,ROW()-1))</f>
        <v/>
      </c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  <c r="AL269" s="23"/>
      <c r="AM269" s="23"/>
      <c r="AN269" s="23"/>
      <c r="AO269" s="23"/>
      <c r="AP269" s="23"/>
      <c r="AQ269" s="23"/>
      <c r="AR269" s="23"/>
      <c r="AS269" s="23"/>
      <c r="AT269" s="23"/>
      <c r="AU269" s="23"/>
      <c r="AV269" s="23"/>
      <c r="AW269" s="23"/>
      <c r="AX269" s="23"/>
    </row>
    <row r="270" customFormat="false" ht="15" hidden="false" customHeight="false" outlineLevel="0" collapsed="false">
      <c r="A270" s="21" t="str">
        <f aca="false">IF(INDEX(Tasks!$A:$A,ROW()-1)="","",INDEX(Tasks!$A:$A,ROW()-1))</f>
        <v/>
      </c>
      <c r="B270" s="21" t="str">
        <f aca="false">IF(INDEX(Tasks!$A:$A,ROW()-1)="","",IF(ISERROR(FIND(".",INDEX(Tasks!$A:$A,ROW()-1))),"","   ")&amp;INDEX(Tasks!$D:$D,ROW()-1))</f>
        <v/>
      </c>
      <c r="C270" s="21" t="str">
        <f aca="false">IF(INDEX(Tasks!$G:$G,ROW()-1)="","",INDEX(Tasks!$G:$G,ROW()-1))</f>
        <v/>
      </c>
      <c r="D270" s="21" t="str">
        <f aca="false">IF(INDEX(Tasks!$H:$H,ROW()-1)="","",INDEX(Tasks!$H:$H,ROW()-1))</f>
        <v/>
      </c>
      <c r="E270" s="22" t="str">
        <f aca="false">IF(INDEX(Tasks!$I:$I,ROW()-1)="","",INDEX(Tasks!$I:$I,ROW()-1))</f>
        <v/>
      </c>
      <c r="F270" s="22" t="str">
        <f aca="false">IF(INDEX(Tasks!$K:$K,ROW()-1)="","",INDEX(Tasks!$K:$K,ROW()-1))</f>
        <v/>
      </c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  <c r="AL270" s="23"/>
      <c r="AM270" s="23"/>
      <c r="AN270" s="23"/>
      <c r="AO270" s="23"/>
      <c r="AP270" s="23"/>
      <c r="AQ270" s="23"/>
      <c r="AR270" s="23"/>
      <c r="AS270" s="23"/>
      <c r="AT270" s="23"/>
      <c r="AU270" s="23"/>
      <c r="AV270" s="23"/>
      <c r="AW270" s="23"/>
      <c r="AX270" s="23"/>
    </row>
    <row r="271" customFormat="false" ht="15" hidden="false" customHeight="false" outlineLevel="0" collapsed="false">
      <c r="A271" s="21" t="str">
        <f aca="false">IF(INDEX(Tasks!$A:$A,ROW()-1)="","",INDEX(Tasks!$A:$A,ROW()-1))</f>
        <v/>
      </c>
      <c r="B271" s="21" t="str">
        <f aca="false">IF(INDEX(Tasks!$A:$A,ROW()-1)="","",IF(ISERROR(FIND(".",INDEX(Tasks!$A:$A,ROW()-1))),"","   ")&amp;INDEX(Tasks!$D:$D,ROW()-1))</f>
        <v/>
      </c>
      <c r="C271" s="21" t="str">
        <f aca="false">IF(INDEX(Tasks!$G:$G,ROW()-1)="","",INDEX(Tasks!$G:$G,ROW()-1))</f>
        <v/>
      </c>
      <c r="D271" s="21" t="str">
        <f aca="false">IF(INDEX(Tasks!$H:$H,ROW()-1)="","",INDEX(Tasks!$H:$H,ROW()-1))</f>
        <v/>
      </c>
      <c r="E271" s="22" t="str">
        <f aca="false">IF(INDEX(Tasks!$I:$I,ROW()-1)="","",INDEX(Tasks!$I:$I,ROW()-1))</f>
        <v/>
      </c>
      <c r="F271" s="22" t="str">
        <f aca="false">IF(INDEX(Tasks!$K:$K,ROW()-1)="","",INDEX(Tasks!$K:$K,ROW()-1))</f>
        <v/>
      </c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  <c r="AL271" s="23"/>
      <c r="AM271" s="23"/>
      <c r="AN271" s="23"/>
      <c r="AO271" s="23"/>
      <c r="AP271" s="23"/>
      <c r="AQ271" s="23"/>
      <c r="AR271" s="23"/>
      <c r="AS271" s="23"/>
      <c r="AT271" s="23"/>
      <c r="AU271" s="23"/>
      <c r="AV271" s="23"/>
      <c r="AW271" s="23"/>
      <c r="AX271" s="23"/>
    </row>
    <row r="272" customFormat="false" ht="15" hidden="false" customHeight="false" outlineLevel="0" collapsed="false">
      <c r="A272" s="21" t="str">
        <f aca="false">IF(INDEX(Tasks!$A:$A,ROW()-1)="","",INDEX(Tasks!$A:$A,ROW()-1))</f>
        <v/>
      </c>
      <c r="B272" s="21" t="str">
        <f aca="false">IF(INDEX(Tasks!$A:$A,ROW()-1)="","",IF(ISERROR(FIND(".",INDEX(Tasks!$A:$A,ROW()-1))),"","   ")&amp;INDEX(Tasks!$D:$D,ROW()-1))</f>
        <v/>
      </c>
      <c r="C272" s="21" t="str">
        <f aca="false">IF(INDEX(Tasks!$G:$G,ROW()-1)="","",INDEX(Tasks!$G:$G,ROW()-1))</f>
        <v/>
      </c>
      <c r="D272" s="21" t="str">
        <f aca="false">IF(INDEX(Tasks!$H:$H,ROW()-1)="","",INDEX(Tasks!$H:$H,ROW()-1))</f>
        <v/>
      </c>
      <c r="E272" s="22" t="str">
        <f aca="false">IF(INDEX(Tasks!$I:$I,ROW()-1)="","",INDEX(Tasks!$I:$I,ROW()-1))</f>
        <v/>
      </c>
      <c r="F272" s="22" t="str">
        <f aca="false">IF(INDEX(Tasks!$K:$K,ROW()-1)="","",INDEX(Tasks!$K:$K,ROW()-1))</f>
        <v/>
      </c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  <c r="AL272" s="23"/>
      <c r="AM272" s="23"/>
      <c r="AN272" s="23"/>
      <c r="AO272" s="23"/>
      <c r="AP272" s="23"/>
      <c r="AQ272" s="23"/>
      <c r="AR272" s="23"/>
      <c r="AS272" s="23"/>
      <c r="AT272" s="23"/>
      <c r="AU272" s="23"/>
      <c r="AV272" s="23"/>
      <c r="AW272" s="23"/>
      <c r="AX272" s="23"/>
    </row>
    <row r="273" customFormat="false" ht="15" hidden="false" customHeight="false" outlineLevel="0" collapsed="false">
      <c r="A273" s="21" t="str">
        <f aca="false">IF(INDEX(Tasks!$A:$A,ROW()-1)="","",INDEX(Tasks!$A:$A,ROW()-1))</f>
        <v/>
      </c>
      <c r="B273" s="21" t="str">
        <f aca="false">IF(INDEX(Tasks!$A:$A,ROW()-1)="","",IF(ISERROR(FIND(".",INDEX(Tasks!$A:$A,ROW()-1))),"","   ")&amp;INDEX(Tasks!$D:$D,ROW()-1))</f>
        <v/>
      </c>
      <c r="C273" s="21" t="str">
        <f aca="false">IF(INDEX(Tasks!$G:$G,ROW()-1)="","",INDEX(Tasks!$G:$G,ROW()-1))</f>
        <v/>
      </c>
      <c r="D273" s="21" t="str">
        <f aca="false">IF(INDEX(Tasks!$H:$H,ROW()-1)="","",INDEX(Tasks!$H:$H,ROW()-1))</f>
        <v/>
      </c>
      <c r="E273" s="22" t="str">
        <f aca="false">IF(INDEX(Tasks!$I:$I,ROW()-1)="","",INDEX(Tasks!$I:$I,ROW()-1))</f>
        <v/>
      </c>
      <c r="F273" s="22" t="str">
        <f aca="false">IF(INDEX(Tasks!$K:$K,ROW()-1)="","",INDEX(Tasks!$K:$K,ROW()-1))</f>
        <v/>
      </c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  <c r="AL273" s="23"/>
      <c r="AM273" s="23"/>
      <c r="AN273" s="23"/>
      <c r="AO273" s="23"/>
      <c r="AP273" s="23"/>
      <c r="AQ273" s="23"/>
      <c r="AR273" s="23"/>
      <c r="AS273" s="23"/>
      <c r="AT273" s="23"/>
      <c r="AU273" s="23"/>
      <c r="AV273" s="23"/>
      <c r="AW273" s="23"/>
      <c r="AX273" s="23"/>
    </row>
    <row r="274" customFormat="false" ht="15" hidden="false" customHeight="false" outlineLevel="0" collapsed="false">
      <c r="A274" s="21" t="str">
        <f aca="false">IF(INDEX(Tasks!$A:$A,ROW()-1)="","",INDEX(Tasks!$A:$A,ROW()-1))</f>
        <v/>
      </c>
      <c r="B274" s="21" t="str">
        <f aca="false">IF(INDEX(Tasks!$A:$A,ROW()-1)="","",IF(ISERROR(FIND(".",INDEX(Tasks!$A:$A,ROW()-1))),"","   ")&amp;INDEX(Tasks!$D:$D,ROW()-1))</f>
        <v/>
      </c>
      <c r="C274" s="21" t="str">
        <f aca="false">IF(INDEX(Tasks!$G:$G,ROW()-1)="","",INDEX(Tasks!$G:$G,ROW()-1))</f>
        <v/>
      </c>
      <c r="D274" s="21" t="str">
        <f aca="false">IF(INDEX(Tasks!$H:$H,ROW()-1)="","",INDEX(Tasks!$H:$H,ROW()-1))</f>
        <v/>
      </c>
      <c r="E274" s="22" t="str">
        <f aca="false">IF(INDEX(Tasks!$I:$I,ROW()-1)="","",INDEX(Tasks!$I:$I,ROW()-1))</f>
        <v/>
      </c>
      <c r="F274" s="22" t="str">
        <f aca="false">IF(INDEX(Tasks!$K:$K,ROW()-1)="","",INDEX(Tasks!$K:$K,ROW()-1))</f>
        <v/>
      </c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</row>
    <row r="275" customFormat="false" ht="15" hidden="false" customHeight="false" outlineLevel="0" collapsed="false">
      <c r="A275" s="21" t="str">
        <f aca="false">IF(INDEX(Tasks!$A:$A,ROW()-1)="","",INDEX(Tasks!$A:$A,ROW()-1))</f>
        <v/>
      </c>
      <c r="B275" s="21" t="str">
        <f aca="false">IF(INDEX(Tasks!$A:$A,ROW()-1)="","",IF(ISERROR(FIND(".",INDEX(Tasks!$A:$A,ROW()-1))),"","   ")&amp;INDEX(Tasks!$D:$D,ROW()-1))</f>
        <v/>
      </c>
      <c r="C275" s="21" t="str">
        <f aca="false">IF(INDEX(Tasks!$G:$G,ROW()-1)="","",INDEX(Tasks!$G:$G,ROW()-1))</f>
        <v/>
      </c>
      <c r="D275" s="21" t="str">
        <f aca="false">IF(INDEX(Tasks!$H:$H,ROW()-1)="","",INDEX(Tasks!$H:$H,ROW()-1))</f>
        <v/>
      </c>
      <c r="E275" s="22" t="str">
        <f aca="false">IF(INDEX(Tasks!$I:$I,ROW()-1)="","",INDEX(Tasks!$I:$I,ROW()-1))</f>
        <v/>
      </c>
      <c r="F275" s="22" t="str">
        <f aca="false">IF(INDEX(Tasks!$K:$K,ROW()-1)="","",INDEX(Tasks!$K:$K,ROW()-1))</f>
        <v/>
      </c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  <c r="AL275" s="23"/>
      <c r="AM275" s="23"/>
      <c r="AN275" s="23"/>
      <c r="AO275" s="23"/>
      <c r="AP275" s="23"/>
      <c r="AQ275" s="23"/>
      <c r="AR275" s="23"/>
      <c r="AS275" s="23"/>
      <c r="AT275" s="23"/>
      <c r="AU275" s="23"/>
      <c r="AV275" s="23"/>
      <c r="AW275" s="23"/>
      <c r="AX275" s="23"/>
    </row>
    <row r="276" customFormat="false" ht="15" hidden="false" customHeight="false" outlineLevel="0" collapsed="false">
      <c r="A276" s="21" t="str">
        <f aca="false">IF(INDEX(Tasks!$A:$A,ROW()-1)="","",INDEX(Tasks!$A:$A,ROW()-1))</f>
        <v/>
      </c>
      <c r="B276" s="21" t="str">
        <f aca="false">IF(INDEX(Tasks!$A:$A,ROW()-1)="","",IF(ISERROR(FIND(".",INDEX(Tasks!$A:$A,ROW()-1))),"","   ")&amp;INDEX(Tasks!$D:$D,ROW()-1))</f>
        <v/>
      </c>
      <c r="C276" s="21" t="str">
        <f aca="false">IF(INDEX(Tasks!$G:$G,ROW()-1)="","",INDEX(Tasks!$G:$G,ROW()-1))</f>
        <v/>
      </c>
      <c r="D276" s="21" t="str">
        <f aca="false">IF(INDEX(Tasks!$H:$H,ROW()-1)="","",INDEX(Tasks!$H:$H,ROW()-1))</f>
        <v/>
      </c>
      <c r="E276" s="22" t="str">
        <f aca="false">IF(INDEX(Tasks!$I:$I,ROW()-1)="","",INDEX(Tasks!$I:$I,ROW()-1))</f>
        <v/>
      </c>
      <c r="F276" s="22" t="str">
        <f aca="false">IF(INDEX(Tasks!$K:$K,ROW()-1)="","",INDEX(Tasks!$K:$K,ROW()-1))</f>
        <v/>
      </c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  <c r="AO276" s="23"/>
      <c r="AP276" s="23"/>
      <c r="AQ276" s="23"/>
      <c r="AR276" s="23"/>
      <c r="AS276" s="23"/>
      <c r="AT276" s="23"/>
      <c r="AU276" s="23"/>
      <c r="AV276" s="23"/>
      <c r="AW276" s="23"/>
      <c r="AX276" s="23"/>
    </row>
    <row r="277" customFormat="false" ht="15" hidden="false" customHeight="false" outlineLevel="0" collapsed="false">
      <c r="A277" s="21" t="str">
        <f aca="false">IF(INDEX(Tasks!$A:$A,ROW()-1)="","",INDEX(Tasks!$A:$A,ROW()-1))</f>
        <v/>
      </c>
      <c r="B277" s="21" t="str">
        <f aca="false">IF(INDEX(Tasks!$A:$A,ROW()-1)="","",IF(ISERROR(FIND(".",INDEX(Tasks!$A:$A,ROW()-1))),"","   ")&amp;INDEX(Tasks!$D:$D,ROW()-1))</f>
        <v/>
      </c>
      <c r="C277" s="21" t="str">
        <f aca="false">IF(INDEX(Tasks!$G:$G,ROW()-1)="","",INDEX(Tasks!$G:$G,ROW()-1))</f>
        <v/>
      </c>
      <c r="D277" s="21" t="str">
        <f aca="false">IF(INDEX(Tasks!$H:$H,ROW()-1)="","",INDEX(Tasks!$H:$H,ROW()-1))</f>
        <v/>
      </c>
      <c r="E277" s="22" t="str">
        <f aca="false">IF(INDEX(Tasks!$I:$I,ROW()-1)="","",INDEX(Tasks!$I:$I,ROW()-1))</f>
        <v/>
      </c>
      <c r="F277" s="22" t="str">
        <f aca="false">IF(INDEX(Tasks!$K:$K,ROW()-1)="","",INDEX(Tasks!$K:$K,ROW()-1))</f>
        <v/>
      </c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</row>
    <row r="278" customFormat="false" ht="15" hidden="false" customHeight="false" outlineLevel="0" collapsed="false">
      <c r="A278" s="21" t="str">
        <f aca="false">IF(INDEX(Tasks!$A:$A,ROW()-1)="","",INDEX(Tasks!$A:$A,ROW()-1))</f>
        <v/>
      </c>
      <c r="B278" s="21" t="str">
        <f aca="false">IF(INDEX(Tasks!$A:$A,ROW()-1)="","",IF(ISERROR(FIND(".",INDEX(Tasks!$A:$A,ROW()-1))),"","   ")&amp;INDEX(Tasks!$D:$D,ROW()-1))</f>
        <v/>
      </c>
      <c r="C278" s="21" t="str">
        <f aca="false">IF(INDEX(Tasks!$G:$G,ROW()-1)="","",INDEX(Tasks!$G:$G,ROW()-1))</f>
        <v/>
      </c>
      <c r="D278" s="21" t="str">
        <f aca="false">IF(INDEX(Tasks!$H:$H,ROW()-1)="","",INDEX(Tasks!$H:$H,ROW()-1))</f>
        <v/>
      </c>
      <c r="E278" s="22" t="str">
        <f aca="false">IF(INDEX(Tasks!$I:$I,ROW()-1)="","",INDEX(Tasks!$I:$I,ROW()-1))</f>
        <v/>
      </c>
      <c r="F278" s="22" t="str">
        <f aca="false">IF(INDEX(Tasks!$K:$K,ROW()-1)="","",INDEX(Tasks!$K:$K,ROW()-1))</f>
        <v/>
      </c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  <c r="AL278" s="23"/>
      <c r="AM278" s="23"/>
      <c r="AN278" s="23"/>
      <c r="AO278" s="23"/>
      <c r="AP278" s="23"/>
      <c r="AQ278" s="23"/>
      <c r="AR278" s="23"/>
      <c r="AS278" s="23"/>
      <c r="AT278" s="23"/>
      <c r="AU278" s="23"/>
      <c r="AV278" s="23"/>
      <c r="AW278" s="23"/>
      <c r="AX278" s="23"/>
    </row>
    <row r="279" customFormat="false" ht="15" hidden="false" customHeight="false" outlineLevel="0" collapsed="false">
      <c r="A279" s="21" t="str">
        <f aca="false">IF(INDEX(Tasks!$A:$A,ROW()-1)="","",INDEX(Tasks!$A:$A,ROW()-1))</f>
        <v/>
      </c>
      <c r="B279" s="21" t="str">
        <f aca="false">IF(INDEX(Tasks!$A:$A,ROW()-1)="","",IF(ISERROR(FIND(".",INDEX(Tasks!$A:$A,ROW()-1))),"","   ")&amp;INDEX(Tasks!$D:$D,ROW()-1))</f>
        <v/>
      </c>
      <c r="C279" s="21" t="str">
        <f aca="false">IF(INDEX(Tasks!$G:$G,ROW()-1)="","",INDEX(Tasks!$G:$G,ROW()-1))</f>
        <v/>
      </c>
      <c r="D279" s="21" t="str">
        <f aca="false">IF(INDEX(Tasks!$H:$H,ROW()-1)="","",INDEX(Tasks!$H:$H,ROW()-1))</f>
        <v/>
      </c>
      <c r="E279" s="22" t="str">
        <f aca="false">IF(INDEX(Tasks!$I:$I,ROW()-1)="","",INDEX(Tasks!$I:$I,ROW()-1))</f>
        <v/>
      </c>
      <c r="F279" s="22" t="str">
        <f aca="false">IF(INDEX(Tasks!$K:$K,ROW()-1)="","",INDEX(Tasks!$K:$K,ROW()-1))</f>
        <v/>
      </c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  <c r="AL279" s="23"/>
      <c r="AM279" s="23"/>
      <c r="AN279" s="23"/>
      <c r="AO279" s="23"/>
      <c r="AP279" s="23"/>
      <c r="AQ279" s="23"/>
      <c r="AR279" s="23"/>
      <c r="AS279" s="23"/>
      <c r="AT279" s="23"/>
      <c r="AU279" s="23"/>
      <c r="AV279" s="23"/>
      <c r="AW279" s="23"/>
      <c r="AX279" s="23"/>
    </row>
    <row r="280" customFormat="false" ht="15" hidden="false" customHeight="false" outlineLevel="0" collapsed="false">
      <c r="A280" s="21" t="str">
        <f aca="false">IF(INDEX(Tasks!$A:$A,ROW()-1)="","",INDEX(Tasks!$A:$A,ROW()-1))</f>
        <v/>
      </c>
      <c r="B280" s="21" t="str">
        <f aca="false">IF(INDEX(Tasks!$A:$A,ROW()-1)="","",IF(ISERROR(FIND(".",INDEX(Tasks!$A:$A,ROW()-1))),"","   ")&amp;INDEX(Tasks!$D:$D,ROW()-1))</f>
        <v/>
      </c>
      <c r="C280" s="21" t="str">
        <f aca="false">IF(INDEX(Tasks!$G:$G,ROW()-1)="","",INDEX(Tasks!$G:$G,ROW()-1))</f>
        <v/>
      </c>
      <c r="D280" s="21" t="str">
        <f aca="false">IF(INDEX(Tasks!$H:$H,ROW()-1)="","",INDEX(Tasks!$H:$H,ROW()-1))</f>
        <v/>
      </c>
      <c r="E280" s="22" t="str">
        <f aca="false">IF(INDEX(Tasks!$I:$I,ROW()-1)="","",INDEX(Tasks!$I:$I,ROW()-1))</f>
        <v/>
      </c>
      <c r="F280" s="22" t="str">
        <f aca="false">IF(INDEX(Tasks!$K:$K,ROW()-1)="","",INDEX(Tasks!$K:$K,ROW()-1))</f>
        <v/>
      </c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</row>
    <row r="281" customFormat="false" ht="15" hidden="false" customHeight="false" outlineLevel="0" collapsed="false">
      <c r="A281" s="21" t="str">
        <f aca="false">IF(INDEX(Tasks!$A:$A,ROW()-1)="","",INDEX(Tasks!$A:$A,ROW()-1))</f>
        <v/>
      </c>
      <c r="B281" s="21" t="str">
        <f aca="false">IF(INDEX(Tasks!$A:$A,ROW()-1)="","",IF(ISERROR(FIND(".",INDEX(Tasks!$A:$A,ROW()-1))),"","   ")&amp;INDEX(Tasks!$D:$D,ROW()-1))</f>
        <v/>
      </c>
      <c r="C281" s="21" t="str">
        <f aca="false">IF(INDEX(Tasks!$G:$G,ROW()-1)="","",INDEX(Tasks!$G:$G,ROW()-1))</f>
        <v/>
      </c>
      <c r="D281" s="21" t="str">
        <f aca="false">IF(INDEX(Tasks!$H:$H,ROW()-1)="","",INDEX(Tasks!$H:$H,ROW()-1))</f>
        <v/>
      </c>
      <c r="E281" s="22" t="str">
        <f aca="false">IF(INDEX(Tasks!$I:$I,ROW()-1)="","",INDEX(Tasks!$I:$I,ROW()-1))</f>
        <v/>
      </c>
      <c r="F281" s="22" t="str">
        <f aca="false">IF(INDEX(Tasks!$K:$K,ROW()-1)="","",INDEX(Tasks!$K:$K,ROW()-1))</f>
        <v/>
      </c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  <c r="AL281" s="23"/>
      <c r="AM281" s="23"/>
      <c r="AN281" s="23"/>
      <c r="AO281" s="23"/>
      <c r="AP281" s="23"/>
      <c r="AQ281" s="23"/>
      <c r="AR281" s="23"/>
      <c r="AS281" s="23"/>
      <c r="AT281" s="23"/>
      <c r="AU281" s="23"/>
      <c r="AV281" s="23"/>
      <c r="AW281" s="23"/>
      <c r="AX281" s="23"/>
    </row>
    <row r="282" customFormat="false" ht="15" hidden="false" customHeight="false" outlineLevel="0" collapsed="false">
      <c r="A282" s="21" t="str">
        <f aca="false">IF(INDEX(Tasks!$A:$A,ROW()-1)="","",INDEX(Tasks!$A:$A,ROW()-1))</f>
        <v/>
      </c>
      <c r="B282" s="21" t="str">
        <f aca="false">IF(INDEX(Tasks!$A:$A,ROW()-1)="","",IF(ISERROR(FIND(".",INDEX(Tasks!$A:$A,ROW()-1))),"","   ")&amp;INDEX(Tasks!$D:$D,ROW()-1))</f>
        <v/>
      </c>
      <c r="C282" s="21" t="str">
        <f aca="false">IF(INDEX(Tasks!$G:$G,ROW()-1)="","",INDEX(Tasks!$G:$G,ROW()-1))</f>
        <v/>
      </c>
      <c r="D282" s="21" t="str">
        <f aca="false">IF(INDEX(Tasks!$H:$H,ROW()-1)="","",INDEX(Tasks!$H:$H,ROW()-1))</f>
        <v/>
      </c>
      <c r="E282" s="22" t="str">
        <f aca="false">IF(INDEX(Tasks!$I:$I,ROW()-1)="","",INDEX(Tasks!$I:$I,ROW()-1))</f>
        <v/>
      </c>
      <c r="F282" s="22" t="str">
        <f aca="false">IF(INDEX(Tasks!$K:$K,ROW()-1)="","",INDEX(Tasks!$K:$K,ROW()-1))</f>
        <v/>
      </c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  <c r="AL282" s="23"/>
      <c r="AM282" s="23"/>
      <c r="AN282" s="23"/>
      <c r="AO282" s="23"/>
      <c r="AP282" s="23"/>
      <c r="AQ282" s="23"/>
      <c r="AR282" s="23"/>
      <c r="AS282" s="23"/>
      <c r="AT282" s="23"/>
      <c r="AU282" s="23"/>
      <c r="AV282" s="23"/>
      <c r="AW282" s="23"/>
      <c r="AX282" s="23"/>
    </row>
    <row r="283" customFormat="false" ht="15" hidden="false" customHeight="false" outlineLevel="0" collapsed="false">
      <c r="A283" s="21" t="str">
        <f aca="false">IF(INDEX(Tasks!$A:$A,ROW()-1)="","",INDEX(Tasks!$A:$A,ROW()-1))</f>
        <v/>
      </c>
      <c r="B283" s="21" t="str">
        <f aca="false">IF(INDEX(Tasks!$A:$A,ROW()-1)="","",IF(ISERROR(FIND(".",INDEX(Tasks!$A:$A,ROW()-1))),"","   ")&amp;INDEX(Tasks!$D:$D,ROW()-1))</f>
        <v/>
      </c>
      <c r="C283" s="21" t="str">
        <f aca="false">IF(INDEX(Tasks!$G:$G,ROW()-1)="","",INDEX(Tasks!$G:$G,ROW()-1))</f>
        <v/>
      </c>
      <c r="D283" s="21" t="str">
        <f aca="false">IF(INDEX(Tasks!$H:$H,ROW()-1)="","",INDEX(Tasks!$H:$H,ROW()-1))</f>
        <v/>
      </c>
      <c r="E283" s="22" t="str">
        <f aca="false">IF(INDEX(Tasks!$I:$I,ROW()-1)="","",INDEX(Tasks!$I:$I,ROW()-1))</f>
        <v/>
      </c>
      <c r="F283" s="22" t="str">
        <f aca="false">IF(INDEX(Tasks!$K:$K,ROW()-1)="","",INDEX(Tasks!$K:$K,ROW()-1))</f>
        <v/>
      </c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</row>
    <row r="284" customFormat="false" ht="15" hidden="false" customHeight="false" outlineLevel="0" collapsed="false">
      <c r="A284" s="21" t="str">
        <f aca="false">IF(INDEX(Tasks!$A:$A,ROW()-1)="","",INDEX(Tasks!$A:$A,ROW()-1))</f>
        <v/>
      </c>
      <c r="B284" s="21" t="str">
        <f aca="false">IF(INDEX(Tasks!$A:$A,ROW()-1)="","",IF(ISERROR(FIND(".",INDEX(Tasks!$A:$A,ROW()-1))),"","   ")&amp;INDEX(Tasks!$D:$D,ROW()-1))</f>
        <v/>
      </c>
      <c r="C284" s="21" t="str">
        <f aca="false">IF(INDEX(Tasks!$G:$G,ROW()-1)="","",INDEX(Tasks!$G:$G,ROW()-1))</f>
        <v/>
      </c>
      <c r="D284" s="21" t="str">
        <f aca="false">IF(INDEX(Tasks!$H:$H,ROW()-1)="","",INDEX(Tasks!$H:$H,ROW()-1))</f>
        <v/>
      </c>
      <c r="E284" s="22" t="str">
        <f aca="false">IF(INDEX(Tasks!$I:$I,ROW()-1)="","",INDEX(Tasks!$I:$I,ROW()-1))</f>
        <v/>
      </c>
      <c r="F284" s="22" t="str">
        <f aca="false">IF(INDEX(Tasks!$K:$K,ROW()-1)="","",INDEX(Tasks!$K:$K,ROW()-1))</f>
        <v/>
      </c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  <c r="AL284" s="23"/>
      <c r="AM284" s="23"/>
      <c r="AN284" s="23"/>
      <c r="AO284" s="23"/>
      <c r="AP284" s="23"/>
      <c r="AQ284" s="23"/>
      <c r="AR284" s="23"/>
      <c r="AS284" s="23"/>
      <c r="AT284" s="23"/>
      <c r="AU284" s="23"/>
      <c r="AV284" s="23"/>
      <c r="AW284" s="23"/>
      <c r="AX284" s="23"/>
    </row>
    <row r="285" customFormat="false" ht="15" hidden="false" customHeight="false" outlineLevel="0" collapsed="false">
      <c r="A285" s="21" t="str">
        <f aca="false">IF(INDEX(Tasks!$A:$A,ROW()-1)="","",INDEX(Tasks!$A:$A,ROW()-1))</f>
        <v/>
      </c>
      <c r="B285" s="21" t="str">
        <f aca="false">IF(INDEX(Tasks!$A:$A,ROW()-1)="","",IF(ISERROR(FIND(".",INDEX(Tasks!$A:$A,ROW()-1))),"","   ")&amp;INDEX(Tasks!$D:$D,ROW()-1))</f>
        <v/>
      </c>
      <c r="C285" s="21" t="str">
        <f aca="false">IF(INDEX(Tasks!$G:$G,ROW()-1)="","",INDEX(Tasks!$G:$G,ROW()-1))</f>
        <v/>
      </c>
      <c r="D285" s="21" t="str">
        <f aca="false">IF(INDEX(Tasks!$H:$H,ROW()-1)="","",INDEX(Tasks!$H:$H,ROW()-1))</f>
        <v/>
      </c>
      <c r="E285" s="22" t="str">
        <f aca="false">IF(INDEX(Tasks!$I:$I,ROW()-1)="","",INDEX(Tasks!$I:$I,ROW()-1))</f>
        <v/>
      </c>
      <c r="F285" s="22" t="str">
        <f aca="false">IF(INDEX(Tasks!$K:$K,ROW()-1)="","",INDEX(Tasks!$K:$K,ROW()-1))</f>
        <v/>
      </c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  <c r="AL285" s="23"/>
      <c r="AM285" s="23"/>
      <c r="AN285" s="23"/>
      <c r="AO285" s="23"/>
      <c r="AP285" s="23"/>
      <c r="AQ285" s="23"/>
      <c r="AR285" s="23"/>
      <c r="AS285" s="23"/>
      <c r="AT285" s="23"/>
      <c r="AU285" s="23"/>
      <c r="AV285" s="23"/>
      <c r="AW285" s="23"/>
      <c r="AX285" s="23"/>
    </row>
    <row r="286" customFormat="false" ht="15" hidden="false" customHeight="false" outlineLevel="0" collapsed="false">
      <c r="A286" s="21" t="str">
        <f aca="false">IF(INDEX(Tasks!$A:$A,ROW()-1)="","",INDEX(Tasks!$A:$A,ROW()-1))</f>
        <v/>
      </c>
      <c r="B286" s="21" t="str">
        <f aca="false">IF(INDEX(Tasks!$A:$A,ROW()-1)="","",IF(ISERROR(FIND(".",INDEX(Tasks!$A:$A,ROW()-1))),"","   ")&amp;INDEX(Tasks!$D:$D,ROW()-1))</f>
        <v/>
      </c>
      <c r="C286" s="21" t="str">
        <f aca="false">IF(INDEX(Tasks!$G:$G,ROW()-1)="","",INDEX(Tasks!$G:$G,ROW()-1))</f>
        <v/>
      </c>
      <c r="D286" s="21" t="str">
        <f aca="false">IF(INDEX(Tasks!$H:$H,ROW()-1)="","",INDEX(Tasks!$H:$H,ROW()-1))</f>
        <v/>
      </c>
      <c r="E286" s="22" t="str">
        <f aca="false">IF(INDEX(Tasks!$I:$I,ROW()-1)="","",INDEX(Tasks!$I:$I,ROW()-1))</f>
        <v/>
      </c>
      <c r="F286" s="22" t="str">
        <f aca="false">IF(INDEX(Tasks!$K:$K,ROW()-1)="","",INDEX(Tasks!$K:$K,ROW()-1))</f>
        <v/>
      </c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</row>
    <row r="287" customFormat="false" ht="15" hidden="false" customHeight="false" outlineLevel="0" collapsed="false">
      <c r="A287" s="21" t="str">
        <f aca="false">IF(INDEX(Tasks!$A:$A,ROW()-1)="","",INDEX(Tasks!$A:$A,ROW()-1))</f>
        <v/>
      </c>
      <c r="B287" s="21" t="str">
        <f aca="false">IF(INDEX(Tasks!$A:$A,ROW()-1)="","",IF(ISERROR(FIND(".",INDEX(Tasks!$A:$A,ROW()-1))),"","   ")&amp;INDEX(Tasks!$D:$D,ROW()-1))</f>
        <v/>
      </c>
      <c r="C287" s="21" t="str">
        <f aca="false">IF(INDEX(Tasks!$G:$G,ROW()-1)="","",INDEX(Tasks!$G:$G,ROW()-1))</f>
        <v/>
      </c>
      <c r="D287" s="21" t="str">
        <f aca="false">IF(INDEX(Tasks!$H:$H,ROW()-1)="","",INDEX(Tasks!$H:$H,ROW()-1))</f>
        <v/>
      </c>
      <c r="E287" s="22" t="str">
        <f aca="false">IF(INDEX(Tasks!$I:$I,ROW()-1)="","",INDEX(Tasks!$I:$I,ROW()-1))</f>
        <v/>
      </c>
      <c r="F287" s="22" t="str">
        <f aca="false">IF(INDEX(Tasks!$K:$K,ROW()-1)="","",INDEX(Tasks!$K:$K,ROW()-1))</f>
        <v/>
      </c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  <c r="AL287" s="23"/>
      <c r="AM287" s="23"/>
      <c r="AN287" s="23"/>
      <c r="AO287" s="23"/>
      <c r="AP287" s="23"/>
      <c r="AQ287" s="23"/>
      <c r="AR287" s="23"/>
      <c r="AS287" s="23"/>
      <c r="AT287" s="23"/>
      <c r="AU287" s="23"/>
      <c r="AV287" s="23"/>
      <c r="AW287" s="23"/>
      <c r="AX287" s="23"/>
    </row>
    <row r="288" customFormat="false" ht="15" hidden="false" customHeight="false" outlineLevel="0" collapsed="false">
      <c r="A288" s="21" t="str">
        <f aca="false">IF(INDEX(Tasks!$A:$A,ROW()-1)="","",INDEX(Tasks!$A:$A,ROW()-1))</f>
        <v/>
      </c>
      <c r="B288" s="21" t="str">
        <f aca="false">IF(INDEX(Tasks!$A:$A,ROW()-1)="","",IF(ISERROR(FIND(".",INDEX(Tasks!$A:$A,ROW()-1))),"","   ")&amp;INDEX(Tasks!$D:$D,ROW()-1))</f>
        <v/>
      </c>
      <c r="C288" s="21" t="str">
        <f aca="false">IF(INDEX(Tasks!$G:$G,ROW()-1)="","",INDEX(Tasks!$G:$G,ROW()-1))</f>
        <v/>
      </c>
      <c r="D288" s="21" t="str">
        <f aca="false">IF(INDEX(Tasks!$H:$H,ROW()-1)="","",INDEX(Tasks!$H:$H,ROW()-1))</f>
        <v/>
      </c>
      <c r="E288" s="22" t="str">
        <f aca="false">IF(INDEX(Tasks!$I:$I,ROW()-1)="","",INDEX(Tasks!$I:$I,ROW()-1))</f>
        <v/>
      </c>
      <c r="F288" s="22" t="str">
        <f aca="false">IF(INDEX(Tasks!$K:$K,ROW()-1)="","",INDEX(Tasks!$K:$K,ROW()-1))</f>
        <v/>
      </c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  <c r="AL288" s="23"/>
      <c r="AM288" s="23"/>
      <c r="AN288" s="23"/>
      <c r="AO288" s="23"/>
      <c r="AP288" s="23"/>
      <c r="AQ288" s="23"/>
      <c r="AR288" s="23"/>
      <c r="AS288" s="23"/>
      <c r="AT288" s="23"/>
      <c r="AU288" s="23"/>
      <c r="AV288" s="23"/>
      <c r="AW288" s="23"/>
      <c r="AX288" s="23"/>
    </row>
    <row r="289" customFormat="false" ht="15" hidden="false" customHeight="false" outlineLevel="0" collapsed="false">
      <c r="A289" s="21" t="str">
        <f aca="false">IF(INDEX(Tasks!$A:$A,ROW()-1)="","",INDEX(Tasks!$A:$A,ROW()-1))</f>
        <v/>
      </c>
      <c r="B289" s="21" t="str">
        <f aca="false">IF(INDEX(Tasks!$A:$A,ROW()-1)="","",IF(ISERROR(FIND(".",INDEX(Tasks!$A:$A,ROW()-1))),"","   ")&amp;INDEX(Tasks!$D:$D,ROW()-1))</f>
        <v/>
      </c>
      <c r="C289" s="21" t="str">
        <f aca="false">IF(INDEX(Tasks!$G:$G,ROW()-1)="","",INDEX(Tasks!$G:$G,ROW()-1))</f>
        <v/>
      </c>
      <c r="D289" s="21" t="str">
        <f aca="false">IF(INDEX(Tasks!$H:$H,ROW()-1)="","",INDEX(Tasks!$H:$H,ROW()-1))</f>
        <v/>
      </c>
      <c r="E289" s="22" t="str">
        <f aca="false">IF(INDEX(Tasks!$I:$I,ROW()-1)="","",INDEX(Tasks!$I:$I,ROW()-1))</f>
        <v/>
      </c>
      <c r="F289" s="22" t="str">
        <f aca="false">IF(INDEX(Tasks!$K:$K,ROW()-1)="","",INDEX(Tasks!$K:$K,ROW()-1))</f>
        <v/>
      </c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  <c r="AL289" s="23"/>
      <c r="AM289" s="23"/>
      <c r="AN289" s="23"/>
      <c r="AO289" s="23"/>
      <c r="AP289" s="23"/>
      <c r="AQ289" s="23"/>
      <c r="AR289" s="23"/>
      <c r="AS289" s="23"/>
      <c r="AT289" s="23"/>
      <c r="AU289" s="23"/>
      <c r="AV289" s="23"/>
      <c r="AW289" s="23"/>
      <c r="AX289" s="23"/>
    </row>
    <row r="290" customFormat="false" ht="15" hidden="false" customHeight="false" outlineLevel="0" collapsed="false">
      <c r="A290" s="21" t="str">
        <f aca="false">IF(INDEX(Tasks!$A:$A,ROW()-1)="","",INDEX(Tasks!$A:$A,ROW()-1))</f>
        <v/>
      </c>
      <c r="B290" s="21" t="str">
        <f aca="false">IF(INDEX(Tasks!$A:$A,ROW()-1)="","",IF(ISERROR(FIND(".",INDEX(Tasks!$A:$A,ROW()-1))),"","   ")&amp;INDEX(Tasks!$D:$D,ROW()-1))</f>
        <v/>
      </c>
      <c r="C290" s="21" t="str">
        <f aca="false">IF(INDEX(Tasks!$G:$G,ROW()-1)="","",INDEX(Tasks!$G:$G,ROW()-1))</f>
        <v/>
      </c>
      <c r="D290" s="21" t="str">
        <f aca="false">IF(INDEX(Tasks!$H:$H,ROW()-1)="","",INDEX(Tasks!$H:$H,ROW()-1))</f>
        <v/>
      </c>
      <c r="E290" s="22" t="str">
        <f aca="false">IF(INDEX(Tasks!$I:$I,ROW()-1)="","",INDEX(Tasks!$I:$I,ROW()-1))</f>
        <v/>
      </c>
      <c r="F290" s="22" t="str">
        <f aca="false">IF(INDEX(Tasks!$K:$K,ROW()-1)="","",INDEX(Tasks!$K:$K,ROW()-1))</f>
        <v/>
      </c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/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</row>
    <row r="291" customFormat="false" ht="15" hidden="false" customHeight="false" outlineLevel="0" collapsed="false">
      <c r="A291" s="21" t="str">
        <f aca="false">IF(INDEX(Tasks!$A:$A,ROW()-1)="","",INDEX(Tasks!$A:$A,ROW()-1))</f>
        <v/>
      </c>
      <c r="B291" s="21" t="str">
        <f aca="false">IF(INDEX(Tasks!$A:$A,ROW()-1)="","",IF(ISERROR(FIND(".",INDEX(Tasks!$A:$A,ROW()-1))),"","   ")&amp;INDEX(Tasks!$D:$D,ROW()-1))</f>
        <v/>
      </c>
      <c r="C291" s="21" t="str">
        <f aca="false">IF(INDEX(Tasks!$G:$G,ROW()-1)="","",INDEX(Tasks!$G:$G,ROW()-1))</f>
        <v/>
      </c>
      <c r="D291" s="21" t="str">
        <f aca="false">IF(INDEX(Tasks!$H:$H,ROW()-1)="","",INDEX(Tasks!$H:$H,ROW()-1))</f>
        <v/>
      </c>
      <c r="E291" s="22" t="str">
        <f aca="false">IF(INDEX(Tasks!$I:$I,ROW()-1)="","",INDEX(Tasks!$I:$I,ROW()-1))</f>
        <v/>
      </c>
      <c r="F291" s="22" t="str">
        <f aca="false">IF(INDEX(Tasks!$K:$K,ROW()-1)="","",INDEX(Tasks!$K:$K,ROW()-1))</f>
        <v/>
      </c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/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</row>
    <row r="292" customFormat="false" ht="15" hidden="false" customHeight="false" outlineLevel="0" collapsed="false">
      <c r="A292" s="21" t="str">
        <f aca="false">IF(INDEX(Tasks!$A:$A,ROW()-1)="","",INDEX(Tasks!$A:$A,ROW()-1))</f>
        <v/>
      </c>
      <c r="B292" s="21" t="str">
        <f aca="false">IF(INDEX(Tasks!$A:$A,ROW()-1)="","",IF(ISERROR(FIND(".",INDEX(Tasks!$A:$A,ROW()-1))),"","   ")&amp;INDEX(Tasks!$D:$D,ROW()-1))</f>
        <v/>
      </c>
      <c r="C292" s="21" t="str">
        <f aca="false">IF(INDEX(Tasks!$G:$G,ROW()-1)="","",INDEX(Tasks!$G:$G,ROW()-1))</f>
        <v/>
      </c>
      <c r="D292" s="21" t="str">
        <f aca="false">IF(INDEX(Tasks!$H:$H,ROW()-1)="","",INDEX(Tasks!$H:$H,ROW()-1))</f>
        <v/>
      </c>
      <c r="E292" s="22" t="str">
        <f aca="false">IF(INDEX(Tasks!$I:$I,ROW()-1)="","",INDEX(Tasks!$I:$I,ROW()-1))</f>
        <v/>
      </c>
      <c r="F292" s="22" t="str">
        <f aca="false">IF(INDEX(Tasks!$K:$K,ROW()-1)="","",INDEX(Tasks!$K:$K,ROW()-1))</f>
        <v/>
      </c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  <c r="AL292" s="23"/>
      <c r="AM292" s="23"/>
      <c r="AN292" s="23"/>
      <c r="AO292" s="23"/>
      <c r="AP292" s="23"/>
      <c r="AQ292" s="23"/>
      <c r="AR292" s="23"/>
      <c r="AS292" s="23"/>
      <c r="AT292" s="23"/>
      <c r="AU292" s="23"/>
      <c r="AV292" s="23"/>
      <c r="AW292" s="23"/>
      <c r="AX292" s="23"/>
    </row>
    <row r="293" customFormat="false" ht="15" hidden="false" customHeight="false" outlineLevel="0" collapsed="false">
      <c r="A293" s="21" t="str">
        <f aca="false">IF(INDEX(Tasks!$A:$A,ROW()-1)="","",INDEX(Tasks!$A:$A,ROW()-1))</f>
        <v/>
      </c>
      <c r="B293" s="21" t="str">
        <f aca="false">IF(INDEX(Tasks!$A:$A,ROW()-1)="","",IF(ISERROR(FIND(".",INDEX(Tasks!$A:$A,ROW()-1))),"","   ")&amp;INDEX(Tasks!$D:$D,ROW()-1))</f>
        <v/>
      </c>
      <c r="C293" s="21" t="str">
        <f aca="false">IF(INDEX(Tasks!$G:$G,ROW()-1)="","",INDEX(Tasks!$G:$G,ROW()-1))</f>
        <v/>
      </c>
      <c r="D293" s="21" t="str">
        <f aca="false">IF(INDEX(Tasks!$H:$H,ROW()-1)="","",INDEX(Tasks!$H:$H,ROW()-1))</f>
        <v/>
      </c>
      <c r="E293" s="22" t="str">
        <f aca="false">IF(INDEX(Tasks!$I:$I,ROW()-1)="","",INDEX(Tasks!$I:$I,ROW()-1))</f>
        <v/>
      </c>
      <c r="F293" s="22" t="str">
        <f aca="false">IF(INDEX(Tasks!$K:$K,ROW()-1)="","",INDEX(Tasks!$K:$K,ROW()-1))</f>
        <v/>
      </c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/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  <c r="AX293" s="23"/>
    </row>
    <row r="294" customFormat="false" ht="15" hidden="false" customHeight="false" outlineLevel="0" collapsed="false">
      <c r="A294" s="21" t="str">
        <f aca="false">IF(INDEX(Tasks!$A:$A,ROW()-1)="","",INDEX(Tasks!$A:$A,ROW()-1))</f>
        <v/>
      </c>
      <c r="B294" s="21" t="str">
        <f aca="false">IF(INDEX(Tasks!$A:$A,ROW()-1)="","",IF(ISERROR(FIND(".",INDEX(Tasks!$A:$A,ROW()-1))),"","   ")&amp;INDEX(Tasks!$D:$D,ROW()-1))</f>
        <v/>
      </c>
      <c r="C294" s="21" t="str">
        <f aca="false">IF(INDEX(Tasks!$G:$G,ROW()-1)="","",INDEX(Tasks!$G:$G,ROW()-1))</f>
        <v/>
      </c>
      <c r="D294" s="21" t="str">
        <f aca="false">IF(INDEX(Tasks!$H:$H,ROW()-1)="","",INDEX(Tasks!$H:$H,ROW()-1))</f>
        <v/>
      </c>
      <c r="E294" s="22" t="str">
        <f aca="false">IF(INDEX(Tasks!$I:$I,ROW()-1)="","",INDEX(Tasks!$I:$I,ROW()-1))</f>
        <v/>
      </c>
      <c r="F294" s="22" t="str">
        <f aca="false">IF(INDEX(Tasks!$K:$K,ROW()-1)="","",INDEX(Tasks!$K:$K,ROW()-1))</f>
        <v/>
      </c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  <c r="AL294" s="23"/>
      <c r="AM294" s="23"/>
      <c r="AN294" s="23"/>
      <c r="AO294" s="23"/>
      <c r="AP294" s="23"/>
      <c r="AQ294" s="23"/>
      <c r="AR294" s="23"/>
      <c r="AS294" s="23"/>
      <c r="AT294" s="23"/>
      <c r="AU294" s="23"/>
      <c r="AV294" s="23"/>
      <c r="AW294" s="23"/>
      <c r="AX294" s="23"/>
    </row>
    <row r="295" customFormat="false" ht="15" hidden="false" customHeight="false" outlineLevel="0" collapsed="false">
      <c r="A295" s="21" t="str">
        <f aca="false">IF(INDEX(Tasks!$A:$A,ROW()-1)="","",INDEX(Tasks!$A:$A,ROW()-1))</f>
        <v/>
      </c>
      <c r="B295" s="21" t="str">
        <f aca="false">IF(INDEX(Tasks!$A:$A,ROW()-1)="","",IF(ISERROR(FIND(".",INDEX(Tasks!$A:$A,ROW()-1))),"","   ")&amp;INDEX(Tasks!$D:$D,ROW()-1))</f>
        <v/>
      </c>
      <c r="C295" s="21" t="str">
        <f aca="false">IF(INDEX(Tasks!$G:$G,ROW()-1)="","",INDEX(Tasks!$G:$G,ROW()-1))</f>
        <v/>
      </c>
      <c r="D295" s="21" t="str">
        <f aca="false">IF(INDEX(Tasks!$H:$H,ROW()-1)="","",INDEX(Tasks!$H:$H,ROW()-1))</f>
        <v/>
      </c>
      <c r="E295" s="22" t="str">
        <f aca="false">IF(INDEX(Tasks!$I:$I,ROW()-1)="","",INDEX(Tasks!$I:$I,ROW()-1))</f>
        <v/>
      </c>
      <c r="F295" s="22" t="str">
        <f aca="false">IF(INDEX(Tasks!$K:$K,ROW()-1)="","",INDEX(Tasks!$K:$K,ROW()-1))</f>
        <v/>
      </c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  <c r="AL295" s="23"/>
      <c r="AM295" s="23"/>
      <c r="AN295" s="23"/>
      <c r="AO295" s="23"/>
      <c r="AP295" s="23"/>
      <c r="AQ295" s="23"/>
      <c r="AR295" s="23"/>
      <c r="AS295" s="23"/>
      <c r="AT295" s="23"/>
      <c r="AU295" s="23"/>
      <c r="AV295" s="23"/>
      <c r="AW295" s="23"/>
      <c r="AX295" s="23"/>
    </row>
    <row r="296" customFormat="false" ht="15" hidden="false" customHeight="false" outlineLevel="0" collapsed="false">
      <c r="A296" s="21" t="str">
        <f aca="false">IF(INDEX(Tasks!$A:$A,ROW()-1)="","",INDEX(Tasks!$A:$A,ROW()-1))</f>
        <v/>
      </c>
      <c r="B296" s="21" t="str">
        <f aca="false">IF(INDEX(Tasks!$A:$A,ROW()-1)="","",IF(ISERROR(FIND(".",INDEX(Tasks!$A:$A,ROW()-1))),"","   ")&amp;INDEX(Tasks!$D:$D,ROW()-1))</f>
        <v/>
      </c>
      <c r="C296" s="21" t="str">
        <f aca="false">IF(INDEX(Tasks!$G:$G,ROW()-1)="","",INDEX(Tasks!$G:$G,ROW()-1))</f>
        <v/>
      </c>
      <c r="D296" s="21" t="str">
        <f aca="false">IF(INDEX(Tasks!$H:$H,ROW()-1)="","",INDEX(Tasks!$H:$H,ROW()-1))</f>
        <v/>
      </c>
      <c r="E296" s="22" t="str">
        <f aca="false">IF(INDEX(Tasks!$I:$I,ROW()-1)="","",INDEX(Tasks!$I:$I,ROW()-1))</f>
        <v/>
      </c>
      <c r="F296" s="22" t="str">
        <f aca="false">IF(INDEX(Tasks!$K:$K,ROW()-1)="","",INDEX(Tasks!$K:$K,ROW()-1))</f>
        <v/>
      </c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  <c r="AL296" s="23"/>
      <c r="AM296" s="23"/>
      <c r="AN296" s="23"/>
      <c r="AO296" s="23"/>
      <c r="AP296" s="23"/>
      <c r="AQ296" s="23"/>
      <c r="AR296" s="23"/>
      <c r="AS296" s="23"/>
      <c r="AT296" s="23"/>
      <c r="AU296" s="23"/>
      <c r="AV296" s="23"/>
      <c r="AW296" s="23"/>
      <c r="AX296" s="23"/>
    </row>
    <row r="297" customFormat="false" ht="15" hidden="false" customHeight="false" outlineLevel="0" collapsed="false">
      <c r="A297" s="21" t="str">
        <f aca="false">IF(INDEX(Tasks!$A:$A,ROW()-1)="","",INDEX(Tasks!$A:$A,ROW()-1))</f>
        <v/>
      </c>
      <c r="B297" s="21" t="str">
        <f aca="false">IF(INDEX(Tasks!$A:$A,ROW()-1)="","",IF(ISERROR(FIND(".",INDEX(Tasks!$A:$A,ROW()-1))),"","   ")&amp;INDEX(Tasks!$D:$D,ROW()-1))</f>
        <v/>
      </c>
      <c r="C297" s="21" t="str">
        <f aca="false">IF(INDEX(Tasks!$G:$G,ROW()-1)="","",INDEX(Tasks!$G:$G,ROW()-1))</f>
        <v/>
      </c>
      <c r="D297" s="21" t="str">
        <f aca="false">IF(INDEX(Tasks!$H:$H,ROW()-1)="","",INDEX(Tasks!$H:$H,ROW()-1))</f>
        <v/>
      </c>
      <c r="E297" s="22" t="str">
        <f aca="false">IF(INDEX(Tasks!$I:$I,ROW()-1)="","",INDEX(Tasks!$I:$I,ROW()-1))</f>
        <v/>
      </c>
      <c r="F297" s="22" t="str">
        <f aca="false">IF(INDEX(Tasks!$K:$K,ROW()-1)="","",INDEX(Tasks!$K:$K,ROW()-1))</f>
        <v/>
      </c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  <c r="AL297" s="23"/>
      <c r="AM297" s="23"/>
      <c r="AN297" s="23"/>
      <c r="AO297" s="23"/>
      <c r="AP297" s="23"/>
      <c r="AQ297" s="23"/>
      <c r="AR297" s="23"/>
      <c r="AS297" s="23"/>
      <c r="AT297" s="23"/>
      <c r="AU297" s="23"/>
      <c r="AV297" s="23"/>
      <c r="AW297" s="23"/>
      <c r="AX297" s="23"/>
    </row>
    <row r="298" customFormat="false" ht="15" hidden="false" customHeight="false" outlineLevel="0" collapsed="false">
      <c r="A298" s="21" t="str">
        <f aca="false">IF(INDEX(Tasks!$A:$A,ROW()-1)="","",INDEX(Tasks!$A:$A,ROW()-1))</f>
        <v/>
      </c>
      <c r="B298" s="21" t="str">
        <f aca="false">IF(INDEX(Tasks!$A:$A,ROW()-1)="","",IF(ISERROR(FIND(".",INDEX(Tasks!$A:$A,ROW()-1))),"","   ")&amp;INDEX(Tasks!$D:$D,ROW()-1))</f>
        <v/>
      </c>
      <c r="C298" s="21" t="str">
        <f aca="false">IF(INDEX(Tasks!$G:$G,ROW()-1)="","",INDEX(Tasks!$G:$G,ROW()-1))</f>
        <v/>
      </c>
      <c r="D298" s="21" t="str">
        <f aca="false">IF(INDEX(Tasks!$H:$H,ROW()-1)="","",INDEX(Tasks!$H:$H,ROW()-1))</f>
        <v/>
      </c>
      <c r="E298" s="22" t="str">
        <f aca="false">IF(INDEX(Tasks!$I:$I,ROW()-1)="","",INDEX(Tasks!$I:$I,ROW()-1))</f>
        <v/>
      </c>
      <c r="F298" s="22" t="str">
        <f aca="false">IF(INDEX(Tasks!$K:$K,ROW()-1)="","",INDEX(Tasks!$K:$K,ROW()-1))</f>
        <v/>
      </c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  <c r="AL298" s="23"/>
      <c r="AM298" s="23"/>
      <c r="AN298" s="23"/>
      <c r="AO298" s="23"/>
      <c r="AP298" s="23"/>
      <c r="AQ298" s="23"/>
      <c r="AR298" s="23"/>
      <c r="AS298" s="23"/>
      <c r="AT298" s="23"/>
      <c r="AU298" s="23"/>
      <c r="AV298" s="23"/>
      <c r="AW298" s="23"/>
      <c r="AX298" s="23"/>
    </row>
    <row r="299" customFormat="false" ht="15" hidden="false" customHeight="false" outlineLevel="0" collapsed="false">
      <c r="A299" s="21" t="str">
        <f aca="false">IF(INDEX(Tasks!$A:$A,ROW()-1)="","",INDEX(Tasks!$A:$A,ROW()-1))</f>
        <v/>
      </c>
      <c r="B299" s="21" t="str">
        <f aca="false">IF(INDEX(Tasks!$A:$A,ROW()-1)="","",IF(ISERROR(FIND(".",INDEX(Tasks!$A:$A,ROW()-1))),"","   ")&amp;INDEX(Tasks!$D:$D,ROW()-1))</f>
        <v/>
      </c>
      <c r="C299" s="21" t="str">
        <f aca="false">IF(INDEX(Tasks!$G:$G,ROW()-1)="","",INDEX(Tasks!$G:$G,ROW()-1))</f>
        <v/>
      </c>
      <c r="D299" s="21" t="str">
        <f aca="false">IF(INDEX(Tasks!$H:$H,ROW()-1)="","",INDEX(Tasks!$H:$H,ROW()-1))</f>
        <v/>
      </c>
      <c r="E299" s="22" t="str">
        <f aca="false">IF(INDEX(Tasks!$I:$I,ROW()-1)="","",INDEX(Tasks!$I:$I,ROW()-1))</f>
        <v/>
      </c>
      <c r="F299" s="22" t="str">
        <f aca="false">IF(INDEX(Tasks!$K:$K,ROW()-1)="","",INDEX(Tasks!$K:$K,ROW()-1))</f>
        <v/>
      </c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  <c r="AL299" s="23"/>
      <c r="AM299" s="23"/>
      <c r="AN299" s="23"/>
      <c r="AO299" s="23"/>
      <c r="AP299" s="23"/>
      <c r="AQ299" s="23"/>
      <c r="AR299" s="23"/>
      <c r="AS299" s="23"/>
      <c r="AT299" s="23"/>
      <c r="AU299" s="23"/>
      <c r="AV299" s="23"/>
      <c r="AW299" s="23"/>
      <c r="AX299" s="23"/>
    </row>
    <row r="300" customFormat="false" ht="15" hidden="false" customHeight="false" outlineLevel="0" collapsed="false">
      <c r="A300" s="21" t="str">
        <f aca="false">IF(INDEX(Tasks!$A:$A,ROW()-1)="","",INDEX(Tasks!$A:$A,ROW()-1))</f>
        <v/>
      </c>
      <c r="B300" s="21" t="str">
        <f aca="false">IF(INDEX(Tasks!$A:$A,ROW()-1)="","",IF(ISERROR(FIND(".",INDEX(Tasks!$A:$A,ROW()-1))),"","   ")&amp;INDEX(Tasks!$D:$D,ROW()-1))</f>
        <v/>
      </c>
      <c r="C300" s="21" t="str">
        <f aca="false">IF(INDEX(Tasks!$G:$G,ROW()-1)="","",INDEX(Tasks!$G:$G,ROW()-1))</f>
        <v/>
      </c>
      <c r="D300" s="21" t="str">
        <f aca="false">IF(INDEX(Tasks!$H:$H,ROW()-1)="","",INDEX(Tasks!$H:$H,ROW()-1))</f>
        <v/>
      </c>
      <c r="E300" s="22" t="str">
        <f aca="false">IF(INDEX(Tasks!$I:$I,ROW()-1)="","",INDEX(Tasks!$I:$I,ROW()-1))</f>
        <v/>
      </c>
      <c r="F300" s="22" t="str">
        <f aca="false">IF(INDEX(Tasks!$K:$K,ROW()-1)="","",INDEX(Tasks!$K:$K,ROW()-1))</f>
        <v/>
      </c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</row>
    <row r="301" customFormat="false" ht="15" hidden="false" customHeight="false" outlineLevel="0" collapsed="false">
      <c r="A301" s="21" t="str">
        <f aca="false">IF(INDEX(Tasks!$A:$A,ROW()-1)="","",INDEX(Tasks!$A:$A,ROW()-1))</f>
        <v/>
      </c>
      <c r="B301" s="21" t="str">
        <f aca="false">IF(INDEX(Tasks!$A:$A,ROW()-1)="","",IF(ISERROR(FIND(".",INDEX(Tasks!$A:$A,ROW()-1))),"","   ")&amp;INDEX(Tasks!$D:$D,ROW()-1))</f>
        <v/>
      </c>
      <c r="C301" s="21" t="str">
        <f aca="false">IF(INDEX(Tasks!$G:$G,ROW()-1)="","",INDEX(Tasks!$G:$G,ROW()-1))</f>
        <v/>
      </c>
      <c r="D301" s="21" t="str">
        <f aca="false">IF(INDEX(Tasks!$H:$H,ROW()-1)="","",INDEX(Tasks!$H:$H,ROW()-1))</f>
        <v/>
      </c>
      <c r="E301" s="22" t="str">
        <f aca="false">IF(INDEX(Tasks!$I:$I,ROW()-1)="","",INDEX(Tasks!$I:$I,ROW()-1))</f>
        <v/>
      </c>
      <c r="F301" s="22" t="str">
        <f aca="false">IF(INDEX(Tasks!$K:$K,ROW()-1)="","",INDEX(Tasks!$K:$K,ROW()-1))</f>
        <v/>
      </c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  <c r="AL301" s="23"/>
      <c r="AM301" s="23"/>
      <c r="AN301" s="23"/>
      <c r="AO301" s="23"/>
      <c r="AP301" s="23"/>
      <c r="AQ301" s="23"/>
      <c r="AR301" s="23"/>
      <c r="AS301" s="23"/>
      <c r="AT301" s="23"/>
      <c r="AU301" s="23"/>
      <c r="AV301" s="23"/>
      <c r="AW301" s="23"/>
      <c r="AX301" s="23"/>
    </row>
    <row r="302" customFormat="false" ht="15" hidden="false" customHeight="false" outlineLevel="0" collapsed="false">
      <c r="A302" s="21" t="str">
        <f aca="false">IF(INDEX(Tasks!$A:$A,ROW()-1)="","",INDEX(Tasks!$A:$A,ROW()-1))</f>
        <v/>
      </c>
      <c r="B302" s="21" t="str">
        <f aca="false">IF(INDEX(Tasks!$A:$A,ROW()-1)="","",IF(ISERROR(FIND(".",INDEX(Tasks!$A:$A,ROW()-1))),"","   ")&amp;INDEX(Tasks!$D:$D,ROW()-1))</f>
        <v/>
      </c>
      <c r="C302" s="21" t="str">
        <f aca="false">IF(INDEX(Tasks!$G:$G,ROW()-1)="","",INDEX(Tasks!$G:$G,ROW()-1))</f>
        <v/>
      </c>
      <c r="D302" s="21" t="str">
        <f aca="false">IF(INDEX(Tasks!$H:$H,ROW()-1)="","",INDEX(Tasks!$H:$H,ROW()-1))</f>
        <v/>
      </c>
      <c r="E302" s="22" t="str">
        <f aca="false">IF(INDEX(Tasks!$I:$I,ROW()-1)="","",INDEX(Tasks!$I:$I,ROW()-1))</f>
        <v/>
      </c>
      <c r="F302" s="22" t="str">
        <f aca="false">IF(INDEX(Tasks!$K:$K,ROW()-1)="","",INDEX(Tasks!$K:$K,ROW()-1))</f>
        <v/>
      </c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  <c r="AL302" s="23"/>
      <c r="AM302" s="23"/>
      <c r="AN302" s="23"/>
      <c r="AO302" s="23"/>
      <c r="AP302" s="23"/>
      <c r="AQ302" s="23"/>
      <c r="AR302" s="23"/>
      <c r="AS302" s="23"/>
      <c r="AT302" s="23"/>
      <c r="AU302" s="23"/>
      <c r="AV302" s="23"/>
      <c r="AW302" s="23"/>
      <c r="AX302" s="23"/>
    </row>
    <row r="303" customFormat="false" ht="15" hidden="false" customHeight="false" outlineLevel="0" collapsed="false">
      <c r="A303" s="21" t="str">
        <f aca="false">IF(INDEX(Tasks!$A:$A,ROW()-1)="","",INDEX(Tasks!$A:$A,ROW()-1))</f>
        <v/>
      </c>
      <c r="B303" s="21" t="str">
        <f aca="false">IF(INDEX(Tasks!$A:$A,ROW()-1)="","",IF(ISERROR(FIND(".",INDEX(Tasks!$A:$A,ROW()-1))),"","   ")&amp;INDEX(Tasks!$D:$D,ROW()-1))</f>
        <v/>
      </c>
      <c r="C303" s="21" t="str">
        <f aca="false">IF(INDEX(Tasks!$G:$G,ROW()-1)="","",INDEX(Tasks!$G:$G,ROW()-1))</f>
        <v/>
      </c>
      <c r="D303" s="21" t="str">
        <f aca="false">IF(INDEX(Tasks!$H:$H,ROW()-1)="","",INDEX(Tasks!$H:$H,ROW()-1))</f>
        <v/>
      </c>
      <c r="E303" s="22" t="str">
        <f aca="false">IF(INDEX(Tasks!$I:$I,ROW()-1)="","",INDEX(Tasks!$I:$I,ROW()-1))</f>
        <v/>
      </c>
      <c r="F303" s="22" t="str">
        <f aca="false">IF(INDEX(Tasks!$K:$K,ROW()-1)="","",INDEX(Tasks!$K:$K,ROW()-1))</f>
        <v/>
      </c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</row>
    <row r="304" customFormat="false" ht="15" hidden="false" customHeight="false" outlineLevel="0" collapsed="false">
      <c r="A304" s="21" t="str">
        <f aca="false">IF(INDEX(Tasks!$A:$A,ROW()-1)="","",INDEX(Tasks!$A:$A,ROW()-1))</f>
        <v/>
      </c>
      <c r="B304" s="21" t="str">
        <f aca="false">IF(INDEX(Tasks!$A:$A,ROW()-1)="","",IF(ISERROR(FIND(".",INDEX(Tasks!$A:$A,ROW()-1))),"","   ")&amp;INDEX(Tasks!$D:$D,ROW()-1))</f>
        <v/>
      </c>
      <c r="C304" s="21" t="str">
        <f aca="false">IF(INDEX(Tasks!$G:$G,ROW()-1)="","",INDEX(Tasks!$G:$G,ROW()-1))</f>
        <v/>
      </c>
      <c r="D304" s="21" t="str">
        <f aca="false">IF(INDEX(Tasks!$H:$H,ROW()-1)="","",INDEX(Tasks!$H:$H,ROW()-1))</f>
        <v/>
      </c>
      <c r="E304" s="22" t="str">
        <f aca="false">IF(INDEX(Tasks!$I:$I,ROW()-1)="","",INDEX(Tasks!$I:$I,ROW()-1))</f>
        <v/>
      </c>
      <c r="F304" s="22" t="str">
        <f aca="false">IF(INDEX(Tasks!$K:$K,ROW()-1)="","",INDEX(Tasks!$K:$K,ROW()-1))</f>
        <v/>
      </c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/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</row>
    <row r="305" customFormat="false" ht="15" hidden="false" customHeight="false" outlineLevel="0" collapsed="false">
      <c r="A305" s="21" t="str">
        <f aca="false">IF(INDEX(Tasks!$A:$A,ROW()-1)="","",INDEX(Tasks!$A:$A,ROW()-1))</f>
        <v/>
      </c>
      <c r="B305" s="21" t="str">
        <f aca="false">IF(INDEX(Tasks!$A:$A,ROW()-1)="","",IF(ISERROR(FIND(".",INDEX(Tasks!$A:$A,ROW()-1))),"","   ")&amp;INDEX(Tasks!$D:$D,ROW()-1))</f>
        <v/>
      </c>
      <c r="C305" s="21" t="str">
        <f aca="false">IF(INDEX(Tasks!$G:$G,ROW()-1)="","",INDEX(Tasks!$G:$G,ROW()-1))</f>
        <v/>
      </c>
      <c r="D305" s="21" t="str">
        <f aca="false">IF(INDEX(Tasks!$H:$H,ROW()-1)="","",INDEX(Tasks!$H:$H,ROW()-1))</f>
        <v/>
      </c>
      <c r="E305" s="22" t="str">
        <f aca="false">IF(INDEX(Tasks!$I:$I,ROW()-1)="","",INDEX(Tasks!$I:$I,ROW()-1))</f>
        <v/>
      </c>
      <c r="F305" s="22" t="str">
        <f aca="false">IF(INDEX(Tasks!$K:$K,ROW()-1)="","",INDEX(Tasks!$K:$K,ROW()-1))</f>
        <v/>
      </c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/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</row>
    <row r="306" customFormat="false" ht="15" hidden="false" customHeight="false" outlineLevel="0" collapsed="false">
      <c r="A306" s="21" t="str">
        <f aca="false">IF(INDEX(Tasks!$A:$A,ROW()-1)="","",INDEX(Tasks!$A:$A,ROW()-1))</f>
        <v/>
      </c>
      <c r="B306" s="21" t="str">
        <f aca="false">IF(INDEX(Tasks!$A:$A,ROW()-1)="","",IF(ISERROR(FIND(".",INDEX(Tasks!$A:$A,ROW()-1))),"","   ")&amp;INDEX(Tasks!$D:$D,ROW()-1))</f>
        <v/>
      </c>
      <c r="C306" s="21" t="str">
        <f aca="false">IF(INDEX(Tasks!$G:$G,ROW()-1)="","",INDEX(Tasks!$G:$G,ROW()-1))</f>
        <v/>
      </c>
      <c r="D306" s="21" t="str">
        <f aca="false">IF(INDEX(Tasks!$H:$H,ROW()-1)="","",INDEX(Tasks!$H:$H,ROW()-1))</f>
        <v/>
      </c>
      <c r="E306" s="22" t="str">
        <f aca="false">IF(INDEX(Tasks!$I:$I,ROW()-1)="","",INDEX(Tasks!$I:$I,ROW()-1))</f>
        <v/>
      </c>
      <c r="F306" s="22" t="str">
        <f aca="false">IF(INDEX(Tasks!$K:$K,ROW()-1)="","",INDEX(Tasks!$K:$K,ROW()-1))</f>
        <v/>
      </c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</row>
    <row r="307" customFormat="false" ht="15" hidden="false" customHeight="false" outlineLevel="0" collapsed="false">
      <c r="A307" s="21" t="str">
        <f aca="false">IF(INDEX(Tasks!$A:$A,ROW()-1)="","",INDEX(Tasks!$A:$A,ROW()-1))</f>
        <v/>
      </c>
      <c r="B307" s="21" t="str">
        <f aca="false">IF(INDEX(Tasks!$A:$A,ROW()-1)="","",IF(ISERROR(FIND(".",INDEX(Tasks!$A:$A,ROW()-1))),"","   ")&amp;INDEX(Tasks!$D:$D,ROW()-1))</f>
        <v/>
      </c>
      <c r="C307" s="21" t="str">
        <f aca="false">IF(INDEX(Tasks!$G:$G,ROW()-1)="","",INDEX(Tasks!$G:$G,ROW()-1))</f>
        <v/>
      </c>
      <c r="D307" s="21" t="str">
        <f aca="false">IF(INDEX(Tasks!$H:$H,ROW()-1)="","",INDEX(Tasks!$H:$H,ROW()-1))</f>
        <v/>
      </c>
      <c r="E307" s="22" t="str">
        <f aca="false">IF(INDEX(Tasks!$I:$I,ROW()-1)="","",INDEX(Tasks!$I:$I,ROW()-1))</f>
        <v/>
      </c>
      <c r="F307" s="22" t="str">
        <f aca="false">IF(INDEX(Tasks!$K:$K,ROW()-1)="","",INDEX(Tasks!$K:$K,ROW()-1))</f>
        <v/>
      </c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/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</row>
    <row r="308" customFormat="false" ht="15" hidden="false" customHeight="false" outlineLevel="0" collapsed="false">
      <c r="A308" s="21" t="str">
        <f aca="false">IF(INDEX(Tasks!$A:$A,ROW()-1)="","",INDEX(Tasks!$A:$A,ROW()-1))</f>
        <v/>
      </c>
      <c r="B308" s="21" t="str">
        <f aca="false">IF(INDEX(Tasks!$A:$A,ROW()-1)="","",IF(ISERROR(FIND(".",INDEX(Tasks!$A:$A,ROW()-1))),"","   ")&amp;INDEX(Tasks!$D:$D,ROW()-1))</f>
        <v/>
      </c>
      <c r="C308" s="21" t="str">
        <f aca="false">IF(INDEX(Tasks!$G:$G,ROW()-1)="","",INDEX(Tasks!$G:$G,ROW()-1))</f>
        <v/>
      </c>
      <c r="D308" s="21" t="str">
        <f aca="false">IF(INDEX(Tasks!$H:$H,ROW()-1)="","",INDEX(Tasks!$H:$H,ROW()-1))</f>
        <v/>
      </c>
      <c r="E308" s="22" t="str">
        <f aca="false">IF(INDEX(Tasks!$I:$I,ROW()-1)="","",INDEX(Tasks!$I:$I,ROW()-1))</f>
        <v/>
      </c>
      <c r="F308" s="22" t="str">
        <f aca="false">IF(INDEX(Tasks!$K:$K,ROW()-1)="","",INDEX(Tasks!$K:$K,ROW()-1))</f>
        <v/>
      </c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  <c r="AL308" s="23"/>
      <c r="AM308" s="23"/>
      <c r="AN308" s="23"/>
      <c r="AO308" s="23"/>
      <c r="AP308" s="23"/>
      <c r="AQ308" s="23"/>
      <c r="AR308" s="23"/>
      <c r="AS308" s="23"/>
      <c r="AT308" s="23"/>
      <c r="AU308" s="23"/>
      <c r="AV308" s="23"/>
      <c r="AW308" s="23"/>
      <c r="AX308" s="23"/>
    </row>
    <row r="309" customFormat="false" ht="15" hidden="false" customHeight="false" outlineLevel="0" collapsed="false">
      <c r="A309" s="21" t="str">
        <f aca="false">IF(INDEX(Tasks!$A:$A,ROW()-1)="","",INDEX(Tasks!$A:$A,ROW()-1))</f>
        <v/>
      </c>
      <c r="B309" s="21" t="str">
        <f aca="false">IF(INDEX(Tasks!$A:$A,ROW()-1)="","",IF(ISERROR(FIND(".",INDEX(Tasks!$A:$A,ROW()-1))),"","   ")&amp;INDEX(Tasks!$D:$D,ROW()-1))</f>
        <v/>
      </c>
      <c r="C309" s="21" t="str">
        <f aca="false">IF(INDEX(Tasks!$G:$G,ROW()-1)="","",INDEX(Tasks!$G:$G,ROW()-1))</f>
        <v/>
      </c>
      <c r="D309" s="21" t="str">
        <f aca="false">IF(INDEX(Tasks!$H:$H,ROW()-1)="","",INDEX(Tasks!$H:$H,ROW()-1))</f>
        <v/>
      </c>
      <c r="E309" s="22" t="str">
        <f aca="false">IF(INDEX(Tasks!$I:$I,ROW()-1)="","",INDEX(Tasks!$I:$I,ROW()-1))</f>
        <v/>
      </c>
      <c r="F309" s="22" t="str">
        <f aca="false">IF(INDEX(Tasks!$K:$K,ROW()-1)="","",INDEX(Tasks!$K:$K,ROW()-1))</f>
        <v/>
      </c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</row>
    <row r="310" customFormat="false" ht="15" hidden="false" customHeight="false" outlineLevel="0" collapsed="false">
      <c r="A310" s="21" t="str">
        <f aca="false">IF(INDEX(Tasks!$A:$A,ROW()-1)="","",INDEX(Tasks!$A:$A,ROW()-1))</f>
        <v/>
      </c>
      <c r="B310" s="21" t="str">
        <f aca="false">IF(INDEX(Tasks!$A:$A,ROW()-1)="","",IF(ISERROR(FIND(".",INDEX(Tasks!$A:$A,ROW()-1))),"","   ")&amp;INDEX(Tasks!$D:$D,ROW()-1))</f>
        <v/>
      </c>
      <c r="C310" s="21" t="str">
        <f aca="false">IF(INDEX(Tasks!$G:$G,ROW()-1)="","",INDEX(Tasks!$G:$G,ROW()-1))</f>
        <v/>
      </c>
      <c r="D310" s="21" t="str">
        <f aca="false">IF(INDEX(Tasks!$H:$H,ROW()-1)="","",INDEX(Tasks!$H:$H,ROW()-1))</f>
        <v/>
      </c>
      <c r="E310" s="22" t="str">
        <f aca="false">IF(INDEX(Tasks!$I:$I,ROW()-1)="","",INDEX(Tasks!$I:$I,ROW()-1))</f>
        <v/>
      </c>
      <c r="F310" s="22" t="str">
        <f aca="false">IF(INDEX(Tasks!$K:$K,ROW()-1)="","",INDEX(Tasks!$K:$K,ROW()-1))</f>
        <v/>
      </c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  <c r="AL310" s="23"/>
      <c r="AM310" s="23"/>
      <c r="AN310" s="23"/>
      <c r="AO310" s="23"/>
      <c r="AP310" s="23"/>
      <c r="AQ310" s="23"/>
      <c r="AR310" s="23"/>
      <c r="AS310" s="23"/>
      <c r="AT310" s="23"/>
      <c r="AU310" s="23"/>
      <c r="AV310" s="23"/>
      <c r="AW310" s="23"/>
      <c r="AX310" s="23"/>
    </row>
    <row r="311" customFormat="false" ht="15" hidden="false" customHeight="false" outlineLevel="0" collapsed="false">
      <c r="A311" s="21" t="str">
        <f aca="false">IF(INDEX(Tasks!$A:$A,ROW()-1)="","",INDEX(Tasks!$A:$A,ROW()-1))</f>
        <v/>
      </c>
      <c r="B311" s="21" t="str">
        <f aca="false">IF(INDEX(Tasks!$A:$A,ROW()-1)="","",IF(ISERROR(FIND(".",INDEX(Tasks!$A:$A,ROW()-1))),"","   ")&amp;INDEX(Tasks!$D:$D,ROW()-1))</f>
        <v/>
      </c>
      <c r="C311" s="21" t="str">
        <f aca="false">IF(INDEX(Tasks!$G:$G,ROW()-1)="","",INDEX(Tasks!$G:$G,ROW()-1))</f>
        <v/>
      </c>
      <c r="D311" s="21" t="str">
        <f aca="false">IF(INDEX(Tasks!$H:$H,ROW()-1)="","",INDEX(Tasks!$H:$H,ROW()-1))</f>
        <v/>
      </c>
      <c r="E311" s="22" t="str">
        <f aca="false">IF(INDEX(Tasks!$I:$I,ROW()-1)="","",INDEX(Tasks!$I:$I,ROW()-1))</f>
        <v/>
      </c>
      <c r="F311" s="22" t="str">
        <f aca="false">IF(INDEX(Tasks!$K:$K,ROW()-1)="","",INDEX(Tasks!$K:$K,ROW()-1))</f>
        <v/>
      </c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  <c r="AL311" s="23"/>
      <c r="AM311" s="23"/>
      <c r="AN311" s="23"/>
      <c r="AO311" s="23"/>
      <c r="AP311" s="23"/>
      <c r="AQ311" s="23"/>
      <c r="AR311" s="23"/>
      <c r="AS311" s="23"/>
      <c r="AT311" s="23"/>
      <c r="AU311" s="23"/>
      <c r="AV311" s="23"/>
      <c r="AW311" s="23"/>
      <c r="AX311" s="23"/>
    </row>
    <row r="312" customFormat="false" ht="15" hidden="false" customHeight="false" outlineLevel="0" collapsed="false">
      <c r="A312" s="21" t="str">
        <f aca="false">IF(INDEX(Tasks!$A:$A,ROW()-1)="","",INDEX(Tasks!$A:$A,ROW()-1))</f>
        <v/>
      </c>
      <c r="B312" s="21" t="str">
        <f aca="false">IF(INDEX(Tasks!$A:$A,ROW()-1)="","",IF(ISERROR(FIND(".",INDEX(Tasks!$A:$A,ROW()-1))),"","   ")&amp;INDEX(Tasks!$D:$D,ROW()-1))</f>
        <v/>
      </c>
      <c r="C312" s="21" t="str">
        <f aca="false">IF(INDEX(Tasks!$G:$G,ROW()-1)="","",INDEX(Tasks!$G:$G,ROW()-1))</f>
        <v/>
      </c>
      <c r="D312" s="21" t="str">
        <f aca="false">IF(INDEX(Tasks!$H:$H,ROW()-1)="","",INDEX(Tasks!$H:$H,ROW()-1))</f>
        <v/>
      </c>
      <c r="E312" s="22" t="str">
        <f aca="false">IF(INDEX(Tasks!$I:$I,ROW()-1)="","",INDEX(Tasks!$I:$I,ROW()-1))</f>
        <v/>
      </c>
      <c r="F312" s="22" t="str">
        <f aca="false">IF(INDEX(Tasks!$K:$K,ROW()-1)="","",INDEX(Tasks!$K:$K,ROW()-1))</f>
        <v/>
      </c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</row>
    <row r="313" customFormat="false" ht="15" hidden="false" customHeight="false" outlineLevel="0" collapsed="false">
      <c r="A313" s="21" t="str">
        <f aca="false">IF(INDEX(Tasks!$A:$A,ROW()-1)="","",INDEX(Tasks!$A:$A,ROW()-1))</f>
        <v/>
      </c>
      <c r="B313" s="21" t="str">
        <f aca="false">IF(INDEX(Tasks!$A:$A,ROW()-1)="","",IF(ISERROR(FIND(".",INDEX(Tasks!$A:$A,ROW()-1))),"","   ")&amp;INDEX(Tasks!$D:$D,ROW()-1))</f>
        <v/>
      </c>
      <c r="C313" s="21" t="str">
        <f aca="false">IF(INDEX(Tasks!$G:$G,ROW()-1)="","",INDEX(Tasks!$G:$G,ROW()-1))</f>
        <v/>
      </c>
      <c r="D313" s="21" t="str">
        <f aca="false">IF(INDEX(Tasks!$H:$H,ROW()-1)="","",INDEX(Tasks!$H:$H,ROW()-1))</f>
        <v/>
      </c>
      <c r="E313" s="22" t="str">
        <f aca="false">IF(INDEX(Tasks!$I:$I,ROW()-1)="","",INDEX(Tasks!$I:$I,ROW()-1))</f>
        <v/>
      </c>
      <c r="F313" s="22" t="str">
        <f aca="false">IF(INDEX(Tasks!$K:$K,ROW()-1)="","",INDEX(Tasks!$K:$K,ROW()-1))</f>
        <v/>
      </c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  <c r="AL313" s="23"/>
      <c r="AM313" s="23"/>
      <c r="AN313" s="23"/>
      <c r="AO313" s="23"/>
      <c r="AP313" s="23"/>
      <c r="AQ313" s="23"/>
      <c r="AR313" s="23"/>
      <c r="AS313" s="23"/>
      <c r="AT313" s="23"/>
      <c r="AU313" s="23"/>
      <c r="AV313" s="23"/>
      <c r="AW313" s="23"/>
      <c r="AX313" s="23"/>
    </row>
    <row r="314" customFormat="false" ht="15" hidden="false" customHeight="false" outlineLevel="0" collapsed="false">
      <c r="A314" s="21" t="str">
        <f aca="false">IF(INDEX(Tasks!$A:$A,ROW()-1)="","",INDEX(Tasks!$A:$A,ROW()-1))</f>
        <v/>
      </c>
      <c r="B314" s="21" t="str">
        <f aca="false">IF(INDEX(Tasks!$A:$A,ROW()-1)="","",IF(ISERROR(FIND(".",INDEX(Tasks!$A:$A,ROW()-1))),"","   ")&amp;INDEX(Tasks!$D:$D,ROW()-1))</f>
        <v/>
      </c>
      <c r="C314" s="21" t="str">
        <f aca="false">IF(INDEX(Tasks!$G:$G,ROW()-1)="","",INDEX(Tasks!$G:$G,ROW()-1))</f>
        <v/>
      </c>
      <c r="D314" s="21" t="str">
        <f aca="false">IF(INDEX(Tasks!$H:$H,ROW()-1)="","",INDEX(Tasks!$H:$H,ROW()-1))</f>
        <v/>
      </c>
      <c r="E314" s="22" t="str">
        <f aca="false">IF(INDEX(Tasks!$I:$I,ROW()-1)="","",INDEX(Tasks!$I:$I,ROW()-1))</f>
        <v/>
      </c>
      <c r="F314" s="22" t="str">
        <f aca="false">IF(INDEX(Tasks!$K:$K,ROW()-1)="","",INDEX(Tasks!$K:$K,ROW()-1))</f>
        <v/>
      </c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  <c r="AL314" s="23"/>
      <c r="AM314" s="23"/>
      <c r="AN314" s="23"/>
      <c r="AO314" s="23"/>
      <c r="AP314" s="23"/>
      <c r="AQ314" s="23"/>
      <c r="AR314" s="23"/>
      <c r="AS314" s="23"/>
      <c r="AT314" s="23"/>
      <c r="AU314" s="23"/>
      <c r="AV314" s="23"/>
      <c r="AW314" s="23"/>
      <c r="AX314" s="23"/>
    </row>
    <row r="315" customFormat="false" ht="15" hidden="false" customHeight="false" outlineLevel="0" collapsed="false">
      <c r="A315" s="21" t="str">
        <f aca="false">IF(INDEX(Tasks!$A:$A,ROW()-1)="","",INDEX(Tasks!$A:$A,ROW()-1))</f>
        <v/>
      </c>
      <c r="B315" s="21" t="str">
        <f aca="false">IF(INDEX(Tasks!$A:$A,ROW()-1)="","",IF(ISERROR(FIND(".",INDEX(Tasks!$A:$A,ROW()-1))),"","   ")&amp;INDEX(Tasks!$D:$D,ROW()-1))</f>
        <v/>
      </c>
      <c r="C315" s="21" t="str">
        <f aca="false">IF(INDEX(Tasks!$G:$G,ROW()-1)="","",INDEX(Tasks!$G:$G,ROW()-1))</f>
        <v/>
      </c>
      <c r="D315" s="21" t="str">
        <f aca="false">IF(INDEX(Tasks!$H:$H,ROW()-1)="","",INDEX(Tasks!$H:$H,ROW()-1))</f>
        <v/>
      </c>
      <c r="E315" s="22" t="str">
        <f aca="false">IF(INDEX(Tasks!$I:$I,ROW()-1)="","",INDEX(Tasks!$I:$I,ROW()-1))</f>
        <v/>
      </c>
      <c r="F315" s="22" t="str">
        <f aca="false">IF(INDEX(Tasks!$K:$K,ROW()-1)="","",INDEX(Tasks!$K:$K,ROW()-1))</f>
        <v/>
      </c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  <c r="AL315" s="23"/>
      <c r="AM315" s="23"/>
      <c r="AN315" s="23"/>
      <c r="AO315" s="23"/>
      <c r="AP315" s="23"/>
      <c r="AQ315" s="23"/>
      <c r="AR315" s="23"/>
      <c r="AS315" s="23"/>
      <c r="AT315" s="23"/>
      <c r="AU315" s="23"/>
      <c r="AV315" s="23"/>
      <c r="AW315" s="23"/>
      <c r="AX315" s="23"/>
    </row>
    <row r="316" customFormat="false" ht="15" hidden="false" customHeight="false" outlineLevel="0" collapsed="false">
      <c r="A316" s="21" t="str">
        <f aca="false">IF(INDEX(Tasks!$A:$A,ROW()-1)="","",INDEX(Tasks!$A:$A,ROW()-1))</f>
        <v/>
      </c>
      <c r="B316" s="21" t="str">
        <f aca="false">IF(INDEX(Tasks!$A:$A,ROW()-1)="","",IF(ISERROR(FIND(".",INDEX(Tasks!$A:$A,ROW()-1))),"","   ")&amp;INDEX(Tasks!$D:$D,ROW()-1))</f>
        <v/>
      </c>
      <c r="C316" s="21" t="str">
        <f aca="false">IF(INDEX(Tasks!$G:$G,ROW()-1)="","",INDEX(Tasks!$G:$G,ROW()-1))</f>
        <v/>
      </c>
      <c r="D316" s="21" t="str">
        <f aca="false">IF(INDEX(Tasks!$H:$H,ROW()-1)="","",INDEX(Tasks!$H:$H,ROW()-1))</f>
        <v/>
      </c>
      <c r="E316" s="22" t="str">
        <f aca="false">IF(INDEX(Tasks!$I:$I,ROW()-1)="","",INDEX(Tasks!$I:$I,ROW()-1))</f>
        <v/>
      </c>
      <c r="F316" s="22" t="str">
        <f aca="false">IF(INDEX(Tasks!$K:$K,ROW()-1)="","",INDEX(Tasks!$K:$K,ROW()-1))</f>
        <v/>
      </c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  <c r="AL316" s="23"/>
      <c r="AM316" s="23"/>
      <c r="AN316" s="23"/>
      <c r="AO316" s="23"/>
      <c r="AP316" s="23"/>
      <c r="AQ316" s="23"/>
      <c r="AR316" s="23"/>
      <c r="AS316" s="23"/>
      <c r="AT316" s="23"/>
      <c r="AU316" s="23"/>
      <c r="AV316" s="23"/>
      <c r="AW316" s="23"/>
      <c r="AX316" s="23"/>
    </row>
    <row r="317" customFormat="false" ht="15" hidden="false" customHeight="false" outlineLevel="0" collapsed="false">
      <c r="A317" s="21" t="str">
        <f aca="false">IF(INDEX(Tasks!$A:$A,ROW()-1)="","",INDEX(Tasks!$A:$A,ROW()-1))</f>
        <v/>
      </c>
      <c r="B317" s="21" t="str">
        <f aca="false">IF(INDEX(Tasks!$A:$A,ROW()-1)="","",IF(ISERROR(FIND(".",INDEX(Tasks!$A:$A,ROW()-1))),"","   ")&amp;INDEX(Tasks!$D:$D,ROW()-1))</f>
        <v/>
      </c>
      <c r="C317" s="21" t="str">
        <f aca="false">IF(INDEX(Tasks!$G:$G,ROW()-1)="","",INDEX(Tasks!$G:$G,ROW()-1))</f>
        <v/>
      </c>
      <c r="D317" s="21" t="str">
        <f aca="false">IF(INDEX(Tasks!$H:$H,ROW()-1)="","",INDEX(Tasks!$H:$H,ROW()-1))</f>
        <v/>
      </c>
      <c r="E317" s="22" t="str">
        <f aca="false">IF(INDEX(Tasks!$I:$I,ROW()-1)="","",INDEX(Tasks!$I:$I,ROW()-1))</f>
        <v/>
      </c>
      <c r="F317" s="22" t="str">
        <f aca="false">IF(INDEX(Tasks!$K:$K,ROW()-1)="","",INDEX(Tasks!$K:$K,ROW()-1))</f>
        <v/>
      </c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  <c r="AL317" s="23"/>
      <c r="AM317" s="23"/>
      <c r="AN317" s="23"/>
      <c r="AO317" s="23"/>
      <c r="AP317" s="23"/>
      <c r="AQ317" s="23"/>
      <c r="AR317" s="23"/>
      <c r="AS317" s="23"/>
      <c r="AT317" s="23"/>
      <c r="AU317" s="23"/>
      <c r="AV317" s="23"/>
      <c r="AW317" s="23"/>
      <c r="AX317" s="23"/>
    </row>
    <row r="318" customFormat="false" ht="15" hidden="false" customHeight="false" outlineLevel="0" collapsed="false">
      <c r="A318" s="21" t="str">
        <f aca="false">IF(INDEX(Tasks!$A:$A,ROW()-1)="","",INDEX(Tasks!$A:$A,ROW()-1))</f>
        <v/>
      </c>
      <c r="B318" s="21" t="str">
        <f aca="false">IF(INDEX(Tasks!$A:$A,ROW()-1)="","",IF(ISERROR(FIND(".",INDEX(Tasks!$A:$A,ROW()-1))),"","   ")&amp;INDEX(Tasks!$D:$D,ROW()-1))</f>
        <v/>
      </c>
      <c r="C318" s="21" t="str">
        <f aca="false">IF(INDEX(Tasks!$G:$G,ROW()-1)="","",INDEX(Tasks!$G:$G,ROW()-1))</f>
        <v/>
      </c>
      <c r="D318" s="21" t="str">
        <f aca="false">IF(INDEX(Tasks!$H:$H,ROW()-1)="","",INDEX(Tasks!$H:$H,ROW()-1))</f>
        <v/>
      </c>
      <c r="E318" s="22" t="str">
        <f aca="false">IF(INDEX(Tasks!$I:$I,ROW()-1)="","",INDEX(Tasks!$I:$I,ROW()-1))</f>
        <v/>
      </c>
      <c r="F318" s="22" t="str">
        <f aca="false">IF(INDEX(Tasks!$K:$K,ROW()-1)="","",INDEX(Tasks!$K:$K,ROW()-1))</f>
        <v/>
      </c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  <c r="AL318" s="23"/>
      <c r="AM318" s="23"/>
      <c r="AN318" s="23"/>
      <c r="AO318" s="23"/>
      <c r="AP318" s="23"/>
      <c r="AQ318" s="23"/>
      <c r="AR318" s="23"/>
      <c r="AS318" s="23"/>
      <c r="AT318" s="23"/>
      <c r="AU318" s="23"/>
      <c r="AV318" s="23"/>
      <c r="AW318" s="23"/>
      <c r="AX318" s="23"/>
    </row>
    <row r="319" customFormat="false" ht="15" hidden="false" customHeight="false" outlineLevel="0" collapsed="false">
      <c r="A319" s="21" t="str">
        <f aca="false">IF(INDEX(Tasks!$A:$A,ROW()-1)="","",INDEX(Tasks!$A:$A,ROW()-1))</f>
        <v/>
      </c>
      <c r="B319" s="21" t="str">
        <f aca="false">IF(INDEX(Tasks!$A:$A,ROW()-1)="","",IF(ISERROR(FIND(".",INDEX(Tasks!$A:$A,ROW()-1))),"","   ")&amp;INDEX(Tasks!$D:$D,ROW()-1))</f>
        <v/>
      </c>
      <c r="C319" s="21" t="str">
        <f aca="false">IF(INDEX(Tasks!$G:$G,ROW()-1)="","",INDEX(Tasks!$G:$G,ROW()-1))</f>
        <v/>
      </c>
      <c r="D319" s="21" t="str">
        <f aca="false">IF(INDEX(Tasks!$H:$H,ROW()-1)="","",INDEX(Tasks!$H:$H,ROW()-1))</f>
        <v/>
      </c>
      <c r="E319" s="22" t="str">
        <f aca="false">IF(INDEX(Tasks!$I:$I,ROW()-1)="","",INDEX(Tasks!$I:$I,ROW()-1))</f>
        <v/>
      </c>
      <c r="F319" s="22" t="str">
        <f aca="false">IF(INDEX(Tasks!$K:$K,ROW()-1)="","",INDEX(Tasks!$K:$K,ROW()-1))</f>
        <v/>
      </c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  <c r="AL319" s="23"/>
      <c r="AM319" s="23"/>
      <c r="AN319" s="23"/>
      <c r="AO319" s="23"/>
      <c r="AP319" s="23"/>
      <c r="AQ319" s="23"/>
      <c r="AR319" s="23"/>
      <c r="AS319" s="23"/>
      <c r="AT319" s="23"/>
      <c r="AU319" s="23"/>
      <c r="AV319" s="23"/>
      <c r="AW319" s="23"/>
      <c r="AX319" s="23"/>
    </row>
    <row r="320" customFormat="false" ht="15" hidden="false" customHeight="false" outlineLevel="0" collapsed="false">
      <c r="A320" s="21" t="str">
        <f aca="false">IF(INDEX(Tasks!$A:$A,ROW()-1)="","",INDEX(Tasks!$A:$A,ROW()-1))</f>
        <v/>
      </c>
      <c r="B320" s="21" t="str">
        <f aca="false">IF(INDEX(Tasks!$A:$A,ROW()-1)="","",IF(ISERROR(FIND(".",INDEX(Tasks!$A:$A,ROW()-1))),"","   ")&amp;INDEX(Tasks!$D:$D,ROW()-1))</f>
        <v/>
      </c>
      <c r="C320" s="21" t="str">
        <f aca="false">IF(INDEX(Tasks!$G:$G,ROW()-1)="","",INDEX(Tasks!$G:$G,ROW()-1))</f>
        <v/>
      </c>
      <c r="D320" s="21" t="str">
        <f aca="false">IF(INDEX(Tasks!$H:$H,ROW()-1)="","",INDEX(Tasks!$H:$H,ROW()-1))</f>
        <v/>
      </c>
      <c r="E320" s="22" t="str">
        <f aca="false">IF(INDEX(Tasks!$I:$I,ROW()-1)="","",INDEX(Tasks!$I:$I,ROW()-1))</f>
        <v/>
      </c>
      <c r="F320" s="22" t="str">
        <f aca="false">IF(INDEX(Tasks!$K:$K,ROW()-1)="","",INDEX(Tasks!$K:$K,ROW()-1))</f>
        <v/>
      </c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  <c r="AL320" s="23"/>
      <c r="AM320" s="23"/>
      <c r="AN320" s="23"/>
      <c r="AO320" s="23"/>
      <c r="AP320" s="23"/>
      <c r="AQ320" s="23"/>
      <c r="AR320" s="23"/>
      <c r="AS320" s="23"/>
      <c r="AT320" s="23"/>
      <c r="AU320" s="23"/>
      <c r="AV320" s="23"/>
      <c r="AW320" s="23"/>
      <c r="AX320" s="23"/>
    </row>
    <row r="321" customFormat="false" ht="15" hidden="false" customHeight="false" outlineLevel="0" collapsed="false">
      <c r="A321" s="21" t="str">
        <f aca="false">IF(INDEX(Tasks!$A:$A,ROW()-1)="","",INDEX(Tasks!$A:$A,ROW()-1))</f>
        <v/>
      </c>
      <c r="B321" s="21" t="str">
        <f aca="false">IF(INDEX(Tasks!$A:$A,ROW()-1)="","",IF(ISERROR(FIND(".",INDEX(Tasks!$A:$A,ROW()-1))),"","   ")&amp;INDEX(Tasks!$D:$D,ROW()-1))</f>
        <v/>
      </c>
      <c r="C321" s="21" t="str">
        <f aca="false">IF(INDEX(Tasks!$G:$G,ROW()-1)="","",INDEX(Tasks!$G:$G,ROW()-1))</f>
        <v/>
      </c>
      <c r="D321" s="21" t="str">
        <f aca="false">IF(INDEX(Tasks!$H:$H,ROW()-1)="","",INDEX(Tasks!$H:$H,ROW()-1))</f>
        <v/>
      </c>
      <c r="E321" s="22" t="str">
        <f aca="false">IF(INDEX(Tasks!$I:$I,ROW()-1)="","",INDEX(Tasks!$I:$I,ROW()-1))</f>
        <v/>
      </c>
      <c r="F321" s="22" t="str">
        <f aca="false">IF(INDEX(Tasks!$K:$K,ROW()-1)="","",INDEX(Tasks!$K:$K,ROW()-1))</f>
        <v/>
      </c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  <c r="AL321" s="23"/>
      <c r="AM321" s="23"/>
      <c r="AN321" s="23"/>
      <c r="AO321" s="23"/>
      <c r="AP321" s="23"/>
      <c r="AQ321" s="23"/>
      <c r="AR321" s="23"/>
      <c r="AS321" s="23"/>
      <c r="AT321" s="23"/>
      <c r="AU321" s="23"/>
      <c r="AV321" s="23"/>
      <c r="AW321" s="23"/>
      <c r="AX321" s="23"/>
    </row>
    <row r="322" customFormat="false" ht="15" hidden="false" customHeight="false" outlineLevel="0" collapsed="false">
      <c r="A322" s="21" t="str">
        <f aca="false">IF(INDEX(Tasks!$A:$A,ROW()-1)="","",INDEX(Tasks!$A:$A,ROW()-1))</f>
        <v/>
      </c>
      <c r="B322" s="21" t="str">
        <f aca="false">IF(INDEX(Tasks!$A:$A,ROW()-1)="","",IF(ISERROR(FIND(".",INDEX(Tasks!$A:$A,ROW()-1))),"","   ")&amp;INDEX(Tasks!$D:$D,ROW()-1))</f>
        <v/>
      </c>
      <c r="C322" s="21" t="str">
        <f aca="false">IF(INDEX(Tasks!$G:$G,ROW()-1)="","",INDEX(Tasks!$G:$G,ROW()-1))</f>
        <v/>
      </c>
      <c r="D322" s="21" t="str">
        <f aca="false">IF(INDEX(Tasks!$H:$H,ROW()-1)="","",INDEX(Tasks!$H:$H,ROW()-1))</f>
        <v/>
      </c>
      <c r="E322" s="22" t="str">
        <f aca="false">IF(INDEX(Tasks!$I:$I,ROW()-1)="","",INDEX(Tasks!$I:$I,ROW()-1))</f>
        <v/>
      </c>
      <c r="F322" s="22" t="str">
        <f aca="false">IF(INDEX(Tasks!$K:$K,ROW()-1)="","",INDEX(Tasks!$K:$K,ROW()-1))</f>
        <v/>
      </c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  <c r="AL322" s="23"/>
      <c r="AM322" s="23"/>
      <c r="AN322" s="23"/>
      <c r="AO322" s="23"/>
      <c r="AP322" s="23"/>
      <c r="AQ322" s="23"/>
      <c r="AR322" s="23"/>
      <c r="AS322" s="23"/>
      <c r="AT322" s="23"/>
      <c r="AU322" s="23"/>
      <c r="AV322" s="23"/>
      <c r="AW322" s="23"/>
      <c r="AX322" s="23"/>
    </row>
    <row r="323" customFormat="false" ht="15" hidden="false" customHeight="false" outlineLevel="0" collapsed="false">
      <c r="A323" s="21" t="str">
        <f aca="false">IF(INDEX(Tasks!$A:$A,ROW()-1)="","",INDEX(Tasks!$A:$A,ROW()-1))</f>
        <v/>
      </c>
      <c r="B323" s="21" t="str">
        <f aca="false">IF(INDEX(Tasks!$A:$A,ROW()-1)="","",IF(ISERROR(FIND(".",INDEX(Tasks!$A:$A,ROW()-1))),"","   ")&amp;INDEX(Tasks!$D:$D,ROW()-1))</f>
        <v/>
      </c>
      <c r="C323" s="21" t="str">
        <f aca="false">IF(INDEX(Tasks!$G:$G,ROW()-1)="","",INDEX(Tasks!$G:$G,ROW()-1))</f>
        <v/>
      </c>
      <c r="D323" s="21" t="str">
        <f aca="false">IF(INDEX(Tasks!$H:$H,ROW()-1)="","",INDEX(Tasks!$H:$H,ROW()-1))</f>
        <v/>
      </c>
      <c r="E323" s="22" t="str">
        <f aca="false">IF(INDEX(Tasks!$I:$I,ROW()-1)="","",INDEX(Tasks!$I:$I,ROW()-1))</f>
        <v/>
      </c>
      <c r="F323" s="22" t="str">
        <f aca="false">IF(INDEX(Tasks!$K:$K,ROW()-1)="","",INDEX(Tasks!$K:$K,ROW()-1))</f>
        <v/>
      </c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  <c r="AL323" s="23"/>
      <c r="AM323" s="23"/>
      <c r="AN323" s="23"/>
      <c r="AO323" s="23"/>
      <c r="AP323" s="23"/>
      <c r="AQ323" s="23"/>
      <c r="AR323" s="23"/>
      <c r="AS323" s="23"/>
      <c r="AT323" s="23"/>
      <c r="AU323" s="23"/>
      <c r="AV323" s="23"/>
      <c r="AW323" s="23"/>
      <c r="AX323" s="23"/>
    </row>
    <row r="324" customFormat="false" ht="15" hidden="false" customHeight="false" outlineLevel="0" collapsed="false">
      <c r="A324" s="21" t="str">
        <f aca="false">IF(INDEX(Tasks!$A:$A,ROW()-1)="","",INDEX(Tasks!$A:$A,ROW()-1))</f>
        <v/>
      </c>
      <c r="B324" s="21" t="str">
        <f aca="false">IF(INDEX(Tasks!$A:$A,ROW()-1)="","",IF(ISERROR(FIND(".",INDEX(Tasks!$A:$A,ROW()-1))),"","   ")&amp;INDEX(Tasks!$D:$D,ROW()-1))</f>
        <v/>
      </c>
      <c r="C324" s="21" t="str">
        <f aca="false">IF(INDEX(Tasks!$G:$G,ROW()-1)="","",INDEX(Tasks!$G:$G,ROW()-1))</f>
        <v/>
      </c>
      <c r="D324" s="21" t="str">
        <f aca="false">IF(INDEX(Tasks!$H:$H,ROW()-1)="","",INDEX(Tasks!$H:$H,ROW()-1))</f>
        <v/>
      </c>
      <c r="E324" s="22" t="str">
        <f aca="false">IF(INDEX(Tasks!$I:$I,ROW()-1)="","",INDEX(Tasks!$I:$I,ROW()-1))</f>
        <v/>
      </c>
      <c r="F324" s="22" t="str">
        <f aca="false">IF(INDEX(Tasks!$K:$K,ROW()-1)="","",INDEX(Tasks!$K:$K,ROW()-1))</f>
        <v/>
      </c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  <c r="AL324" s="23"/>
      <c r="AM324" s="23"/>
      <c r="AN324" s="23"/>
      <c r="AO324" s="23"/>
      <c r="AP324" s="23"/>
      <c r="AQ324" s="23"/>
      <c r="AR324" s="23"/>
      <c r="AS324" s="23"/>
      <c r="AT324" s="23"/>
      <c r="AU324" s="23"/>
      <c r="AV324" s="23"/>
      <c r="AW324" s="23"/>
      <c r="AX324" s="23"/>
    </row>
    <row r="325" customFormat="false" ht="15" hidden="false" customHeight="false" outlineLevel="0" collapsed="false">
      <c r="A325" s="21" t="str">
        <f aca="false">IF(INDEX(Tasks!$A:$A,ROW()-1)="","",INDEX(Tasks!$A:$A,ROW()-1))</f>
        <v/>
      </c>
      <c r="B325" s="21" t="str">
        <f aca="false">IF(INDEX(Tasks!$A:$A,ROW()-1)="","",IF(ISERROR(FIND(".",INDEX(Tasks!$A:$A,ROW()-1))),"","   ")&amp;INDEX(Tasks!$D:$D,ROW()-1))</f>
        <v/>
      </c>
      <c r="C325" s="21" t="str">
        <f aca="false">IF(INDEX(Tasks!$G:$G,ROW()-1)="","",INDEX(Tasks!$G:$G,ROW()-1))</f>
        <v/>
      </c>
      <c r="D325" s="21" t="str">
        <f aca="false">IF(INDEX(Tasks!$H:$H,ROW()-1)="","",INDEX(Tasks!$H:$H,ROW()-1))</f>
        <v/>
      </c>
      <c r="E325" s="22" t="str">
        <f aca="false">IF(INDEX(Tasks!$I:$I,ROW()-1)="","",INDEX(Tasks!$I:$I,ROW()-1))</f>
        <v/>
      </c>
      <c r="F325" s="22" t="str">
        <f aca="false">IF(INDEX(Tasks!$K:$K,ROW()-1)="","",INDEX(Tasks!$K:$K,ROW()-1))</f>
        <v/>
      </c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  <c r="AL325" s="23"/>
      <c r="AM325" s="23"/>
      <c r="AN325" s="23"/>
      <c r="AO325" s="23"/>
      <c r="AP325" s="23"/>
      <c r="AQ325" s="23"/>
      <c r="AR325" s="23"/>
      <c r="AS325" s="23"/>
      <c r="AT325" s="23"/>
      <c r="AU325" s="23"/>
      <c r="AV325" s="23"/>
      <c r="AW325" s="23"/>
      <c r="AX325" s="23"/>
    </row>
    <row r="326" customFormat="false" ht="15" hidden="false" customHeight="false" outlineLevel="0" collapsed="false">
      <c r="A326" s="21" t="str">
        <f aca="false">IF(INDEX(Tasks!$A:$A,ROW()-1)="","",INDEX(Tasks!$A:$A,ROW()-1))</f>
        <v/>
      </c>
      <c r="B326" s="21" t="str">
        <f aca="false">IF(INDEX(Tasks!$A:$A,ROW()-1)="","",IF(ISERROR(FIND(".",INDEX(Tasks!$A:$A,ROW()-1))),"","   ")&amp;INDEX(Tasks!$D:$D,ROW()-1))</f>
        <v/>
      </c>
      <c r="C326" s="21" t="str">
        <f aca="false">IF(INDEX(Tasks!$G:$G,ROW()-1)="","",INDEX(Tasks!$G:$G,ROW()-1))</f>
        <v/>
      </c>
      <c r="D326" s="21" t="str">
        <f aca="false">IF(INDEX(Tasks!$H:$H,ROW()-1)="","",INDEX(Tasks!$H:$H,ROW()-1))</f>
        <v/>
      </c>
      <c r="E326" s="22" t="str">
        <f aca="false">IF(INDEX(Tasks!$I:$I,ROW()-1)="","",INDEX(Tasks!$I:$I,ROW()-1))</f>
        <v/>
      </c>
      <c r="F326" s="22" t="str">
        <f aca="false">IF(INDEX(Tasks!$K:$K,ROW()-1)="","",INDEX(Tasks!$K:$K,ROW()-1))</f>
        <v/>
      </c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  <c r="AL326" s="23"/>
      <c r="AM326" s="23"/>
      <c r="AN326" s="23"/>
      <c r="AO326" s="23"/>
      <c r="AP326" s="23"/>
      <c r="AQ326" s="23"/>
      <c r="AR326" s="23"/>
      <c r="AS326" s="23"/>
      <c r="AT326" s="23"/>
      <c r="AU326" s="23"/>
      <c r="AV326" s="23"/>
      <c r="AW326" s="23"/>
      <c r="AX326" s="23"/>
    </row>
    <row r="327" customFormat="false" ht="15" hidden="false" customHeight="false" outlineLevel="0" collapsed="false">
      <c r="A327" s="21" t="str">
        <f aca="false">IF(INDEX(Tasks!$A:$A,ROW()-1)="","",INDEX(Tasks!$A:$A,ROW()-1))</f>
        <v/>
      </c>
      <c r="B327" s="21" t="str">
        <f aca="false">IF(INDEX(Tasks!$A:$A,ROW()-1)="","",IF(ISERROR(FIND(".",INDEX(Tasks!$A:$A,ROW()-1))),"","   ")&amp;INDEX(Tasks!$D:$D,ROW()-1))</f>
        <v/>
      </c>
      <c r="C327" s="21" t="str">
        <f aca="false">IF(INDEX(Tasks!$G:$G,ROW()-1)="","",INDEX(Tasks!$G:$G,ROW()-1))</f>
        <v/>
      </c>
      <c r="D327" s="21" t="str">
        <f aca="false">IF(INDEX(Tasks!$H:$H,ROW()-1)="","",INDEX(Tasks!$H:$H,ROW()-1))</f>
        <v/>
      </c>
      <c r="E327" s="22" t="str">
        <f aca="false">IF(INDEX(Tasks!$I:$I,ROW()-1)="","",INDEX(Tasks!$I:$I,ROW()-1))</f>
        <v/>
      </c>
      <c r="F327" s="22" t="str">
        <f aca="false">IF(INDEX(Tasks!$K:$K,ROW()-1)="","",INDEX(Tasks!$K:$K,ROW()-1))</f>
        <v/>
      </c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  <c r="AL327" s="23"/>
      <c r="AM327" s="23"/>
      <c r="AN327" s="23"/>
      <c r="AO327" s="23"/>
      <c r="AP327" s="23"/>
      <c r="AQ327" s="23"/>
      <c r="AR327" s="23"/>
      <c r="AS327" s="23"/>
      <c r="AT327" s="23"/>
      <c r="AU327" s="23"/>
      <c r="AV327" s="23"/>
      <c r="AW327" s="23"/>
      <c r="AX327" s="23"/>
    </row>
    <row r="328" customFormat="false" ht="15" hidden="false" customHeight="false" outlineLevel="0" collapsed="false">
      <c r="A328" s="21" t="str">
        <f aca="false">IF(INDEX(Tasks!$A:$A,ROW()-1)="","",INDEX(Tasks!$A:$A,ROW()-1))</f>
        <v/>
      </c>
      <c r="B328" s="21" t="str">
        <f aca="false">IF(INDEX(Tasks!$A:$A,ROW()-1)="","",IF(ISERROR(FIND(".",INDEX(Tasks!$A:$A,ROW()-1))),"","   ")&amp;INDEX(Tasks!$D:$D,ROW()-1))</f>
        <v/>
      </c>
      <c r="C328" s="21" t="str">
        <f aca="false">IF(INDEX(Tasks!$G:$G,ROW()-1)="","",INDEX(Tasks!$G:$G,ROW()-1))</f>
        <v/>
      </c>
      <c r="D328" s="21" t="str">
        <f aca="false">IF(INDEX(Tasks!$H:$H,ROW()-1)="","",INDEX(Tasks!$H:$H,ROW()-1))</f>
        <v/>
      </c>
      <c r="E328" s="22" t="str">
        <f aca="false">IF(INDEX(Tasks!$I:$I,ROW()-1)="","",INDEX(Tasks!$I:$I,ROW()-1))</f>
        <v/>
      </c>
      <c r="F328" s="22" t="str">
        <f aca="false">IF(INDEX(Tasks!$K:$K,ROW()-1)="","",INDEX(Tasks!$K:$K,ROW()-1))</f>
        <v/>
      </c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/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</row>
    <row r="329" customFormat="false" ht="15" hidden="false" customHeight="false" outlineLevel="0" collapsed="false">
      <c r="A329" s="21" t="str">
        <f aca="false">IF(INDEX(Tasks!$A:$A,ROW()-1)="","",INDEX(Tasks!$A:$A,ROW()-1))</f>
        <v/>
      </c>
      <c r="B329" s="21" t="str">
        <f aca="false">IF(INDEX(Tasks!$A:$A,ROW()-1)="","",IF(ISERROR(FIND(".",INDEX(Tasks!$A:$A,ROW()-1))),"","   ")&amp;INDEX(Tasks!$D:$D,ROW()-1))</f>
        <v/>
      </c>
      <c r="C329" s="21" t="str">
        <f aca="false">IF(INDEX(Tasks!$G:$G,ROW()-1)="","",INDEX(Tasks!$G:$G,ROW()-1))</f>
        <v/>
      </c>
      <c r="D329" s="21" t="str">
        <f aca="false">IF(INDEX(Tasks!$H:$H,ROW()-1)="","",INDEX(Tasks!$H:$H,ROW()-1))</f>
        <v/>
      </c>
      <c r="E329" s="22" t="str">
        <f aca="false">IF(INDEX(Tasks!$I:$I,ROW()-1)="","",INDEX(Tasks!$I:$I,ROW()-1))</f>
        <v/>
      </c>
      <c r="F329" s="22" t="str">
        <f aca="false">IF(INDEX(Tasks!$K:$K,ROW()-1)="","",INDEX(Tasks!$K:$K,ROW()-1))</f>
        <v/>
      </c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/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  <c r="AX329" s="23"/>
    </row>
    <row r="330" customFormat="false" ht="15" hidden="false" customHeight="false" outlineLevel="0" collapsed="false">
      <c r="A330" s="21" t="str">
        <f aca="false">IF(INDEX(Tasks!$A:$A,ROW()-1)="","",INDEX(Tasks!$A:$A,ROW()-1))</f>
        <v/>
      </c>
      <c r="B330" s="21" t="str">
        <f aca="false">IF(INDEX(Tasks!$A:$A,ROW()-1)="","",IF(ISERROR(FIND(".",INDEX(Tasks!$A:$A,ROW()-1))),"","   ")&amp;INDEX(Tasks!$D:$D,ROW()-1))</f>
        <v/>
      </c>
      <c r="C330" s="21" t="str">
        <f aca="false">IF(INDEX(Tasks!$G:$G,ROW()-1)="","",INDEX(Tasks!$G:$G,ROW()-1))</f>
        <v/>
      </c>
      <c r="D330" s="21" t="str">
        <f aca="false">IF(INDEX(Tasks!$H:$H,ROW()-1)="","",INDEX(Tasks!$H:$H,ROW()-1))</f>
        <v/>
      </c>
      <c r="E330" s="22" t="str">
        <f aca="false">IF(INDEX(Tasks!$I:$I,ROW()-1)="","",INDEX(Tasks!$I:$I,ROW()-1))</f>
        <v/>
      </c>
      <c r="F330" s="22" t="str">
        <f aca="false">IF(INDEX(Tasks!$K:$K,ROW()-1)="","",INDEX(Tasks!$K:$K,ROW()-1))</f>
        <v/>
      </c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  <c r="AL330" s="23"/>
      <c r="AM330" s="23"/>
      <c r="AN330" s="23"/>
      <c r="AO330" s="23"/>
      <c r="AP330" s="23"/>
      <c r="AQ330" s="23"/>
      <c r="AR330" s="23"/>
      <c r="AS330" s="23"/>
      <c r="AT330" s="23"/>
      <c r="AU330" s="23"/>
      <c r="AV330" s="23"/>
      <c r="AW330" s="23"/>
      <c r="AX330" s="23"/>
    </row>
    <row r="331" customFormat="false" ht="15" hidden="false" customHeight="false" outlineLevel="0" collapsed="false">
      <c r="A331" s="21" t="str">
        <f aca="false">IF(INDEX(Tasks!$A:$A,ROW()-1)="","",INDEX(Tasks!$A:$A,ROW()-1))</f>
        <v/>
      </c>
      <c r="B331" s="21" t="str">
        <f aca="false">IF(INDEX(Tasks!$A:$A,ROW()-1)="","",IF(ISERROR(FIND(".",INDEX(Tasks!$A:$A,ROW()-1))),"","   ")&amp;INDEX(Tasks!$D:$D,ROW()-1))</f>
        <v/>
      </c>
      <c r="C331" s="21" t="str">
        <f aca="false">IF(INDEX(Tasks!$G:$G,ROW()-1)="","",INDEX(Tasks!$G:$G,ROW()-1))</f>
        <v/>
      </c>
      <c r="D331" s="21" t="str">
        <f aca="false">IF(INDEX(Tasks!$H:$H,ROW()-1)="","",INDEX(Tasks!$H:$H,ROW()-1))</f>
        <v/>
      </c>
      <c r="E331" s="22" t="str">
        <f aca="false">IF(INDEX(Tasks!$I:$I,ROW()-1)="","",INDEX(Tasks!$I:$I,ROW()-1))</f>
        <v/>
      </c>
      <c r="F331" s="22" t="str">
        <f aca="false">IF(INDEX(Tasks!$K:$K,ROW()-1)="","",INDEX(Tasks!$K:$K,ROW()-1))</f>
        <v/>
      </c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/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</row>
    <row r="332" customFormat="false" ht="15" hidden="false" customHeight="false" outlineLevel="0" collapsed="false">
      <c r="A332" s="21" t="str">
        <f aca="false">IF(INDEX(Tasks!$A:$A,ROW()-1)="","",INDEX(Tasks!$A:$A,ROW()-1))</f>
        <v/>
      </c>
      <c r="B332" s="21" t="str">
        <f aca="false">IF(INDEX(Tasks!$A:$A,ROW()-1)="","",IF(ISERROR(FIND(".",INDEX(Tasks!$A:$A,ROW()-1))),"","   ")&amp;INDEX(Tasks!$D:$D,ROW()-1))</f>
        <v/>
      </c>
      <c r="C332" s="21" t="str">
        <f aca="false">IF(INDEX(Tasks!$G:$G,ROW()-1)="","",INDEX(Tasks!$G:$G,ROW()-1))</f>
        <v/>
      </c>
      <c r="D332" s="21" t="str">
        <f aca="false">IF(INDEX(Tasks!$H:$H,ROW()-1)="","",INDEX(Tasks!$H:$H,ROW()-1))</f>
        <v/>
      </c>
      <c r="E332" s="22" t="str">
        <f aca="false">IF(INDEX(Tasks!$I:$I,ROW()-1)="","",INDEX(Tasks!$I:$I,ROW()-1))</f>
        <v/>
      </c>
      <c r="F332" s="22" t="str">
        <f aca="false">IF(INDEX(Tasks!$K:$K,ROW()-1)="","",INDEX(Tasks!$K:$K,ROW()-1))</f>
        <v/>
      </c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  <c r="AL332" s="23"/>
      <c r="AM332" s="23"/>
      <c r="AN332" s="23"/>
      <c r="AO332" s="23"/>
      <c r="AP332" s="23"/>
      <c r="AQ332" s="23"/>
      <c r="AR332" s="23"/>
      <c r="AS332" s="23"/>
      <c r="AT332" s="23"/>
      <c r="AU332" s="23"/>
      <c r="AV332" s="23"/>
      <c r="AW332" s="23"/>
      <c r="AX332" s="23"/>
    </row>
    <row r="333" customFormat="false" ht="15" hidden="false" customHeight="false" outlineLevel="0" collapsed="false">
      <c r="A333" s="21" t="str">
        <f aca="false">IF(INDEX(Tasks!$A:$A,ROW()-1)="","",INDEX(Tasks!$A:$A,ROW()-1))</f>
        <v/>
      </c>
      <c r="B333" s="21" t="str">
        <f aca="false">IF(INDEX(Tasks!$A:$A,ROW()-1)="","",IF(ISERROR(FIND(".",INDEX(Tasks!$A:$A,ROW()-1))),"","   ")&amp;INDEX(Tasks!$D:$D,ROW()-1))</f>
        <v/>
      </c>
      <c r="C333" s="21" t="str">
        <f aca="false">IF(INDEX(Tasks!$G:$G,ROW()-1)="","",INDEX(Tasks!$G:$G,ROW()-1))</f>
        <v/>
      </c>
      <c r="D333" s="21" t="str">
        <f aca="false">IF(INDEX(Tasks!$H:$H,ROW()-1)="","",INDEX(Tasks!$H:$H,ROW()-1))</f>
        <v/>
      </c>
      <c r="E333" s="22" t="str">
        <f aca="false">IF(INDEX(Tasks!$I:$I,ROW()-1)="","",INDEX(Tasks!$I:$I,ROW()-1))</f>
        <v/>
      </c>
      <c r="F333" s="22" t="str">
        <f aca="false">IF(INDEX(Tasks!$K:$K,ROW()-1)="","",INDEX(Tasks!$K:$K,ROW()-1))</f>
        <v/>
      </c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  <c r="AL333" s="23"/>
      <c r="AM333" s="23"/>
      <c r="AN333" s="23"/>
      <c r="AO333" s="23"/>
      <c r="AP333" s="23"/>
      <c r="AQ333" s="23"/>
      <c r="AR333" s="23"/>
      <c r="AS333" s="23"/>
      <c r="AT333" s="23"/>
      <c r="AU333" s="23"/>
      <c r="AV333" s="23"/>
      <c r="AW333" s="23"/>
      <c r="AX333" s="23"/>
    </row>
    <row r="334" customFormat="false" ht="15" hidden="false" customHeight="false" outlineLevel="0" collapsed="false">
      <c r="A334" s="21" t="str">
        <f aca="false">IF(INDEX(Tasks!$A:$A,ROW()-1)="","",INDEX(Tasks!$A:$A,ROW()-1))</f>
        <v/>
      </c>
      <c r="B334" s="21" t="str">
        <f aca="false">IF(INDEX(Tasks!$A:$A,ROW()-1)="","",IF(ISERROR(FIND(".",INDEX(Tasks!$A:$A,ROW()-1))),"","   ")&amp;INDEX(Tasks!$D:$D,ROW()-1))</f>
        <v/>
      </c>
      <c r="C334" s="21" t="str">
        <f aca="false">IF(INDEX(Tasks!$G:$G,ROW()-1)="","",INDEX(Tasks!$G:$G,ROW()-1))</f>
        <v/>
      </c>
      <c r="D334" s="21" t="str">
        <f aca="false">IF(INDEX(Tasks!$H:$H,ROW()-1)="","",INDEX(Tasks!$H:$H,ROW()-1))</f>
        <v/>
      </c>
      <c r="E334" s="22" t="str">
        <f aca="false">IF(INDEX(Tasks!$I:$I,ROW()-1)="","",INDEX(Tasks!$I:$I,ROW()-1))</f>
        <v/>
      </c>
      <c r="F334" s="22" t="str">
        <f aca="false">IF(INDEX(Tasks!$K:$K,ROW()-1)="","",INDEX(Tasks!$K:$K,ROW()-1))</f>
        <v/>
      </c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  <c r="AL334" s="23"/>
      <c r="AM334" s="23"/>
      <c r="AN334" s="23"/>
      <c r="AO334" s="23"/>
      <c r="AP334" s="23"/>
      <c r="AQ334" s="23"/>
      <c r="AR334" s="23"/>
      <c r="AS334" s="23"/>
      <c r="AT334" s="23"/>
      <c r="AU334" s="23"/>
      <c r="AV334" s="23"/>
      <c r="AW334" s="23"/>
      <c r="AX334" s="23"/>
    </row>
    <row r="335" customFormat="false" ht="15" hidden="false" customHeight="false" outlineLevel="0" collapsed="false">
      <c r="A335" s="21" t="str">
        <f aca="false">IF(INDEX(Tasks!$A:$A,ROW()-1)="","",INDEX(Tasks!$A:$A,ROW()-1))</f>
        <v/>
      </c>
      <c r="B335" s="21" t="str">
        <f aca="false">IF(INDEX(Tasks!$A:$A,ROW()-1)="","",IF(ISERROR(FIND(".",INDEX(Tasks!$A:$A,ROW()-1))),"","   ")&amp;INDEX(Tasks!$D:$D,ROW()-1))</f>
        <v/>
      </c>
      <c r="C335" s="21" t="str">
        <f aca="false">IF(INDEX(Tasks!$G:$G,ROW()-1)="","",INDEX(Tasks!$G:$G,ROW()-1))</f>
        <v/>
      </c>
      <c r="D335" s="21" t="str">
        <f aca="false">IF(INDEX(Tasks!$H:$H,ROW()-1)="","",INDEX(Tasks!$H:$H,ROW()-1))</f>
        <v/>
      </c>
      <c r="E335" s="22" t="str">
        <f aca="false">IF(INDEX(Tasks!$I:$I,ROW()-1)="","",INDEX(Tasks!$I:$I,ROW()-1))</f>
        <v/>
      </c>
      <c r="F335" s="22" t="str">
        <f aca="false">IF(INDEX(Tasks!$K:$K,ROW()-1)="","",INDEX(Tasks!$K:$K,ROW()-1))</f>
        <v/>
      </c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  <c r="AL335" s="23"/>
      <c r="AM335" s="23"/>
      <c r="AN335" s="23"/>
      <c r="AO335" s="23"/>
      <c r="AP335" s="23"/>
      <c r="AQ335" s="23"/>
      <c r="AR335" s="23"/>
      <c r="AS335" s="23"/>
      <c r="AT335" s="23"/>
      <c r="AU335" s="23"/>
      <c r="AV335" s="23"/>
      <c r="AW335" s="23"/>
      <c r="AX335" s="23"/>
    </row>
    <row r="336" customFormat="false" ht="15" hidden="false" customHeight="false" outlineLevel="0" collapsed="false">
      <c r="A336" s="21" t="str">
        <f aca="false">IF(INDEX(Tasks!$A:$A,ROW()-1)="","",INDEX(Tasks!$A:$A,ROW()-1))</f>
        <v/>
      </c>
      <c r="B336" s="21" t="str">
        <f aca="false">IF(INDEX(Tasks!$A:$A,ROW()-1)="","",IF(ISERROR(FIND(".",INDEX(Tasks!$A:$A,ROW()-1))),"","   ")&amp;INDEX(Tasks!$D:$D,ROW()-1))</f>
        <v/>
      </c>
      <c r="C336" s="21" t="str">
        <f aca="false">IF(INDEX(Tasks!$G:$G,ROW()-1)="","",INDEX(Tasks!$G:$G,ROW()-1))</f>
        <v/>
      </c>
      <c r="D336" s="21" t="str">
        <f aca="false">IF(INDEX(Tasks!$H:$H,ROW()-1)="","",INDEX(Tasks!$H:$H,ROW()-1))</f>
        <v/>
      </c>
      <c r="E336" s="22" t="str">
        <f aca="false">IF(INDEX(Tasks!$I:$I,ROW()-1)="","",INDEX(Tasks!$I:$I,ROW()-1))</f>
        <v/>
      </c>
      <c r="F336" s="22" t="str">
        <f aca="false">IF(INDEX(Tasks!$K:$K,ROW()-1)="","",INDEX(Tasks!$K:$K,ROW()-1))</f>
        <v/>
      </c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  <c r="AL336" s="23"/>
      <c r="AM336" s="23"/>
      <c r="AN336" s="23"/>
      <c r="AO336" s="23"/>
      <c r="AP336" s="23"/>
      <c r="AQ336" s="23"/>
      <c r="AR336" s="23"/>
      <c r="AS336" s="23"/>
      <c r="AT336" s="23"/>
      <c r="AU336" s="23"/>
      <c r="AV336" s="23"/>
      <c r="AW336" s="23"/>
      <c r="AX336" s="23"/>
    </row>
    <row r="337" customFormat="false" ht="15" hidden="false" customHeight="false" outlineLevel="0" collapsed="false">
      <c r="A337" s="21" t="str">
        <f aca="false">IF(INDEX(Tasks!$A:$A,ROW()-1)="","",INDEX(Tasks!$A:$A,ROW()-1))</f>
        <v/>
      </c>
      <c r="B337" s="21" t="str">
        <f aca="false">IF(INDEX(Tasks!$A:$A,ROW()-1)="","",IF(ISERROR(FIND(".",INDEX(Tasks!$A:$A,ROW()-1))),"","   ")&amp;INDEX(Tasks!$D:$D,ROW()-1))</f>
        <v/>
      </c>
      <c r="C337" s="21" t="str">
        <f aca="false">IF(INDEX(Tasks!$G:$G,ROW()-1)="","",INDEX(Tasks!$G:$G,ROW()-1))</f>
        <v/>
      </c>
      <c r="D337" s="21" t="str">
        <f aca="false">IF(INDEX(Tasks!$H:$H,ROW()-1)="","",INDEX(Tasks!$H:$H,ROW()-1))</f>
        <v/>
      </c>
      <c r="E337" s="22" t="str">
        <f aca="false">IF(INDEX(Tasks!$I:$I,ROW()-1)="","",INDEX(Tasks!$I:$I,ROW()-1))</f>
        <v/>
      </c>
      <c r="F337" s="22" t="str">
        <f aca="false">IF(INDEX(Tasks!$K:$K,ROW()-1)="","",INDEX(Tasks!$K:$K,ROW()-1))</f>
        <v/>
      </c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  <c r="AL337" s="23"/>
      <c r="AM337" s="23"/>
      <c r="AN337" s="23"/>
      <c r="AO337" s="23"/>
      <c r="AP337" s="23"/>
      <c r="AQ337" s="23"/>
      <c r="AR337" s="23"/>
      <c r="AS337" s="23"/>
      <c r="AT337" s="23"/>
      <c r="AU337" s="23"/>
      <c r="AV337" s="23"/>
      <c r="AW337" s="23"/>
      <c r="AX337" s="23"/>
    </row>
    <row r="338" customFormat="false" ht="15" hidden="false" customHeight="false" outlineLevel="0" collapsed="false">
      <c r="A338" s="21" t="str">
        <f aca="false">IF(INDEX(Tasks!$A:$A,ROW()-1)="","",INDEX(Tasks!$A:$A,ROW()-1))</f>
        <v/>
      </c>
      <c r="B338" s="21" t="str">
        <f aca="false">IF(INDEX(Tasks!$A:$A,ROW()-1)="","",IF(ISERROR(FIND(".",INDEX(Tasks!$A:$A,ROW()-1))),"","   ")&amp;INDEX(Tasks!$D:$D,ROW()-1))</f>
        <v/>
      </c>
      <c r="C338" s="21" t="str">
        <f aca="false">IF(INDEX(Tasks!$G:$G,ROW()-1)="","",INDEX(Tasks!$G:$G,ROW()-1))</f>
        <v/>
      </c>
      <c r="D338" s="21" t="str">
        <f aca="false">IF(INDEX(Tasks!$H:$H,ROW()-1)="","",INDEX(Tasks!$H:$H,ROW()-1))</f>
        <v/>
      </c>
      <c r="E338" s="22" t="str">
        <f aca="false">IF(INDEX(Tasks!$I:$I,ROW()-1)="","",INDEX(Tasks!$I:$I,ROW()-1))</f>
        <v/>
      </c>
      <c r="F338" s="22" t="str">
        <f aca="false">IF(INDEX(Tasks!$K:$K,ROW()-1)="","",INDEX(Tasks!$K:$K,ROW()-1))</f>
        <v/>
      </c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  <c r="AL338" s="23"/>
      <c r="AM338" s="23"/>
      <c r="AN338" s="23"/>
      <c r="AO338" s="23"/>
      <c r="AP338" s="23"/>
      <c r="AQ338" s="23"/>
      <c r="AR338" s="23"/>
      <c r="AS338" s="23"/>
      <c r="AT338" s="23"/>
      <c r="AU338" s="23"/>
      <c r="AV338" s="23"/>
      <c r="AW338" s="23"/>
      <c r="AX338" s="23"/>
    </row>
    <row r="339" customFormat="false" ht="15" hidden="false" customHeight="false" outlineLevel="0" collapsed="false">
      <c r="A339" s="21" t="str">
        <f aca="false">IF(INDEX(Tasks!$A:$A,ROW()-1)="","",INDEX(Tasks!$A:$A,ROW()-1))</f>
        <v/>
      </c>
      <c r="B339" s="21" t="str">
        <f aca="false">IF(INDEX(Tasks!$A:$A,ROW()-1)="","",IF(ISERROR(FIND(".",INDEX(Tasks!$A:$A,ROW()-1))),"","   ")&amp;INDEX(Tasks!$D:$D,ROW()-1))</f>
        <v/>
      </c>
      <c r="C339" s="21" t="str">
        <f aca="false">IF(INDEX(Tasks!$G:$G,ROW()-1)="","",INDEX(Tasks!$G:$G,ROW()-1))</f>
        <v/>
      </c>
      <c r="D339" s="21" t="str">
        <f aca="false">IF(INDEX(Tasks!$H:$H,ROW()-1)="","",INDEX(Tasks!$H:$H,ROW()-1))</f>
        <v/>
      </c>
      <c r="E339" s="22" t="str">
        <f aca="false">IF(INDEX(Tasks!$I:$I,ROW()-1)="","",INDEX(Tasks!$I:$I,ROW()-1))</f>
        <v/>
      </c>
      <c r="F339" s="22" t="str">
        <f aca="false">IF(INDEX(Tasks!$K:$K,ROW()-1)="","",INDEX(Tasks!$K:$K,ROW()-1))</f>
        <v/>
      </c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  <c r="AL339" s="23"/>
      <c r="AM339" s="23"/>
      <c r="AN339" s="23"/>
      <c r="AO339" s="23"/>
      <c r="AP339" s="23"/>
      <c r="AQ339" s="23"/>
      <c r="AR339" s="23"/>
      <c r="AS339" s="23"/>
      <c r="AT339" s="23"/>
      <c r="AU339" s="23"/>
      <c r="AV339" s="23"/>
      <c r="AW339" s="23"/>
      <c r="AX339" s="23"/>
    </row>
    <row r="340" customFormat="false" ht="15" hidden="false" customHeight="false" outlineLevel="0" collapsed="false">
      <c r="A340" s="21" t="str">
        <f aca="false">IF(INDEX(Tasks!$A:$A,ROW()-1)="","",INDEX(Tasks!$A:$A,ROW()-1))</f>
        <v/>
      </c>
      <c r="B340" s="21" t="str">
        <f aca="false">IF(INDEX(Tasks!$A:$A,ROW()-1)="","",IF(ISERROR(FIND(".",INDEX(Tasks!$A:$A,ROW()-1))),"","   ")&amp;INDEX(Tasks!$D:$D,ROW()-1))</f>
        <v/>
      </c>
      <c r="C340" s="21" t="str">
        <f aca="false">IF(INDEX(Tasks!$G:$G,ROW()-1)="","",INDEX(Tasks!$G:$G,ROW()-1))</f>
        <v/>
      </c>
      <c r="D340" s="21" t="str">
        <f aca="false">IF(INDEX(Tasks!$H:$H,ROW()-1)="","",INDEX(Tasks!$H:$H,ROW()-1))</f>
        <v/>
      </c>
      <c r="E340" s="22" t="str">
        <f aca="false">IF(INDEX(Tasks!$I:$I,ROW()-1)="","",INDEX(Tasks!$I:$I,ROW()-1))</f>
        <v/>
      </c>
      <c r="F340" s="22" t="str">
        <f aca="false">IF(INDEX(Tasks!$K:$K,ROW()-1)="","",INDEX(Tasks!$K:$K,ROW()-1))</f>
        <v/>
      </c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  <c r="AL340" s="23"/>
      <c r="AM340" s="23"/>
      <c r="AN340" s="23"/>
      <c r="AO340" s="23"/>
      <c r="AP340" s="23"/>
      <c r="AQ340" s="23"/>
      <c r="AR340" s="23"/>
      <c r="AS340" s="23"/>
      <c r="AT340" s="23"/>
      <c r="AU340" s="23"/>
      <c r="AV340" s="23"/>
      <c r="AW340" s="23"/>
      <c r="AX340" s="23"/>
    </row>
    <row r="341" customFormat="false" ht="15" hidden="false" customHeight="false" outlineLevel="0" collapsed="false">
      <c r="A341" s="21" t="str">
        <f aca="false">IF(INDEX(Tasks!$A:$A,ROW()-1)="","",INDEX(Tasks!$A:$A,ROW()-1))</f>
        <v/>
      </c>
      <c r="B341" s="21" t="str">
        <f aca="false">IF(INDEX(Tasks!$A:$A,ROW()-1)="","",IF(ISERROR(FIND(".",INDEX(Tasks!$A:$A,ROW()-1))),"","   ")&amp;INDEX(Tasks!$D:$D,ROW()-1))</f>
        <v/>
      </c>
      <c r="C341" s="21" t="str">
        <f aca="false">IF(INDEX(Tasks!$G:$G,ROW()-1)="","",INDEX(Tasks!$G:$G,ROW()-1))</f>
        <v/>
      </c>
      <c r="D341" s="21" t="str">
        <f aca="false">IF(INDEX(Tasks!$H:$H,ROW()-1)="","",INDEX(Tasks!$H:$H,ROW()-1))</f>
        <v/>
      </c>
      <c r="E341" s="22" t="str">
        <f aca="false">IF(INDEX(Tasks!$I:$I,ROW()-1)="","",INDEX(Tasks!$I:$I,ROW()-1))</f>
        <v/>
      </c>
      <c r="F341" s="22" t="str">
        <f aca="false">IF(INDEX(Tasks!$K:$K,ROW()-1)="","",INDEX(Tasks!$K:$K,ROW()-1))</f>
        <v/>
      </c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  <c r="AL341" s="23"/>
      <c r="AM341" s="23"/>
      <c r="AN341" s="23"/>
      <c r="AO341" s="23"/>
      <c r="AP341" s="23"/>
      <c r="AQ341" s="23"/>
      <c r="AR341" s="23"/>
      <c r="AS341" s="23"/>
      <c r="AT341" s="23"/>
      <c r="AU341" s="23"/>
      <c r="AV341" s="23"/>
      <c r="AW341" s="23"/>
      <c r="AX341" s="23"/>
    </row>
    <row r="342" customFormat="false" ht="15" hidden="false" customHeight="false" outlineLevel="0" collapsed="false">
      <c r="A342" s="21" t="str">
        <f aca="false">IF(INDEX(Tasks!$A:$A,ROW()-1)="","",INDEX(Tasks!$A:$A,ROW()-1))</f>
        <v/>
      </c>
      <c r="B342" s="21" t="str">
        <f aca="false">IF(INDEX(Tasks!$A:$A,ROW()-1)="","",IF(ISERROR(FIND(".",INDEX(Tasks!$A:$A,ROW()-1))),"","   ")&amp;INDEX(Tasks!$D:$D,ROW()-1))</f>
        <v/>
      </c>
      <c r="C342" s="21" t="str">
        <f aca="false">IF(INDEX(Tasks!$G:$G,ROW()-1)="","",INDEX(Tasks!$G:$G,ROW()-1))</f>
        <v/>
      </c>
      <c r="D342" s="21" t="str">
        <f aca="false">IF(INDEX(Tasks!$H:$H,ROW()-1)="","",INDEX(Tasks!$H:$H,ROW()-1))</f>
        <v/>
      </c>
      <c r="E342" s="22" t="str">
        <f aca="false">IF(INDEX(Tasks!$I:$I,ROW()-1)="","",INDEX(Tasks!$I:$I,ROW()-1))</f>
        <v/>
      </c>
      <c r="F342" s="22" t="str">
        <f aca="false">IF(INDEX(Tasks!$K:$K,ROW()-1)="","",INDEX(Tasks!$K:$K,ROW()-1))</f>
        <v/>
      </c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  <c r="AL342" s="23"/>
      <c r="AM342" s="23"/>
      <c r="AN342" s="23"/>
      <c r="AO342" s="23"/>
      <c r="AP342" s="23"/>
      <c r="AQ342" s="23"/>
      <c r="AR342" s="23"/>
      <c r="AS342" s="23"/>
      <c r="AT342" s="23"/>
      <c r="AU342" s="23"/>
      <c r="AV342" s="23"/>
      <c r="AW342" s="23"/>
      <c r="AX342" s="23"/>
    </row>
    <row r="343" customFormat="false" ht="15" hidden="false" customHeight="false" outlineLevel="0" collapsed="false">
      <c r="A343" s="21" t="str">
        <f aca="false">IF(INDEX(Tasks!$A:$A,ROW()-1)="","",INDEX(Tasks!$A:$A,ROW()-1))</f>
        <v/>
      </c>
      <c r="B343" s="21" t="str">
        <f aca="false">IF(INDEX(Tasks!$A:$A,ROW()-1)="","",IF(ISERROR(FIND(".",INDEX(Tasks!$A:$A,ROW()-1))),"","   ")&amp;INDEX(Tasks!$D:$D,ROW()-1))</f>
        <v/>
      </c>
      <c r="C343" s="21" t="str">
        <f aca="false">IF(INDEX(Tasks!$G:$G,ROW()-1)="","",INDEX(Tasks!$G:$G,ROW()-1))</f>
        <v/>
      </c>
      <c r="D343" s="21" t="str">
        <f aca="false">IF(INDEX(Tasks!$H:$H,ROW()-1)="","",INDEX(Tasks!$H:$H,ROW()-1))</f>
        <v/>
      </c>
      <c r="E343" s="22" t="str">
        <f aca="false">IF(INDEX(Tasks!$I:$I,ROW()-1)="","",INDEX(Tasks!$I:$I,ROW()-1))</f>
        <v/>
      </c>
      <c r="F343" s="22" t="str">
        <f aca="false">IF(INDEX(Tasks!$K:$K,ROW()-1)="","",INDEX(Tasks!$K:$K,ROW()-1))</f>
        <v/>
      </c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  <c r="AL343" s="23"/>
      <c r="AM343" s="23"/>
      <c r="AN343" s="23"/>
      <c r="AO343" s="23"/>
      <c r="AP343" s="23"/>
      <c r="AQ343" s="23"/>
      <c r="AR343" s="23"/>
      <c r="AS343" s="23"/>
      <c r="AT343" s="23"/>
      <c r="AU343" s="23"/>
      <c r="AV343" s="23"/>
      <c r="AW343" s="23"/>
      <c r="AX343" s="23"/>
    </row>
    <row r="344" customFormat="false" ht="15" hidden="false" customHeight="false" outlineLevel="0" collapsed="false">
      <c r="A344" s="21" t="str">
        <f aca="false">IF(INDEX(Tasks!$A:$A,ROW()-1)="","",INDEX(Tasks!$A:$A,ROW()-1))</f>
        <v/>
      </c>
      <c r="B344" s="21" t="str">
        <f aca="false">IF(INDEX(Tasks!$A:$A,ROW()-1)="","",IF(ISERROR(FIND(".",INDEX(Tasks!$A:$A,ROW()-1))),"","   ")&amp;INDEX(Tasks!$D:$D,ROW()-1))</f>
        <v/>
      </c>
      <c r="C344" s="21" t="str">
        <f aca="false">IF(INDEX(Tasks!$G:$G,ROW()-1)="","",INDEX(Tasks!$G:$G,ROW()-1))</f>
        <v/>
      </c>
      <c r="D344" s="21" t="str">
        <f aca="false">IF(INDEX(Tasks!$H:$H,ROW()-1)="","",INDEX(Tasks!$H:$H,ROW()-1))</f>
        <v/>
      </c>
      <c r="E344" s="22" t="str">
        <f aca="false">IF(INDEX(Tasks!$I:$I,ROW()-1)="","",INDEX(Tasks!$I:$I,ROW()-1))</f>
        <v/>
      </c>
      <c r="F344" s="22" t="str">
        <f aca="false">IF(INDEX(Tasks!$K:$K,ROW()-1)="","",INDEX(Tasks!$K:$K,ROW()-1))</f>
        <v/>
      </c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/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</row>
    <row r="345" customFormat="false" ht="15" hidden="false" customHeight="false" outlineLevel="0" collapsed="false">
      <c r="A345" s="21" t="str">
        <f aca="false">IF(INDEX(Tasks!$A:$A,ROW()-1)="","",INDEX(Tasks!$A:$A,ROW()-1))</f>
        <v/>
      </c>
      <c r="B345" s="21" t="str">
        <f aca="false">IF(INDEX(Tasks!$A:$A,ROW()-1)="","",IF(ISERROR(FIND(".",INDEX(Tasks!$A:$A,ROW()-1))),"","   ")&amp;INDEX(Tasks!$D:$D,ROW()-1))</f>
        <v/>
      </c>
      <c r="C345" s="21" t="str">
        <f aca="false">IF(INDEX(Tasks!$G:$G,ROW()-1)="","",INDEX(Tasks!$G:$G,ROW()-1))</f>
        <v/>
      </c>
      <c r="D345" s="21" t="str">
        <f aca="false">IF(INDEX(Tasks!$H:$H,ROW()-1)="","",INDEX(Tasks!$H:$H,ROW()-1))</f>
        <v/>
      </c>
      <c r="E345" s="22" t="str">
        <f aca="false">IF(INDEX(Tasks!$I:$I,ROW()-1)="","",INDEX(Tasks!$I:$I,ROW()-1))</f>
        <v/>
      </c>
      <c r="F345" s="22" t="str">
        <f aca="false">IF(INDEX(Tasks!$K:$K,ROW()-1)="","",INDEX(Tasks!$K:$K,ROW()-1))</f>
        <v/>
      </c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/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</row>
    <row r="346" customFormat="false" ht="15" hidden="false" customHeight="false" outlineLevel="0" collapsed="false">
      <c r="A346" s="21" t="str">
        <f aca="false">IF(INDEX(Tasks!$A:$A,ROW()-1)="","",INDEX(Tasks!$A:$A,ROW()-1))</f>
        <v/>
      </c>
      <c r="B346" s="21" t="str">
        <f aca="false">IF(INDEX(Tasks!$A:$A,ROW()-1)="","",IF(ISERROR(FIND(".",INDEX(Tasks!$A:$A,ROW()-1))),"","   ")&amp;INDEX(Tasks!$D:$D,ROW()-1))</f>
        <v/>
      </c>
      <c r="C346" s="21" t="str">
        <f aca="false">IF(INDEX(Tasks!$G:$G,ROW()-1)="","",INDEX(Tasks!$G:$G,ROW()-1))</f>
        <v/>
      </c>
      <c r="D346" s="21" t="str">
        <f aca="false">IF(INDEX(Tasks!$H:$H,ROW()-1)="","",INDEX(Tasks!$H:$H,ROW()-1))</f>
        <v/>
      </c>
      <c r="E346" s="22" t="str">
        <f aca="false">IF(INDEX(Tasks!$I:$I,ROW()-1)="","",INDEX(Tasks!$I:$I,ROW()-1))</f>
        <v/>
      </c>
      <c r="F346" s="22" t="str">
        <f aca="false">IF(INDEX(Tasks!$K:$K,ROW()-1)="","",INDEX(Tasks!$K:$K,ROW()-1))</f>
        <v/>
      </c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  <c r="AL346" s="23"/>
      <c r="AM346" s="23"/>
      <c r="AN346" s="23"/>
      <c r="AO346" s="23"/>
      <c r="AP346" s="23"/>
      <c r="AQ346" s="23"/>
      <c r="AR346" s="23"/>
      <c r="AS346" s="23"/>
      <c r="AT346" s="23"/>
      <c r="AU346" s="23"/>
      <c r="AV346" s="23"/>
      <c r="AW346" s="23"/>
      <c r="AX346" s="23"/>
    </row>
    <row r="347" customFormat="false" ht="15" hidden="false" customHeight="false" outlineLevel="0" collapsed="false">
      <c r="A347" s="21" t="str">
        <f aca="false">IF(INDEX(Tasks!$A:$A,ROW()-1)="","",INDEX(Tasks!$A:$A,ROW()-1))</f>
        <v/>
      </c>
      <c r="B347" s="21" t="str">
        <f aca="false">IF(INDEX(Tasks!$A:$A,ROW()-1)="","",IF(ISERROR(FIND(".",INDEX(Tasks!$A:$A,ROW()-1))),"","   ")&amp;INDEX(Tasks!$D:$D,ROW()-1))</f>
        <v/>
      </c>
      <c r="C347" s="21" t="str">
        <f aca="false">IF(INDEX(Tasks!$G:$G,ROW()-1)="","",INDEX(Tasks!$G:$G,ROW()-1))</f>
        <v/>
      </c>
      <c r="D347" s="21" t="str">
        <f aca="false">IF(INDEX(Tasks!$H:$H,ROW()-1)="","",INDEX(Tasks!$H:$H,ROW()-1))</f>
        <v/>
      </c>
      <c r="E347" s="22" t="str">
        <f aca="false">IF(INDEX(Tasks!$I:$I,ROW()-1)="","",INDEX(Tasks!$I:$I,ROW()-1))</f>
        <v/>
      </c>
      <c r="F347" s="22" t="str">
        <f aca="false">IF(INDEX(Tasks!$K:$K,ROW()-1)="","",INDEX(Tasks!$K:$K,ROW()-1))</f>
        <v/>
      </c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/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</row>
    <row r="348" customFormat="false" ht="15" hidden="false" customHeight="false" outlineLevel="0" collapsed="false">
      <c r="A348" s="21" t="str">
        <f aca="false">IF(INDEX(Tasks!$A:$A,ROW()-1)="","",INDEX(Tasks!$A:$A,ROW()-1))</f>
        <v/>
      </c>
      <c r="B348" s="21" t="str">
        <f aca="false">IF(INDEX(Tasks!$A:$A,ROW()-1)="","",IF(ISERROR(FIND(".",INDEX(Tasks!$A:$A,ROW()-1))),"","   ")&amp;INDEX(Tasks!$D:$D,ROW()-1))</f>
        <v/>
      </c>
      <c r="C348" s="21" t="str">
        <f aca="false">IF(INDEX(Tasks!$G:$G,ROW()-1)="","",INDEX(Tasks!$G:$G,ROW()-1))</f>
        <v/>
      </c>
      <c r="D348" s="21" t="str">
        <f aca="false">IF(INDEX(Tasks!$H:$H,ROW()-1)="","",INDEX(Tasks!$H:$H,ROW()-1))</f>
        <v/>
      </c>
      <c r="E348" s="22" t="str">
        <f aca="false">IF(INDEX(Tasks!$I:$I,ROW()-1)="","",INDEX(Tasks!$I:$I,ROW()-1))</f>
        <v/>
      </c>
      <c r="F348" s="22" t="str">
        <f aca="false">IF(INDEX(Tasks!$K:$K,ROW()-1)="","",INDEX(Tasks!$K:$K,ROW()-1))</f>
        <v/>
      </c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  <c r="AL348" s="23"/>
      <c r="AM348" s="23"/>
      <c r="AN348" s="23"/>
      <c r="AO348" s="23"/>
      <c r="AP348" s="23"/>
      <c r="AQ348" s="23"/>
      <c r="AR348" s="23"/>
      <c r="AS348" s="23"/>
      <c r="AT348" s="23"/>
      <c r="AU348" s="23"/>
      <c r="AV348" s="23"/>
      <c r="AW348" s="23"/>
      <c r="AX348" s="23"/>
    </row>
    <row r="349" customFormat="false" ht="15" hidden="false" customHeight="false" outlineLevel="0" collapsed="false">
      <c r="A349" s="21" t="str">
        <f aca="false">IF(INDEX(Tasks!$A:$A,ROW()-1)="","",INDEX(Tasks!$A:$A,ROW()-1))</f>
        <v/>
      </c>
      <c r="B349" s="21" t="str">
        <f aca="false">IF(INDEX(Tasks!$A:$A,ROW()-1)="","",IF(ISERROR(FIND(".",INDEX(Tasks!$A:$A,ROW()-1))),"","   ")&amp;INDEX(Tasks!$D:$D,ROW()-1))</f>
        <v/>
      </c>
      <c r="C349" s="21" t="str">
        <f aca="false">IF(INDEX(Tasks!$G:$G,ROW()-1)="","",INDEX(Tasks!$G:$G,ROW()-1))</f>
        <v/>
      </c>
      <c r="D349" s="21" t="str">
        <f aca="false">IF(INDEX(Tasks!$H:$H,ROW()-1)="","",INDEX(Tasks!$H:$H,ROW()-1))</f>
        <v/>
      </c>
      <c r="E349" s="22" t="str">
        <f aca="false">IF(INDEX(Tasks!$I:$I,ROW()-1)="","",INDEX(Tasks!$I:$I,ROW()-1))</f>
        <v/>
      </c>
      <c r="F349" s="22" t="str">
        <f aca="false">IF(INDEX(Tasks!$K:$K,ROW()-1)="","",INDEX(Tasks!$K:$K,ROW()-1))</f>
        <v/>
      </c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  <c r="AL349" s="23"/>
      <c r="AM349" s="23"/>
      <c r="AN349" s="23"/>
      <c r="AO349" s="23"/>
      <c r="AP349" s="23"/>
      <c r="AQ349" s="23"/>
      <c r="AR349" s="23"/>
      <c r="AS349" s="23"/>
      <c r="AT349" s="23"/>
      <c r="AU349" s="23"/>
      <c r="AV349" s="23"/>
      <c r="AW349" s="23"/>
      <c r="AX349" s="23"/>
    </row>
    <row r="350" customFormat="false" ht="15" hidden="false" customHeight="false" outlineLevel="0" collapsed="false">
      <c r="A350" s="21" t="str">
        <f aca="false">IF(INDEX(Tasks!$A:$A,ROW()-1)="","",INDEX(Tasks!$A:$A,ROW()-1))</f>
        <v/>
      </c>
      <c r="B350" s="21" t="str">
        <f aca="false">IF(INDEX(Tasks!$A:$A,ROW()-1)="","",IF(ISERROR(FIND(".",INDEX(Tasks!$A:$A,ROW()-1))),"","   ")&amp;INDEX(Tasks!$D:$D,ROW()-1))</f>
        <v/>
      </c>
      <c r="C350" s="21" t="str">
        <f aca="false">IF(INDEX(Tasks!$G:$G,ROW()-1)="","",INDEX(Tasks!$G:$G,ROW()-1))</f>
        <v/>
      </c>
      <c r="D350" s="21" t="str">
        <f aca="false">IF(INDEX(Tasks!$H:$H,ROW()-1)="","",INDEX(Tasks!$H:$H,ROW()-1))</f>
        <v/>
      </c>
      <c r="E350" s="22" t="str">
        <f aca="false">IF(INDEX(Tasks!$I:$I,ROW()-1)="","",INDEX(Tasks!$I:$I,ROW()-1))</f>
        <v/>
      </c>
      <c r="F350" s="22" t="str">
        <f aca="false">IF(INDEX(Tasks!$K:$K,ROW()-1)="","",INDEX(Tasks!$K:$K,ROW()-1))</f>
        <v/>
      </c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  <c r="AL350" s="23"/>
      <c r="AM350" s="23"/>
      <c r="AN350" s="23"/>
      <c r="AO350" s="23"/>
      <c r="AP350" s="23"/>
      <c r="AQ350" s="23"/>
      <c r="AR350" s="23"/>
      <c r="AS350" s="23"/>
      <c r="AT350" s="23"/>
      <c r="AU350" s="23"/>
      <c r="AV350" s="23"/>
      <c r="AW350" s="23"/>
      <c r="AX350" s="23"/>
    </row>
    <row r="351" customFormat="false" ht="15" hidden="false" customHeight="false" outlineLevel="0" collapsed="false">
      <c r="A351" s="21" t="str">
        <f aca="false">IF(INDEX(Tasks!$A:$A,ROW()-1)="","",INDEX(Tasks!$A:$A,ROW()-1))</f>
        <v/>
      </c>
      <c r="B351" s="21" t="str">
        <f aca="false">IF(INDEX(Tasks!$A:$A,ROW()-1)="","",IF(ISERROR(FIND(".",INDEX(Tasks!$A:$A,ROW()-1))),"","   ")&amp;INDEX(Tasks!$D:$D,ROW()-1))</f>
        <v/>
      </c>
      <c r="C351" s="21" t="str">
        <f aca="false">IF(INDEX(Tasks!$G:$G,ROW()-1)="","",INDEX(Tasks!$G:$G,ROW()-1))</f>
        <v/>
      </c>
      <c r="D351" s="21" t="str">
        <f aca="false">IF(INDEX(Tasks!$H:$H,ROW()-1)="","",INDEX(Tasks!$H:$H,ROW()-1))</f>
        <v/>
      </c>
      <c r="E351" s="22" t="str">
        <f aca="false">IF(INDEX(Tasks!$I:$I,ROW()-1)="","",INDEX(Tasks!$I:$I,ROW()-1))</f>
        <v/>
      </c>
      <c r="F351" s="22" t="str">
        <f aca="false">IF(INDEX(Tasks!$K:$K,ROW()-1)="","",INDEX(Tasks!$K:$K,ROW()-1))</f>
        <v/>
      </c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  <c r="AL351" s="23"/>
      <c r="AM351" s="23"/>
      <c r="AN351" s="23"/>
      <c r="AO351" s="23"/>
      <c r="AP351" s="23"/>
      <c r="AQ351" s="23"/>
      <c r="AR351" s="23"/>
      <c r="AS351" s="23"/>
      <c r="AT351" s="23"/>
      <c r="AU351" s="23"/>
      <c r="AV351" s="23"/>
      <c r="AW351" s="23"/>
      <c r="AX351" s="23"/>
    </row>
    <row r="352" customFormat="false" ht="15" hidden="false" customHeight="false" outlineLevel="0" collapsed="false">
      <c r="A352" s="21" t="str">
        <f aca="false">IF(INDEX(Tasks!$A:$A,ROW()-1)="","",INDEX(Tasks!$A:$A,ROW()-1))</f>
        <v/>
      </c>
      <c r="B352" s="21" t="str">
        <f aca="false">IF(INDEX(Tasks!$A:$A,ROW()-1)="","",IF(ISERROR(FIND(".",INDEX(Tasks!$A:$A,ROW()-1))),"","   ")&amp;INDEX(Tasks!$D:$D,ROW()-1))</f>
        <v/>
      </c>
      <c r="C352" s="21" t="str">
        <f aca="false">IF(INDEX(Tasks!$G:$G,ROW()-1)="","",INDEX(Tasks!$G:$G,ROW()-1))</f>
        <v/>
      </c>
      <c r="D352" s="21" t="str">
        <f aca="false">IF(INDEX(Tasks!$H:$H,ROW()-1)="","",INDEX(Tasks!$H:$H,ROW()-1))</f>
        <v/>
      </c>
      <c r="E352" s="22" t="str">
        <f aca="false">IF(INDEX(Tasks!$I:$I,ROW()-1)="","",INDEX(Tasks!$I:$I,ROW()-1))</f>
        <v/>
      </c>
      <c r="F352" s="22" t="str">
        <f aca="false">IF(INDEX(Tasks!$K:$K,ROW()-1)="","",INDEX(Tasks!$K:$K,ROW()-1))</f>
        <v/>
      </c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  <c r="AL352" s="23"/>
      <c r="AM352" s="23"/>
      <c r="AN352" s="23"/>
      <c r="AO352" s="23"/>
      <c r="AP352" s="23"/>
      <c r="AQ352" s="23"/>
      <c r="AR352" s="23"/>
      <c r="AS352" s="23"/>
      <c r="AT352" s="23"/>
      <c r="AU352" s="23"/>
      <c r="AV352" s="23"/>
      <c r="AW352" s="23"/>
      <c r="AX352" s="23"/>
    </row>
    <row r="353" customFormat="false" ht="15" hidden="false" customHeight="false" outlineLevel="0" collapsed="false">
      <c r="A353" s="21" t="str">
        <f aca="false">IF(INDEX(Tasks!$A:$A,ROW()-1)="","",INDEX(Tasks!$A:$A,ROW()-1))</f>
        <v/>
      </c>
      <c r="B353" s="21" t="str">
        <f aca="false">IF(INDEX(Tasks!$A:$A,ROW()-1)="","",IF(ISERROR(FIND(".",INDEX(Tasks!$A:$A,ROW()-1))),"","   ")&amp;INDEX(Tasks!$D:$D,ROW()-1))</f>
        <v/>
      </c>
      <c r="C353" s="21" t="str">
        <f aca="false">IF(INDEX(Tasks!$G:$G,ROW()-1)="","",INDEX(Tasks!$G:$G,ROW()-1))</f>
        <v/>
      </c>
      <c r="D353" s="21" t="str">
        <f aca="false">IF(INDEX(Tasks!$H:$H,ROW()-1)="","",INDEX(Tasks!$H:$H,ROW()-1))</f>
        <v/>
      </c>
      <c r="E353" s="22" t="str">
        <f aca="false">IF(INDEX(Tasks!$I:$I,ROW()-1)="","",INDEX(Tasks!$I:$I,ROW()-1))</f>
        <v/>
      </c>
      <c r="F353" s="22" t="str">
        <f aca="false">IF(INDEX(Tasks!$K:$K,ROW()-1)="","",INDEX(Tasks!$K:$K,ROW()-1))</f>
        <v/>
      </c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  <c r="AL353" s="23"/>
      <c r="AM353" s="23"/>
      <c r="AN353" s="23"/>
      <c r="AO353" s="23"/>
      <c r="AP353" s="23"/>
      <c r="AQ353" s="23"/>
      <c r="AR353" s="23"/>
      <c r="AS353" s="23"/>
      <c r="AT353" s="23"/>
      <c r="AU353" s="23"/>
      <c r="AV353" s="23"/>
      <c r="AW353" s="23"/>
      <c r="AX353" s="23"/>
    </row>
    <row r="354" customFormat="false" ht="15" hidden="false" customHeight="false" outlineLevel="0" collapsed="false">
      <c r="A354" s="21" t="str">
        <f aca="false">IF(INDEX(Tasks!$A:$A,ROW()-1)="","",INDEX(Tasks!$A:$A,ROW()-1))</f>
        <v/>
      </c>
      <c r="B354" s="21" t="str">
        <f aca="false">IF(INDEX(Tasks!$A:$A,ROW()-1)="","",IF(ISERROR(FIND(".",INDEX(Tasks!$A:$A,ROW()-1))),"","   ")&amp;INDEX(Tasks!$D:$D,ROW()-1))</f>
        <v/>
      </c>
      <c r="C354" s="21" t="str">
        <f aca="false">IF(INDEX(Tasks!$G:$G,ROW()-1)="","",INDEX(Tasks!$G:$G,ROW()-1))</f>
        <v/>
      </c>
      <c r="D354" s="21" t="str">
        <f aca="false">IF(INDEX(Tasks!$H:$H,ROW()-1)="","",INDEX(Tasks!$H:$H,ROW()-1))</f>
        <v/>
      </c>
      <c r="E354" s="22" t="str">
        <f aca="false">IF(INDEX(Tasks!$I:$I,ROW()-1)="","",INDEX(Tasks!$I:$I,ROW()-1))</f>
        <v/>
      </c>
      <c r="F354" s="22" t="str">
        <f aca="false">IF(INDEX(Tasks!$K:$K,ROW()-1)="","",INDEX(Tasks!$K:$K,ROW()-1))</f>
        <v/>
      </c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  <c r="AL354" s="23"/>
      <c r="AM354" s="23"/>
      <c r="AN354" s="23"/>
      <c r="AO354" s="23"/>
      <c r="AP354" s="23"/>
      <c r="AQ354" s="23"/>
      <c r="AR354" s="23"/>
      <c r="AS354" s="23"/>
      <c r="AT354" s="23"/>
      <c r="AU354" s="23"/>
      <c r="AV354" s="23"/>
      <c r="AW354" s="23"/>
      <c r="AX354" s="23"/>
    </row>
    <row r="355" customFormat="false" ht="15" hidden="false" customHeight="false" outlineLevel="0" collapsed="false">
      <c r="A355" s="21" t="str">
        <f aca="false">IF(INDEX(Tasks!$A:$A,ROW()-1)="","",INDEX(Tasks!$A:$A,ROW()-1))</f>
        <v/>
      </c>
      <c r="B355" s="21" t="str">
        <f aca="false">IF(INDEX(Tasks!$A:$A,ROW()-1)="","",IF(ISERROR(FIND(".",INDEX(Tasks!$A:$A,ROW()-1))),"","   ")&amp;INDEX(Tasks!$D:$D,ROW()-1))</f>
        <v/>
      </c>
      <c r="C355" s="21" t="str">
        <f aca="false">IF(INDEX(Tasks!$G:$G,ROW()-1)="","",INDEX(Tasks!$G:$G,ROW()-1))</f>
        <v/>
      </c>
      <c r="D355" s="21" t="str">
        <f aca="false">IF(INDEX(Tasks!$H:$H,ROW()-1)="","",INDEX(Tasks!$H:$H,ROW()-1))</f>
        <v/>
      </c>
      <c r="E355" s="22" t="str">
        <f aca="false">IF(INDEX(Tasks!$I:$I,ROW()-1)="","",INDEX(Tasks!$I:$I,ROW()-1))</f>
        <v/>
      </c>
      <c r="F355" s="22" t="str">
        <f aca="false">IF(INDEX(Tasks!$K:$K,ROW()-1)="","",INDEX(Tasks!$K:$K,ROW()-1))</f>
        <v/>
      </c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  <c r="AL355" s="23"/>
      <c r="AM355" s="23"/>
      <c r="AN355" s="23"/>
      <c r="AO355" s="23"/>
      <c r="AP355" s="23"/>
      <c r="AQ355" s="23"/>
      <c r="AR355" s="23"/>
      <c r="AS355" s="23"/>
      <c r="AT355" s="23"/>
      <c r="AU355" s="23"/>
      <c r="AV355" s="23"/>
      <c r="AW355" s="23"/>
      <c r="AX355" s="23"/>
    </row>
    <row r="356" customFormat="false" ht="15" hidden="false" customHeight="false" outlineLevel="0" collapsed="false">
      <c r="A356" s="21" t="str">
        <f aca="false">IF(INDEX(Tasks!$A:$A,ROW()-1)="","",INDEX(Tasks!$A:$A,ROW()-1))</f>
        <v/>
      </c>
      <c r="B356" s="21" t="str">
        <f aca="false">IF(INDEX(Tasks!$A:$A,ROW()-1)="","",IF(ISERROR(FIND(".",INDEX(Tasks!$A:$A,ROW()-1))),"","   ")&amp;INDEX(Tasks!$D:$D,ROW()-1))</f>
        <v/>
      </c>
      <c r="C356" s="21" t="str">
        <f aca="false">IF(INDEX(Tasks!$G:$G,ROW()-1)="","",INDEX(Tasks!$G:$G,ROW()-1))</f>
        <v/>
      </c>
      <c r="D356" s="21" t="str">
        <f aca="false">IF(INDEX(Tasks!$H:$H,ROW()-1)="","",INDEX(Tasks!$H:$H,ROW()-1))</f>
        <v/>
      </c>
      <c r="E356" s="22" t="str">
        <f aca="false">IF(INDEX(Tasks!$I:$I,ROW()-1)="","",INDEX(Tasks!$I:$I,ROW()-1))</f>
        <v/>
      </c>
      <c r="F356" s="22" t="str">
        <f aca="false">IF(INDEX(Tasks!$K:$K,ROW()-1)="","",INDEX(Tasks!$K:$K,ROW()-1))</f>
        <v/>
      </c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  <c r="AO356" s="23"/>
      <c r="AP356" s="23"/>
      <c r="AQ356" s="23"/>
      <c r="AR356" s="23"/>
      <c r="AS356" s="23"/>
      <c r="AT356" s="23"/>
      <c r="AU356" s="23"/>
      <c r="AV356" s="23"/>
      <c r="AW356" s="23"/>
      <c r="AX356" s="23"/>
    </row>
    <row r="357" customFormat="false" ht="15" hidden="false" customHeight="false" outlineLevel="0" collapsed="false">
      <c r="A357" s="21" t="str">
        <f aca="false">IF(INDEX(Tasks!$A:$A,ROW()-1)="","",INDEX(Tasks!$A:$A,ROW()-1))</f>
        <v/>
      </c>
      <c r="B357" s="21" t="str">
        <f aca="false">IF(INDEX(Tasks!$A:$A,ROW()-1)="","",IF(ISERROR(FIND(".",INDEX(Tasks!$A:$A,ROW()-1))),"","   ")&amp;INDEX(Tasks!$D:$D,ROW()-1))</f>
        <v/>
      </c>
      <c r="C357" s="21" t="str">
        <f aca="false">IF(INDEX(Tasks!$G:$G,ROW()-1)="","",INDEX(Tasks!$G:$G,ROW()-1))</f>
        <v/>
      </c>
      <c r="D357" s="21" t="str">
        <f aca="false">IF(INDEX(Tasks!$H:$H,ROW()-1)="","",INDEX(Tasks!$H:$H,ROW()-1))</f>
        <v/>
      </c>
      <c r="E357" s="22" t="str">
        <f aca="false">IF(INDEX(Tasks!$I:$I,ROW()-1)="","",INDEX(Tasks!$I:$I,ROW()-1))</f>
        <v/>
      </c>
      <c r="F357" s="22" t="str">
        <f aca="false">IF(INDEX(Tasks!$K:$K,ROW()-1)="","",INDEX(Tasks!$K:$K,ROW()-1))</f>
        <v/>
      </c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  <c r="AO357" s="23"/>
      <c r="AP357" s="23"/>
      <c r="AQ357" s="23"/>
      <c r="AR357" s="23"/>
      <c r="AS357" s="23"/>
      <c r="AT357" s="23"/>
      <c r="AU357" s="23"/>
      <c r="AV357" s="23"/>
      <c r="AW357" s="23"/>
      <c r="AX357" s="23"/>
    </row>
    <row r="358" customFormat="false" ht="15" hidden="false" customHeight="false" outlineLevel="0" collapsed="false">
      <c r="A358" s="21" t="str">
        <f aca="false">IF(INDEX(Tasks!$A:$A,ROW()-1)="","",INDEX(Tasks!$A:$A,ROW()-1))</f>
        <v/>
      </c>
      <c r="B358" s="21" t="str">
        <f aca="false">IF(INDEX(Tasks!$A:$A,ROW()-1)="","",IF(ISERROR(FIND(".",INDEX(Tasks!$A:$A,ROW()-1))),"","   ")&amp;INDEX(Tasks!$D:$D,ROW()-1))</f>
        <v/>
      </c>
      <c r="C358" s="21" t="str">
        <f aca="false">IF(INDEX(Tasks!$G:$G,ROW()-1)="","",INDEX(Tasks!$G:$G,ROW()-1))</f>
        <v/>
      </c>
      <c r="D358" s="21" t="str">
        <f aca="false">IF(INDEX(Tasks!$H:$H,ROW()-1)="","",INDEX(Tasks!$H:$H,ROW()-1))</f>
        <v/>
      </c>
      <c r="E358" s="22" t="str">
        <f aca="false">IF(INDEX(Tasks!$I:$I,ROW()-1)="","",INDEX(Tasks!$I:$I,ROW()-1))</f>
        <v/>
      </c>
      <c r="F358" s="22" t="str">
        <f aca="false">IF(INDEX(Tasks!$K:$K,ROW()-1)="","",INDEX(Tasks!$K:$K,ROW()-1))</f>
        <v/>
      </c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  <c r="AO358" s="23"/>
      <c r="AP358" s="23"/>
      <c r="AQ358" s="23"/>
      <c r="AR358" s="23"/>
      <c r="AS358" s="23"/>
      <c r="AT358" s="23"/>
      <c r="AU358" s="23"/>
      <c r="AV358" s="23"/>
      <c r="AW358" s="23"/>
      <c r="AX358" s="23"/>
    </row>
    <row r="359" customFormat="false" ht="15" hidden="false" customHeight="false" outlineLevel="0" collapsed="false">
      <c r="A359" s="21" t="str">
        <f aca="false">IF(INDEX(Tasks!$A:$A,ROW()-1)="","",INDEX(Tasks!$A:$A,ROW()-1))</f>
        <v/>
      </c>
      <c r="B359" s="21" t="str">
        <f aca="false">IF(INDEX(Tasks!$A:$A,ROW()-1)="","",IF(ISERROR(FIND(".",INDEX(Tasks!$A:$A,ROW()-1))),"","   ")&amp;INDEX(Tasks!$D:$D,ROW()-1))</f>
        <v/>
      </c>
      <c r="C359" s="21" t="str">
        <f aca="false">IF(INDEX(Tasks!$G:$G,ROW()-1)="","",INDEX(Tasks!$G:$G,ROW()-1))</f>
        <v/>
      </c>
      <c r="D359" s="21" t="str">
        <f aca="false">IF(INDEX(Tasks!$H:$H,ROW()-1)="","",INDEX(Tasks!$H:$H,ROW()-1))</f>
        <v/>
      </c>
      <c r="E359" s="22" t="str">
        <f aca="false">IF(INDEX(Tasks!$I:$I,ROW()-1)="","",INDEX(Tasks!$I:$I,ROW()-1))</f>
        <v/>
      </c>
      <c r="F359" s="22" t="str">
        <f aca="false">IF(INDEX(Tasks!$K:$K,ROW()-1)="","",INDEX(Tasks!$K:$K,ROW()-1))</f>
        <v/>
      </c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  <c r="AO359" s="23"/>
      <c r="AP359" s="23"/>
      <c r="AQ359" s="23"/>
      <c r="AR359" s="23"/>
      <c r="AS359" s="23"/>
      <c r="AT359" s="23"/>
      <c r="AU359" s="23"/>
      <c r="AV359" s="23"/>
      <c r="AW359" s="23"/>
      <c r="AX359" s="23"/>
    </row>
    <row r="360" customFormat="false" ht="15" hidden="false" customHeight="false" outlineLevel="0" collapsed="false">
      <c r="A360" s="21" t="str">
        <f aca="false">IF(INDEX(Tasks!$A:$A,ROW()-1)="","",INDEX(Tasks!$A:$A,ROW()-1))</f>
        <v/>
      </c>
      <c r="B360" s="21" t="str">
        <f aca="false">IF(INDEX(Tasks!$A:$A,ROW()-1)="","",IF(ISERROR(FIND(".",INDEX(Tasks!$A:$A,ROW()-1))),"","   ")&amp;INDEX(Tasks!$D:$D,ROW()-1))</f>
        <v/>
      </c>
      <c r="C360" s="21" t="str">
        <f aca="false">IF(INDEX(Tasks!$G:$G,ROW()-1)="","",INDEX(Tasks!$G:$G,ROW()-1))</f>
        <v/>
      </c>
      <c r="D360" s="21" t="str">
        <f aca="false">IF(INDEX(Tasks!$H:$H,ROW()-1)="","",INDEX(Tasks!$H:$H,ROW()-1))</f>
        <v/>
      </c>
      <c r="E360" s="22" t="str">
        <f aca="false">IF(INDEX(Tasks!$I:$I,ROW()-1)="","",INDEX(Tasks!$I:$I,ROW()-1))</f>
        <v/>
      </c>
      <c r="F360" s="22" t="str">
        <f aca="false">IF(INDEX(Tasks!$K:$K,ROW()-1)="","",INDEX(Tasks!$K:$K,ROW()-1))</f>
        <v/>
      </c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  <c r="AO360" s="23"/>
      <c r="AP360" s="23"/>
      <c r="AQ360" s="23"/>
      <c r="AR360" s="23"/>
      <c r="AS360" s="23"/>
      <c r="AT360" s="23"/>
      <c r="AU360" s="23"/>
      <c r="AV360" s="23"/>
      <c r="AW360" s="23"/>
      <c r="AX360" s="23"/>
    </row>
    <row r="361" customFormat="false" ht="15" hidden="false" customHeight="false" outlineLevel="0" collapsed="false">
      <c r="A361" s="21" t="str">
        <f aca="false">IF(INDEX(Tasks!$A:$A,ROW()-1)="","",INDEX(Tasks!$A:$A,ROW()-1))</f>
        <v/>
      </c>
      <c r="B361" s="21" t="str">
        <f aca="false">IF(INDEX(Tasks!$A:$A,ROW()-1)="","",IF(ISERROR(FIND(".",INDEX(Tasks!$A:$A,ROW()-1))),"","   ")&amp;INDEX(Tasks!$D:$D,ROW()-1))</f>
        <v/>
      </c>
      <c r="C361" s="21" t="str">
        <f aca="false">IF(INDEX(Tasks!$G:$G,ROW()-1)="","",INDEX(Tasks!$G:$G,ROW()-1))</f>
        <v/>
      </c>
      <c r="D361" s="21" t="str">
        <f aca="false">IF(INDEX(Tasks!$H:$H,ROW()-1)="","",INDEX(Tasks!$H:$H,ROW()-1))</f>
        <v/>
      </c>
      <c r="E361" s="22" t="str">
        <f aca="false">IF(INDEX(Tasks!$I:$I,ROW()-1)="","",INDEX(Tasks!$I:$I,ROW()-1))</f>
        <v/>
      </c>
      <c r="F361" s="22" t="str">
        <f aca="false">IF(INDEX(Tasks!$K:$K,ROW()-1)="","",INDEX(Tasks!$K:$K,ROW()-1))</f>
        <v/>
      </c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  <c r="AO361" s="23"/>
      <c r="AP361" s="23"/>
      <c r="AQ361" s="23"/>
      <c r="AR361" s="23"/>
      <c r="AS361" s="23"/>
      <c r="AT361" s="23"/>
      <c r="AU361" s="23"/>
      <c r="AV361" s="23"/>
      <c r="AW361" s="23"/>
      <c r="AX361" s="23"/>
    </row>
    <row r="362" customFormat="false" ht="15" hidden="false" customHeight="false" outlineLevel="0" collapsed="false">
      <c r="A362" s="21" t="str">
        <f aca="false">IF(INDEX(Tasks!$A:$A,ROW()-1)="","",INDEX(Tasks!$A:$A,ROW()-1))</f>
        <v/>
      </c>
      <c r="B362" s="21" t="str">
        <f aca="false">IF(INDEX(Tasks!$A:$A,ROW()-1)="","",IF(ISERROR(FIND(".",INDEX(Tasks!$A:$A,ROW()-1))),"","   ")&amp;INDEX(Tasks!$D:$D,ROW()-1))</f>
        <v/>
      </c>
      <c r="C362" s="21" t="str">
        <f aca="false">IF(INDEX(Tasks!$G:$G,ROW()-1)="","",INDEX(Tasks!$G:$G,ROW()-1))</f>
        <v/>
      </c>
      <c r="D362" s="21" t="str">
        <f aca="false">IF(INDEX(Tasks!$H:$H,ROW()-1)="","",INDEX(Tasks!$H:$H,ROW()-1))</f>
        <v/>
      </c>
      <c r="E362" s="22" t="str">
        <f aca="false">IF(INDEX(Tasks!$I:$I,ROW()-1)="","",INDEX(Tasks!$I:$I,ROW()-1))</f>
        <v/>
      </c>
      <c r="F362" s="22" t="str">
        <f aca="false">IF(INDEX(Tasks!$K:$K,ROW()-1)="","",INDEX(Tasks!$K:$K,ROW()-1))</f>
        <v/>
      </c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  <c r="AO362" s="23"/>
      <c r="AP362" s="23"/>
      <c r="AQ362" s="23"/>
      <c r="AR362" s="23"/>
      <c r="AS362" s="23"/>
      <c r="AT362" s="23"/>
      <c r="AU362" s="23"/>
      <c r="AV362" s="23"/>
      <c r="AW362" s="23"/>
      <c r="AX362" s="23"/>
    </row>
    <row r="363" customFormat="false" ht="15" hidden="false" customHeight="false" outlineLevel="0" collapsed="false">
      <c r="A363" s="21" t="str">
        <f aca="false">IF(INDEX(Tasks!$A:$A,ROW()-1)="","",INDEX(Tasks!$A:$A,ROW()-1))</f>
        <v/>
      </c>
      <c r="B363" s="21" t="str">
        <f aca="false">IF(INDEX(Tasks!$A:$A,ROW()-1)="","",IF(ISERROR(FIND(".",INDEX(Tasks!$A:$A,ROW()-1))),"","   ")&amp;INDEX(Tasks!$D:$D,ROW()-1))</f>
        <v/>
      </c>
      <c r="C363" s="21" t="str">
        <f aca="false">IF(INDEX(Tasks!$G:$G,ROW()-1)="","",INDEX(Tasks!$G:$G,ROW()-1))</f>
        <v/>
      </c>
      <c r="D363" s="21" t="str">
        <f aca="false">IF(INDEX(Tasks!$H:$H,ROW()-1)="","",INDEX(Tasks!$H:$H,ROW()-1))</f>
        <v/>
      </c>
      <c r="E363" s="22" t="str">
        <f aca="false">IF(INDEX(Tasks!$I:$I,ROW()-1)="","",INDEX(Tasks!$I:$I,ROW()-1))</f>
        <v/>
      </c>
      <c r="F363" s="22" t="str">
        <f aca="false">IF(INDEX(Tasks!$K:$K,ROW()-1)="","",INDEX(Tasks!$K:$K,ROW()-1))</f>
        <v/>
      </c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  <c r="AO363" s="23"/>
      <c r="AP363" s="23"/>
      <c r="AQ363" s="23"/>
      <c r="AR363" s="23"/>
      <c r="AS363" s="23"/>
      <c r="AT363" s="23"/>
      <c r="AU363" s="23"/>
      <c r="AV363" s="23"/>
      <c r="AW363" s="23"/>
      <c r="AX363" s="23"/>
    </row>
    <row r="364" customFormat="false" ht="15" hidden="false" customHeight="false" outlineLevel="0" collapsed="false">
      <c r="A364" s="21" t="str">
        <f aca="false">IF(INDEX(Tasks!$A:$A,ROW()-1)="","",INDEX(Tasks!$A:$A,ROW()-1))</f>
        <v/>
      </c>
      <c r="B364" s="21" t="str">
        <f aca="false">IF(INDEX(Tasks!$A:$A,ROW()-1)="","",IF(ISERROR(FIND(".",INDEX(Tasks!$A:$A,ROW()-1))),"","   ")&amp;INDEX(Tasks!$D:$D,ROW()-1))</f>
        <v/>
      </c>
      <c r="C364" s="21" t="str">
        <f aca="false">IF(INDEX(Tasks!$G:$G,ROW()-1)="","",INDEX(Tasks!$G:$G,ROW()-1))</f>
        <v/>
      </c>
      <c r="D364" s="21" t="str">
        <f aca="false">IF(INDEX(Tasks!$H:$H,ROW()-1)="","",INDEX(Tasks!$H:$H,ROW()-1))</f>
        <v/>
      </c>
      <c r="E364" s="22" t="str">
        <f aca="false">IF(INDEX(Tasks!$I:$I,ROW()-1)="","",INDEX(Tasks!$I:$I,ROW()-1))</f>
        <v/>
      </c>
      <c r="F364" s="22" t="str">
        <f aca="false">IF(INDEX(Tasks!$K:$K,ROW()-1)="","",INDEX(Tasks!$K:$K,ROW()-1))</f>
        <v/>
      </c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  <c r="AO364" s="23"/>
      <c r="AP364" s="23"/>
      <c r="AQ364" s="23"/>
      <c r="AR364" s="23"/>
      <c r="AS364" s="23"/>
      <c r="AT364" s="23"/>
      <c r="AU364" s="23"/>
      <c r="AV364" s="23"/>
      <c r="AW364" s="23"/>
      <c r="AX364" s="23"/>
    </row>
    <row r="365" customFormat="false" ht="15" hidden="false" customHeight="false" outlineLevel="0" collapsed="false">
      <c r="A365" s="21" t="str">
        <f aca="false">IF(INDEX(Tasks!$A:$A,ROW()-1)="","",INDEX(Tasks!$A:$A,ROW()-1))</f>
        <v/>
      </c>
      <c r="B365" s="21" t="str">
        <f aca="false">IF(INDEX(Tasks!$A:$A,ROW()-1)="","",IF(ISERROR(FIND(".",INDEX(Tasks!$A:$A,ROW()-1))),"","   ")&amp;INDEX(Tasks!$D:$D,ROW()-1))</f>
        <v/>
      </c>
      <c r="C365" s="21" t="str">
        <f aca="false">IF(INDEX(Tasks!$G:$G,ROW()-1)="","",INDEX(Tasks!$G:$G,ROW()-1))</f>
        <v/>
      </c>
      <c r="D365" s="21" t="str">
        <f aca="false">IF(INDEX(Tasks!$H:$H,ROW()-1)="","",INDEX(Tasks!$H:$H,ROW()-1))</f>
        <v/>
      </c>
      <c r="E365" s="22" t="str">
        <f aca="false">IF(INDEX(Tasks!$I:$I,ROW()-1)="","",INDEX(Tasks!$I:$I,ROW()-1))</f>
        <v/>
      </c>
      <c r="F365" s="22" t="str">
        <f aca="false">IF(INDEX(Tasks!$K:$K,ROW()-1)="","",INDEX(Tasks!$K:$K,ROW()-1))</f>
        <v/>
      </c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  <c r="AO365" s="23"/>
      <c r="AP365" s="23"/>
      <c r="AQ365" s="23"/>
      <c r="AR365" s="23"/>
      <c r="AS365" s="23"/>
      <c r="AT365" s="23"/>
      <c r="AU365" s="23"/>
      <c r="AV365" s="23"/>
      <c r="AW365" s="23"/>
      <c r="AX365" s="23"/>
    </row>
    <row r="366" customFormat="false" ht="15" hidden="false" customHeight="false" outlineLevel="0" collapsed="false">
      <c r="A366" s="21" t="str">
        <f aca="false">IF(INDEX(Tasks!$A:$A,ROW()-1)="","",INDEX(Tasks!$A:$A,ROW()-1))</f>
        <v/>
      </c>
      <c r="B366" s="21" t="str">
        <f aca="false">IF(INDEX(Tasks!$A:$A,ROW()-1)="","",IF(ISERROR(FIND(".",INDEX(Tasks!$A:$A,ROW()-1))),"","   ")&amp;INDEX(Tasks!$D:$D,ROW()-1))</f>
        <v/>
      </c>
      <c r="C366" s="21" t="str">
        <f aca="false">IF(INDEX(Tasks!$G:$G,ROW()-1)="","",INDEX(Tasks!$G:$G,ROW()-1))</f>
        <v/>
      </c>
      <c r="D366" s="21" t="str">
        <f aca="false">IF(INDEX(Tasks!$H:$H,ROW()-1)="","",INDEX(Tasks!$H:$H,ROW()-1))</f>
        <v/>
      </c>
      <c r="E366" s="22" t="str">
        <f aca="false">IF(INDEX(Tasks!$I:$I,ROW()-1)="","",INDEX(Tasks!$I:$I,ROW()-1))</f>
        <v/>
      </c>
      <c r="F366" s="22" t="str">
        <f aca="false">IF(INDEX(Tasks!$K:$K,ROW()-1)="","",INDEX(Tasks!$K:$K,ROW()-1))</f>
        <v/>
      </c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  <c r="AO366" s="23"/>
      <c r="AP366" s="23"/>
      <c r="AQ366" s="23"/>
      <c r="AR366" s="23"/>
      <c r="AS366" s="23"/>
      <c r="AT366" s="23"/>
      <c r="AU366" s="23"/>
      <c r="AV366" s="23"/>
      <c r="AW366" s="23"/>
      <c r="AX366" s="23"/>
    </row>
    <row r="367" customFormat="false" ht="15" hidden="false" customHeight="false" outlineLevel="0" collapsed="false">
      <c r="A367" s="21" t="str">
        <f aca="false">IF(INDEX(Tasks!$A:$A,ROW()-1)="","",INDEX(Tasks!$A:$A,ROW()-1))</f>
        <v/>
      </c>
      <c r="B367" s="21" t="str">
        <f aca="false">IF(INDEX(Tasks!$A:$A,ROW()-1)="","",IF(ISERROR(FIND(".",INDEX(Tasks!$A:$A,ROW()-1))),"","   ")&amp;INDEX(Tasks!$D:$D,ROW()-1))</f>
        <v/>
      </c>
      <c r="C367" s="21" t="str">
        <f aca="false">IF(INDEX(Tasks!$G:$G,ROW()-1)="","",INDEX(Tasks!$G:$G,ROW()-1))</f>
        <v/>
      </c>
      <c r="D367" s="21" t="str">
        <f aca="false">IF(INDEX(Tasks!$H:$H,ROW()-1)="","",INDEX(Tasks!$H:$H,ROW()-1))</f>
        <v/>
      </c>
      <c r="E367" s="22" t="str">
        <f aca="false">IF(INDEX(Tasks!$I:$I,ROW()-1)="","",INDEX(Tasks!$I:$I,ROW()-1))</f>
        <v/>
      </c>
      <c r="F367" s="22" t="str">
        <f aca="false">IF(INDEX(Tasks!$K:$K,ROW()-1)="","",INDEX(Tasks!$K:$K,ROW()-1))</f>
        <v/>
      </c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  <c r="AO367" s="23"/>
      <c r="AP367" s="23"/>
      <c r="AQ367" s="23"/>
      <c r="AR367" s="23"/>
      <c r="AS367" s="23"/>
      <c r="AT367" s="23"/>
      <c r="AU367" s="23"/>
      <c r="AV367" s="23"/>
      <c r="AW367" s="23"/>
      <c r="AX367" s="23"/>
    </row>
    <row r="368" customFormat="false" ht="15" hidden="false" customHeight="false" outlineLevel="0" collapsed="false">
      <c r="A368" s="21" t="str">
        <f aca="false">IF(INDEX(Tasks!$A:$A,ROW()-1)="","",INDEX(Tasks!$A:$A,ROW()-1))</f>
        <v/>
      </c>
      <c r="B368" s="21" t="str">
        <f aca="false">IF(INDEX(Tasks!$A:$A,ROW()-1)="","",IF(ISERROR(FIND(".",INDEX(Tasks!$A:$A,ROW()-1))),"","   ")&amp;INDEX(Tasks!$D:$D,ROW()-1))</f>
        <v/>
      </c>
      <c r="C368" s="21" t="str">
        <f aca="false">IF(INDEX(Tasks!$G:$G,ROW()-1)="","",INDEX(Tasks!$G:$G,ROW()-1))</f>
        <v/>
      </c>
      <c r="D368" s="21" t="str">
        <f aca="false">IF(INDEX(Tasks!$H:$H,ROW()-1)="","",INDEX(Tasks!$H:$H,ROW()-1))</f>
        <v/>
      </c>
      <c r="E368" s="22" t="str">
        <f aca="false">IF(INDEX(Tasks!$I:$I,ROW()-1)="","",INDEX(Tasks!$I:$I,ROW()-1))</f>
        <v/>
      </c>
      <c r="F368" s="22" t="str">
        <f aca="false">IF(INDEX(Tasks!$K:$K,ROW()-1)="","",INDEX(Tasks!$K:$K,ROW()-1))</f>
        <v/>
      </c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  <c r="AO368" s="23"/>
      <c r="AP368" s="23"/>
      <c r="AQ368" s="23"/>
      <c r="AR368" s="23"/>
      <c r="AS368" s="23"/>
      <c r="AT368" s="23"/>
      <c r="AU368" s="23"/>
      <c r="AV368" s="23"/>
      <c r="AW368" s="23"/>
      <c r="AX368" s="23"/>
    </row>
    <row r="369" customFormat="false" ht="15" hidden="false" customHeight="false" outlineLevel="0" collapsed="false">
      <c r="A369" s="21" t="str">
        <f aca="false">IF(INDEX(Tasks!$A:$A,ROW()-1)="","",INDEX(Tasks!$A:$A,ROW()-1))</f>
        <v/>
      </c>
      <c r="B369" s="21" t="str">
        <f aca="false">IF(INDEX(Tasks!$A:$A,ROW()-1)="","",IF(ISERROR(FIND(".",INDEX(Tasks!$A:$A,ROW()-1))),"","   ")&amp;INDEX(Tasks!$D:$D,ROW()-1))</f>
        <v/>
      </c>
      <c r="C369" s="21" t="str">
        <f aca="false">IF(INDEX(Tasks!$G:$G,ROW()-1)="","",INDEX(Tasks!$G:$G,ROW()-1))</f>
        <v/>
      </c>
      <c r="D369" s="21" t="str">
        <f aca="false">IF(INDEX(Tasks!$H:$H,ROW()-1)="","",INDEX(Tasks!$H:$H,ROW()-1))</f>
        <v/>
      </c>
      <c r="E369" s="22" t="str">
        <f aca="false">IF(INDEX(Tasks!$I:$I,ROW()-1)="","",INDEX(Tasks!$I:$I,ROW()-1))</f>
        <v/>
      </c>
      <c r="F369" s="22" t="str">
        <f aca="false">IF(INDEX(Tasks!$K:$K,ROW()-1)="","",INDEX(Tasks!$K:$K,ROW()-1))</f>
        <v/>
      </c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  <c r="AO369" s="23"/>
      <c r="AP369" s="23"/>
      <c r="AQ369" s="23"/>
      <c r="AR369" s="23"/>
      <c r="AS369" s="23"/>
      <c r="AT369" s="23"/>
      <c r="AU369" s="23"/>
      <c r="AV369" s="23"/>
      <c r="AW369" s="23"/>
      <c r="AX369" s="23"/>
    </row>
    <row r="370" customFormat="false" ht="15" hidden="false" customHeight="false" outlineLevel="0" collapsed="false">
      <c r="A370" s="21" t="str">
        <f aca="false">IF(INDEX(Tasks!$A:$A,ROW()-1)="","",INDEX(Tasks!$A:$A,ROW()-1))</f>
        <v/>
      </c>
      <c r="B370" s="21" t="str">
        <f aca="false">IF(INDEX(Tasks!$A:$A,ROW()-1)="","",IF(ISERROR(FIND(".",INDEX(Tasks!$A:$A,ROW()-1))),"","   ")&amp;INDEX(Tasks!$D:$D,ROW()-1))</f>
        <v/>
      </c>
      <c r="C370" s="21" t="str">
        <f aca="false">IF(INDEX(Tasks!$G:$G,ROW()-1)="","",INDEX(Tasks!$G:$G,ROW()-1))</f>
        <v/>
      </c>
      <c r="D370" s="21" t="str">
        <f aca="false">IF(INDEX(Tasks!$H:$H,ROW()-1)="","",INDEX(Tasks!$H:$H,ROW()-1))</f>
        <v/>
      </c>
      <c r="E370" s="22" t="str">
        <f aca="false">IF(INDEX(Tasks!$I:$I,ROW()-1)="","",INDEX(Tasks!$I:$I,ROW()-1))</f>
        <v/>
      </c>
      <c r="F370" s="22" t="str">
        <f aca="false">IF(INDEX(Tasks!$K:$K,ROW()-1)="","",INDEX(Tasks!$K:$K,ROW()-1))</f>
        <v/>
      </c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  <c r="AO370" s="23"/>
      <c r="AP370" s="23"/>
      <c r="AQ370" s="23"/>
      <c r="AR370" s="23"/>
      <c r="AS370" s="23"/>
      <c r="AT370" s="23"/>
      <c r="AU370" s="23"/>
      <c r="AV370" s="23"/>
      <c r="AW370" s="23"/>
      <c r="AX370" s="23"/>
    </row>
    <row r="371" customFormat="false" ht="15" hidden="false" customHeight="false" outlineLevel="0" collapsed="false">
      <c r="A371" s="21" t="str">
        <f aca="false">IF(INDEX(Tasks!$A:$A,ROW()-1)="","",INDEX(Tasks!$A:$A,ROW()-1))</f>
        <v/>
      </c>
      <c r="B371" s="21" t="str">
        <f aca="false">IF(INDEX(Tasks!$A:$A,ROW()-1)="","",IF(ISERROR(FIND(".",INDEX(Tasks!$A:$A,ROW()-1))),"","   ")&amp;INDEX(Tasks!$D:$D,ROW()-1))</f>
        <v/>
      </c>
      <c r="C371" s="21" t="str">
        <f aca="false">IF(INDEX(Tasks!$G:$G,ROW()-1)="","",INDEX(Tasks!$G:$G,ROW()-1))</f>
        <v/>
      </c>
      <c r="D371" s="21" t="str">
        <f aca="false">IF(INDEX(Tasks!$H:$H,ROW()-1)="","",INDEX(Tasks!$H:$H,ROW()-1))</f>
        <v/>
      </c>
      <c r="E371" s="22" t="str">
        <f aca="false">IF(INDEX(Tasks!$I:$I,ROW()-1)="","",INDEX(Tasks!$I:$I,ROW()-1))</f>
        <v/>
      </c>
      <c r="F371" s="22" t="str">
        <f aca="false">IF(INDEX(Tasks!$K:$K,ROW()-1)="","",INDEX(Tasks!$K:$K,ROW()-1))</f>
        <v/>
      </c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  <c r="AO371" s="23"/>
      <c r="AP371" s="23"/>
      <c r="AQ371" s="23"/>
      <c r="AR371" s="23"/>
      <c r="AS371" s="23"/>
      <c r="AT371" s="23"/>
      <c r="AU371" s="23"/>
      <c r="AV371" s="23"/>
      <c r="AW371" s="23"/>
      <c r="AX371" s="23"/>
    </row>
    <row r="372" customFormat="false" ht="15" hidden="false" customHeight="false" outlineLevel="0" collapsed="false">
      <c r="A372" s="21" t="str">
        <f aca="false">IF(INDEX(Tasks!$A:$A,ROW()-1)="","",INDEX(Tasks!$A:$A,ROW()-1))</f>
        <v/>
      </c>
      <c r="B372" s="21" t="str">
        <f aca="false">IF(INDEX(Tasks!$A:$A,ROW()-1)="","",IF(ISERROR(FIND(".",INDEX(Tasks!$A:$A,ROW()-1))),"","   ")&amp;INDEX(Tasks!$D:$D,ROW()-1))</f>
        <v/>
      </c>
      <c r="C372" s="21" t="str">
        <f aca="false">IF(INDEX(Tasks!$G:$G,ROW()-1)="","",INDEX(Tasks!$G:$G,ROW()-1))</f>
        <v/>
      </c>
      <c r="D372" s="21" t="str">
        <f aca="false">IF(INDEX(Tasks!$H:$H,ROW()-1)="","",INDEX(Tasks!$H:$H,ROW()-1))</f>
        <v/>
      </c>
      <c r="E372" s="22" t="str">
        <f aca="false">IF(INDEX(Tasks!$I:$I,ROW()-1)="","",INDEX(Tasks!$I:$I,ROW()-1))</f>
        <v/>
      </c>
      <c r="F372" s="22" t="str">
        <f aca="false">IF(INDEX(Tasks!$K:$K,ROW()-1)="","",INDEX(Tasks!$K:$K,ROW()-1))</f>
        <v/>
      </c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  <c r="AO372" s="23"/>
      <c r="AP372" s="23"/>
      <c r="AQ372" s="23"/>
      <c r="AR372" s="23"/>
      <c r="AS372" s="23"/>
      <c r="AT372" s="23"/>
      <c r="AU372" s="23"/>
      <c r="AV372" s="23"/>
      <c r="AW372" s="23"/>
      <c r="AX372" s="23"/>
    </row>
    <row r="373" customFormat="false" ht="15" hidden="false" customHeight="false" outlineLevel="0" collapsed="false">
      <c r="A373" s="21" t="str">
        <f aca="false">IF(INDEX(Tasks!$A:$A,ROW()-1)="","",INDEX(Tasks!$A:$A,ROW()-1))</f>
        <v/>
      </c>
      <c r="B373" s="21" t="str">
        <f aca="false">IF(INDEX(Tasks!$A:$A,ROW()-1)="","",IF(ISERROR(FIND(".",INDEX(Tasks!$A:$A,ROW()-1))),"","   ")&amp;INDEX(Tasks!$D:$D,ROW()-1))</f>
        <v/>
      </c>
      <c r="C373" s="21" t="str">
        <f aca="false">IF(INDEX(Tasks!$G:$G,ROW()-1)="","",INDEX(Tasks!$G:$G,ROW()-1))</f>
        <v/>
      </c>
      <c r="D373" s="21" t="str">
        <f aca="false">IF(INDEX(Tasks!$H:$H,ROW()-1)="","",INDEX(Tasks!$H:$H,ROW()-1))</f>
        <v/>
      </c>
      <c r="E373" s="22" t="str">
        <f aca="false">IF(INDEX(Tasks!$I:$I,ROW()-1)="","",INDEX(Tasks!$I:$I,ROW()-1))</f>
        <v/>
      </c>
      <c r="F373" s="22" t="str">
        <f aca="false">IF(INDEX(Tasks!$K:$K,ROW()-1)="","",INDEX(Tasks!$K:$K,ROW()-1))</f>
        <v/>
      </c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  <c r="AO373" s="23"/>
      <c r="AP373" s="23"/>
      <c r="AQ373" s="23"/>
      <c r="AR373" s="23"/>
      <c r="AS373" s="23"/>
      <c r="AT373" s="23"/>
      <c r="AU373" s="23"/>
      <c r="AV373" s="23"/>
      <c r="AW373" s="23"/>
      <c r="AX373" s="23"/>
    </row>
    <row r="374" customFormat="false" ht="15" hidden="false" customHeight="false" outlineLevel="0" collapsed="false">
      <c r="A374" s="21" t="str">
        <f aca="false">IF(INDEX(Tasks!$A:$A,ROW()-1)="","",INDEX(Tasks!$A:$A,ROW()-1))</f>
        <v/>
      </c>
      <c r="B374" s="21" t="str">
        <f aca="false">IF(INDEX(Tasks!$A:$A,ROW()-1)="","",IF(ISERROR(FIND(".",INDEX(Tasks!$A:$A,ROW()-1))),"","   ")&amp;INDEX(Tasks!$D:$D,ROW()-1))</f>
        <v/>
      </c>
      <c r="C374" s="21" t="str">
        <f aca="false">IF(INDEX(Tasks!$G:$G,ROW()-1)="","",INDEX(Tasks!$G:$G,ROW()-1))</f>
        <v/>
      </c>
      <c r="D374" s="21" t="str">
        <f aca="false">IF(INDEX(Tasks!$H:$H,ROW()-1)="","",INDEX(Tasks!$H:$H,ROW()-1))</f>
        <v/>
      </c>
      <c r="E374" s="22" t="str">
        <f aca="false">IF(INDEX(Tasks!$I:$I,ROW()-1)="","",INDEX(Tasks!$I:$I,ROW()-1))</f>
        <v/>
      </c>
      <c r="F374" s="22" t="str">
        <f aca="false">IF(INDEX(Tasks!$K:$K,ROW()-1)="","",INDEX(Tasks!$K:$K,ROW()-1))</f>
        <v/>
      </c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  <c r="AO374" s="23"/>
      <c r="AP374" s="23"/>
      <c r="AQ374" s="23"/>
      <c r="AR374" s="23"/>
      <c r="AS374" s="23"/>
      <c r="AT374" s="23"/>
      <c r="AU374" s="23"/>
      <c r="AV374" s="23"/>
      <c r="AW374" s="23"/>
      <c r="AX374" s="23"/>
    </row>
    <row r="375" customFormat="false" ht="15" hidden="false" customHeight="false" outlineLevel="0" collapsed="false">
      <c r="A375" s="21" t="str">
        <f aca="false">IF(INDEX(Tasks!$A:$A,ROW()-1)="","",INDEX(Tasks!$A:$A,ROW()-1))</f>
        <v/>
      </c>
      <c r="B375" s="21" t="str">
        <f aca="false">IF(INDEX(Tasks!$A:$A,ROW()-1)="","",IF(ISERROR(FIND(".",INDEX(Tasks!$A:$A,ROW()-1))),"","   ")&amp;INDEX(Tasks!$D:$D,ROW()-1))</f>
        <v/>
      </c>
      <c r="C375" s="21" t="str">
        <f aca="false">IF(INDEX(Tasks!$G:$G,ROW()-1)="","",INDEX(Tasks!$G:$G,ROW()-1))</f>
        <v/>
      </c>
      <c r="D375" s="21" t="str">
        <f aca="false">IF(INDEX(Tasks!$H:$H,ROW()-1)="","",INDEX(Tasks!$H:$H,ROW()-1))</f>
        <v/>
      </c>
      <c r="E375" s="22" t="str">
        <f aca="false">IF(INDEX(Tasks!$I:$I,ROW()-1)="","",INDEX(Tasks!$I:$I,ROW()-1))</f>
        <v/>
      </c>
      <c r="F375" s="22" t="str">
        <f aca="false">IF(INDEX(Tasks!$K:$K,ROW()-1)="","",INDEX(Tasks!$K:$K,ROW()-1))</f>
        <v/>
      </c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  <c r="AO375" s="23"/>
      <c r="AP375" s="23"/>
      <c r="AQ375" s="23"/>
      <c r="AR375" s="23"/>
      <c r="AS375" s="23"/>
      <c r="AT375" s="23"/>
      <c r="AU375" s="23"/>
      <c r="AV375" s="23"/>
      <c r="AW375" s="23"/>
      <c r="AX375" s="23"/>
    </row>
    <row r="376" customFormat="false" ht="15" hidden="false" customHeight="false" outlineLevel="0" collapsed="false">
      <c r="A376" s="21" t="str">
        <f aca="false">IF(INDEX(Tasks!$A:$A,ROW()-1)="","",INDEX(Tasks!$A:$A,ROW()-1))</f>
        <v/>
      </c>
      <c r="B376" s="21" t="str">
        <f aca="false">IF(INDEX(Tasks!$A:$A,ROW()-1)="","",IF(ISERROR(FIND(".",INDEX(Tasks!$A:$A,ROW()-1))),"","   ")&amp;INDEX(Tasks!$D:$D,ROW()-1))</f>
        <v/>
      </c>
      <c r="C376" s="21" t="str">
        <f aca="false">IF(INDEX(Tasks!$G:$G,ROW()-1)="","",INDEX(Tasks!$G:$G,ROW()-1))</f>
        <v/>
      </c>
      <c r="D376" s="21" t="str">
        <f aca="false">IF(INDEX(Tasks!$H:$H,ROW()-1)="","",INDEX(Tasks!$H:$H,ROW()-1))</f>
        <v/>
      </c>
      <c r="E376" s="22" t="str">
        <f aca="false">IF(INDEX(Tasks!$I:$I,ROW()-1)="","",INDEX(Tasks!$I:$I,ROW()-1))</f>
        <v/>
      </c>
      <c r="F376" s="22" t="str">
        <f aca="false">IF(INDEX(Tasks!$K:$K,ROW()-1)="","",INDEX(Tasks!$K:$K,ROW()-1))</f>
        <v/>
      </c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  <c r="AO376" s="23"/>
      <c r="AP376" s="23"/>
      <c r="AQ376" s="23"/>
      <c r="AR376" s="23"/>
      <c r="AS376" s="23"/>
      <c r="AT376" s="23"/>
      <c r="AU376" s="23"/>
      <c r="AV376" s="23"/>
      <c r="AW376" s="23"/>
      <c r="AX376" s="23"/>
    </row>
    <row r="377" customFormat="false" ht="15" hidden="false" customHeight="false" outlineLevel="0" collapsed="false">
      <c r="A377" s="21" t="str">
        <f aca="false">IF(INDEX(Tasks!$A:$A,ROW()-1)="","",INDEX(Tasks!$A:$A,ROW()-1))</f>
        <v/>
      </c>
      <c r="B377" s="21" t="str">
        <f aca="false">IF(INDEX(Tasks!$A:$A,ROW()-1)="","",IF(ISERROR(FIND(".",INDEX(Tasks!$A:$A,ROW()-1))),"","   ")&amp;INDEX(Tasks!$D:$D,ROW()-1))</f>
        <v/>
      </c>
      <c r="C377" s="21" t="str">
        <f aca="false">IF(INDEX(Tasks!$G:$G,ROW()-1)="","",INDEX(Tasks!$G:$G,ROW()-1))</f>
        <v/>
      </c>
      <c r="D377" s="21" t="str">
        <f aca="false">IF(INDEX(Tasks!$H:$H,ROW()-1)="","",INDEX(Tasks!$H:$H,ROW()-1))</f>
        <v/>
      </c>
      <c r="E377" s="22" t="str">
        <f aca="false">IF(INDEX(Tasks!$I:$I,ROW()-1)="","",INDEX(Tasks!$I:$I,ROW()-1))</f>
        <v/>
      </c>
      <c r="F377" s="22" t="str">
        <f aca="false">IF(INDEX(Tasks!$K:$K,ROW()-1)="","",INDEX(Tasks!$K:$K,ROW()-1))</f>
        <v/>
      </c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  <c r="AO377" s="23"/>
      <c r="AP377" s="23"/>
      <c r="AQ377" s="23"/>
      <c r="AR377" s="23"/>
      <c r="AS377" s="23"/>
      <c r="AT377" s="23"/>
      <c r="AU377" s="23"/>
      <c r="AV377" s="23"/>
      <c r="AW377" s="23"/>
      <c r="AX377" s="23"/>
    </row>
    <row r="378" customFormat="false" ht="15" hidden="false" customHeight="false" outlineLevel="0" collapsed="false">
      <c r="A378" s="21" t="str">
        <f aca="false">IF(INDEX(Tasks!$A:$A,ROW()-1)="","",INDEX(Tasks!$A:$A,ROW()-1))</f>
        <v/>
      </c>
      <c r="B378" s="21" t="str">
        <f aca="false">IF(INDEX(Tasks!$A:$A,ROW()-1)="","",IF(ISERROR(FIND(".",INDEX(Tasks!$A:$A,ROW()-1))),"","   ")&amp;INDEX(Tasks!$D:$D,ROW()-1))</f>
        <v/>
      </c>
      <c r="C378" s="21" t="str">
        <f aca="false">IF(INDEX(Tasks!$G:$G,ROW()-1)="","",INDEX(Tasks!$G:$G,ROW()-1))</f>
        <v/>
      </c>
      <c r="D378" s="21" t="str">
        <f aca="false">IF(INDEX(Tasks!$H:$H,ROW()-1)="","",INDEX(Tasks!$H:$H,ROW()-1))</f>
        <v/>
      </c>
      <c r="E378" s="22" t="str">
        <f aca="false">IF(INDEX(Tasks!$I:$I,ROW()-1)="","",INDEX(Tasks!$I:$I,ROW()-1))</f>
        <v/>
      </c>
      <c r="F378" s="22" t="str">
        <f aca="false">IF(INDEX(Tasks!$K:$K,ROW()-1)="","",INDEX(Tasks!$K:$K,ROW()-1))</f>
        <v/>
      </c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  <c r="AO378" s="23"/>
      <c r="AP378" s="23"/>
      <c r="AQ378" s="23"/>
      <c r="AR378" s="23"/>
      <c r="AS378" s="23"/>
      <c r="AT378" s="23"/>
      <c r="AU378" s="23"/>
      <c r="AV378" s="23"/>
      <c r="AW378" s="23"/>
      <c r="AX378" s="23"/>
    </row>
    <row r="379" customFormat="false" ht="15" hidden="false" customHeight="false" outlineLevel="0" collapsed="false">
      <c r="A379" s="21" t="str">
        <f aca="false">IF(INDEX(Tasks!$A:$A,ROW()-1)="","",INDEX(Tasks!$A:$A,ROW()-1))</f>
        <v/>
      </c>
      <c r="B379" s="21" t="str">
        <f aca="false">IF(INDEX(Tasks!$A:$A,ROW()-1)="","",IF(ISERROR(FIND(".",INDEX(Tasks!$A:$A,ROW()-1))),"","   ")&amp;INDEX(Tasks!$D:$D,ROW()-1))</f>
        <v/>
      </c>
      <c r="C379" s="21" t="str">
        <f aca="false">IF(INDEX(Tasks!$G:$G,ROW()-1)="","",INDEX(Tasks!$G:$G,ROW()-1))</f>
        <v/>
      </c>
      <c r="D379" s="21" t="str">
        <f aca="false">IF(INDEX(Tasks!$H:$H,ROW()-1)="","",INDEX(Tasks!$H:$H,ROW()-1))</f>
        <v/>
      </c>
      <c r="E379" s="22" t="str">
        <f aca="false">IF(INDEX(Tasks!$I:$I,ROW()-1)="","",INDEX(Tasks!$I:$I,ROW()-1))</f>
        <v/>
      </c>
      <c r="F379" s="22" t="str">
        <f aca="false">IF(INDEX(Tasks!$K:$K,ROW()-1)="","",INDEX(Tasks!$K:$K,ROW()-1))</f>
        <v/>
      </c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  <c r="AO379" s="23"/>
      <c r="AP379" s="23"/>
      <c r="AQ379" s="23"/>
      <c r="AR379" s="23"/>
      <c r="AS379" s="23"/>
      <c r="AT379" s="23"/>
      <c r="AU379" s="23"/>
      <c r="AV379" s="23"/>
      <c r="AW379" s="23"/>
      <c r="AX379" s="23"/>
    </row>
    <row r="380" customFormat="false" ht="15" hidden="false" customHeight="false" outlineLevel="0" collapsed="false">
      <c r="A380" s="21" t="str">
        <f aca="false">IF(INDEX(Tasks!$A:$A,ROW()-1)="","",INDEX(Tasks!$A:$A,ROW()-1))</f>
        <v/>
      </c>
      <c r="B380" s="21" t="str">
        <f aca="false">IF(INDEX(Tasks!$A:$A,ROW()-1)="","",IF(ISERROR(FIND(".",INDEX(Tasks!$A:$A,ROW()-1))),"","   ")&amp;INDEX(Tasks!$D:$D,ROW()-1))</f>
        <v/>
      </c>
      <c r="C380" s="21" t="str">
        <f aca="false">IF(INDEX(Tasks!$G:$G,ROW()-1)="","",INDEX(Tasks!$G:$G,ROW()-1))</f>
        <v/>
      </c>
      <c r="D380" s="21" t="str">
        <f aca="false">IF(INDEX(Tasks!$H:$H,ROW()-1)="","",INDEX(Tasks!$H:$H,ROW()-1))</f>
        <v/>
      </c>
      <c r="E380" s="22" t="str">
        <f aca="false">IF(INDEX(Tasks!$I:$I,ROW()-1)="","",INDEX(Tasks!$I:$I,ROW()-1))</f>
        <v/>
      </c>
      <c r="F380" s="22" t="str">
        <f aca="false">IF(INDEX(Tasks!$K:$K,ROW()-1)="","",INDEX(Tasks!$K:$K,ROW()-1))</f>
        <v/>
      </c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  <c r="AO380" s="23"/>
      <c r="AP380" s="23"/>
      <c r="AQ380" s="23"/>
      <c r="AR380" s="23"/>
      <c r="AS380" s="23"/>
      <c r="AT380" s="23"/>
      <c r="AU380" s="23"/>
      <c r="AV380" s="23"/>
      <c r="AW380" s="23"/>
      <c r="AX380" s="23"/>
    </row>
    <row r="381" customFormat="false" ht="15" hidden="false" customHeight="false" outlineLevel="0" collapsed="false">
      <c r="A381" s="21" t="str">
        <f aca="false">IF(INDEX(Tasks!$A:$A,ROW()-1)="","",INDEX(Tasks!$A:$A,ROW()-1))</f>
        <v/>
      </c>
      <c r="B381" s="21" t="str">
        <f aca="false">IF(INDEX(Tasks!$A:$A,ROW()-1)="","",IF(ISERROR(FIND(".",INDEX(Tasks!$A:$A,ROW()-1))),"","   ")&amp;INDEX(Tasks!$D:$D,ROW()-1))</f>
        <v/>
      </c>
      <c r="C381" s="21" t="str">
        <f aca="false">IF(INDEX(Tasks!$G:$G,ROW()-1)="","",INDEX(Tasks!$G:$G,ROW()-1))</f>
        <v/>
      </c>
      <c r="D381" s="21" t="str">
        <f aca="false">IF(INDEX(Tasks!$H:$H,ROW()-1)="","",INDEX(Tasks!$H:$H,ROW()-1))</f>
        <v/>
      </c>
      <c r="E381" s="22" t="str">
        <f aca="false">IF(INDEX(Tasks!$I:$I,ROW()-1)="","",INDEX(Tasks!$I:$I,ROW()-1))</f>
        <v/>
      </c>
      <c r="F381" s="22" t="str">
        <f aca="false">IF(INDEX(Tasks!$K:$K,ROW()-1)="","",INDEX(Tasks!$K:$K,ROW()-1))</f>
        <v/>
      </c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  <c r="AO381" s="23"/>
      <c r="AP381" s="23"/>
      <c r="AQ381" s="23"/>
      <c r="AR381" s="23"/>
      <c r="AS381" s="23"/>
      <c r="AT381" s="23"/>
      <c r="AU381" s="23"/>
      <c r="AV381" s="23"/>
      <c r="AW381" s="23"/>
      <c r="AX381" s="23"/>
    </row>
    <row r="382" customFormat="false" ht="15" hidden="false" customHeight="false" outlineLevel="0" collapsed="false">
      <c r="A382" s="21" t="str">
        <f aca="false">IF(INDEX(Tasks!$A:$A,ROW()-1)="","",INDEX(Tasks!$A:$A,ROW()-1))</f>
        <v/>
      </c>
      <c r="B382" s="21" t="str">
        <f aca="false">IF(INDEX(Tasks!$A:$A,ROW()-1)="","",IF(ISERROR(FIND(".",INDEX(Tasks!$A:$A,ROW()-1))),"","   ")&amp;INDEX(Tasks!$D:$D,ROW()-1))</f>
        <v/>
      </c>
      <c r="C382" s="21" t="str">
        <f aca="false">IF(INDEX(Tasks!$G:$G,ROW()-1)="","",INDEX(Tasks!$G:$G,ROW()-1))</f>
        <v/>
      </c>
      <c r="D382" s="21" t="str">
        <f aca="false">IF(INDEX(Tasks!$H:$H,ROW()-1)="","",INDEX(Tasks!$H:$H,ROW()-1))</f>
        <v/>
      </c>
      <c r="E382" s="22" t="str">
        <f aca="false">IF(INDEX(Tasks!$I:$I,ROW()-1)="","",INDEX(Tasks!$I:$I,ROW()-1))</f>
        <v/>
      </c>
      <c r="F382" s="22" t="str">
        <f aca="false">IF(INDEX(Tasks!$K:$K,ROW()-1)="","",INDEX(Tasks!$K:$K,ROW()-1))</f>
        <v/>
      </c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  <c r="AO382" s="23"/>
      <c r="AP382" s="23"/>
      <c r="AQ382" s="23"/>
      <c r="AR382" s="23"/>
      <c r="AS382" s="23"/>
      <c r="AT382" s="23"/>
      <c r="AU382" s="23"/>
      <c r="AV382" s="23"/>
      <c r="AW382" s="23"/>
      <c r="AX382" s="23"/>
    </row>
    <row r="383" customFormat="false" ht="15" hidden="false" customHeight="false" outlineLevel="0" collapsed="false">
      <c r="A383" s="21" t="str">
        <f aca="false">IF(INDEX(Tasks!$A:$A,ROW()-1)="","",INDEX(Tasks!$A:$A,ROW()-1))</f>
        <v/>
      </c>
      <c r="B383" s="21" t="str">
        <f aca="false">IF(INDEX(Tasks!$A:$A,ROW()-1)="","",IF(ISERROR(FIND(".",INDEX(Tasks!$A:$A,ROW()-1))),"","   ")&amp;INDEX(Tasks!$D:$D,ROW()-1))</f>
        <v/>
      </c>
      <c r="C383" s="21" t="str">
        <f aca="false">IF(INDEX(Tasks!$G:$G,ROW()-1)="","",INDEX(Tasks!$G:$G,ROW()-1))</f>
        <v/>
      </c>
      <c r="D383" s="21" t="str">
        <f aca="false">IF(INDEX(Tasks!$H:$H,ROW()-1)="","",INDEX(Tasks!$H:$H,ROW()-1))</f>
        <v/>
      </c>
      <c r="E383" s="22" t="str">
        <f aca="false">IF(INDEX(Tasks!$I:$I,ROW()-1)="","",INDEX(Tasks!$I:$I,ROW()-1))</f>
        <v/>
      </c>
      <c r="F383" s="22" t="str">
        <f aca="false">IF(INDEX(Tasks!$K:$K,ROW()-1)="","",INDEX(Tasks!$K:$K,ROW()-1))</f>
        <v/>
      </c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  <c r="AO383" s="23"/>
      <c r="AP383" s="23"/>
      <c r="AQ383" s="23"/>
      <c r="AR383" s="23"/>
      <c r="AS383" s="23"/>
      <c r="AT383" s="23"/>
      <c r="AU383" s="23"/>
      <c r="AV383" s="23"/>
      <c r="AW383" s="23"/>
      <c r="AX383" s="23"/>
    </row>
    <row r="384" customFormat="false" ht="15" hidden="false" customHeight="false" outlineLevel="0" collapsed="false">
      <c r="A384" s="21" t="str">
        <f aca="false">IF(INDEX(Tasks!$A:$A,ROW()-1)="","",INDEX(Tasks!$A:$A,ROW()-1))</f>
        <v/>
      </c>
      <c r="B384" s="21" t="str">
        <f aca="false">IF(INDEX(Tasks!$A:$A,ROW()-1)="","",IF(ISERROR(FIND(".",INDEX(Tasks!$A:$A,ROW()-1))),"","   ")&amp;INDEX(Tasks!$D:$D,ROW()-1))</f>
        <v/>
      </c>
      <c r="C384" s="21" t="str">
        <f aca="false">IF(INDEX(Tasks!$G:$G,ROW()-1)="","",INDEX(Tasks!$G:$G,ROW()-1))</f>
        <v/>
      </c>
      <c r="D384" s="21" t="str">
        <f aca="false">IF(INDEX(Tasks!$H:$H,ROW()-1)="","",INDEX(Tasks!$H:$H,ROW()-1))</f>
        <v/>
      </c>
      <c r="E384" s="22" t="str">
        <f aca="false">IF(INDEX(Tasks!$I:$I,ROW()-1)="","",INDEX(Tasks!$I:$I,ROW()-1))</f>
        <v/>
      </c>
      <c r="F384" s="22" t="str">
        <f aca="false">IF(INDEX(Tasks!$K:$K,ROW()-1)="","",INDEX(Tasks!$K:$K,ROW()-1))</f>
        <v/>
      </c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</row>
    <row r="385" customFormat="false" ht="15" hidden="false" customHeight="false" outlineLevel="0" collapsed="false">
      <c r="A385" s="21" t="str">
        <f aca="false">IF(INDEX(Tasks!$A:$A,ROW()-1)="","",INDEX(Tasks!$A:$A,ROW()-1))</f>
        <v/>
      </c>
      <c r="B385" s="21" t="str">
        <f aca="false">IF(INDEX(Tasks!$A:$A,ROW()-1)="","",IF(ISERROR(FIND(".",INDEX(Tasks!$A:$A,ROW()-1))),"","   ")&amp;INDEX(Tasks!$D:$D,ROW()-1))</f>
        <v/>
      </c>
      <c r="C385" s="21" t="str">
        <f aca="false">IF(INDEX(Tasks!$G:$G,ROW()-1)="","",INDEX(Tasks!$G:$G,ROW()-1))</f>
        <v/>
      </c>
      <c r="D385" s="21" t="str">
        <f aca="false">IF(INDEX(Tasks!$H:$H,ROW()-1)="","",INDEX(Tasks!$H:$H,ROW()-1))</f>
        <v/>
      </c>
      <c r="E385" s="22" t="str">
        <f aca="false">IF(INDEX(Tasks!$I:$I,ROW()-1)="","",INDEX(Tasks!$I:$I,ROW()-1))</f>
        <v/>
      </c>
      <c r="F385" s="22" t="str">
        <f aca="false">IF(INDEX(Tasks!$K:$K,ROW()-1)="","",INDEX(Tasks!$K:$K,ROW()-1))</f>
        <v/>
      </c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</row>
    <row r="386" customFormat="false" ht="15" hidden="false" customHeight="false" outlineLevel="0" collapsed="false">
      <c r="A386" s="21" t="str">
        <f aca="false">IF(INDEX(Tasks!$A:$A,ROW()-1)="","",INDEX(Tasks!$A:$A,ROW()-1))</f>
        <v/>
      </c>
      <c r="B386" s="21" t="str">
        <f aca="false">IF(INDEX(Tasks!$A:$A,ROW()-1)="","",IF(ISERROR(FIND(".",INDEX(Tasks!$A:$A,ROW()-1))),"","   ")&amp;INDEX(Tasks!$D:$D,ROW()-1))</f>
        <v/>
      </c>
      <c r="C386" s="21" t="str">
        <f aca="false">IF(INDEX(Tasks!$G:$G,ROW()-1)="","",INDEX(Tasks!$G:$G,ROW()-1))</f>
        <v/>
      </c>
      <c r="D386" s="21" t="str">
        <f aca="false">IF(INDEX(Tasks!$H:$H,ROW()-1)="","",INDEX(Tasks!$H:$H,ROW()-1))</f>
        <v/>
      </c>
      <c r="E386" s="22" t="str">
        <f aca="false">IF(INDEX(Tasks!$I:$I,ROW()-1)="","",INDEX(Tasks!$I:$I,ROW()-1))</f>
        <v/>
      </c>
      <c r="F386" s="22" t="str">
        <f aca="false">IF(INDEX(Tasks!$K:$K,ROW()-1)="","",INDEX(Tasks!$K:$K,ROW()-1))</f>
        <v/>
      </c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  <c r="AO386" s="23"/>
      <c r="AP386" s="23"/>
      <c r="AQ386" s="23"/>
      <c r="AR386" s="23"/>
      <c r="AS386" s="23"/>
      <c r="AT386" s="23"/>
      <c r="AU386" s="23"/>
      <c r="AV386" s="23"/>
      <c r="AW386" s="23"/>
      <c r="AX386" s="23"/>
    </row>
    <row r="387" customFormat="false" ht="15" hidden="false" customHeight="false" outlineLevel="0" collapsed="false">
      <c r="A387" s="21" t="str">
        <f aca="false">IF(INDEX(Tasks!$A:$A,ROW()-1)="","",INDEX(Tasks!$A:$A,ROW()-1))</f>
        <v/>
      </c>
      <c r="B387" s="21" t="str">
        <f aca="false">IF(INDEX(Tasks!$A:$A,ROW()-1)="","",IF(ISERROR(FIND(".",INDEX(Tasks!$A:$A,ROW()-1))),"","   ")&amp;INDEX(Tasks!$D:$D,ROW()-1))</f>
        <v/>
      </c>
      <c r="C387" s="21" t="str">
        <f aca="false">IF(INDEX(Tasks!$G:$G,ROW()-1)="","",INDEX(Tasks!$G:$G,ROW()-1))</f>
        <v/>
      </c>
      <c r="D387" s="21" t="str">
        <f aca="false">IF(INDEX(Tasks!$H:$H,ROW()-1)="","",INDEX(Tasks!$H:$H,ROW()-1))</f>
        <v/>
      </c>
      <c r="E387" s="22" t="str">
        <f aca="false">IF(INDEX(Tasks!$I:$I,ROW()-1)="","",INDEX(Tasks!$I:$I,ROW()-1))</f>
        <v/>
      </c>
      <c r="F387" s="22" t="str">
        <f aca="false">IF(INDEX(Tasks!$K:$K,ROW()-1)="","",INDEX(Tasks!$K:$K,ROW()-1))</f>
        <v/>
      </c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</row>
    <row r="388" customFormat="false" ht="15" hidden="false" customHeight="false" outlineLevel="0" collapsed="false">
      <c r="A388" s="21" t="str">
        <f aca="false">IF(INDEX(Tasks!$A:$A,ROW()-1)="","",INDEX(Tasks!$A:$A,ROW()-1))</f>
        <v/>
      </c>
      <c r="B388" s="21" t="str">
        <f aca="false">IF(INDEX(Tasks!$A:$A,ROW()-1)="","",IF(ISERROR(FIND(".",INDEX(Tasks!$A:$A,ROW()-1))),"","   ")&amp;INDEX(Tasks!$D:$D,ROW()-1))</f>
        <v/>
      </c>
      <c r="C388" s="21" t="str">
        <f aca="false">IF(INDEX(Tasks!$G:$G,ROW()-1)="","",INDEX(Tasks!$G:$G,ROW()-1))</f>
        <v/>
      </c>
      <c r="D388" s="21" t="str">
        <f aca="false">IF(INDEX(Tasks!$H:$H,ROW()-1)="","",INDEX(Tasks!$H:$H,ROW()-1))</f>
        <v/>
      </c>
      <c r="E388" s="22" t="str">
        <f aca="false">IF(INDEX(Tasks!$I:$I,ROW()-1)="","",INDEX(Tasks!$I:$I,ROW()-1))</f>
        <v/>
      </c>
      <c r="F388" s="22" t="str">
        <f aca="false">IF(INDEX(Tasks!$K:$K,ROW()-1)="","",INDEX(Tasks!$K:$K,ROW()-1))</f>
        <v/>
      </c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  <c r="AO388" s="23"/>
      <c r="AP388" s="23"/>
      <c r="AQ388" s="23"/>
      <c r="AR388" s="23"/>
      <c r="AS388" s="23"/>
      <c r="AT388" s="23"/>
      <c r="AU388" s="23"/>
      <c r="AV388" s="23"/>
      <c r="AW388" s="23"/>
      <c r="AX388" s="23"/>
    </row>
    <row r="389" customFormat="false" ht="15" hidden="false" customHeight="false" outlineLevel="0" collapsed="false">
      <c r="A389" s="21" t="str">
        <f aca="false">IF(INDEX(Tasks!$A:$A,ROW()-1)="","",INDEX(Tasks!$A:$A,ROW()-1))</f>
        <v/>
      </c>
      <c r="B389" s="21" t="str">
        <f aca="false">IF(INDEX(Tasks!$A:$A,ROW()-1)="","",IF(ISERROR(FIND(".",INDEX(Tasks!$A:$A,ROW()-1))),"","   ")&amp;INDEX(Tasks!$D:$D,ROW()-1))</f>
        <v/>
      </c>
      <c r="C389" s="21" t="str">
        <f aca="false">IF(INDEX(Tasks!$G:$G,ROW()-1)="","",INDEX(Tasks!$G:$G,ROW()-1))</f>
        <v/>
      </c>
      <c r="D389" s="21" t="str">
        <f aca="false">IF(INDEX(Tasks!$H:$H,ROW()-1)="","",INDEX(Tasks!$H:$H,ROW()-1))</f>
        <v/>
      </c>
      <c r="E389" s="22" t="str">
        <f aca="false">IF(INDEX(Tasks!$I:$I,ROW()-1)="","",INDEX(Tasks!$I:$I,ROW()-1))</f>
        <v/>
      </c>
      <c r="F389" s="22" t="str">
        <f aca="false">IF(INDEX(Tasks!$K:$K,ROW()-1)="","",INDEX(Tasks!$K:$K,ROW()-1))</f>
        <v/>
      </c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  <c r="AO389" s="23"/>
      <c r="AP389" s="23"/>
      <c r="AQ389" s="23"/>
      <c r="AR389" s="23"/>
      <c r="AS389" s="23"/>
      <c r="AT389" s="23"/>
      <c r="AU389" s="23"/>
      <c r="AV389" s="23"/>
      <c r="AW389" s="23"/>
      <c r="AX389" s="23"/>
    </row>
    <row r="390" customFormat="false" ht="15" hidden="false" customHeight="false" outlineLevel="0" collapsed="false">
      <c r="A390" s="21" t="str">
        <f aca="false">IF(INDEX(Tasks!$A:$A,ROW()-1)="","",INDEX(Tasks!$A:$A,ROW()-1))</f>
        <v/>
      </c>
      <c r="B390" s="21" t="str">
        <f aca="false">IF(INDEX(Tasks!$A:$A,ROW()-1)="","",IF(ISERROR(FIND(".",INDEX(Tasks!$A:$A,ROW()-1))),"","   ")&amp;INDEX(Tasks!$D:$D,ROW()-1))</f>
        <v/>
      </c>
      <c r="C390" s="21" t="str">
        <f aca="false">IF(INDEX(Tasks!$G:$G,ROW()-1)="","",INDEX(Tasks!$G:$G,ROW()-1))</f>
        <v/>
      </c>
      <c r="D390" s="21" t="str">
        <f aca="false">IF(INDEX(Tasks!$H:$H,ROW()-1)="","",INDEX(Tasks!$H:$H,ROW()-1))</f>
        <v/>
      </c>
      <c r="E390" s="22" t="str">
        <f aca="false">IF(INDEX(Tasks!$I:$I,ROW()-1)="","",INDEX(Tasks!$I:$I,ROW()-1))</f>
        <v/>
      </c>
      <c r="F390" s="22" t="str">
        <f aca="false">IF(INDEX(Tasks!$K:$K,ROW()-1)="","",INDEX(Tasks!$K:$K,ROW()-1))</f>
        <v/>
      </c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  <c r="AO390" s="23"/>
      <c r="AP390" s="23"/>
      <c r="AQ390" s="23"/>
      <c r="AR390" s="23"/>
      <c r="AS390" s="23"/>
      <c r="AT390" s="23"/>
      <c r="AU390" s="23"/>
      <c r="AV390" s="23"/>
      <c r="AW390" s="23"/>
      <c r="AX390" s="23"/>
    </row>
    <row r="391" customFormat="false" ht="15" hidden="false" customHeight="false" outlineLevel="0" collapsed="false">
      <c r="A391" s="21" t="str">
        <f aca="false">IF(INDEX(Tasks!$A:$A,ROW()-1)="","",INDEX(Tasks!$A:$A,ROW()-1))</f>
        <v/>
      </c>
      <c r="B391" s="21" t="str">
        <f aca="false">IF(INDEX(Tasks!$A:$A,ROW()-1)="","",IF(ISERROR(FIND(".",INDEX(Tasks!$A:$A,ROW()-1))),"","   ")&amp;INDEX(Tasks!$D:$D,ROW()-1))</f>
        <v/>
      </c>
      <c r="C391" s="21" t="str">
        <f aca="false">IF(INDEX(Tasks!$G:$G,ROW()-1)="","",INDEX(Tasks!$G:$G,ROW()-1))</f>
        <v/>
      </c>
      <c r="D391" s="21" t="str">
        <f aca="false">IF(INDEX(Tasks!$H:$H,ROW()-1)="","",INDEX(Tasks!$H:$H,ROW()-1))</f>
        <v/>
      </c>
      <c r="E391" s="22" t="str">
        <f aca="false">IF(INDEX(Tasks!$I:$I,ROW()-1)="","",INDEX(Tasks!$I:$I,ROW()-1))</f>
        <v/>
      </c>
      <c r="F391" s="22" t="str">
        <f aca="false">IF(INDEX(Tasks!$K:$K,ROW()-1)="","",INDEX(Tasks!$K:$K,ROW()-1))</f>
        <v/>
      </c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  <c r="AO391" s="23"/>
      <c r="AP391" s="23"/>
      <c r="AQ391" s="23"/>
      <c r="AR391" s="23"/>
      <c r="AS391" s="23"/>
      <c r="AT391" s="23"/>
      <c r="AU391" s="23"/>
      <c r="AV391" s="23"/>
      <c r="AW391" s="23"/>
      <c r="AX391" s="23"/>
    </row>
    <row r="392" customFormat="false" ht="15" hidden="false" customHeight="false" outlineLevel="0" collapsed="false">
      <c r="A392" s="21" t="str">
        <f aca="false">IF(INDEX(Tasks!$A:$A,ROW()-1)="","",INDEX(Tasks!$A:$A,ROW()-1))</f>
        <v/>
      </c>
      <c r="B392" s="21" t="str">
        <f aca="false">IF(INDEX(Tasks!$A:$A,ROW()-1)="","",IF(ISERROR(FIND(".",INDEX(Tasks!$A:$A,ROW()-1))),"","   ")&amp;INDEX(Tasks!$D:$D,ROW()-1))</f>
        <v/>
      </c>
      <c r="C392" s="21" t="str">
        <f aca="false">IF(INDEX(Tasks!$G:$G,ROW()-1)="","",INDEX(Tasks!$G:$G,ROW()-1))</f>
        <v/>
      </c>
      <c r="D392" s="21" t="str">
        <f aca="false">IF(INDEX(Tasks!$H:$H,ROW()-1)="","",INDEX(Tasks!$H:$H,ROW()-1))</f>
        <v/>
      </c>
      <c r="E392" s="22" t="str">
        <f aca="false">IF(INDEX(Tasks!$I:$I,ROW()-1)="","",INDEX(Tasks!$I:$I,ROW()-1))</f>
        <v/>
      </c>
      <c r="F392" s="22" t="str">
        <f aca="false">IF(INDEX(Tasks!$K:$K,ROW()-1)="","",INDEX(Tasks!$K:$K,ROW()-1))</f>
        <v/>
      </c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  <c r="AO392" s="23"/>
      <c r="AP392" s="23"/>
      <c r="AQ392" s="23"/>
      <c r="AR392" s="23"/>
      <c r="AS392" s="23"/>
      <c r="AT392" s="23"/>
      <c r="AU392" s="23"/>
      <c r="AV392" s="23"/>
      <c r="AW392" s="23"/>
      <c r="AX392" s="23"/>
    </row>
    <row r="393" customFormat="false" ht="15" hidden="false" customHeight="false" outlineLevel="0" collapsed="false">
      <c r="A393" s="21" t="str">
        <f aca="false">IF(INDEX(Tasks!$A:$A,ROW()-1)="","",INDEX(Tasks!$A:$A,ROW()-1))</f>
        <v/>
      </c>
      <c r="B393" s="21" t="str">
        <f aca="false">IF(INDEX(Tasks!$A:$A,ROW()-1)="","",IF(ISERROR(FIND(".",INDEX(Tasks!$A:$A,ROW()-1))),"","   ")&amp;INDEX(Tasks!$D:$D,ROW()-1))</f>
        <v/>
      </c>
      <c r="C393" s="21" t="str">
        <f aca="false">IF(INDEX(Tasks!$G:$G,ROW()-1)="","",INDEX(Tasks!$G:$G,ROW()-1))</f>
        <v/>
      </c>
      <c r="D393" s="21" t="str">
        <f aca="false">IF(INDEX(Tasks!$H:$H,ROW()-1)="","",INDEX(Tasks!$H:$H,ROW()-1))</f>
        <v/>
      </c>
      <c r="E393" s="22" t="str">
        <f aca="false">IF(INDEX(Tasks!$I:$I,ROW()-1)="","",INDEX(Tasks!$I:$I,ROW()-1))</f>
        <v/>
      </c>
      <c r="F393" s="22" t="str">
        <f aca="false">IF(INDEX(Tasks!$K:$K,ROW()-1)="","",INDEX(Tasks!$K:$K,ROW()-1))</f>
        <v/>
      </c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  <c r="AO393" s="23"/>
      <c r="AP393" s="23"/>
      <c r="AQ393" s="23"/>
      <c r="AR393" s="23"/>
      <c r="AS393" s="23"/>
      <c r="AT393" s="23"/>
      <c r="AU393" s="23"/>
      <c r="AV393" s="23"/>
      <c r="AW393" s="23"/>
      <c r="AX393" s="23"/>
    </row>
    <row r="394" customFormat="false" ht="15" hidden="false" customHeight="false" outlineLevel="0" collapsed="false">
      <c r="A394" s="21" t="str">
        <f aca="false">IF(INDEX(Tasks!$A:$A,ROW()-1)="","",INDEX(Tasks!$A:$A,ROW()-1))</f>
        <v/>
      </c>
      <c r="B394" s="21" t="str">
        <f aca="false">IF(INDEX(Tasks!$A:$A,ROW()-1)="","",IF(ISERROR(FIND(".",INDEX(Tasks!$A:$A,ROW()-1))),"","   ")&amp;INDEX(Tasks!$D:$D,ROW()-1))</f>
        <v/>
      </c>
      <c r="C394" s="21" t="str">
        <f aca="false">IF(INDEX(Tasks!$G:$G,ROW()-1)="","",INDEX(Tasks!$G:$G,ROW()-1))</f>
        <v/>
      </c>
      <c r="D394" s="21" t="str">
        <f aca="false">IF(INDEX(Tasks!$H:$H,ROW()-1)="","",INDEX(Tasks!$H:$H,ROW()-1))</f>
        <v/>
      </c>
      <c r="E394" s="22" t="str">
        <f aca="false">IF(INDEX(Tasks!$I:$I,ROW()-1)="","",INDEX(Tasks!$I:$I,ROW()-1))</f>
        <v/>
      </c>
      <c r="F394" s="22" t="str">
        <f aca="false">IF(INDEX(Tasks!$K:$K,ROW()-1)="","",INDEX(Tasks!$K:$K,ROW()-1))</f>
        <v/>
      </c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  <c r="AO394" s="23"/>
      <c r="AP394" s="23"/>
      <c r="AQ394" s="23"/>
      <c r="AR394" s="23"/>
      <c r="AS394" s="23"/>
      <c r="AT394" s="23"/>
      <c r="AU394" s="23"/>
      <c r="AV394" s="23"/>
      <c r="AW394" s="23"/>
      <c r="AX394" s="23"/>
    </row>
    <row r="395" customFormat="false" ht="15" hidden="false" customHeight="false" outlineLevel="0" collapsed="false">
      <c r="A395" s="21" t="str">
        <f aca="false">IF(INDEX(Tasks!$A:$A,ROW()-1)="","",INDEX(Tasks!$A:$A,ROW()-1))</f>
        <v/>
      </c>
      <c r="B395" s="21" t="str">
        <f aca="false">IF(INDEX(Tasks!$A:$A,ROW()-1)="","",IF(ISERROR(FIND(".",INDEX(Tasks!$A:$A,ROW()-1))),"","   ")&amp;INDEX(Tasks!$D:$D,ROW()-1))</f>
        <v/>
      </c>
      <c r="C395" s="21" t="str">
        <f aca="false">IF(INDEX(Tasks!$G:$G,ROW()-1)="","",INDEX(Tasks!$G:$G,ROW()-1))</f>
        <v/>
      </c>
      <c r="D395" s="21" t="str">
        <f aca="false">IF(INDEX(Tasks!$H:$H,ROW()-1)="","",INDEX(Tasks!$H:$H,ROW()-1))</f>
        <v/>
      </c>
      <c r="E395" s="22" t="str">
        <f aca="false">IF(INDEX(Tasks!$I:$I,ROW()-1)="","",INDEX(Tasks!$I:$I,ROW()-1))</f>
        <v/>
      </c>
      <c r="F395" s="22" t="str">
        <f aca="false">IF(INDEX(Tasks!$K:$K,ROW()-1)="","",INDEX(Tasks!$K:$K,ROW()-1))</f>
        <v/>
      </c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  <c r="AO395" s="23"/>
      <c r="AP395" s="23"/>
      <c r="AQ395" s="23"/>
      <c r="AR395" s="23"/>
      <c r="AS395" s="23"/>
      <c r="AT395" s="23"/>
      <c r="AU395" s="23"/>
      <c r="AV395" s="23"/>
      <c r="AW395" s="23"/>
      <c r="AX395" s="23"/>
    </row>
    <row r="396" customFormat="false" ht="15" hidden="false" customHeight="false" outlineLevel="0" collapsed="false">
      <c r="A396" s="21" t="str">
        <f aca="false">IF(INDEX(Tasks!$A:$A,ROW()-1)="","",INDEX(Tasks!$A:$A,ROW()-1))</f>
        <v/>
      </c>
      <c r="B396" s="21" t="str">
        <f aca="false">IF(INDEX(Tasks!$A:$A,ROW()-1)="","",IF(ISERROR(FIND(".",INDEX(Tasks!$A:$A,ROW()-1))),"","   ")&amp;INDEX(Tasks!$D:$D,ROW()-1))</f>
        <v/>
      </c>
      <c r="C396" s="21" t="str">
        <f aca="false">IF(INDEX(Tasks!$G:$G,ROW()-1)="","",INDEX(Tasks!$G:$G,ROW()-1))</f>
        <v/>
      </c>
      <c r="D396" s="21" t="str">
        <f aca="false">IF(INDEX(Tasks!$H:$H,ROW()-1)="","",INDEX(Tasks!$H:$H,ROW()-1))</f>
        <v/>
      </c>
      <c r="E396" s="22" t="str">
        <f aca="false">IF(INDEX(Tasks!$I:$I,ROW()-1)="","",INDEX(Tasks!$I:$I,ROW()-1))</f>
        <v/>
      </c>
      <c r="F396" s="22" t="str">
        <f aca="false">IF(INDEX(Tasks!$K:$K,ROW()-1)="","",INDEX(Tasks!$K:$K,ROW()-1))</f>
        <v/>
      </c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  <c r="AO396" s="23"/>
      <c r="AP396" s="23"/>
      <c r="AQ396" s="23"/>
      <c r="AR396" s="23"/>
      <c r="AS396" s="23"/>
      <c r="AT396" s="23"/>
      <c r="AU396" s="23"/>
      <c r="AV396" s="23"/>
      <c r="AW396" s="23"/>
      <c r="AX396" s="23"/>
    </row>
    <row r="397" customFormat="false" ht="15" hidden="false" customHeight="false" outlineLevel="0" collapsed="false">
      <c r="A397" s="21" t="str">
        <f aca="false">IF(INDEX(Tasks!$A:$A,ROW()-1)="","",INDEX(Tasks!$A:$A,ROW()-1))</f>
        <v/>
      </c>
      <c r="B397" s="21" t="str">
        <f aca="false">IF(INDEX(Tasks!$A:$A,ROW()-1)="","",IF(ISERROR(FIND(".",INDEX(Tasks!$A:$A,ROW()-1))),"","   ")&amp;INDEX(Tasks!$D:$D,ROW()-1))</f>
        <v/>
      </c>
      <c r="C397" s="21" t="str">
        <f aca="false">IF(INDEX(Tasks!$G:$G,ROW()-1)="","",INDEX(Tasks!$G:$G,ROW()-1))</f>
        <v/>
      </c>
      <c r="D397" s="21" t="str">
        <f aca="false">IF(INDEX(Tasks!$H:$H,ROW()-1)="","",INDEX(Tasks!$H:$H,ROW()-1))</f>
        <v/>
      </c>
      <c r="E397" s="22" t="str">
        <f aca="false">IF(INDEX(Tasks!$I:$I,ROW()-1)="","",INDEX(Tasks!$I:$I,ROW()-1))</f>
        <v/>
      </c>
      <c r="F397" s="22" t="str">
        <f aca="false">IF(INDEX(Tasks!$K:$K,ROW()-1)="","",INDEX(Tasks!$K:$K,ROW()-1))</f>
        <v/>
      </c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  <c r="AO397" s="23"/>
      <c r="AP397" s="23"/>
      <c r="AQ397" s="23"/>
      <c r="AR397" s="23"/>
      <c r="AS397" s="23"/>
      <c r="AT397" s="23"/>
      <c r="AU397" s="23"/>
      <c r="AV397" s="23"/>
      <c r="AW397" s="23"/>
      <c r="AX397" s="23"/>
    </row>
    <row r="398" customFormat="false" ht="15" hidden="false" customHeight="false" outlineLevel="0" collapsed="false">
      <c r="A398" s="21" t="str">
        <f aca="false">IF(INDEX(Tasks!$A:$A,ROW()-1)="","",INDEX(Tasks!$A:$A,ROW()-1))</f>
        <v/>
      </c>
      <c r="B398" s="21" t="str">
        <f aca="false">IF(INDEX(Tasks!$A:$A,ROW()-1)="","",IF(ISERROR(FIND(".",INDEX(Tasks!$A:$A,ROW()-1))),"","   ")&amp;INDEX(Tasks!$D:$D,ROW()-1))</f>
        <v/>
      </c>
      <c r="C398" s="21" t="str">
        <f aca="false">IF(INDEX(Tasks!$G:$G,ROW()-1)="","",INDEX(Tasks!$G:$G,ROW()-1))</f>
        <v/>
      </c>
      <c r="D398" s="21" t="str">
        <f aca="false">IF(INDEX(Tasks!$H:$H,ROW()-1)="","",INDEX(Tasks!$H:$H,ROW()-1))</f>
        <v/>
      </c>
      <c r="E398" s="22" t="str">
        <f aca="false">IF(INDEX(Tasks!$I:$I,ROW()-1)="","",INDEX(Tasks!$I:$I,ROW()-1))</f>
        <v/>
      </c>
      <c r="F398" s="22" t="str">
        <f aca="false">IF(INDEX(Tasks!$K:$K,ROW()-1)="","",INDEX(Tasks!$K:$K,ROW()-1))</f>
        <v/>
      </c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  <c r="AO398" s="23"/>
      <c r="AP398" s="23"/>
      <c r="AQ398" s="23"/>
      <c r="AR398" s="23"/>
      <c r="AS398" s="23"/>
      <c r="AT398" s="23"/>
      <c r="AU398" s="23"/>
      <c r="AV398" s="23"/>
      <c r="AW398" s="23"/>
      <c r="AX398" s="23"/>
    </row>
    <row r="399" customFormat="false" ht="15" hidden="false" customHeight="false" outlineLevel="0" collapsed="false">
      <c r="A399" s="21" t="str">
        <f aca="false">IF(INDEX(Tasks!$A:$A,ROW()-1)="","",INDEX(Tasks!$A:$A,ROW()-1))</f>
        <v/>
      </c>
      <c r="B399" s="21" t="str">
        <f aca="false">IF(INDEX(Tasks!$A:$A,ROW()-1)="","",IF(ISERROR(FIND(".",INDEX(Tasks!$A:$A,ROW()-1))),"","   ")&amp;INDEX(Tasks!$D:$D,ROW()-1))</f>
        <v/>
      </c>
      <c r="C399" s="21" t="str">
        <f aca="false">IF(INDEX(Tasks!$G:$G,ROW()-1)="","",INDEX(Tasks!$G:$G,ROW()-1))</f>
        <v/>
      </c>
      <c r="D399" s="21" t="str">
        <f aca="false">IF(INDEX(Tasks!$H:$H,ROW()-1)="","",INDEX(Tasks!$H:$H,ROW()-1))</f>
        <v/>
      </c>
      <c r="E399" s="22" t="str">
        <f aca="false">IF(INDEX(Tasks!$I:$I,ROW()-1)="","",INDEX(Tasks!$I:$I,ROW()-1))</f>
        <v/>
      </c>
      <c r="F399" s="22" t="str">
        <f aca="false">IF(INDEX(Tasks!$K:$K,ROW()-1)="","",INDEX(Tasks!$K:$K,ROW()-1))</f>
        <v/>
      </c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  <c r="AO399" s="23"/>
      <c r="AP399" s="23"/>
      <c r="AQ399" s="23"/>
      <c r="AR399" s="23"/>
      <c r="AS399" s="23"/>
      <c r="AT399" s="23"/>
      <c r="AU399" s="23"/>
      <c r="AV399" s="23"/>
      <c r="AW399" s="23"/>
      <c r="AX399" s="23"/>
    </row>
    <row r="400" customFormat="false" ht="15" hidden="false" customHeight="false" outlineLevel="0" collapsed="false">
      <c r="A400" s="21" t="str">
        <f aca="false">IF(INDEX(Tasks!$A:$A,ROW()-1)="","",INDEX(Tasks!$A:$A,ROW()-1))</f>
        <v/>
      </c>
      <c r="B400" s="21" t="str">
        <f aca="false">IF(INDEX(Tasks!$A:$A,ROW()-1)="","",IF(ISERROR(FIND(".",INDEX(Tasks!$A:$A,ROW()-1))),"","   ")&amp;INDEX(Tasks!$D:$D,ROW()-1))</f>
        <v/>
      </c>
      <c r="C400" s="21" t="str">
        <f aca="false">IF(INDEX(Tasks!$G:$G,ROW()-1)="","",INDEX(Tasks!$G:$G,ROW()-1))</f>
        <v/>
      </c>
      <c r="D400" s="21" t="str">
        <f aca="false">IF(INDEX(Tasks!$H:$H,ROW()-1)="","",INDEX(Tasks!$H:$H,ROW()-1))</f>
        <v/>
      </c>
      <c r="E400" s="22" t="str">
        <f aca="false">IF(INDEX(Tasks!$I:$I,ROW()-1)="","",INDEX(Tasks!$I:$I,ROW()-1))</f>
        <v/>
      </c>
      <c r="F400" s="22" t="str">
        <f aca="false">IF(INDEX(Tasks!$K:$K,ROW()-1)="","",INDEX(Tasks!$K:$K,ROW()-1))</f>
        <v/>
      </c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  <c r="AO400" s="23"/>
      <c r="AP400" s="23"/>
      <c r="AQ400" s="23"/>
      <c r="AR400" s="23"/>
      <c r="AS400" s="23"/>
      <c r="AT400" s="23"/>
      <c r="AU400" s="23"/>
      <c r="AV400" s="23"/>
      <c r="AW400" s="23"/>
      <c r="AX400" s="23"/>
    </row>
    <row r="401" customFormat="false" ht="15" hidden="false" customHeight="false" outlineLevel="0" collapsed="false">
      <c r="A401" s="21" t="str">
        <f aca="false">IF(INDEX(Tasks!$A:$A,ROW()-1)="","",INDEX(Tasks!$A:$A,ROW()-1))</f>
        <v/>
      </c>
      <c r="B401" s="21" t="str">
        <f aca="false">IF(INDEX(Tasks!$A:$A,ROW()-1)="","",IF(ISERROR(FIND(".",INDEX(Tasks!$A:$A,ROW()-1))),"","   ")&amp;INDEX(Tasks!$D:$D,ROW()-1))</f>
        <v/>
      </c>
      <c r="C401" s="21" t="str">
        <f aca="false">IF(INDEX(Tasks!$G:$G,ROW()-1)="","",INDEX(Tasks!$G:$G,ROW()-1))</f>
        <v/>
      </c>
      <c r="D401" s="21" t="str">
        <f aca="false">IF(INDEX(Tasks!$H:$H,ROW()-1)="","",INDEX(Tasks!$H:$H,ROW()-1))</f>
        <v/>
      </c>
      <c r="E401" s="22" t="str">
        <f aca="false">IF(INDEX(Tasks!$I:$I,ROW()-1)="","",INDEX(Tasks!$I:$I,ROW()-1))</f>
        <v/>
      </c>
      <c r="F401" s="22" t="str">
        <f aca="false">IF(INDEX(Tasks!$K:$K,ROW()-1)="","",INDEX(Tasks!$K:$K,ROW()-1))</f>
        <v/>
      </c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O401" s="23"/>
      <c r="AP401" s="23"/>
      <c r="AQ401" s="23"/>
      <c r="AR401" s="23"/>
      <c r="AS401" s="23"/>
      <c r="AT401" s="23"/>
      <c r="AU401" s="23"/>
      <c r="AV401" s="23"/>
      <c r="AW401" s="23"/>
      <c r="AX401" s="23"/>
    </row>
    <row r="402" customFormat="false" ht="15" hidden="false" customHeight="false" outlineLevel="0" collapsed="false">
      <c r="A402" s="21" t="str">
        <f aca="false">IF(INDEX(Tasks!$A:$A,ROW()-1)="","",INDEX(Tasks!$A:$A,ROW()-1))</f>
        <v/>
      </c>
      <c r="B402" s="21" t="str">
        <f aca="false">IF(INDEX(Tasks!$A:$A,ROW()-1)="","",IF(ISERROR(FIND(".",INDEX(Tasks!$A:$A,ROW()-1))),"","   ")&amp;INDEX(Tasks!$D:$D,ROW()-1))</f>
        <v/>
      </c>
      <c r="C402" s="21" t="str">
        <f aca="false">IF(INDEX(Tasks!$G:$G,ROW()-1)="","",INDEX(Tasks!$G:$G,ROW()-1))</f>
        <v/>
      </c>
      <c r="D402" s="21" t="str">
        <f aca="false">IF(INDEX(Tasks!$H:$H,ROW()-1)="","",INDEX(Tasks!$H:$H,ROW()-1))</f>
        <v/>
      </c>
      <c r="E402" s="22" t="str">
        <f aca="false">IF(INDEX(Tasks!$I:$I,ROW()-1)="","",INDEX(Tasks!$I:$I,ROW()-1))</f>
        <v/>
      </c>
      <c r="F402" s="22" t="str">
        <f aca="false">IF(INDEX(Tasks!$K:$K,ROW()-1)="","",INDEX(Tasks!$K:$K,ROW()-1))</f>
        <v/>
      </c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O402" s="23"/>
      <c r="AP402" s="23"/>
      <c r="AQ402" s="23"/>
      <c r="AR402" s="23"/>
      <c r="AS402" s="23"/>
      <c r="AT402" s="23"/>
      <c r="AU402" s="23"/>
      <c r="AV402" s="23"/>
      <c r="AW402" s="23"/>
      <c r="AX402" s="23"/>
    </row>
    <row r="403" customFormat="false" ht="15" hidden="false" customHeight="false" outlineLevel="0" collapsed="false">
      <c r="A403" s="21" t="str">
        <f aca="false">IF(INDEX(Tasks!$A:$A,ROW()-1)="","",INDEX(Tasks!$A:$A,ROW()-1))</f>
        <v/>
      </c>
      <c r="B403" s="21" t="str">
        <f aca="false">IF(INDEX(Tasks!$A:$A,ROW()-1)="","",IF(ISERROR(FIND(".",INDEX(Tasks!$A:$A,ROW()-1))),"","   ")&amp;INDEX(Tasks!$D:$D,ROW()-1))</f>
        <v/>
      </c>
      <c r="C403" s="21" t="str">
        <f aca="false">IF(INDEX(Tasks!$G:$G,ROW()-1)="","",INDEX(Tasks!$G:$G,ROW()-1))</f>
        <v/>
      </c>
      <c r="D403" s="21" t="str">
        <f aca="false">IF(INDEX(Tasks!$H:$H,ROW()-1)="","",INDEX(Tasks!$H:$H,ROW()-1))</f>
        <v/>
      </c>
      <c r="E403" s="22" t="str">
        <f aca="false">IF(INDEX(Tasks!$I:$I,ROW()-1)="","",INDEX(Tasks!$I:$I,ROW()-1))</f>
        <v/>
      </c>
      <c r="F403" s="22" t="str">
        <f aca="false">IF(INDEX(Tasks!$K:$K,ROW()-1)="","",INDEX(Tasks!$K:$K,ROW()-1))</f>
        <v/>
      </c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  <c r="AL403" s="23"/>
      <c r="AM403" s="23"/>
      <c r="AN403" s="23"/>
      <c r="AO403" s="23"/>
      <c r="AP403" s="23"/>
      <c r="AQ403" s="23"/>
      <c r="AR403" s="23"/>
      <c r="AS403" s="23"/>
      <c r="AT403" s="23"/>
      <c r="AU403" s="23"/>
      <c r="AV403" s="23"/>
      <c r="AW403" s="23"/>
      <c r="AX403" s="23"/>
    </row>
    <row r="404" customFormat="false" ht="15" hidden="false" customHeight="false" outlineLevel="0" collapsed="false">
      <c r="A404" s="21" t="str">
        <f aca="false">IF(INDEX(Tasks!$A:$A,ROW()-1)="","",INDEX(Tasks!$A:$A,ROW()-1))</f>
        <v/>
      </c>
      <c r="B404" s="21" t="str">
        <f aca="false">IF(INDEX(Tasks!$A:$A,ROW()-1)="","",IF(ISERROR(FIND(".",INDEX(Tasks!$A:$A,ROW()-1))),"","   ")&amp;INDEX(Tasks!$D:$D,ROW()-1))</f>
        <v/>
      </c>
      <c r="C404" s="21" t="str">
        <f aca="false">IF(INDEX(Tasks!$G:$G,ROW()-1)="","",INDEX(Tasks!$G:$G,ROW()-1))</f>
        <v/>
      </c>
      <c r="D404" s="21" t="str">
        <f aca="false">IF(INDEX(Tasks!$H:$H,ROW()-1)="","",INDEX(Tasks!$H:$H,ROW()-1))</f>
        <v/>
      </c>
      <c r="E404" s="22" t="str">
        <f aca="false">IF(INDEX(Tasks!$I:$I,ROW()-1)="","",INDEX(Tasks!$I:$I,ROW()-1))</f>
        <v/>
      </c>
      <c r="F404" s="22" t="str">
        <f aca="false">IF(INDEX(Tasks!$K:$K,ROW()-1)="","",INDEX(Tasks!$K:$K,ROW()-1))</f>
        <v/>
      </c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/>
      <c r="AN404" s="23"/>
      <c r="AO404" s="23"/>
      <c r="AP404" s="23"/>
      <c r="AQ404" s="23"/>
      <c r="AR404" s="23"/>
      <c r="AS404" s="23"/>
      <c r="AT404" s="23"/>
      <c r="AU404" s="23"/>
      <c r="AV404" s="23"/>
      <c r="AW404" s="23"/>
      <c r="AX404" s="23"/>
    </row>
  </sheetData>
  <mergeCells count="1">
    <mergeCell ref="A2:B2"/>
  </mergeCells>
  <conditionalFormatting sqref="G5:AX404">
    <cfRule type="expression" priority="2" aboveAverage="0" equalAverage="0" bottom="0" percent="0" rank="0" text="" dxfId="17">
      <formula>AND(AND(ISNUMBER($E5),ISNUMBER($F5),G$4&lt;=$F5,G$4+6&gt;=$E5),ISNUMBER(SEARCH("-M",$A5)))</formula>
    </cfRule>
    <cfRule type="expression" priority="3" aboveAverage="0" equalAverage="0" bottom="0" percent="0" rank="0" text="" dxfId="18">
      <formula>AND(AND(ISNUMBER($E5),ISNUMBER($F5),G$4&lt;=$F5,G$4+6&gt;=$E5),$D5="Complete",NOT(ISNUMBER(SEARCH("-M",$A5))))</formula>
    </cfRule>
    <cfRule type="expression" priority="4" aboveAverage="0" equalAverage="0" bottom="0" percent="0" rank="0" text="" dxfId="19">
      <formula>AND(AND(ISNUMBER($E5),ISNUMBER($F5),G$4&lt;=$F5,G$4+6&gt;=$E5),$D5="In Progress",NOT(ISNUMBER(SEARCH("-M",$A5))))</formula>
    </cfRule>
    <cfRule type="expression" priority="5" aboveAverage="0" equalAverage="0" bottom="0" percent="0" rank="0" text="" dxfId="20">
      <formula>AND(AND(ISNUMBER($E5),ISNUMBER($F5),G$4&lt;=$F5,G$4+6&gt;=$E5),$D5="Partially Completed",NOT(ISNUMBER(SEARCH("-M",$A5))))</formula>
    </cfRule>
    <cfRule type="expression" priority="6" aboveAverage="0" equalAverage="0" bottom="0" percent="0" rank="0" text="" dxfId="21">
      <formula>AND(AND(ISNUMBER($E5),ISNUMBER($F5),G$4&lt;=$F5,G$4+6&gt;=$E5),$D5="Blocked",NOT(ISNUMBER(SEARCH("-M",$A5))))</formula>
    </cfRule>
    <cfRule type="expression" priority="7" aboveAverage="0" equalAverage="0" bottom="0" percent="0" rank="0" text="" dxfId="22">
      <formula>AND(AND(ISNUMBER($E5),ISNUMBER($F5),G$4&lt;=$F5,G$4+6&gt;=$E5),OR($D5="Not Started",$D5=""),NOT(ISNUMBER(SEARCH("-M",$A5))))</formula>
    </cfRule>
    <cfRule type="expression" priority="8" aboveAverage="0" equalAverage="0" bottom="0" percent="0" rank="0" text="" dxfId="14">
      <formula>AND(AND(G$4&lt;=TODAY(),G$4+6&gt;=TODAY()),NOT(AND(ISNUMBER($E5),ISNUMBER($F5),G$4&lt;=$F5,G$4+6&gt;=$E5)))</formula>
    </cfRule>
  </conditionalFormatting>
  <conditionalFormatting sqref="G4:AX4">
    <cfRule type="expression" priority="9" aboveAverage="0" equalAverage="0" bottom="0" percent="0" rank="0" text="" dxfId="21">
      <formula>AND(G$4&lt;=TODAY(),G$4+6&gt;=TODAY())</formula>
    </cfRule>
  </conditionalFormatting>
  <conditionalFormatting sqref="D5:D404">
    <cfRule type="expression" priority="10" aboveAverage="0" equalAverage="0" bottom="0" percent="0" rank="0" text="" dxfId="10">
      <formula>D5="Not Started"</formula>
    </cfRule>
    <cfRule type="expression" priority="11" aboveAverage="0" equalAverage="0" bottom="0" percent="0" rank="0" text="" dxfId="11">
      <formula>D5="In Progress"</formula>
    </cfRule>
    <cfRule type="expression" priority="12" aboveAverage="0" equalAverage="0" bottom="0" percent="0" rank="0" text="" dxfId="12">
      <formula>D5="Blocked"</formula>
    </cfRule>
    <cfRule type="expression" priority="13" aboveAverage="0" equalAverage="0" bottom="0" percent="0" rank="0" text="" dxfId="13">
      <formula>D5="Complete"</formula>
    </cfRule>
    <cfRule type="expression" priority="14" aboveAverage="0" equalAverage="0" bottom="0" percent="0" rank="0" text="" dxfId="14">
      <formula>D5="Partially Completed"</formula>
    </cfRule>
  </conditionalFormatting>
  <conditionalFormatting sqref="F5:F404">
    <cfRule type="expression" priority="15" aboveAverage="0" equalAverage="0" bottom="0" percent="0" rank="0" text="" dxfId="15">
      <formula>AND(ISNUMBER($F5),$F5&lt;TODAY(),$D5&lt;&gt;"Complete")</formula>
    </cfRule>
  </conditionalFormatting>
  <conditionalFormatting sqref="A5:C404 E5:F404">
    <cfRule type="expression" priority="16" aboveAverage="0" equalAverage="0" bottom="0" percent="0" rank="0" text="" dxfId="16">
      <formula>AND($A5&lt;&gt;"",ISERROR(FIND(".",$A5)))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1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17"/>
    <col collapsed="false" customWidth="true" hidden="false" outlineLevel="0" max="6" min="6" style="0" width="10"/>
    <col collapsed="false" customWidth="true" hidden="false" outlineLevel="0" max="7" min="7" style="0" width="13"/>
    <col collapsed="false" customWidth="true" hidden="false" outlineLevel="0" max="8" min="8" style="0" width="50"/>
    <col collapsed="false" customWidth="true" hidden="false" outlineLevel="0" max="10" min="9" style="0" width="30"/>
    <col collapsed="false" customWidth="true" hidden="false" outlineLevel="0" max="11" min="11" style="0" width="40"/>
    <col collapsed="false" customWidth="true" hidden="false" outlineLevel="0" max="12" min="12" style="0" width="11"/>
    <col collapsed="false" customWidth="true" hidden="false" outlineLevel="0" max="13" min="13" style="0" width="26"/>
  </cols>
  <sheetData>
    <row r="1" customFormat="false" ht="17.35" hidden="false" customHeight="false" outlineLevel="0" collapsed="false">
      <c r="A1" s="1" t="s">
        <v>7</v>
      </c>
    </row>
    <row r="2" customFormat="false" ht="15" hidden="false" customHeight="false" outlineLevel="0" collapsed="false">
      <c r="A2" s="2" t="s">
        <v>567</v>
      </c>
      <c r="E2" s="32" t="s">
        <v>568</v>
      </c>
    </row>
    <row r="3" customFormat="false" ht="30" hidden="false" customHeight="true" outlineLevel="0" collapsed="false">
      <c r="A3" s="11" t="s">
        <v>569</v>
      </c>
      <c r="B3" s="11" t="s">
        <v>570</v>
      </c>
      <c r="C3" s="11" t="s">
        <v>43</v>
      </c>
      <c r="D3" s="11" t="s">
        <v>571</v>
      </c>
      <c r="E3" s="11" t="s">
        <v>58</v>
      </c>
      <c r="F3" s="11" t="s">
        <v>572</v>
      </c>
      <c r="G3" s="11" t="s">
        <v>87</v>
      </c>
      <c r="H3" s="11" t="s">
        <v>573</v>
      </c>
      <c r="I3" s="11" t="s">
        <v>574</v>
      </c>
      <c r="J3" s="11" t="s">
        <v>575</v>
      </c>
      <c r="K3" s="11" t="s">
        <v>576</v>
      </c>
      <c r="L3" s="11" t="s">
        <v>577</v>
      </c>
      <c r="M3" s="11" t="s">
        <v>94</v>
      </c>
    </row>
    <row r="4" customFormat="false" ht="35.05" hidden="false" customHeight="false" outlineLevel="0" collapsed="false">
      <c r="A4" s="4" t="s">
        <v>578</v>
      </c>
      <c r="B4" s="33" t="n">
        <v>46302</v>
      </c>
      <c r="C4" s="4" t="s">
        <v>54</v>
      </c>
      <c r="D4" s="4" t="s">
        <v>191</v>
      </c>
      <c r="E4" s="4" t="s">
        <v>65</v>
      </c>
      <c r="F4" s="4" t="s">
        <v>75</v>
      </c>
      <c r="G4" s="4" t="s">
        <v>70</v>
      </c>
      <c r="H4" s="4" t="s">
        <v>579</v>
      </c>
      <c r="I4" s="4" t="s">
        <v>580</v>
      </c>
      <c r="J4" s="4" t="s">
        <v>581</v>
      </c>
      <c r="K4" s="4" t="s">
        <v>582</v>
      </c>
      <c r="L4" s="33"/>
      <c r="M4" s="4"/>
    </row>
    <row r="5" customFormat="false" ht="23.85" hidden="false" customHeight="false" outlineLevel="0" collapsed="false">
      <c r="A5" s="4" t="s">
        <v>583</v>
      </c>
      <c r="B5" s="33" t="n">
        <v>46302</v>
      </c>
      <c r="C5" s="4" t="s">
        <v>55</v>
      </c>
      <c r="D5" s="4" t="s">
        <v>132</v>
      </c>
      <c r="E5" s="4" t="s">
        <v>60</v>
      </c>
      <c r="F5" s="4" t="s">
        <v>75</v>
      </c>
      <c r="G5" s="4" t="s">
        <v>69</v>
      </c>
      <c r="H5" s="4" t="s">
        <v>584</v>
      </c>
      <c r="I5" s="4" t="s">
        <v>585</v>
      </c>
      <c r="J5" s="4" t="s">
        <v>586</v>
      </c>
      <c r="K5" s="4" t="s">
        <v>587</v>
      </c>
      <c r="L5" s="33"/>
      <c r="M5" s="4"/>
    </row>
    <row r="6" customFormat="false" ht="23.85" hidden="false" customHeight="false" outlineLevel="0" collapsed="false">
      <c r="A6" s="4" t="s">
        <v>588</v>
      </c>
      <c r="B6" s="33" t="n">
        <v>46302</v>
      </c>
      <c r="C6" s="4" t="s">
        <v>54</v>
      </c>
      <c r="D6" s="4" t="s">
        <v>191</v>
      </c>
      <c r="E6" s="4" t="s">
        <v>65</v>
      </c>
      <c r="F6" s="4" t="s">
        <v>75</v>
      </c>
      <c r="G6" s="4" t="s">
        <v>70</v>
      </c>
      <c r="H6" s="4" t="s">
        <v>589</v>
      </c>
      <c r="I6" s="4" t="s">
        <v>590</v>
      </c>
      <c r="J6" s="4" t="s">
        <v>591</v>
      </c>
      <c r="K6" s="4" t="s">
        <v>592</v>
      </c>
      <c r="L6" s="33"/>
      <c r="M6" s="4"/>
    </row>
    <row r="7" customFormat="false" ht="23.85" hidden="false" customHeight="false" outlineLevel="0" collapsed="false">
      <c r="A7" s="4" t="s">
        <v>593</v>
      </c>
      <c r="B7" s="33" t="n">
        <v>46302</v>
      </c>
      <c r="C7" s="4" t="s">
        <v>55</v>
      </c>
      <c r="D7" s="4" t="s">
        <v>123</v>
      </c>
      <c r="E7" s="4" t="s">
        <v>60</v>
      </c>
      <c r="F7" s="4" t="s">
        <v>75</v>
      </c>
      <c r="G7" s="4" t="s">
        <v>69</v>
      </c>
      <c r="H7" s="4" t="s">
        <v>594</v>
      </c>
      <c r="I7" s="4" t="s">
        <v>595</v>
      </c>
      <c r="J7" s="4"/>
      <c r="K7" s="4"/>
      <c r="L7" s="33"/>
      <c r="M7" s="4"/>
    </row>
    <row r="8" customFormat="false" ht="23.85" hidden="false" customHeight="false" outlineLevel="0" collapsed="false">
      <c r="A8" s="4" t="s">
        <v>596</v>
      </c>
      <c r="B8" s="33" t="n">
        <v>46302</v>
      </c>
      <c r="C8" s="4" t="s">
        <v>54</v>
      </c>
      <c r="D8" s="4" t="s">
        <v>177</v>
      </c>
      <c r="E8" s="4" t="s">
        <v>65</v>
      </c>
      <c r="F8" s="4" t="s">
        <v>76</v>
      </c>
      <c r="G8" s="4" t="s">
        <v>69</v>
      </c>
      <c r="H8" s="4" t="s">
        <v>597</v>
      </c>
      <c r="I8" s="4" t="s">
        <v>598</v>
      </c>
      <c r="J8" s="4" t="s">
        <v>599</v>
      </c>
      <c r="K8" s="4"/>
      <c r="L8" s="33"/>
      <c r="M8" s="4"/>
    </row>
    <row r="9" customFormat="false" ht="23.85" hidden="false" customHeight="false" outlineLevel="0" collapsed="false">
      <c r="A9" s="4" t="s">
        <v>600</v>
      </c>
      <c r="B9" s="33" t="n">
        <v>46302</v>
      </c>
      <c r="C9" s="4" t="s">
        <v>55</v>
      </c>
      <c r="D9" s="4" t="s">
        <v>96</v>
      </c>
      <c r="E9" s="4" t="s">
        <v>60</v>
      </c>
      <c r="F9" s="4" t="s">
        <v>76</v>
      </c>
      <c r="G9" s="4" t="s">
        <v>69</v>
      </c>
      <c r="H9" s="4" t="s">
        <v>601</v>
      </c>
      <c r="I9" s="4" t="s">
        <v>602</v>
      </c>
      <c r="J9" s="4"/>
      <c r="K9" s="4"/>
      <c r="L9" s="33"/>
      <c r="M9" s="4"/>
    </row>
    <row r="10" customFormat="false" ht="23.85" hidden="false" customHeight="false" outlineLevel="0" collapsed="false">
      <c r="A10" s="4" t="s">
        <v>603</v>
      </c>
      <c r="B10" s="33" t="n">
        <v>46302</v>
      </c>
      <c r="C10" s="4" t="s">
        <v>54</v>
      </c>
      <c r="D10" s="4" t="s">
        <v>209</v>
      </c>
      <c r="E10" s="4" t="s">
        <v>65</v>
      </c>
      <c r="F10" s="4" t="s">
        <v>76</v>
      </c>
      <c r="G10" s="4" t="s">
        <v>69</v>
      </c>
      <c r="H10" s="4" t="s">
        <v>604</v>
      </c>
      <c r="I10" s="4" t="s">
        <v>605</v>
      </c>
      <c r="J10" s="4" t="s">
        <v>606</v>
      </c>
      <c r="K10" s="4" t="s">
        <v>607</v>
      </c>
      <c r="L10" s="33"/>
      <c r="M10" s="4"/>
    </row>
    <row r="11" customFormat="false" ht="23.85" hidden="false" customHeight="false" outlineLevel="0" collapsed="false">
      <c r="A11" s="4" t="s">
        <v>608</v>
      </c>
      <c r="B11" s="33" t="n">
        <v>46302</v>
      </c>
      <c r="C11" s="4" t="s">
        <v>54</v>
      </c>
      <c r="D11" s="4" t="s">
        <v>229</v>
      </c>
      <c r="E11" s="4" t="s">
        <v>65</v>
      </c>
      <c r="F11" s="4" t="s">
        <v>76</v>
      </c>
      <c r="G11" s="4" t="s">
        <v>69</v>
      </c>
      <c r="H11" s="4" t="s">
        <v>609</v>
      </c>
      <c r="I11" s="4" t="s">
        <v>610</v>
      </c>
      <c r="J11" s="4" t="s">
        <v>611</v>
      </c>
      <c r="K11" s="4" t="s">
        <v>612</v>
      </c>
      <c r="L11" s="33"/>
      <c r="M11" s="4"/>
    </row>
    <row r="12" customFormat="false" ht="23.85" hidden="false" customHeight="false" outlineLevel="0" collapsed="false">
      <c r="A12" s="4" t="s">
        <v>613</v>
      </c>
      <c r="B12" s="33" t="n">
        <v>46302</v>
      </c>
      <c r="C12" s="4" t="s">
        <v>53</v>
      </c>
      <c r="D12" s="4" t="s">
        <v>265</v>
      </c>
      <c r="E12" s="4" t="s">
        <v>60</v>
      </c>
      <c r="F12" s="4" t="s">
        <v>74</v>
      </c>
      <c r="G12" s="4" t="s">
        <v>69</v>
      </c>
      <c r="H12" s="4" t="s">
        <v>614</v>
      </c>
      <c r="I12" s="4" t="s">
        <v>615</v>
      </c>
      <c r="J12" s="4" t="s">
        <v>616</v>
      </c>
      <c r="K12" s="4" t="s">
        <v>617</v>
      </c>
      <c r="L12" s="33"/>
      <c r="M12" s="4"/>
    </row>
    <row r="13" customFormat="false" ht="23.85" hidden="false" customHeight="false" outlineLevel="0" collapsed="false">
      <c r="A13" s="4" t="s">
        <v>618</v>
      </c>
      <c r="B13" s="33" t="n">
        <v>46302</v>
      </c>
      <c r="C13" s="4" t="s">
        <v>53</v>
      </c>
      <c r="D13" s="4" t="s">
        <v>270</v>
      </c>
      <c r="E13" s="4" t="s">
        <v>60</v>
      </c>
      <c r="F13" s="4" t="s">
        <v>75</v>
      </c>
      <c r="G13" s="4" t="s">
        <v>70</v>
      </c>
      <c r="H13" s="4" t="s">
        <v>619</v>
      </c>
      <c r="I13" s="4" t="s">
        <v>620</v>
      </c>
      <c r="J13" s="4" t="s">
        <v>621</v>
      </c>
      <c r="K13" s="4" t="s">
        <v>622</v>
      </c>
      <c r="L13" s="33"/>
      <c r="M13" s="4"/>
    </row>
    <row r="14" customFormat="false" ht="15" hidden="false" customHeight="false" outlineLevel="0" collapsed="false">
      <c r="A14" s="4"/>
      <c r="B14" s="33"/>
      <c r="C14" s="4"/>
      <c r="D14" s="4"/>
      <c r="E14" s="4"/>
      <c r="F14" s="4"/>
      <c r="G14" s="4"/>
      <c r="H14" s="4"/>
      <c r="I14" s="4"/>
      <c r="J14" s="4"/>
      <c r="K14" s="4"/>
      <c r="L14" s="33"/>
      <c r="M14" s="4"/>
    </row>
    <row r="15" customFormat="false" ht="15" hidden="false" customHeight="false" outlineLevel="0" collapsed="false">
      <c r="A15" s="4"/>
      <c r="B15" s="33"/>
      <c r="C15" s="4"/>
      <c r="D15" s="4"/>
      <c r="E15" s="4"/>
      <c r="F15" s="4"/>
      <c r="G15" s="4"/>
      <c r="H15" s="4"/>
      <c r="I15" s="4"/>
      <c r="J15" s="4"/>
      <c r="K15" s="4"/>
      <c r="L15" s="33"/>
      <c r="M15" s="4"/>
    </row>
    <row r="16" customFormat="false" ht="15" hidden="false" customHeight="false" outlineLevel="0" collapsed="false">
      <c r="A16" s="4"/>
      <c r="B16" s="33"/>
      <c r="C16" s="4"/>
      <c r="D16" s="4"/>
      <c r="E16" s="4"/>
      <c r="F16" s="4"/>
      <c r="G16" s="4"/>
      <c r="H16" s="4"/>
      <c r="I16" s="4"/>
      <c r="J16" s="4"/>
      <c r="K16" s="4"/>
      <c r="L16" s="33"/>
      <c r="M16" s="4"/>
    </row>
    <row r="17" customFormat="false" ht="15" hidden="false" customHeight="false" outlineLevel="0" collapsed="false">
      <c r="A17" s="4"/>
      <c r="B17" s="33"/>
      <c r="C17" s="4"/>
      <c r="D17" s="4"/>
      <c r="E17" s="4"/>
      <c r="F17" s="4"/>
      <c r="G17" s="4"/>
      <c r="H17" s="4"/>
      <c r="I17" s="4"/>
      <c r="J17" s="4"/>
      <c r="K17" s="4"/>
      <c r="L17" s="33"/>
      <c r="M17" s="4"/>
    </row>
    <row r="18" customFormat="false" ht="15" hidden="false" customHeight="false" outlineLevel="0" collapsed="false">
      <c r="A18" s="4"/>
      <c r="B18" s="33"/>
      <c r="C18" s="4"/>
      <c r="D18" s="4"/>
      <c r="E18" s="4"/>
      <c r="F18" s="4"/>
      <c r="G18" s="4"/>
      <c r="H18" s="4"/>
      <c r="I18" s="4"/>
      <c r="J18" s="4"/>
      <c r="K18" s="4"/>
      <c r="L18" s="33"/>
      <c r="M18" s="4"/>
    </row>
    <row r="19" customFormat="false" ht="15" hidden="false" customHeight="false" outlineLevel="0" collapsed="false">
      <c r="A19" s="4"/>
      <c r="B19" s="33"/>
      <c r="C19" s="4"/>
      <c r="D19" s="4"/>
      <c r="E19" s="4"/>
      <c r="F19" s="4"/>
      <c r="G19" s="4"/>
      <c r="H19" s="4"/>
      <c r="I19" s="4"/>
      <c r="J19" s="4"/>
      <c r="K19" s="4"/>
      <c r="L19" s="33"/>
      <c r="M19" s="4"/>
    </row>
    <row r="20" customFormat="false" ht="15" hidden="false" customHeight="false" outlineLevel="0" collapsed="false">
      <c r="A20" s="4"/>
      <c r="B20" s="33"/>
      <c r="C20" s="4"/>
      <c r="D20" s="4"/>
      <c r="E20" s="4"/>
      <c r="F20" s="4"/>
      <c r="G20" s="4"/>
      <c r="H20" s="4"/>
      <c r="I20" s="4"/>
      <c r="J20" s="4"/>
      <c r="K20" s="4"/>
      <c r="L20" s="33"/>
      <c r="M20" s="4"/>
    </row>
    <row r="21" customFormat="false" ht="15" hidden="false" customHeight="false" outlineLevel="0" collapsed="false">
      <c r="A21" s="4"/>
      <c r="B21" s="33"/>
      <c r="C21" s="4"/>
      <c r="D21" s="4"/>
      <c r="E21" s="4"/>
      <c r="F21" s="4"/>
      <c r="G21" s="4"/>
      <c r="H21" s="4"/>
      <c r="I21" s="4"/>
      <c r="J21" s="4"/>
      <c r="K21" s="4"/>
      <c r="L21" s="33"/>
      <c r="M21" s="4"/>
    </row>
    <row r="22" customFormat="false" ht="15" hidden="false" customHeight="false" outlineLevel="0" collapsed="false">
      <c r="A22" s="4"/>
      <c r="B22" s="33"/>
      <c r="C22" s="4"/>
      <c r="D22" s="4"/>
      <c r="E22" s="4"/>
      <c r="F22" s="4"/>
      <c r="G22" s="4"/>
      <c r="H22" s="4"/>
      <c r="I22" s="4"/>
      <c r="J22" s="4"/>
      <c r="K22" s="4"/>
      <c r="L22" s="33"/>
      <c r="M22" s="4"/>
    </row>
    <row r="23" customFormat="false" ht="15" hidden="false" customHeight="false" outlineLevel="0" collapsed="false">
      <c r="A23" s="4"/>
      <c r="B23" s="33"/>
      <c r="C23" s="4"/>
      <c r="D23" s="4"/>
      <c r="E23" s="4"/>
      <c r="F23" s="4"/>
      <c r="G23" s="4"/>
      <c r="H23" s="4"/>
      <c r="I23" s="4"/>
      <c r="J23" s="4"/>
      <c r="K23" s="4"/>
      <c r="L23" s="33"/>
      <c r="M23" s="4"/>
    </row>
    <row r="24" customFormat="false" ht="15" hidden="false" customHeight="false" outlineLevel="0" collapsed="false">
      <c r="A24" s="4"/>
      <c r="B24" s="33"/>
      <c r="C24" s="4"/>
      <c r="D24" s="4"/>
      <c r="E24" s="4"/>
      <c r="F24" s="4"/>
      <c r="G24" s="4"/>
      <c r="H24" s="4"/>
      <c r="I24" s="4"/>
      <c r="J24" s="4"/>
      <c r="K24" s="4"/>
      <c r="L24" s="33"/>
      <c r="M24" s="4"/>
    </row>
    <row r="25" customFormat="false" ht="15" hidden="false" customHeight="false" outlineLevel="0" collapsed="false">
      <c r="A25" s="4"/>
      <c r="B25" s="33"/>
      <c r="C25" s="4"/>
      <c r="D25" s="4"/>
      <c r="E25" s="4"/>
      <c r="F25" s="4"/>
      <c r="G25" s="4"/>
      <c r="H25" s="4"/>
      <c r="I25" s="4"/>
      <c r="J25" s="4"/>
      <c r="K25" s="4"/>
      <c r="L25" s="33"/>
      <c r="M25" s="4"/>
    </row>
    <row r="26" customFormat="false" ht="15" hidden="false" customHeight="false" outlineLevel="0" collapsed="false">
      <c r="A26" s="4"/>
      <c r="B26" s="33"/>
      <c r="C26" s="4"/>
      <c r="D26" s="4"/>
      <c r="E26" s="4"/>
      <c r="F26" s="4"/>
      <c r="G26" s="4"/>
      <c r="H26" s="4"/>
      <c r="I26" s="4"/>
      <c r="J26" s="4"/>
      <c r="K26" s="4"/>
      <c r="L26" s="33"/>
      <c r="M26" s="4"/>
    </row>
    <row r="27" customFormat="false" ht="15" hidden="false" customHeight="false" outlineLevel="0" collapsed="false">
      <c r="A27" s="4"/>
      <c r="B27" s="33"/>
      <c r="C27" s="4"/>
      <c r="D27" s="4"/>
      <c r="E27" s="4"/>
      <c r="F27" s="4"/>
      <c r="G27" s="4"/>
      <c r="H27" s="4"/>
      <c r="I27" s="4"/>
      <c r="J27" s="4"/>
      <c r="K27" s="4"/>
      <c r="L27" s="33"/>
      <c r="M27" s="4"/>
    </row>
    <row r="28" customFormat="false" ht="15" hidden="false" customHeight="false" outlineLevel="0" collapsed="false">
      <c r="A28" s="4"/>
      <c r="B28" s="33"/>
      <c r="C28" s="4"/>
      <c r="D28" s="4"/>
      <c r="E28" s="4"/>
      <c r="F28" s="4"/>
      <c r="G28" s="4"/>
      <c r="H28" s="4"/>
      <c r="I28" s="4"/>
      <c r="J28" s="4"/>
      <c r="K28" s="4"/>
      <c r="L28" s="33"/>
      <c r="M28" s="4"/>
    </row>
    <row r="29" customFormat="false" ht="15" hidden="false" customHeight="false" outlineLevel="0" collapsed="false">
      <c r="A29" s="4"/>
      <c r="B29" s="33"/>
      <c r="C29" s="4"/>
      <c r="D29" s="4"/>
      <c r="E29" s="4"/>
      <c r="F29" s="4"/>
      <c r="G29" s="4"/>
      <c r="H29" s="4"/>
      <c r="I29" s="4"/>
      <c r="J29" s="4"/>
      <c r="K29" s="4"/>
      <c r="L29" s="33"/>
      <c r="M29" s="4"/>
    </row>
    <row r="30" customFormat="false" ht="15" hidden="false" customHeight="false" outlineLevel="0" collapsed="false">
      <c r="A30" s="4"/>
      <c r="B30" s="33"/>
      <c r="C30" s="4"/>
      <c r="D30" s="4"/>
      <c r="E30" s="4"/>
      <c r="F30" s="4"/>
      <c r="G30" s="4"/>
      <c r="H30" s="4"/>
      <c r="I30" s="4"/>
      <c r="J30" s="4"/>
      <c r="K30" s="4"/>
      <c r="L30" s="33"/>
      <c r="M30" s="4"/>
    </row>
    <row r="31" customFormat="false" ht="15" hidden="false" customHeight="false" outlineLevel="0" collapsed="false">
      <c r="A31" s="4"/>
      <c r="B31" s="33"/>
      <c r="C31" s="4"/>
      <c r="D31" s="4"/>
      <c r="E31" s="4"/>
      <c r="F31" s="4"/>
      <c r="G31" s="4"/>
      <c r="H31" s="4"/>
      <c r="I31" s="4"/>
      <c r="J31" s="4"/>
      <c r="K31" s="4"/>
      <c r="L31" s="33"/>
      <c r="M31" s="4"/>
    </row>
    <row r="32" customFormat="false" ht="15" hidden="false" customHeight="false" outlineLevel="0" collapsed="false">
      <c r="A32" s="4"/>
      <c r="B32" s="33"/>
      <c r="C32" s="4"/>
      <c r="D32" s="4"/>
      <c r="E32" s="4"/>
      <c r="F32" s="4"/>
      <c r="G32" s="4"/>
      <c r="H32" s="4"/>
      <c r="I32" s="4"/>
      <c r="J32" s="4"/>
      <c r="K32" s="4"/>
      <c r="L32" s="33"/>
      <c r="M32" s="4"/>
    </row>
    <row r="33" customFormat="false" ht="15" hidden="false" customHeight="false" outlineLevel="0" collapsed="false">
      <c r="A33" s="4"/>
      <c r="B33" s="33"/>
      <c r="C33" s="4"/>
      <c r="D33" s="4"/>
      <c r="E33" s="4"/>
      <c r="F33" s="4"/>
      <c r="G33" s="4"/>
      <c r="H33" s="4"/>
      <c r="I33" s="4"/>
      <c r="J33" s="4"/>
      <c r="K33" s="4"/>
      <c r="L33" s="33"/>
      <c r="M33" s="4"/>
    </row>
    <row r="34" customFormat="false" ht="15" hidden="false" customHeight="false" outlineLevel="0" collapsed="false">
      <c r="A34" s="4"/>
      <c r="B34" s="33"/>
      <c r="C34" s="4"/>
      <c r="D34" s="4"/>
      <c r="E34" s="4"/>
      <c r="F34" s="4"/>
      <c r="G34" s="4"/>
      <c r="H34" s="4"/>
      <c r="I34" s="4"/>
      <c r="J34" s="4"/>
      <c r="K34" s="4"/>
      <c r="L34" s="33"/>
      <c r="M34" s="4"/>
    </row>
    <row r="35" customFormat="false" ht="15" hidden="false" customHeight="false" outlineLevel="0" collapsed="false">
      <c r="A35" s="4"/>
      <c r="B35" s="33"/>
      <c r="C35" s="4"/>
      <c r="D35" s="4"/>
      <c r="E35" s="4"/>
      <c r="F35" s="4"/>
      <c r="G35" s="4"/>
      <c r="H35" s="4"/>
      <c r="I35" s="4"/>
      <c r="J35" s="4"/>
      <c r="K35" s="4"/>
      <c r="L35" s="33"/>
      <c r="M35" s="4"/>
    </row>
    <row r="36" customFormat="false" ht="15" hidden="false" customHeight="false" outlineLevel="0" collapsed="false">
      <c r="A36" s="4"/>
      <c r="B36" s="33"/>
      <c r="C36" s="4"/>
      <c r="D36" s="4"/>
      <c r="E36" s="4"/>
      <c r="F36" s="4"/>
      <c r="G36" s="4"/>
      <c r="H36" s="4"/>
      <c r="I36" s="4"/>
      <c r="J36" s="4"/>
      <c r="K36" s="4"/>
      <c r="L36" s="33"/>
      <c r="M36" s="4"/>
    </row>
    <row r="37" customFormat="false" ht="15" hidden="false" customHeight="false" outlineLevel="0" collapsed="false">
      <c r="A37" s="4"/>
      <c r="B37" s="33"/>
      <c r="C37" s="4"/>
      <c r="D37" s="4"/>
      <c r="E37" s="4"/>
      <c r="F37" s="4"/>
      <c r="G37" s="4"/>
      <c r="H37" s="4"/>
      <c r="I37" s="4"/>
      <c r="J37" s="4"/>
      <c r="K37" s="4"/>
      <c r="L37" s="33"/>
      <c r="M37" s="4"/>
    </row>
    <row r="38" customFormat="false" ht="15" hidden="false" customHeight="false" outlineLevel="0" collapsed="false">
      <c r="A38" s="4"/>
      <c r="B38" s="33"/>
      <c r="C38" s="4"/>
      <c r="D38" s="4"/>
      <c r="E38" s="4"/>
      <c r="F38" s="4"/>
      <c r="G38" s="4"/>
      <c r="H38" s="4"/>
      <c r="I38" s="4"/>
      <c r="J38" s="4"/>
      <c r="K38" s="4"/>
      <c r="L38" s="33"/>
      <c r="M38" s="4"/>
    </row>
    <row r="39" customFormat="false" ht="15" hidden="false" customHeight="false" outlineLevel="0" collapsed="false">
      <c r="A39" s="4"/>
      <c r="B39" s="33"/>
      <c r="C39" s="4"/>
      <c r="D39" s="4"/>
      <c r="E39" s="4"/>
      <c r="F39" s="4"/>
      <c r="G39" s="4"/>
      <c r="H39" s="4"/>
      <c r="I39" s="4"/>
      <c r="J39" s="4"/>
      <c r="K39" s="4"/>
      <c r="L39" s="33"/>
      <c r="M39" s="4"/>
    </row>
    <row r="40" customFormat="false" ht="15" hidden="false" customHeight="false" outlineLevel="0" collapsed="false">
      <c r="A40" s="4"/>
      <c r="B40" s="33"/>
      <c r="C40" s="4"/>
      <c r="D40" s="4"/>
      <c r="E40" s="4"/>
      <c r="F40" s="4"/>
      <c r="G40" s="4"/>
      <c r="H40" s="4"/>
      <c r="I40" s="4"/>
      <c r="J40" s="4"/>
      <c r="K40" s="4"/>
      <c r="L40" s="33"/>
      <c r="M40" s="4"/>
    </row>
    <row r="41" customFormat="false" ht="15" hidden="false" customHeight="false" outlineLevel="0" collapsed="false">
      <c r="A41" s="4"/>
      <c r="B41" s="33"/>
      <c r="C41" s="4"/>
      <c r="D41" s="4"/>
      <c r="E41" s="4"/>
      <c r="F41" s="4"/>
      <c r="G41" s="4"/>
      <c r="H41" s="4"/>
      <c r="I41" s="4"/>
      <c r="J41" s="4"/>
      <c r="K41" s="4"/>
      <c r="L41" s="33"/>
      <c r="M41" s="4"/>
    </row>
    <row r="42" customFormat="false" ht="15" hidden="false" customHeight="false" outlineLevel="0" collapsed="false">
      <c r="A42" s="4"/>
      <c r="B42" s="33"/>
      <c r="C42" s="4"/>
      <c r="D42" s="4"/>
      <c r="E42" s="4"/>
      <c r="F42" s="4"/>
      <c r="G42" s="4"/>
      <c r="H42" s="4"/>
      <c r="I42" s="4"/>
      <c r="J42" s="4"/>
      <c r="K42" s="4"/>
      <c r="L42" s="33"/>
      <c r="M42" s="4"/>
    </row>
    <row r="43" customFormat="false" ht="15" hidden="false" customHeight="false" outlineLevel="0" collapsed="false">
      <c r="A43" s="4"/>
      <c r="B43" s="33"/>
      <c r="C43" s="4"/>
      <c r="D43" s="4"/>
      <c r="E43" s="4"/>
      <c r="F43" s="4"/>
      <c r="G43" s="4"/>
      <c r="H43" s="4"/>
      <c r="I43" s="4"/>
      <c r="J43" s="4"/>
      <c r="K43" s="4"/>
      <c r="L43" s="33"/>
      <c r="M43" s="4"/>
    </row>
    <row r="44" customFormat="false" ht="15" hidden="false" customHeight="false" outlineLevel="0" collapsed="false">
      <c r="A44" s="4"/>
      <c r="B44" s="33"/>
      <c r="C44" s="4"/>
      <c r="D44" s="4"/>
      <c r="E44" s="4"/>
      <c r="F44" s="4"/>
      <c r="G44" s="4"/>
      <c r="H44" s="4"/>
      <c r="I44" s="4"/>
      <c r="J44" s="4"/>
      <c r="K44" s="4"/>
      <c r="L44" s="33"/>
      <c r="M44" s="4"/>
    </row>
    <row r="45" customFormat="false" ht="15" hidden="false" customHeight="false" outlineLevel="0" collapsed="false">
      <c r="A45" s="4"/>
      <c r="B45" s="33"/>
      <c r="C45" s="4"/>
      <c r="D45" s="4"/>
      <c r="E45" s="4"/>
      <c r="F45" s="4"/>
      <c r="G45" s="4"/>
      <c r="H45" s="4"/>
      <c r="I45" s="4"/>
      <c r="J45" s="4"/>
      <c r="K45" s="4"/>
      <c r="L45" s="33"/>
      <c r="M45" s="4"/>
    </row>
    <row r="46" customFormat="false" ht="15" hidden="false" customHeight="false" outlineLevel="0" collapsed="false">
      <c r="A46" s="4"/>
      <c r="B46" s="33"/>
      <c r="C46" s="4"/>
      <c r="D46" s="4"/>
      <c r="E46" s="4"/>
      <c r="F46" s="4"/>
      <c r="G46" s="4"/>
      <c r="H46" s="4"/>
      <c r="I46" s="4"/>
      <c r="J46" s="4"/>
      <c r="K46" s="4"/>
      <c r="L46" s="33"/>
      <c r="M46" s="4"/>
    </row>
    <row r="47" customFormat="false" ht="15" hidden="false" customHeight="false" outlineLevel="0" collapsed="false">
      <c r="A47" s="4"/>
      <c r="B47" s="33"/>
      <c r="C47" s="4"/>
      <c r="D47" s="4"/>
      <c r="E47" s="4"/>
      <c r="F47" s="4"/>
      <c r="G47" s="4"/>
      <c r="H47" s="4"/>
      <c r="I47" s="4"/>
      <c r="J47" s="4"/>
      <c r="K47" s="4"/>
      <c r="L47" s="33"/>
      <c r="M47" s="4"/>
    </row>
    <row r="48" customFormat="false" ht="15" hidden="false" customHeight="false" outlineLevel="0" collapsed="false">
      <c r="A48" s="4"/>
      <c r="B48" s="33"/>
      <c r="C48" s="4"/>
      <c r="D48" s="4"/>
      <c r="E48" s="4"/>
      <c r="F48" s="4"/>
      <c r="G48" s="4"/>
      <c r="H48" s="4"/>
      <c r="I48" s="4"/>
      <c r="J48" s="4"/>
      <c r="K48" s="4"/>
      <c r="L48" s="33"/>
      <c r="M48" s="4"/>
    </row>
    <row r="49" customFormat="false" ht="15" hidden="false" customHeight="false" outlineLevel="0" collapsed="false">
      <c r="A49" s="4"/>
      <c r="B49" s="33"/>
      <c r="C49" s="4"/>
      <c r="D49" s="4"/>
      <c r="E49" s="4"/>
      <c r="F49" s="4"/>
      <c r="G49" s="4"/>
      <c r="H49" s="4"/>
      <c r="I49" s="4"/>
      <c r="J49" s="4"/>
      <c r="K49" s="4"/>
      <c r="L49" s="33"/>
      <c r="M49" s="4"/>
    </row>
    <row r="50" customFormat="false" ht="15" hidden="false" customHeight="false" outlineLevel="0" collapsed="false">
      <c r="A50" s="4"/>
      <c r="B50" s="33"/>
      <c r="C50" s="4"/>
      <c r="D50" s="4"/>
      <c r="E50" s="4"/>
      <c r="F50" s="4"/>
      <c r="G50" s="4"/>
      <c r="H50" s="4"/>
      <c r="I50" s="4"/>
      <c r="J50" s="4"/>
      <c r="K50" s="4"/>
      <c r="L50" s="33"/>
      <c r="M50" s="4"/>
    </row>
    <row r="51" customFormat="false" ht="15" hidden="false" customHeight="false" outlineLevel="0" collapsed="false">
      <c r="A51" s="4"/>
      <c r="B51" s="33"/>
      <c r="C51" s="4"/>
      <c r="D51" s="4"/>
      <c r="E51" s="4"/>
      <c r="F51" s="4"/>
      <c r="G51" s="4"/>
      <c r="H51" s="4"/>
      <c r="I51" s="4"/>
      <c r="J51" s="4"/>
      <c r="K51" s="4"/>
      <c r="L51" s="33"/>
      <c r="M51" s="4"/>
    </row>
    <row r="52" customFormat="false" ht="15" hidden="false" customHeight="false" outlineLevel="0" collapsed="false">
      <c r="A52" s="4"/>
      <c r="B52" s="33"/>
      <c r="C52" s="4"/>
      <c r="D52" s="4"/>
      <c r="E52" s="4"/>
      <c r="F52" s="4"/>
      <c r="G52" s="4"/>
      <c r="H52" s="4"/>
      <c r="I52" s="4"/>
      <c r="J52" s="4"/>
      <c r="K52" s="4"/>
      <c r="L52" s="33"/>
      <c r="M52" s="4"/>
    </row>
    <row r="53" customFormat="false" ht="15" hidden="false" customHeight="false" outlineLevel="0" collapsed="false">
      <c r="A53" s="4"/>
      <c r="B53" s="33"/>
      <c r="C53" s="4"/>
      <c r="D53" s="4"/>
      <c r="E53" s="4"/>
      <c r="F53" s="4"/>
      <c r="G53" s="4"/>
      <c r="H53" s="4"/>
      <c r="I53" s="4"/>
      <c r="J53" s="4"/>
      <c r="K53" s="4"/>
      <c r="L53" s="33"/>
      <c r="M53" s="4"/>
    </row>
    <row r="54" customFormat="false" ht="15" hidden="false" customHeight="false" outlineLevel="0" collapsed="false">
      <c r="A54" s="4"/>
      <c r="B54" s="33"/>
      <c r="C54" s="4"/>
      <c r="D54" s="4"/>
      <c r="E54" s="4"/>
      <c r="F54" s="4"/>
      <c r="G54" s="4"/>
      <c r="H54" s="4"/>
      <c r="I54" s="4"/>
      <c r="J54" s="4"/>
      <c r="K54" s="4"/>
      <c r="L54" s="33"/>
      <c r="M54" s="4"/>
    </row>
    <row r="55" customFormat="false" ht="15" hidden="false" customHeight="false" outlineLevel="0" collapsed="false">
      <c r="A55" s="4"/>
      <c r="B55" s="33"/>
      <c r="C55" s="4"/>
      <c r="D55" s="4"/>
      <c r="E55" s="4"/>
      <c r="F55" s="4"/>
      <c r="G55" s="4"/>
      <c r="H55" s="4"/>
      <c r="I55" s="4"/>
      <c r="J55" s="4"/>
      <c r="K55" s="4"/>
      <c r="L55" s="33"/>
      <c r="M55" s="4"/>
    </row>
    <row r="56" customFormat="false" ht="15" hidden="false" customHeight="false" outlineLevel="0" collapsed="false">
      <c r="A56" s="4"/>
      <c r="B56" s="33"/>
      <c r="C56" s="4"/>
      <c r="D56" s="4"/>
      <c r="E56" s="4"/>
      <c r="F56" s="4"/>
      <c r="G56" s="4"/>
      <c r="H56" s="4"/>
      <c r="I56" s="4"/>
      <c r="J56" s="4"/>
      <c r="K56" s="4"/>
      <c r="L56" s="33"/>
      <c r="M56" s="4"/>
    </row>
    <row r="57" customFormat="false" ht="15" hidden="false" customHeight="false" outlineLevel="0" collapsed="false">
      <c r="A57" s="4"/>
      <c r="B57" s="33"/>
      <c r="C57" s="4"/>
      <c r="D57" s="4"/>
      <c r="E57" s="4"/>
      <c r="F57" s="4"/>
      <c r="G57" s="4"/>
      <c r="H57" s="4"/>
      <c r="I57" s="4"/>
      <c r="J57" s="4"/>
      <c r="K57" s="4"/>
      <c r="L57" s="33"/>
      <c r="M57" s="4"/>
    </row>
    <row r="58" customFormat="false" ht="15" hidden="false" customHeight="false" outlineLevel="0" collapsed="false">
      <c r="A58" s="4"/>
      <c r="B58" s="33"/>
      <c r="C58" s="4"/>
      <c r="D58" s="4"/>
      <c r="E58" s="4"/>
      <c r="F58" s="4"/>
      <c r="G58" s="4"/>
      <c r="H58" s="4"/>
      <c r="I58" s="4"/>
      <c r="J58" s="4"/>
      <c r="K58" s="4"/>
      <c r="L58" s="33"/>
      <c r="M58" s="4"/>
    </row>
    <row r="59" customFormat="false" ht="15" hidden="false" customHeight="false" outlineLevel="0" collapsed="false">
      <c r="A59" s="4"/>
      <c r="B59" s="33"/>
      <c r="C59" s="4"/>
      <c r="D59" s="4"/>
      <c r="E59" s="4"/>
      <c r="F59" s="4"/>
      <c r="G59" s="4"/>
      <c r="H59" s="4"/>
      <c r="I59" s="4"/>
      <c r="J59" s="4"/>
      <c r="K59" s="4"/>
      <c r="L59" s="33"/>
      <c r="M59" s="4"/>
    </row>
    <row r="60" customFormat="false" ht="15" hidden="false" customHeight="false" outlineLevel="0" collapsed="false">
      <c r="A60" s="4"/>
      <c r="B60" s="33"/>
      <c r="C60" s="4"/>
      <c r="D60" s="4"/>
      <c r="E60" s="4"/>
      <c r="F60" s="4"/>
      <c r="G60" s="4"/>
      <c r="H60" s="4"/>
      <c r="I60" s="4"/>
      <c r="J60" s="4"/>
      <c r="K60" s="4"/>
      <c r="L60" s="33"/>
      <c r="M60" s="4"/>
    </row>
    <row r="61" customFormat="false" ht="15" hidden="false" customHeight="false" outlineLevel="0" collapsed="false">
      <c r="A61" s="4"/>
      <c r="B61" s="33"/>
      <c r="C61" s="4"/>
      <c r="D61" s="4"/>
      <c r="E61" s="4"/>
      <c r="F61" s="4"/>
      <c r="G61" s="4"/>
      <c r="H61" s="4"/>
      <c r="I61" s="4"/>
      <c r="J61" s="4"/>
      <c r="K61" s="4"/>
      <c r="L61" s="33"/>
      <c r="M61" s="4"/>
    </row>
    <row r="62" customFormat="false" ht="15" hidden="false" customHeight="false" outlineLevel="0" collapsed="false">
      <c r="A62" s="4"/>
      <c r="B62" s="33"/>
      <c r="C62" s="4"/>
      <c r="D62" s="4"/>
      <c r="E62" s="4"/>
      <c r="F62" s="4"/>
      <c r="G62" s="4"/>
      <c r="H62" s="4"/>
      <c r="I62" s="4"/>
      <c r="J62" s="4"/>
      <c r="K62" s="4"/>
      <c r="L62" s="33"/>
      <c r="M62" s="4"/>
    </row>
    <row r="63" customFormat="false" ht="15" hidden="false" customHeight="false" outlineLevel="0" collapsed="false">
      <c r="A63" s="4"/>
      <c r="B63" s="33"/>
      <c r="C63" s="4"/>
      <c r="D63" s="4"/>
      <c r="E63" s="4"/>
      <c r="F63" s="4"/>
      <c r="G63" s="4"/>
      <c r="H63" s="4"/>
      <c r="I63" s="4"/>
      <c r="J63" s="4"/>
      <c r="K63" s="4"/>
      <c r="L63" s="33"/>
      <c r="M63" s="4"/>
    </row>
    <row r="64" customFormat="false" ht="15" hidden="false" customHeight="false" outlineLevel="0" collapsed="false">
      <c r="A64" s="4"/>
      <c r="B64" s="33"/>
      <c r="C64" s="4"/>
      <c r="D64" s="4"/>
      <c r="E64" s="4"/>
      <c r="F64" s="4"/>
      <c r="G64" s="4"/>
      <c r="H64" s="4"/>
      <c r="I64" s="4"/>
      <c r="J64" s="4"/>
      <c r="K64" s="4"/>
      <c r="L64" s="33"/>
      <c r="M64" s="4"/>
    </row>
    <row r="65" customFormat="false" ht="15" hidden="false" customHeight="false" outlineLevel="0" collapsed="false">
      <c r="A65" s="4"/>
      <c r="B65" s="33"/>
      <c r="C65" s="4"/>
      <c r="D65" s="4"/>
      <c r="E65" s="4"/>
      <c r="F65" s="4"/>
      <c r="G65" s="4"/>
      <c r="H65" s="4"/>
      <c r="I65" s="4"/>
      <c r="J65" s="4"/>
      <c r="K65" s="4"/>
      <c r="L65" s="33"/>
      <c r="M65" s="4"/>
    </row>
    <row r="66" customFormat="false" ht="15" hidden="false" customHeight="false" outlineLevel="0" collapsed="false">
      <c r="A66" s="4"/>
      <c r="B66" s="33"/>
      <c r="C66" s="4"/>
      <c r="D66" s="4"/>
      <c r="E66" s="4"/>
      <c r="F66" s="4"/>
      <c r="G66" s="4"/>
      <c r="H66" s="4"/>
      <c r="I66" s="4"/>
      <c r="J66" s="4"/>
      <c r="K66" s="4"/>
      <c r="L66" s="33"/>
      <c r="M66" s="4"/>
    </row>
    <row r="67" customFormat="false" ht="15" hidden="false" customHeight="false" outlineLevel="0" collapsed="false">
      <c r="A67" s="4"/>
      <c r="B67" s="33"/>
      <c r="C67" s="4"/>
      <c r="D67" s="4"/>
      <c r="E67" s="4"/>
      <c r="F67" s="4"/>
      <c r="G67" s="4"/>
      <c r="H67" s="4"/>
      <c r="I67" s="4"/>
      <c r="J67" s="4"/>
      <c r="K67" s="4"/>
      <c r="L67" s="33"/>
      <c r="M67" s="4"/>
    </row>
    <row r="68" customFormat="false" ht="15" hidden="false" customHeight="false" outlineLevel="0" collapsed="false">
      <c r="A68" s="4"/>
      <c r="B68" s="33"/>
      <c r="C68" s="4"/>
      <c r="D68" s="4"/>
      <c r="E68" s="4"/>
      <c r="F68" s="4"/>
      <c r="G68" s="4"/>
      <c r="H68" s="4"/>
      <c r="I68" s="4"/>
      <c r="J68" s="4"/>
      <c r="K68" s="4"/>
      <c r="L68" s="33"/>
      <c r="M68" s="4"/>
    </row>
    <row r="69" customFormat="false" ht="15" hidden="false" customHeight="false" outlineLevel="0" collapsed="false">
      <c r="A69" s="4"/>
      <c r="B69" s="33"/>
      <c r="C69" s="4"/>
      <c r="D69" s="4"/>
      <c r="E69" s="4"/>
      <c r="F69" s="4"/>
      <c r="G69" s="4"/>
      <c r="H69" s="4"/>
      <c r="I69" s="4"/>
      <c r="J69" s="4"/>
      <c r="K69" s="4"/>
      <c r="L69" s="33"/>
      <c r="M69" s="4"/>
    </row>
    <row r="70" customFormat="false" ht="15" hidden="false" customHeight="false" outlineLevel="0" collapsed="false">
      <c r="A70" s="4"/>
      <c r="B70" s="33"/>
      <c r="C70" s="4"/>
      <c r="D70" s="4"/>
      <c r="E70" s="4"/>
      <c r="F70" s="4"/>
      <c r="G70" s="4"/>
      <c r="H70" s="4"/>
      <c r="I70" s="4"/>
      <c r="J70" s="4"/>
      <c r="K70" s="4"/>
      <c r="L70" s="33"/>
      <c r="M70" s="4"/>
    </row>
    <row r="71" customFormat="false" ht="15" hidden="false" customHeight="false" outlineLevel="0" collapsed="false">
      <c r="A71" s="4"/>
      <c r="B71" s="33"/>
      <c r="C71" s="4"/>
      <c r="D71" s="4"/>
      <c r="E71" s="4"/>
      <c r="F71" s="4"/>
      <c r="G71" s="4"/>
      <c r="H71" s="4"/>
      <c r="I71" s="4"/>
      <c r="J71" s="4"/>
      <c r="K71" s="4"/>
      <c r="L71" s="33"/>
      <c r="M71" s="4"/>
    </row>
    <row r="72" customFormat="false" ht="15" hidden="false" customHeight="false" outlineLevel="0" collapsed="false">
      <c r="A72" s="4"/>
      <c r="B72" s="33"/>
      <c r="C72" s="4"/>
      <c r="D72" s="4"/>
      <c r="E72" s="4"/>
      <c r="F72" s="4"/>
      <c r="G72" s="4"/>
      <c r="H72" s="4"/>
      <c r="I72" s="4"/>
      <c r="J72" s="4"/>
      <c r="K72" s="4"/>
      <c r="L72" s="33"/>
      <c r="M72" s="4"/>
    </row>
    <row r="73" customFormat="false" ht="15" hidden="false" customHeight="false" outlineLevel="0" collapsed="false">
      <c r="A73" s="4"/>
      <c r="B73" s="33"/>
      <c r="C73" s="4"/>
      <c r="D73" s="4"/>
      <c r="E73" s="4"/>
      <c r="F73" s="4"/>
      <c r="G73" s="4"/>
      <c r="H73" s="4"/>
      <c r="I73" s="4"/>
      <c r="J73" s="4"/>
      <c r="K73" s="4"/>
      <c r="L73" s="33"/>
      <c r="M73" s="4"/>
    </row>
    <row r="74" customFormat="false" ht="15" hidden="false" customHeight="false" outlineLevel="0" collapsed="false">
      <c r="A74" s="4"/>
      <c r="B74" s="33"/>
      <c r="C74" s="4"/>
      <c r="D74" s="4"/>
      <c r="E74" s="4"/>
      <c r="F74" s="4"/>
      <c r="G74" s="4"/>
      <c r="H74" s="4"/>
      <c r="I74" s="4"/>
      <c r="J74" s="4"/>
      <c r="K74" s="4"/>
      <c r="L74" s="33"/>
      <c r="M74" s="4"/>
    </row>
    <row r="75" customFormat="false" ht="15" hidden="false" customHeight="false" outlineLevel="0" collapsed="false">
      <c r="A75" s="4"/>
      <c r="B75" s="33"/>
      <c r="C75" s="4"/>
      <c r="D75" s="4"/>
      <c r="E75" s="4"/>
      <c r="F75" s="4"/>
      <c r="G75" s="4"/>
      <c r="H75" s="4"/>
      <c r="I75" s="4"/>
      <c r="J75" s="4"/>
      <c r="K75" s="4"/>
      <c r="L75" s="33"/>
      <c r="M75" s="4"/>
    </row>
    <row r="76" customFormat="false" ht="15" hidden="false" customHeight="false" outlineLevel="0" collapsed="false">
      <c r="A76" s="4"/>
      <c r="B76" s="33"/>
      <c r="C76" s="4"/>
      <c r="D76" s="4"/>
      <c r="E76" s="4"/>
      <c r="F76" s="4"/>
      <c r="G76" s="4"/>
      <c r="H76" s="4"/>
      <c r="I76" s="4"/>
      <c r="J76" s="4"/>
      <c r="K76" s="4"/>
      <c r="L76" s="33"/>
      <c r="M76" s="4"/>
    </row>
    <row r="77" customFormat="false" ht="15" hidden="false" customHeight="false" outlineLevel="0" collapsed="false">
      <c r="A77" s="4"/>
      <c r="B77" s="33"/>
      <c r="C77" s="4"/>
      <c r="D77" s="4"/>
      <c r="E77" s="4"/>
      <c r="F77" s="4"/>
      <c r="G77" s="4"/>
      <c r="H77" s="4"/>
      <c r="I77" s="4"/>
      <c r="J77" s="4"/>
      <c r="K77" s="4"/>
      <c r="L77" s="33"/>
      <c r="M77" s="4"/>
    </row>
    <row r="78" customFormat="false" ht="15" hidden="false" customHeight="false" outlineLevel="0" collapsed="false">
      <c r="A78" s="4"/>
      <c r="B78" s="33"/>
      <c r="C78" s="4"/>
      <c r="D78" s="4"/>
      <c r="E78" s="4"/>
      <c r="F78" s="4"/>
      <c r="G78" s="4"/>
      <c r="H78" s="4"/>
      <c r="I78" s="4"/>
      <c r="J78" s="4"/>
      <c r="K78" s="4"/>
      <c r="L78" s="33"/>
      <c r="M78" s="4"/>
    </row>
    <row r="79" customFormat="false" ht="15" hidden="false" customHeight="false" outlineLevel="0" collapsed="false">
      <c r="A79" s="4"/>
      <c r="B79" s="33"/>
      <c r="C79" s="4"/>
      <c r="D79" s="4"/>
      <c r="E79" s="4"/>
      <c r="F79" s="4"/>
      <c r="G79" s="4"/>
      <c r="H79" s="4"/>
      <c r="I79" s="4"/>
      <c r="J79" s="4"/>
      <c r="K79" s="4"/>
      <c r="L79" s="33"/>
      <c r="M79" s="4"/>
    </row>
    <row r="80" customFormat="false" ht="15" hidden="false" customHeight="false" outlineLevel="0" collapsed="false">
      <c r="A80" s="4"/>
      <c r="B80" s="33"/>
      <c r="C80" s="4"/>
      <c r="D80" s="4"/>
      <c r="E80" s="4"/>
      <c r="F80" s="4"/>
      <c r="G80" s="4"/>
      <c r="H80" s="4"/>
      <c r="I80" s="4"/>
      <c r="J80" s="4"/>
      <c r="K80" s="4"/>
      <c r="L80" s="33"/>
      <c r="M80" s="4"/>
    </row>
    <row r="81" customFormat="false" ht="15" hidden="false" customHeight="false" outlineLevel="0" collapsed="false">
      <c r="A81" s="4"/>
      <c r="B81" s="33"/>
      <c r="C81" s="4"/>
      <c r="D81" s="4"/>
      <c r="E81" s="4"/>
      <c r="F81" s="4"/>
      <c r="G81" s="4"/>
      <c r="H81" s="4"/>
      <c r="I81" s="4"/>
      <c r="J81" s="4"/>
      <c r="K81" s="4"/>
      <c r="L81" s="33"/>
      <c r="M81" s="4"/>
    </row>
    <row r="82" customFormat="false" ht="15" hidden="false" customHeight="false" outlineLevel="0" collapsed="false">
      <c r="A82" s="4"/>
      <c r="B82" s="33"/>
      <c r="C82" s="4"/>
      <c r="D82" s="4"/>
      <c r="E82" s="4"/>
      <c r="F82" s="4"/>
      <c r="G82" s="4"/>
      <c r="H82" s="4"/>
      <c r="I82" s="4"/>
      <c r="J82" s="4"/>
      <c r="K82" s="4"/>
      <c r="L82" s="33"/>
      <c r="M82" s="4"/>
    </row>
    <row r="83" customFormat="false" ht="15" hidden="false" customHeight="false" outlineLevel="0" collapsed="false">
      <c r="A83" s="4"/>
      <c r="B83" s="33"/>
      <c r="C83" s="4"/>
      <c r="D83" s="4"/>
      <c r="E83" s="4"/>
      <c r="F83" s="4"/>
      <c r="G83" s="4"/>
      <c r="H83" s="4"/>
      <c r="I83" s="4"/>
      <c r="J83" s="4"/>
      <c r="K83" s="4"/>
      <c r="L83" s="33"/>
      <c r="M83" s="4"/>
    </row>
    <row r="84" customFormat="false" ht="15" hidden="false" customHeight="false" outlineLevel="0" collapsed="false">
      <c r="A84" s="4"/>
      <c r="B84" s="33"/>
      <c r="C84" s="4"/>
      <c r="D84" s="4"/>
      <c r="E84" s="4"/>
      <c r="F84" s="4"/>
      <c r="G84" s="4"/>
      <c r="H84" s="4"/>
      <c r="I84" s="4"/>
      <c r="J84" s="4"/>
      <c r="K84" s="4"/>
      <c r="L84" s="33"/>
      <c r="M84" s="4"/>
    </row>
    <row r="85" customFormat="false" ht="15" hidden="false" customHeight="false" outlineLevel="0" collapsed="false">
      <c r="A85" s="4"/>
      <c r="B85" s="33"/>
      <c r="C85" s="4"/>
      <c r="D85" s="4"/>
      <c r="E85" s="4"/>
      <c r="F85" s="4"/>
      <c r="G85" s="4"/>
      <c r="H85" s="4"/>
      <c r="I85" s="4"/>
      <c r="J85" s="4"/>
      <c r="K85" s="4"/>
      <c r="L85" s="33"/>
      <c r="M85" s="4"/>
    </row>
    <row r="86" customFormat="false" ht="15" hidden="false" customHeight="false" outlineLevel="0" collapsed="false">
      <c r="A86" s="4"/>
      <c r="B86" s="33"/>
      <c r="C86" s="4"/>
      <c r="D86" s="4"/>
      <c r="E86" s="4"/>
      <c r="F86" s="4"/>
      <c r="G86" s="4"/>
      <c r="H86" s="4"/>
      <c r="I86" s="4"/>
      <c r="J86" s="4"/>
      <c r="K86" s="4"/>
      <c r="L86" s="33"/>
      <c r="M86" s="4"/>
    </row>
    <row r="87" customFormat="false" ht="15" hidden="false" customHeight="false" outlineLevel="0" collapsed="false">
      <c r="A87" s="4"/>
      <c r="B87" s="33"/>
      <c r="C87" s="4"/>
      <c r="D87" s="4"/>
      <c r="E87" s="4"/>
      <c r="F87" s="4"/>
      <c r="G87" s="4"/>
      <c r="H87" s="4"/>
      <c r="I87" s="4"/>
      <c r="J87" s="4"/>
      <c r="K87" s="4"/>
      <c r="L87" s="33"/>
      <c r="M87" s="4"/>
    </row>
    <row r="88" customFormat="false" ht="15" hidden="false" customHeight="false" outlineLevel="0" collapsed="false">
      <c r="A88" s="4"/>
      <c r="B88" s="33"/>
      <c r="C88" s="4"/>
      <c r="D88" s="4"/>
      <c r="E88" s="4"/>
      <c r="F88" s="4"/>
      <c r="G88" s="4"/>
      <c r="H88" s="4"/>
      <c r="I88" s="4"/>
      <c r="J88" s="4"/>
      <c r="K88" s="4"/>
      <c r="L88" s="33"/>
      <c r="M88" s="4"/>
    </row>
    <row r="89" customFormat="false" ht="15" hidden="false" customHeight="false" outlineLevel="0" collapsed="false">
      <c r="A89" s="4"/>
      <c r="B89" s="33"/>
      <c r="C89" s="4"/>
      <c r="D89" s="4"/>
      <c r="E89" s="4"/>
      <c r="F89" s="4"/>
      <c r="G89" s="4"/>
      <c r="H89" s="4"/>
      <c r="I89" s="4"/>
      <c r="J89" s="4"/>
      <c r="K89" s="4"/>
      <c r="L89" s="33"/>
      <c r="M89" s="4"/>
    </row>
    <row r="90" customFormat="false" ht="15" hidden="false" customHeight="false" outlineLevel="0" collapsed="false">
      <c r="A90" s="4"/>
      <c r="B90" s="33"/>
      <c r="C90" s="4"/>
      <c r="D90" s="4"/>
      <c r="E90" s="4"/>
      <c r="F90" s="4"/>
      <c r="G90" s="4"/>
      <c r="H90" s="4"/>
      <c r="I90" s="4"/>
      <c r="J90" s="4"/>
      <c r="K90" s="4"/>
      <c r="L90" s="33"/>
      <c r="M90" s="4"/>
    </row>
    <row r="91" customFormat="false" ht="15" hidden="false" customHeight="false" outlineLevel="0" collapsed="false">
      <c r="A91" s="4"/>
      <c r="B91" s="33"/>
      <c r="C91" s="4"/>
      <c r="D91" s="4"/>
      <c r="E91" s="4"/>
      <c r="F91" s="4"/>
      <c r="G91" s="4"/>
      <c r="H91" s="4"/>
      <c r="I91" s="4"/>
      <c r="J91" s="4"/>
      <c r="K91" s="4"/>
      <c r="L91" s="33"/>
      <c r="M91" s="4"/>
    </row>
    <row r="92" customFormat="false" ht="15" hidden="false" customHeight="false" outlineLevel="0" collapsed="false">
      <c r="A92" s="4"/>
      <c r="B92" s="33"/>
      <c r="C92" s="4"/>
      <c r="D92" s="4"/>
      <c r="E92" s="4"/>
      <c r="F92" s="4"/>
      <c r="G92" s="4"/>
      <c r="H92" s="4"/>
      <c r="I92" s="4"/>
      <c r="J92" s="4"/>
      <c r="K92" s="4"/>
      <c r="L92" s="33"/>
      <c r="M92" s="4"/>
    </row>
    <row r="93" customFormat="false" ht="15" hidden="false" customHeight="false" outlineLevel="0" collapsed="false">
      <c r="A93" s="4"/>
      <c r="B93" s="33"/>
      <c r="C93" s="4"/>
      <c r="D93" s="4"/>
      <c r="E93" s="4"/>
      <c r="F93" s="4"/>
      <c r="G93" s="4"/>
      <c r="H93" s="4"/>
      <c r="I93" s="4"/>
      <c r="J93" s="4"/>
      <c r="K93" s="4"/>
      <c r="L93" s="33"/>
      <c r="M93" s="4"/>
    </row>
    <row r="94" customFormat="false" ht="15" hidden="false" customHeight="false" outlineLevel="0" collapsed="false">
      <c r="A94" s="4"/>
      <c r="B94" s="33"/>
      <c r="C94" s="4"/>
      <c r="D94" s="4"/>
      <c r="E94" s="4"/>
      <c r="F94" s="4"/>
      <c r="G94" s="4"/>
      <c r="H94" s="4"/>
      <c r="I94" s="4"/>
      <c r="J94" s="4"/>
      <c r="K94" s="4"/>
      <c r="L94" s="33"/>
      <c r="M94" s="4"/>
    </row>
    <row r="95" customFormat="false" ht="15" hidden="false" customHeight="false" outlineLevel="0" collapsed="false">
      <c r="A95" s="4"/>
      <c r="B95" s="33"/>
      <c r="C95" s="4"/>
      <c r="D95" s="4"/>
      <c r="E95" s="4"/>
      <c r="F95" s="4"/>
      <c r="G95" s="4"/>
      <c r="H95" s="4"/>
      <c r="I95" s="4"/>
      <c r="J95" s="4"/>
      <c r="K95" s="4"/>
      <c r="L95" s="33"/>
      <c r="M95" s="4"/>
    </row>
    <row r="96" customFormat="false" ht="15" hidden="false" customHeight="false" outlineLevel="0" collapsed="false">
      <c r="A96" s="4"/>
      <c r="B96" s="33"/>
      <c r="C96" s="4"/>
      <c r="D96" s="4"/>
      <c r="E96" s="4"/>
      <c r="F96" s="4"/>
      <c r="G96" s="4"/>
      <c r="H96" s="4"/>
      <c r="I96" s="4"/>
      <c r="J96" s="4"/>
      <c r="K96" s="4"/>
      <c r="L96" s="33"/>
      <c r="M96" s="4"/>
    </row>
    <row r="97" customFormat="false" ht="15" hidden="false" customHeight="false" outlineLevel="0" collapsed="false">
      <c r="A97" s="4"/>
      <c r="B97" s="33"/>
      <c r="C97" s="4"/>
      <c r="D97" s="4"/>
      <c r="E97" s="4"/>
      <c r="F97" s="4"/>
      <c r="G97" s="4"/>
      <c r="H97" s="4"/>
      <c r="I97" s="4"/>
      <c r="J97" s="4"/>
      <c r="K97" s="4"/>
      <c r="L97" s="33"/>
      <c r="M97" s="4"/>
    </row>
    <row r="98" customFormat="false" ht="15" hidden="false" customHeight="false" outlineLevel="0" collapsed="false">
      <c r="A98" s="4"/>
      <c r="B98" s="33"/>
      <c r="C98" s="4"/>
      <c r="D98" s="4"/>
      <c r="E98" s="4"/>
      <c r="F98" s="4"/>
      <c r="G98" s="4"/>
      <c r="H98" s="4"/>
      <c r="I98" s="4"/>
      <c r="J98" s="4"/>
      <c r="K98" s="4"/>
      <c r="L98" s="33"/>
      <c r="M98" s="4"/>
    </row>
    <row r="99" customFormat="false" ht="15" hidden="false" customHeight="false" outlineLevel="0" collapsed="false">
      <c r="A99" s="4"/>
      <c r="B99" s="33"/>
      <c r="C99" s="4"/>
      <c r="D99" s="4"/>
      <c r="E99" s="4"/>
      <c r="F99" s="4"/>
      <c r="G99" s="4"/>
      <c r="H99" s="4"/>
      <c r="I99" s="4"/>
      <c r="J99" s="4"/>
      <c r="K99" s="4"/>
      <c r="L99" s="33"/>
      <c r="M99" s="4"/>
    </row>
    <row r="100" customFormat="false" ht="15" hidden="false" customHeight="false" outlineLevel="0" collapsed="false">
      <c r="A100" s="4"/>
      <c r="B100" s="33"/>
      <c r="C100" s="4"/>
      <c r="D100" s="4"/>
      <c r="E100" s="4"/>
      <c r="F100" s="4"/>
      <c r="G100" s="4"/>
      <c r="H100" s="4"/>
      <c r="I100" s="4"/>
      <c r="J100" s="4"/>
      <c r="K100" s="4"/>
      <c r="L100" s="33"/>
      <c r="M100" s="4"/>
    </row>
    <row r="101" customFormat="false" ht="15" hidden="false" customHeight="false" outlineLevel="0" collapsed="false">
      <c r="A101" s="4"/>
      <c r="B101" s="33"/>
      <c r="C101" s="4"/>
      <c r="D101" s="4"/>
      <c r="E101" s="4"/>
      <c r="F101" s="4"/>
      <c r="G101" s="4"/>
      <c r="H101" s="4"/>
      <c r="I101" s="4"/>
      <c r="J101" s="4"/>
      <c r="K101" s="4"/>
      <c r="L101" s="33"/>
      <c r="M101" s="4"/>
    </row>
    <row r="102" customFormat="false" ht="15" hidden="false" customHeight="false" outlineLevel="0" collapsed="false">
      <c r="A102" s="4"/>
      <c r="B102" s="33"/>
      <c r="C102" s="4"/>
      <c r="D102" s="4"/>
      <c r="E102" s="4"/>
      <c r="F102" s="4"/>
      <c r="G102" s="4"/>
      <c r="H102" s="4"/>
      <c r="I102" s="4"/>
      <c r="J102" s="4"/>
      <c r="K102" s="4"/>
      <c r="L102" s="33"/>
      <c r="M102" s="4"/>
    </row>
    <row r="103" customFormat="false" ht="15" hidden="false" customHeight="false" outlineLevel="0" collapsed="false">
      <c r="A103" s="4"/>
      <c r="B103" s="33"/>
      <c r="C103" s="4"/>
      <c r="D103" s="4"/>
      <c r="E103" s="4"/>
      <c r="F103" s="4"/>
      <c r="G103" s="4"/>
      <c r="H103" s="4"/>
      <c r="I103" s="4"/>
      <c r="J103" s="4"/>
      <c r="K103" s="4"/>
      <c r="L103" s="33"/>
      <c r="M103" s="4"/>
    </row>
    <row r="104" customFormat="false" ht="15" hidden="false" customHeight="false" outlineLevel="0" collapsed="false">
      <c r="A104" s="4"/>
      <c r="B104" s="33"/>
      <c r="C104" s="4"/>
      <c r="D104" s="4"/>
      <c r="E104" s="4"/>
      <c r="F104" s="4"/>
      <c r="G104" s="4"/>
      <c r="H104" s="4"/>
      <c r="I104" s="4"/>
      <c r="J104" s="4"/>
      <c r="K104" s="4"/>
      <c r="L104" s="33"/>
      <c r="M104" s="4"/>
    </row>
    <row r="105" customFormat="false" ht="15" hidden="false" customHeight="false" outlineLevel="0" collapsed="false">
      <c r="A105" s="4"/>
      <c r="B105" s="33"/>
      <c r="C105" s="4"/>
      <c r="D105" s="4"/>
      <c r="E105" s="4"/>
      <c r="F105" s="4"/>
      <c r="G105" s="4"/>
      <c r="H105" s="4"/>
      <c r="I105" s="4"/>
      <c r="J105" s="4"/>
      <c r="K105" s="4"/>
      <c r="L105" s="33"/>
      <c r="M105" s="4"/>
    </row>
    <row r="106" customFormat="false" ht="15" hidden="false" customHeight="false" outlineLevel="0" collapsed="false">
      <c r="A106" s="4"/>
      <c r="B106" s="33"/>
      <c r="C106" s="4"/>
      <c r="D106" s="4"/>
      <c r="E106" s="4"/>
      <c r="F106" s="4"/>
      <c r="G106" s="4"/>
      <c r="H106" s="4"/>
      <c r="I106" s="4"/>
      <c r="J106" s="4"/>
      <c r="K106" s="4"/>
      <c r="L106" s="33"/>
      <c r="M106" s="4"/>
    </row>
    <row r="107" customFormat="false" ht="15" hidden="false" customHeight="false" outlineLevel="0" collapsed="false">
      <c r="A107" s="4"/>
      <c r="B107" s="33"/>
      <c r="C107" s="4"/>
      <c r="D107" s="4"/>
      <c r="E107" s="4"/>
      <c r="F107" s="4"/>
      <c r="G107" s="4"/>
      <c r="H107" s="4"/>
      <c r="I107" s="4"/>
      <c r="J107" s="4"/>
      <c r="K107" s="4"/>
      <c r="L107" s="33"/>
      <c r="M107" s="4"/>
    </row>
    <row r="108" customFormat="false" ht="15" hidden="false" customHeight="false" outlineLevel="0" collapsed="false">
      <c r="A108" s="4"/>
      <c r="B108" s="33"/>
      <c r="C108" s="4"/>
      <c r="D108" s="4"/>
      <c r="E108" s="4"/>
      <c r="F108" s="4"/>
      <c r="G108" s="4"/>
      <c r="H108" s="4"/>
      <c r="I108" s="4"/>
      <c r="J108" s="4"/>
      <c r="K108" s="4"/>
      <c r="L108" s="33"/>
      <c r="M108" s="4"/>
    </row>
    <row r="109" customFormat="false" ht="15" hidden="false" customHeight="false" outlineLevel="0" collapsed="false">
      <c r="A109" s="4"/>
      <c r="B109" s="33"/>
      <c r="C109" s="4"/>
      <c r="D109" s="4"/>
      <c r="E109" s="4"/>
      <c r="F109" s="4"/>
      <c r="G109" s="4"/>
      <c r="H109" s="4"/>
      <c r="I109" s="4"/>
      <c r="J109" s="4"/>
      <c r="K109" s="4"/>
      <c r="L109" s="33"/>
      <c r="M109" s="4"/>
    </row>
    <row r="110" customFormat="false" ht="15" hidden="false" customHeight="false" outlineLevel="0" collapsed="false">
      <c r="A110" s="4"/>
      <c r="B110" s="33"/>
      <c r="C110" s="4"/>
      <c r="D110" s="4"/>
      <c r="E110" s="4"/>
      <c r="F110" s="4"/>
      <c r="G110" s="4"/>
      <c r="H110" s="4"/>
      <c r="I110" s="4"/>
      <c r="J110" s="4"/>
      <c r="K110" s="4"/>
      <c r="L110" s="33"/>
      <c r="M110" s="4"/>
    </row>
    <row r="111" customFormat="false" ht="15" hidden="false" customHeight="false" outlineLevel="0" collapsed="false">
      <c r="A111" s="4"/>
      <c r="B111" s="33"/>
      <c r="C111" s="4"/>
      <c r="D111" s="4"/>
      <c r="E111" s="4"/>
      <c r="F111" s="4"/>
      <c r="G111" s="4"/>
      <c r="H111" s="4"/>
      <c r="I111" s="4"/>
      <c r="J111" s="4"/>
      <c r="K111" s="4"/>
      <c r="L111" s="33"/>
      <c r="M111" s="4"/>
    </row>
    <row r="112" customFormat="false" ht="15" hidden="false" customHeight="false" outlineLevel="0" collapsed="false">
      <c r="A112" s="4"/>
      <c r="B112" s="33"/>
      <c r="C112" s="4"/>
      <c r="D112" s="4"/>
      <c r="E112" s="4"/>
      <c r="F112" s="4"/>
      <c r="G112" s="4"/>
      <c r="H112" s="4"/>
      <c r="I112" s="4"/>
      <c r="J112" s="4"/>
      <c r="K112" s="4"/>
      <c r="L112" s="33"/>
      <c r="M112" s="4"/>
    </row>
    <row r="113" customFormat="false" ht="15" hidden="false" customHeight="false" outlineLevel="0" collapsed="false">
      <c r="A113" s="4"/>
      <c r="B113" s="33"/>
      <c r="C113" s="4"/>
      <c r="D113" s="4"/>
      <c r="E113" s="4"/>
      <c r="F113" s="4"/>
      <c r="G113" s="4"/>
      <c r="H113" s="4"/>
      <c r="I113" s="4"/>
      <c r="J113" s="4"/>
      <c r="K113" s="4"/>
      <c r="L113" s="33"/>
      <c r="M113" s="4"/>
    </row>
    <row r="114" customFormat="false" ht="15" hidden="false" customHeight="false" outlineLevel="0" collapsed="false">
      <c r="A114" s="4"/>
      <c r="B114" s="33"/>
      <c r="C114" s="4"/>
      <c r="D114" s="4"/>
      <c r="E114" s="4"/>
      <c r="F114" s="4"/>
      <c r="G114" s="4"/>
      <c r="H114" s="4"/>
      <c r="I114" s="4"/>
      <c r="J114" s="4"/>
      <c r="K114" s="4"/>
      <c r="L114" s="33"/>
      <c r="M114" s="4"/>
    </row>
    <row r="115" customFormat="false" ht="15" hidden="false" customHeight="false" outlineLevel="0" collapsed="false">
      <c r="A115" s="4"/>
      <c r="B115" s="33"/>
      <c r="C115" s="4"/>
      <c r="D115" s="4"/>
      <c r="E115" s="4"/>
      <c r="F115" s="4"/>
      <c r="G115" s="4"/>
      <c r="H115" s="4"/>
      <c r="I115" s="4"/>
      <c r="J115" s="4"/>
      <c r="K115" s="4"/>
      <c r="L115" s="33"/>
      <c r="M115" s="4"/>
    </row>
    <row r="116" customFormat="false" ht="15" hidden="false" customHeight="false" outlineLevel="0" collapsed="false">
      <c r="A116" s="4"/>
      <c r="B116" s="33"/>
      <c r="C116" s="4"/>
      <c r="D116" s="4"/>
      <c r="E116" s="4"/>
      <c r="F116" s="4"/>
      <c r="G116" s="4"/>
      <c r="H116" s="4"/>
      <c r="I116" s="4"/>
      <c r="J116" s="4"/>
      <c r="K116" s="4"/>
      <c r="L116" s="33"/>
      <c r="M116" s="4"/>
    </row>
    <row r="117" customFormat="false" ht="15" hidden="false" customHeight="false" outlineLevel="0" collapsed="false">
      <c r="A117" s="4"/>
      <c r="B117" s="33"/>
      <c r="C117" s="4"/>
      <c r="D117" s="4"/>
      <c r="E117" s="4"/>
      <c r="F117" s="4"/>
      <c r="G117" s="4"/>
      <c r="H117" s="4"/>
      <c r="I117" s="4"/>
      <c r="J117" s="4"/>
      <c r="K117" s="4"/>
      <c r="L117" s="33"/>
      <c r="M117" s="4"/>
    </row>
    <row r="118" customFormat="false" ht="15" hidden="false" customHeight="false" outlineLevel="0" collapsed="false">
      <c r="A118" s="4"/>
      <c r="B118" s="33"/>
      <c r="C118" s="4"/>
      <c r="D118" s="4"/>
      <c r="E118" s="4"/>
      <c r="F118" s="4"/>
      <c r="G118" s="4"/>
      <c r="H118" s="4"/>
      <c r="I118" s="4"/>
      <c r="J118" s="4"/>
      <c r="K118" s="4"/>
      <c r="L118" s="33"/>
      <c r="M118" s="4"/>
    </row>
    <row r="119" customFormat="false" ht="15" hidden="false" customHeight="false" outlineLevel="0" collapsed="false">
      <c r="A119" s="4"/>
      <c r="B119" s="33"/>
      <c r="C119" s="4"/>
      <c r="D119" s="4"/>
      <c r="E119" s="4"/>
      <c r="F119" s="4"/>
      <c r="G119" s="4"/>
      <c r="H119" s="4"/>
      <c r="I119" s="4"/>
      <c r="J119" s="4"/>
      <c r="K119" s="4"/>
      <c r="L119" s="33"/>
      <c r="M119" s="4"/>
    </row>
    <row r="120" customFormat="false" ht="15" hidden="false" customHeight="false" outlineLevel="0" collapsed="false">
      <c r="A120" s="4"/>
      <c r="B120" s="33"/>
      <c r="C120" s="4"/>
      <c r="D120" s="4"/>
      <c r="E120" s="4"/>
      <c r="F120" s="4"/>
      <c r="G120" s="4"/>
      <c r="H120" s="4"/>
      <c r="I120" s="4"/>
      <c r="J120" s="4"/>
      <c r="K120" s="4"/>
      <c r="L120" s="33"/>
      <c r="M120" s="4"/>
    </row>
    <row r="121" customFormat="false" ht="15" hidden="false" customHeight="false" outlineLevel="0" collapsed="false">
      <c r="A121" s="4"/>
      <c r="B121" s="33"/>
      <c r="C121" s="4"/>
      <c r="D121" s="4"/>
      <c r="E121" s="4"/>
      <c r="F121" s="4"/>
      <c r="G121" s="4"/>
      <c r="H121" s="4"/>
      <c r="I121" s="4"/>
      <c r="J121" s="4"/>
      <c r="K121" s="4"/>
      <c r="L121" s="33"/>
      <c r="M121" s="4"/>
    </row>
    <row r="122" customFormat="false" ht="15" hidden="false" customHeight="false" outlineLevel="0" collapsed="false">
      <c r="A122" s="4"/>
      <c r="B122" s="33"/>
      <c r="C122" s="4"/>
      <c r="D122" s="4"/>
      <c r="E122" s="4"/>
      <c r="F122" s="4"/>
      <c r="G122" s="4"/>
      <c r="H122" s="4"/>
      <c r="I122" s="4"/>
      <c r="J122" s="4"/>
      <c r="K122" s="4"/>
      <c r="L122" s="33"/>
      <c r="M122" s="4"/>
    </row>
    <row r="123" customFormat="false" ht="15" hidden="false" customHeight="false" outlineLevel="0" collapsed="false">
      <c r="A123" s="4"/>
      <c r="B123" s="33"/>
      <c r="C123" s="4"/>
      <c r="D123" s="4"/>
      <c r="E123" s="4"/>
      <c r="F123" s="4"/>
      <c r="G123" s="4"/>
      <c r="H123" s="4"/>
      <c r="I123" s="4"/>
      <c r="J123" s="4"/>
      <c r="K123" s="4"/>
      <c r="L123" s="33"/>
      <c r="M123" s="4"/>
    </row>
    <row r="124" customFormat="false" ht="15" hidden="false" customHeight="false" outlineLevel="0" collapsed="false">
      <c r="A124" s="4"/>
      <c r="B124" s="33"/>
      <c r="C124" s="4"/>
      <c r="D124" s="4"/>
      <c r="E124" s="4"/>
      <c r="F124" s="4"/>
      <c r="G124" s="4"/>
      <c r="H124" s="4"/>
      <c r="I124" s="4"/>
      <c r="J124" s="4"/>
      <c r="K124" s="4"/>
      <c r="L124" s="33"/>
      <c r="M124" s="4"/>
    </row>
    <row r="125" customFormat="false" ht="15" hidden="false" customHeight="false" outlineLevel="0" collapsed="false">
      <c r="A125" s="4"/>
      <c r="B125" s="33"/>
      <c r="C125" s="4"/>
      <c r="D125" s="4"/>
      <c r="E125" s="4"/>
      <c r="F125" s="4"/>
      <c r="G125" s="4"/>
      <c r="H125" s="4"/>
      <c r="I125" s="4"/>
      <c r="J125" s="4"/>
      <c r="K125" s="4"/>
      <c r="L125" s="33"/>
      <c r="M125" s="4"/>
    </row>
    <row r="126" customFormat="false" ht="15" hidden="false" customHeight="false" outlineLevel="0" collapsed="false">
      <c r="A126" s="4"/>
      <c r="B126" s="33"/>
      <c r="C126" s="4"/>
      <c r="D126" s="4"/>
      <c r="E126" s="4"/>
      <c r="F126" s="4"/>
      <c r="G126" s="4"/>
      <c r="H126" s="4"/>
      <c r="I126" s="4"/>
      <c r="J126" s="4"/>
      <c r="K126" s="4"/>
      <c r="L126" s="33"/>
      <c r="M126" s="4"/>
    </row>
    <row r="127" customFormat="false" ht="15" hidden="false" customHeight="false" outlineLevel="0" collapsed="false">
      <c r="A127" s="4"/>
      <c r="B127" s="33"/>
      <c r="C127" s="4"/>
      <c r="D127" s="4"/>
      <c r="E127" s="4"/>
      <c r="F127" s="4"/>
      <c r="G127" s="4"/>
      <c r="H127" s="4"/>
      <c r="I127" s="4"/>
      <c r="J127" s="4"/>
      <c r="K127" s="4"/>
      <c r="L127" s="33"/>
      <c r="M127" s="4"/>
    </row>
    <row r="128" customFormat="false" ht="15" hidden="false" customHeight="false" outlineLevel="0" collapsed="false">
      <c r="A128" s="4"/>
      <c r="B128" s="33"/>
      <c r="C128" s="4"/>
      <c r="D128" s="4"/>
      <c r="E128" s="4"/>
      <c r="F128" s="4"/>
      <c r="G128" s="4"/>
      <c r="H128" s="4"/>
      <c r="I128" s="4"/>
      <c r="J128" s="4"/>
      <c r="K128" s="4"/>
      <c r="L128" s="33"/>
      <c r="M128" s="4"/>
    </row>
    <row r="129" customFormat="false" ht="15" hidden="false" customHeight="false" outlineLevel="0" collapsed="false">
      <c r="A129" s="4"/>
      <c r="B129" s="33"/>
      <c r="C129" s="4"/>
      <c r="D129" s="4"/>
      <c r="E129" s="4"/>
      <c r="F129" s="4"/>
      <c r="G129" s="4"/>
      <c r="H129" s="4"/>
      <c r="I129" s="4"/>
      <c r="J129" s="4"/>
      <c r="K129" s="4"/>
      <c r="L129" s="33"/>
      <c r="M129" s="4"/>
    </row>
    <row r="130" customFormat="false" ht="15" hidden="false" customHeight="false" outlineLevel="0" collapsed="false">
      <c r="A130" s="4"/>
      <c r="B130" s="33"/>
      <c r="C130" s="4"/>
      <c r="D130" s="4"/>
      <c r="E130" s="4"/>
      <c r="F130" s="4"/>
      <c r="G130" s="4"/>
      <c r="H130" s="4"/>
      <c r="I130" s="4"/>
      <c r="J130" s="4"/>
      <c r="K130" s="4"/>
      <c r="L130" s="33"/>
      <c r="M130" s="4"/>
    </row>
    <row r="131" customFormat="false" ht="15" hidden="false" customHeight="false" outlineLevel="0" collapsed="false">
      <c r="A131" s="4"/>
      <c r="B131" s="33"/>
      <c r="C131" s="4"/>
      <c r="D131" s="4"/>
      <c r="E131" s="4"/>
      <c r="F131" s="4"/>
      <c r="G131" s="4"/>
      <c r="H131" s="4"/>
      <c r="I131" s="4"/>
      <c r="J131" s="4"/>
      <c r="K131" s="4"/>
      <c r="L131" s="33"/>
      <c r="M131" s="4"/>
    </row>
    <row r="132" customFormat="false" ht="15" hidden="false" customHeight="false" outlineLevel="0" collapsed="false">
      <c r="A132" s="4"/>
      <c r="B132" s="33"/>
      <c r="C132" s="4"/>
      <c r="D132" s="4"/>
      <c r="E132" s="4"/>
      <c r="F132" s="4"/>
      <c r="G132" s="4"/>
      <c r="H132" s="4"/>
      <c r="I132" s="4"/>
      <c r="J132" s="4"/>
      <c r="K132" s="4"/>
      <c r="L132" s="33"/>
      <c r="M132" s="4"/>
    </row>
    <row r="133" customFormat="false" ht="15" hidden="false" customHeight="false" outlineLevel="0" collapsed="false">
      <c r="A133" s="4"/>
      <c r="B133" s="33"/>
      <c r="C133" s="4"/>
      <c r="D133" s="4"/>
      <c r="E133" s="4"/>
      <c r="F133" s="4"/>
      <c r="G133" s="4"/>
      <c r="H133" s="4"/>
      <c r="I133" s="4"/>
      <c r="J133" s="4"/>
      <c r="K133" s="4"/>
      <c r="L133" s="33"/>
      <c r="M133" s="4"/>
    </row>
    <row r="134" customFormat="false" ht="15" hidden="false" customHeight="false" outlineLevel="0" collapsed="false">
      <c r="A134" s="4"/>
      <c r="B134" s="33"/>
      <c r="C134" s="4"/>
      <c r="D134" s="4"/>
      <c r="E134" s="4"/>
      <c r="F134" s="4"/>
      <c r="G134" s="4"/>
      <c r="H134" s="4"/>
      <c r="I134" s="4"/>
      <c r="J134" s="4"/>
      <c r="K134" s="4"/>
      <c r="L134" s="33"/>
      <c r="M134" s="4"/>
    </row>
    <row r="135" customFormat="false" ht="15" hidden="false" customHeight="false" outlineLevel="0" collapsed="false">
      <c r="A135" s="4"/>
      <c r="B135" s="33"/>
      <c r="C135" s="4"/>
      <c r="D135" s="4"/>
      <c r="E135" s="4"/>
      <c r="F135" s="4"/>
      <c r="G135" s="4"/>
      <c r="H135" s="4"/>
      <c r="I135" s="4"/>
      <c r="J135" s="4"/>
      <c r="K135" s="4"/>
      <c r="L135" s="33"/>
      <c r="M135" s="4"/>
    </row>
    <row r="136" customFormat="false" ht="15" hidden="false" customHeight="false" outlineLevel="0" collapsed="false">
      <c r="A136" s="4"/>
      <c r="B136" s="33"/>
      <c r="C136" s="4"/>
      <c r="D136" s="4"/>
      <c r="E136" s="4"/>
      <c r="F136" s="4"/>
      <c r="G136" s="4"/>
      <c r="H136" s="4"/>
      <c r="I136" s="4"/>
      <c r="J136" s="4"/>
      <c r="K136" s="4"/>
      <c r="L136" s="33"/>
      <c r="M136" s="4"/>
    </row>
    <row r="137" customFormat="false" ht="15" hidden="false" customHeight="false" outlineLevel="0" collapsed="false">
      <c r="A137" s="4"/>
      <c r="B137" s="33"/>
      <c r="C137" s="4"/>
      <c r="D137" s="4"/>
      <c r="E137" s="4"/>
      <c r="F137" s="4"/>
      <c r="G137" s="4"/>
      <c r="H137" s="4"/>
      <c r="I137" s="4"/>
      <c r="J137" s="4"/>
      <c r="K137" s="4"/>
      <c r="L137" s="33"/>
      <c r="M137" s="4"/>
    </row>
    <row r="138" customFormat="false" ht="15" hidden="false" customHeight="false" outlineLevel="0" collapsed="false">
      <c r="A138" s="4"/>
      <c r="B138" s="33"/>
      <c r="C138" s="4"/>
      <c r="D138" s="4"/>
      <c r="E138" s="4"/>
      <c r="F138" s="4"/>
      <c r="G138" s="4"/>
      <c r="H138" s="4"/>
      <c r="I138" s="4"/>
      <c r="J138" s="4"/>
      <c r="K138" s="4"/>
      <c r="L138" s="33"/>
      <c r="M138" s="4"/>
    </row>
    <row r="139" customFormat="false" ht="15" hidden="false" customHeight="false" outlineLevel="0" collapsed="false">
      <c r="A139" s="4"/>
      <c r="B139" s="33"/>
      <c r="C139" s="4"/>
      <c r="D139" s="4"/>
      <c r="E139" s="4"/>
      <c r="F139" s="4"/>
      <c r="G139" s="4"/>
      <c r="H139" s="4"/>
      <c r="I139" s="4"/>
      <c r="J139" s="4"/>
      <c r="K139" s="4"/>
      <c r="L139" s="33"/>
      <c r="M139" s="4"/>
    </row>
    <row r="140" customFormat="false" ht="15" hidden="false" customHeight="false" outlineLevel="0" collapsed="false">
      <c r="A140" s="4"/>
      <c r="B140" s="33"/>
      <c r="C140" s="4"/>
      <c r="D140" s="4"/>
      <c r="E140" s="4"/>
      <c r="F140" s="4"/>
      <c r="G140" s="4"/>
      <c r="H140" s="4"/>
      <c r="I140" s="4"/>
      <c r="J140" s="4"/>
      <c r="K140" s="4"/>
      <c r="L140" s="33"/>
      <c r="M140" s="4"/>
    </row>
    <row r="141" customFormat="false" ht="15" hidden="false" customHeight="false" outlineLevel="0" collapsed="false">
      <c r="A141" s="4"/>
      <c r="B141" s="33"/>
      <c r="C141" s="4"/>
      <c r="D141" s="4"/>
      <c r="E141" s="4"/>
      <c r="F141" s="4"/>
      <c r="G141" s="4"/>
      <c r="H141" s="4"/>
      <c r="I141" s="4"/>
      <c r="J141" s="4"/>
      <c r="K141" s="4"/>
      <c r="L141" s="33"/>
      <c r="M141" s="4"/>
    </row>
    <row r="142" customFormat="false" ht="15" hidden="false" customHeight="false" outlineLevel="0" collapsed="false">
      <c r="A142" s="4"/>
      <c r="B142" s="33"/>
      <c r="C142" s="4"/>
      <c r="D142" s="4"/>
      <c r="E142" s="4"/>
      <c r="F142" s="4"/>
      <c r="G142" s="4"/>
      <c r="H142" s="4"/>
      <c r="I142" s="4"/>
      <c r="J142" s="4"/>
      <c r="K142" s="4"/>
      <c r="L142" s="33"/>
      <c r="M142" s="4"/>
    </row>
    <row r="143" customFormat="false" ht="15" hidden="false" customHeight="false" outlineLevel="0" collapsed="false">
      <c r="A143" s="4"/>
      <c r="B143" s="33"/>
      <c r="C143" s="4"/>
      <c r="D143" s="4"/>
      <c r="E143" s="4"/>
      <c r="F143" s="4"/>
      <c r="G143" s="4"/>
      <c r="H143" s="4"/>
      <c r="I143" s="4"/>
      <c r="J143" s="4"/>
      <c r="K143" s="4"/>
      <c r="L143" s="33"/>
      <c r="M143" s="4"/>
    </row>
    <row r="144" customFormat="false" ht="15" hidden="false" customHeight="false" outlineLevel="0" collapsed="false">
      <c r="A144" s="4"/>
      <c r="B144" s="33"/>
      <c r="C144" s="4"/>
      <c r="D144" s="4"/>
      <c r="E144" s="4"/>
      <c r="F144" s="4"/>
      <c r="G144" s="4"/>
      <c r="H144" s="4"/>
      <c r="I144" s="4"/>
      <c r="J144" s="4"/>
      <c r="K144" s="4"/>
      <c r="L144" s="33"/>
      <c r="M144" s="4"/>
    </row>
    <row r="145" customFormat="false" ht="15" hidden="false" customHeight="false" outlineLevel="0" collapsed="false">
      <c r="A145" s="4"/>
      <c r="B145" s="33"/>
      <c r="C145" s="4"/>
      <c r="D145" s="4"/>
      <c r="E145" s="4"/>
      <c r="F145" s="4"/>
      <c r="G145" s="4"/>
      <c r="H145" s="4"/>
      <c r="I145" s="4"/>
      <c r="J145" s="4"/>
      <c r="K145" s="4"/>
      <c r="L145" s="33"/>
      <c r="M145" s="4"/>
    </row>
    <row r="146" customFormat="false" ht="15" hidden="false" customHeight="false" outlineLevel="0" collapsed="false">
      <c r="A146" s="4"/>
      <c r="B146" s="33"/>
      <c r="C146" s="4"/>
      <c r="D146" s="4"/>
      <c r="E146" s="4"/>
      <c r="F146" s="4"/>
      <c r="G146" s="4"/>
      <c r="H146" s="4"/>
      <c r="I146" s="4"/>
      <c r="J146" s="4"/>
      <c r="K146" s="4"/>
      <c r="L146" s="33"/>
      <c r="M146" s="4"/>
    </row>
    <row r="147" customFormat="false" ht="15" hidden="false" customHeight="false" outlineLevel="0" collapsed="false">
      <c r="A147" s="4"/>
      <c r="B147" s="33"/>
      <c r="C147" s="4"/>
      <c r="D147" s="4"/>
      <c r="E147" s="4"/>
      <c r="F147" s="4"/>
      <c r="G147" s="4"/>
      <c r="H147" s="4"/>
      <c r="I147" s="4"/>
      <c r="J147" s="4"/>
      <c r="K147" s="4"/>
      <c r="L147" s="33"/>
      <c r="M147" s="4"/>
    </row>
    <row r="148" customFormat="false" ht="15" hidden="false" customHeight="false" outlineLevel="0" collapsed="false">
      <c r="A148" s="4"/>
      <c r="B148" s="33"/>
      <c r="C148" s="4"/>
      <c r="D148" s="4"/>
      <c r="E148" s="4"/>
      <c r="F148" s="4"/>
      <c r="G148" s="4"/>
      <c r="H148" s="4"/>
      <c r="I148" s="4"/>
      <c r="J148" s="4"/>
      <c r="K148" s="4"/>
      <c r="L148" s="33"/>
      <c r="M148" s="4"/>
    </row>
    <row r="149" customFormat="false" ht="15" hidden="false" customHeight="false" outlineLevel="0" collapsed="false">
      <c r="A149" s="4"/>
      <c r="B149" s="33"/>
      <c r="C149" s="4"/>
      <c r="D149" s="4"/>
      <c r="E149" s="4"/>
      <c r="F149" s="4"/>
      <c r="G149" s="4"/>
      <c r="H149" s="4"/>
      <c r="I149" s="4"/>
      <c r="J149" s="4"/>
      <c r="K149" s="4"/>
      <c r="L149" s="33"/>
      <c r="M149" s="4"/>
    </row>
    <row r="150" customFormat="false" ht="15" hidden="false" customHeight="false" outlineLevel="0" collapsed="false">
      <c r="A150" s="4"/>
      <c r="B150" s="33"/>
      <c r="C150" s="4"/>
      <c r="D150" s="4"/>
      <c r="E150" s="4"/>
      <c r="F150" s="4"/>
      <c r="G150" s="4"/>
      <c r="H150" s="4"/>
      <c r="I150" s="4"/>
      <c r="J150" s="4"/>
      <c r="K150" s="4"/>
      <c r="L150" s="33"/>
      <c r="M150" s="4"/>
    </row>
    <row r="151" customFormat="false" ht="15" hidden="false" customHeight="false" outlineLevel="0" collapsed="false">
      <c r="A151" s="4"/>
      <c r="B151" s="33"/>
      <c r="C151" s="4"/>
      <c r="D151" s="4"/>
      <c r="E151" s="4"/>
      <c r="F151" s="4"/>
      <c r="G151" s="4"/>
      <c r="H151" s="4"/>
      <c r="I151" s="4"/>
      <c r="J151" s="4"/>
      <c r="K151" s="4"/>
      <c r="L151" s="33"/>
      <c r="M151" s="4"/>
    </row>
    <row r="152" customFormat="false" ht="15" hidden="false" customHeight="false" outlineLevel="0" collapsed="false">
      <c r="A152" s="4"/>
      <c r="B152" s="33"/>
      <c r="C152" s="4"/>
      <c r="D152" s="4"/>
      <c r="E152" s="4"/>
      <c r="F152" s="4"/>
      <c r="G152" s="4"/>
      <c r="H152" s="4"/>
      <c r="I152" s="4"/>
      <c r="J152" s="4"/>
      <c r="K152" s="4"/>
      <c r="L152" s="33"/>
      <c r="M152" s="4"/>
    </row>
    <row r="153" customFormat="false" ht="15" hidden="false" customHeight="false" outlineLevel="0" collapsed="false">
      <c r="A153" s="4"/>
      <c r="B153" s="33"/>
      <c r="C153" s="4"/>
      <c r="D153" s="4"/>
      <c r="E153" s="4"/>
      <c r="F153" s="4"/>
      <c r="G153" s="4"/>
      <c r="H153" s="4"/>
      <c r="I153" s="4"/>
      <c r="J153" s="4"/>
      <c r="K153" s="4"/>
      <c r="L153" s="33"/>
      <c r="M153" s="4"/>
    </row>
    <row r="154" customFormat="false" ht="15" hidden="false" customHeight="false" outlineLevel="0" collapsed="false">
      <c r="A154" s="4"/>
      <c r="B154" s="33"/>
      <c r="C154" s="4"/>
      <c r="D154" s="4"/>
      <c r="E154" s="4"/>
      <c r="F154" s="4"/>
      <c r="G154" s="4"/>
      <c r="H154" s="4"/>
      <c r="I154" s="4"/>
      <c r="J154" s="4"/>
      <c r="K154" s="4"/>
      <c r="L154" s="33"/>
      <c r="M154" s="4"/>
    </row>
    <row r="155" customFormat="false" ht="15" hidden="false" customHeight="false" outlineLevel="0" collapsed="false">
      <c r="A155" s="4"/>
      <c r="B155" s="33"/>
      <c r="C155" s="4"/>
      <c r="D155" s="4"/>
      <c r="E155" s="4"/>
      <c r="F155" s="4"/>
      <c r="G155" s="4"/>
      <c r="H155" s="4"/>
      <c r="I155" s="4"/>
      <c r="J155" s="4"/>
      <c r="K155" s="4"/>
      <c r="L155" s="33"/>
      <c r="M155" s="4"/>
    </row>
    <row r="156" customFormat="false" ht="15" hidden="false" customHeight="false" outlineLevel="0" collapsed="false">
      <c r="A156" s="4"/>
      <c r="B156" s="33"/>
      <c r="C156" s="4"/>
      <c r="D156" s="4"/>
      <c r="E156" s="4"/>
      <c r="F156" s="4"/>
      <c r="G156" s="4"/>
      <c r="H156" s="4"/>
      <c r="I156" s="4"/>
      <c r="J156" s="4"/>
      <c r="K156" s="4"/>
      <c r="L156" s="33"/>
      <c r="M156" s="4"/>
    </row>
    <row r="157" customFormat="false" ht="15" hidden="false" customHeight="false" outlineLevel="0" collapsed="false">
      <c r="A157" s="4"/>
      <c r="B157" s="33"/>
      <c r="C157" s="4"/>
      <c r="D157" s="4"/>
      <c r="E157" s="4"/>
      <c r="F157" s="4"/>
      <c r="G157" s="4"/>
      <c r="H157" s="4"/>
      <c r="I157" s="4"/>
      <c r="J157" s="4"/>
      <c r="K157" s="4"/>
      <c r="L157" s="33"/>
      <c r="M157" s="4"/>
    </row>
    <row r="158" customFormat="false" ht="15" hidden="false" customHeight="false" outlineLevel="0" collapsed="false">
      <c r="A158" s="4"/>
      <c r="B158" s="33"/>
      <c r="C158" s="4"/>
      <c r="D158" s="4"/>
      <c r="E158" s="4"/>
      <c r="F158" s="4"/>
      <c r="G158" s="4"/>
      <c r="H158" s="4"/>
      <c r="I158" s="4"/>
      <c r="J158" s="4"/>
      <c r="K158" s="4"/>
      <c r="L158" s="33"/>
      <c r="M158" s="4"/>
    </row>
    <row r="159" customFormat="false" ht="15" hidden="false" customHeight="false" outlineLevel="0" collapsed="false">
      <c r="A159" s="4"/>
      <c r="B159" s="33"/>
      <c r="C159" s="4"/>
      <c r="D159" s="4"/>
      <c r="E159" s="4"/>
      <c r="F159" s="4"/>
      <c r="G159" s="4"/>
      <c r="H159" s="4"/>
      <c r="I159" s="4"/>
      <c r="J159" s="4"/>
      <c r="K159" s="4"/>
      <c r="L159" s="33"/>
      <c r="M159" s="4"/>
    </row>
    <row r="160" customFormat="false" ht="15" hidden="false" customHeight="false" outlineLevel="0" collapsed="false">
      <c r="A160" s="4"/>
      <c r="B160" s="33"/>
      <c r="C160" s="4"/>
      <c r="D160" s="4"/>
      <c r="E160" s="4"/>
      <c r="F160" s="4"/>
      <c r="G160" s="4"/>
      <c r="H160" s="4"/>
      <c r="I160" s="4"/>
      <c r="J160" s="4"/>
      <c r="K160" s="4"/>
      <c r="L160" s="33"/>
      <c r="M160" s="4"/>
    </row>
    <row r="161" customFormat="false" ht="15" hidden="false" customHeight="false" outlineLevel="0" collapsed="false">
      <c r="A161" s="4"/>
      <c r="B161" s="33"/>
      <c r="C161" s="4"/>
      <c r="D161" s="4"/>
      <c r="E161" s="4"/>
      <c r="F161" s="4"/>
      <c r="G161" s="4"/>
      <c r="H161" s="4"/>
      <c r="I161" s="4"/>
      <c r="J161" s="4"/>
      <c r="K161" s="4"/>
      <c r="L161" s="33"/>
      <c r="M161" s="4"/>
    </row>
    <row r="162" customFormat="false" ht="15" hidden="false" customHeight="false" outlineLevel="0" collapsed="false">
      <c r="A162" s="4"/>
      <c r="B162" s="33"/>
      <c r="C162" s="4"/>
      <c r="D162" s="4"/>
      <c r="E162" s="4"/>
      <c r="F162" s="4"/>
      <c r="G162" s="4"/>
      <c r="H162" s="4"/>
      <c r="I162" s="4"/>
      <c r="J162" s="4"/>
      <c r="K162" s="4"/>
      <c r="L162" s="33"/>
      <c r="M162" s="4"/>
    </row>
    <row r="163" customFormat="false" ht="15" hidden="false" customHeight="false" outlineLevel="0" collapsed="false">
      <c r="A163" s="4"/>
      <c r="B163" s="33"/>
      <c r="C163" s="4"/>
      <c r="D163" s="4"/>
      <c r="E163" s="4"/>
      <c r="F163" s="4"/>
      <c r="G163" s="4"/>
      <c r="H163" s="4"/>
      <c r="I163" s="4"/>
      <c r="J163" s="4"/>
      <c r="K163" s="4"/>
      <c r="L163" s="33"/>
      <c r="M163" s="4"/>
    </row>
    <row r="164" customFormat="false" ht="15" hidden="false" customHeight="false" outlineLevel="0" collapsed="false">
      <c r="A164" s="4"/>
      <c r="B164" s="33"/>
      <c r="C164" s="4"/>
      <c r="D164" s="4"/>
      <c r="E164" s="4"/>
      <c r="F164" s="4"/>
      <c r="G164" s="4"/>
      <c r="H164" s="4"/>
      <c r="I164" s="4"/>
      <c r="J164" s="4"/>
      <c r="K164" s="4"/>
      <c r="L164" s="33"/>
      <c r="M164" s="4"/>
    </row>
    <row r="165" customFormat="false" ht="15" hidden="false" customHeight="false" outlineLevel="0" collapsed="false">
      <c r="A165" s="4"/>
      <c r="B165" s="33"/>
      <c r="C165" s="4"/>
      <c r="D165" s="4"/>
      <c r="E165" s="4"/>
      <c r="F165" s="4"/>
      <c r="G165" s="4"/>
      <c r="H165" s="4"/>
      <c r="I165" s="4"/>
      <c r="J165" s="4"/>
      <c r="K165" s="4"/>
      <c r="L165" s="33"/>
      <c r="M165" s="4"/>
    </row>
    <row r="166" customFormat="false" ht="15" hidden="false" customHeight="false" outlineLevel="0" collapsed="false">
      <c r="A166" s="4"/>
      <c r="B166" s="33"/>
      <c r="C166" s="4"/>
      <c r="D166" s="4"/>
      <c r="E166" s="4"/>
      <c r="F166" s="4"/>
      <c r="G166" s="4"/>
      <c r="H166" s="4"/>
      <c r="I166" s="4"/>
      <c r="J166" s="4"/>
      <c r="K166" s="4"/>
      <c r="L166" s="33"/>
      <c r="M166" s="4"/>
    </row>
    <row r="167" customFormat="false" ht="15" hidden="false" customHeight="false" outlineLevel="0" collapsed="false">
      <c r="A167" s="4"/>
      <c r="B167" s="33"/>
      <c r="C167" s="4"/>
      <c r="D167" s="4"/>
      <c r="E167" s="4"/>
      <c r="F167" s="4"/>
      <c r="G167" s="4"/>
      <c r="H167" s="4"/>
      <c r="I167" s="4"/>
      <c r="J167" s="4"/>
      <c r="K167" s="4"/>
      <c r="L167" s="33"/>
      <c r="M167" s="4"/>
    </row>
    <row r="168" customFormat="false" ht="15" hidden="false" customHeight="false" outlineLevel="0" collapsed="false">
      <c r="A168" s="4"/>
      <c r="B168" s="33"/>
      <c r="C168" s="4"/>
      <c r="D168" s="4"/>
      <c r="E168" s="4"/>
      <c r="F168" s="4"/>
      <c r="G168" s="4"/>
      <c r="H168" s="4"/>
      <c r="I168" s="4"/>
      <c r="J168" s="4"/>
      <c r="K168" s="4"/>
      <c r="L168" s="33"/>
      <c r="M168" s="4"/>
    </row>
    <row r="169" customFormat="false" ht="15" hidden="false" customHeight="false" outlineLevel="0" collapsed="false">
      <c r="A169" s="4"/>
      <c r="B169" s="33"/>
      <c r="C169" s="4"/>
      <c r="D169" s="4"/>
      <c r="E169" s="4"/>
      <c r="F169" s="4"/>
      <c r="G169" s="4"/>
      <c r="H169" s="4"/>
      <c r="I169" s="4"/>
      <c r="J169" s="4"/>
      <c r="K169" s="4"/>
      <c r="L169" s="33"/>
      <c r="M169" s="4"/>
    </row>
    <row r="170" customFormat="false" ht="15" hidden="false" customHeight="false" outlineLevel="0" collapsed="false">
      <c r="A170" s="4"/>
      <c r="B170" s="33"/>
      <c r="C170" s="4"/>
      <c r="D170" s="4"/>
      <c r="E170" s="4"/>
      <c r="F170" s="4"/>
      <c r="G170" s="4"/>
      <c r="H170" s="4"/>
      <c r="I170" s="4"/>
      <c r="J170" s="4"/>
      <c r="K170" s="4"/>
      <c r="L170" s="33"/>
      <c r="M170" s="4"/>
    </row>
    <row r="171" customFormat="false" ht="15" hidden="false" customHeight="false" outlineLevel="0" collapsed="false">
      <c r="A171" s="4"/>
      <c r="B171" s="33"/>
      <c r="C171" s="4"/>
      <c r="D171" s="4"/>
      <c r="E171" s="4"/>
      <c r="F171" s="4"/>
      <c r="G171" s="4"/>
      <c r="H171" s="4"/>
      <c r="I171" s="4"/>
      <c r="J171" s="4"/>
      <c r="K171" s="4"/>
      <c r="L171" s="33"/>
      <c r="M171" s="4"/>
    </row>
    <row r="172" customFormat="false" ht="15" hidden="false" customHeight="false" outlineLevel="0" collapsed="false">
      <c r="A172" s="4"/>
      <c r="B172" s="33"/>
      <c r="C172" s="4"/>
      <c r="D172" s="4"/>
      <c r="E172" s="4"/>
      <c r="F172" s="4"/>
      <c r="G172" s="4"/>
      <c r="H172" s="4"/>
      <c r="I172" s="4"/>
      <c r="J172" s="4"/>
      <c r="K172" s="4"/>
      <c r="L172" s="33"/>
      <c r="M172" s="4"/>
    </row>
    <row r="173" customFormat="false" ht="15" hidden="false" customHeight="false" outlineLevel="0" collapsed="false">
      <c r="A173" s="4"/>
      <c r="B173" s="33"/>
      <c r="C173" s="4"/>
      <c r="D173" s="4"/>
      <c r="E173" s="4"/>
      <c r="F173" s="4"/>
      <c r="G173" s="4"/>
      <c r="H173" s="4"/>
      <c r="I173" s="4"/>
      <c r="J173" s="4"/>
      <c r="K173" s="4"/>
      <c r="L173" s="33"/>
      <c r="M173" s="4"/>
    </row>
    <row r="174" customFormat="false" ht="15" hidden="false" customHeight="false" outlineLevel="0" collapsed="false">
      <c r="A174" s="4"/>
      <c r="B174" s="33"/>
      <c r="C174" s="4"/>
      <c r="D174" s="4"/>
      <c r="E174" s="4"/>
      <c r="F174" s="4"/>
      <c r="G174" s="4"/>
      <c r="H174" s="4"/>
      <c r="I174" s="4"/>
      <c r="J174" s="4"/>
      <c r="K174" s="4"/>
      <c r="L174" s="33"/>
      <c r="M174" s="4"/>
    </row>
    <row r="175" customFormat="false" ht="15" hidden="false" customHeight="false" outlineLevel="0" collapsed="false">
      <c r="A175" s="4"/>
      <c r="B175" s="33"/>
      <c r="C175" s="4"/>
      <c r="D175" s="4"/>
      <c r="E175" s="4"/>
      <c r="F175" s="4"/>
      <c r="G175" s="4"/>
      <c r="H175" s="4"/>
      <c r="I175" s="4"/>
      <c r="J175" s="4"/>
      <c r="K175" s="4"/>
      <c r="L175" s="33"/>
      <c r="M175" s="4"/>
    </row>
    <row r="176" customFormat="false" ht="15" hidden="false" customHeight="false" outlineLevel="0" collapsed="false">
      <c r="A176" s="4"/>
      <c r="B176" s="33"/>
      <c r="C176" s="4"/>
      <c r="D176" s="4"/>
      <c r="E176" s="4"/>
      <c r="F176" s="4"/>
      <c r="G176" s="4"/>
      <c r="H176" s="4"/>
      <c r="I176" s="4"/>
      <c r="J176" s="4"/>
      <c r="K176" s="4"/>
      <c r="L176" s="33"/>
      <c r="M176" s="4"/>
    </row>
    <row r="177" customFormat="false" ht="15" hidden="false" customHeight="false" outlineLevel="0" collapsed="false">
      <c r="A177" s="4"/>
      <c r="B177" s="33"/>
      <c r="C177" s="4"/>
      <c r="D177" s="4"/>
      <c r="E177" s="4"/>
      <c r="F177" s="4"/>
      <c r="G177" s="4"/>
      <c r="H177" s="4"/>
      <c r="I177" s="4"/>
      <c r="J177" s="4"/>
      <c r="K177" s="4"/>
      <c r="L177" s="33"/>
      <c r="M177" s="4"/>
    </row>
    <row r="178" customFormat="false" ht="15" hidden="false" customHeight="false" outlineLevel="0" collapsed="false">
      <c r="A178" s="4"/>
      <c r="B178" s="33"/>
      <c r="C178" s="4"/>
      <c r="D178" s="4"/>
      <c r="E178" s="4"/>
      <c r="F178" s="4"/>
      <c r="G178" s="4"/>
      <c r="H178" s="4"/>
      <c r="I178" s="4"/>
      <c r="J178" s="4"/>
      <c r="K178" s="4"/>
      <c r="L178" s="33"/>
      <c r="M178" s="4"/>
    </row>
    <row r="179" customFormat="false" ht="15" hidden="false" customHeight="false" outlineLevel="0" collapsed="false">
      <c r="A179" s="4"/>
      <c r="B179" s="33"/>
      <c r="C179" s="4"/>
      <c r="D179" s="4"/>
      <c r="E179" s="4"/>
      <c r="F179" s="4"/>
      <c r="G179" s="4"/>
      <c r="H179" s="4"/>
      <c r="I179" s="4"/>
      <c r="J179" s="4"/>
      <c r="K179" s="4"/>
      <c r="L179" s="33"/>
      <c r="M179" s="4"/>
    </row>
    <row r="180" customFormat="false" ht="15" hidden="false" customHeight="false" outlineLevel="0" collapsed="false">
      <c r="A180" s="4"/>
      <c r="B180" s="33"/>
      <c r="C180" s="4"/>
      <c r="D180" s="4"/>
      <c r="E180" s="4"/>
      <c r="F180" s="4"/>
      <c r="G180" s="4"/>
      <c r="H180" s="4"/>
      <c r="I180" s="4"/>
      <c r="J180" s="4"/>
      <c r="K180" s="4"/>
      <c r="L180" s="33"/>
      <c r="M180" s="4"/>
    </row>
    <row r="181" customFormat="false" ht="15" hidden="false" customHeight="false" outlineLevel="0" collapsed="false">
      <c r="A181" s="4"/>
      <c r="B181" s="33"/>
      <c r="C181" s="4"/>
      <c r="D181" s="4"/>
      <c r="E181" s="4"/>
      <c r="F181" s="4"/>
      <c r="G181" s="4"/>
      <c r="H181" s="4"/>
      <c r="I181" s="4"/>
      <c r="J181" s="4"/>
      <c r="K181" s="4"/>
      <c r="L181" s="33"/>
      <c r="M181" s="4"/>
    </row>
    <row r="182" customFormat="false" ht="15" hidden="false" customHeight="false" outlineLevel="0" collapsed="false">
      <c r="A182" s="4"/>
      <c r="B182" s="33"/>
      <c r="C182" s="4"/>
      <c r="D182" s="4"/>
      <c r="E182" s="4"/>
      <c r="F182" s="4"/>
      <c r="G182" s="4"/>
      <c r="H182" s="4"/>
      <c r="I182" s="4"/>
      <c r="J182" s="4"/>
      <c r="K182" s="4"/>
      <c r="L182" s="33"/>
      <c r="M182" s="4"/>
    </row>
    <row r="183" customFormat="false" ht="15" hidden="false" customHeight="false" outlineLevel="0" collapsed="false">
      <c r="A183" s="4"/>
      <c r="B183" s="33"/>
      <c r="C183" s="4"/>
      <c r="D183" s="4"/>
      <c r="E183" s="4"/>
      <c r="F183" s="4"/>
      <c r="G183" s="4"/>
      <c r="H183" s="4"/>
      <c r="I183" s="4"/>
      <c r="J183" s="4"/>
      <c r="K183" s="4"/>
      <c r="L183" s="33"/>
      <c r="M183" s="4"/>
    </row>
    <row r="184" customFormat="false" ht="15" hidden="false" customHeight="false" outlineLevel="0" collapsed="false">
      <c r="A184" s="4"/>
      <c r="B184" s="33"/>
      <c r="C184" s="4"/>
      <c r="D184" s="4"/>
      <c r="E184" s="4"/>
      <c r="F184" s="4"/>
      <c r="G184" s="4"/>
      <c r="H184" s="4"/>
      <c r="I184" s="4"/>
      <c r="J184" s="4"/>
      <c r="K184" s="4"/>
      <c r="L184" s="33"/>
      <c r="M184" s="4"/>
    </row>
    <row r="185" customFormat="false" ht="15" hidden="false" customHeight="false" outlineLevel="0" collapsed="false">
      <c r="A185" s="4"/>
      <c r="B185" s="33"/>
      <c r="C185" s="4"/>
      <c r="D185" s="4"/>
      <c r="E185" s="4"/>
      <c r="F185" s="4"/>
      <c r="G185" s="4"/>
      <c r="H185" s="4"/>
      <c r="I185" s="4"/>
      <c r="J185" s="4"/>
      <c r="K185" s="4"/>
      <c r="L185" s="33"/>
      <c r="M185" s="4"/>
    </row>
    <row r="186" customFormat="false" ht="15" hidden="false" customHeight="false" outlineLevel="0" collapsed="false">
      <c r="A186" s="4"/>
      <c r="B186" s="33"/>
      <c r="C186" s="4"/>
      <c r="D186" s="4"/>
      <c r="E186" s="4"/>
      <c r="F186" s="4"/>
      <c r="G186" s="4"/>
      <c r="H186" s="4"/>
      <c r="I186" s="4"/>
      <c r="J186" s="4"/>
      <c r="K186" s="4"/>
      <c r="L186" s="33"/>
      <c r="M186" s="4"/>
    </row>
    <row r="187" customFormat="false" ht="15" hidden="false" customHeight="false" outlineLevel="0" collapsed="false">
      <c r="A187" s="4"/>
      <c r="B187" s="33"/>
      <c r="C187" s="4"/>
      <c r="D187" s="4"/>
      <c r="E187" s="4"/>
      <c r="F187" s="4"/>
      <c r="G187" s="4"/>
      <c r="H187" s="4"/>
      <c r="I187" s="4"/>
      <c r="J187" s="4"/>
      <c r="K187" s="4"/>
      <c r="L187" s="33"/>
      <c r="M187" s="4"/>
    </row>
    <row r="188" customFormat="false" ht="15" hidden="false" customHeight="false" outlineLevel="0" collapsed="false">
      <c r="A188" s="4"/>
      <c r="B188" s="33"/>
      <c r="C188" s="4"/>
      <c r="D188" s="4"/>
      <c r="E188" s="4"/>
      <c r="F188" s="4"/>
      <c r="G188" s="4"/>
      <c r="H188" s="4"/>
      <c r="I188" s="4"/>
      <c r="J188" s="4"/>
      <c r="K188" s="4"/>
      <c r="L188" s="33"/>
      <c r="M188" s="4"/>
    </row>
    <row r="189" customFormat="false" ht="15" hidden="false" customHeight="false" outlineLevel="0" collapsed="false">
      <c r="A189" s="4"/>
      <c r="B189" s="33"/>
      <c r="C189" s="4"/>
      <c r="D189" s="4"/>
      <c r="E189" s="4"/>
      <c r="F189" s="4"/>
      <c r="G189" s="4"/>
      <c r="H189" s="4"/>
      <c r="I189" s="4"/>
      <c r="J189" s="4"/>
      <c r="K189" s="4"/>
      <c r="L189" s="33"/>
      <c r="M189" s="4"/>
    </row>
    <row r="190" customFormat="false" ht="15" hidden="false" customHeight="false" outlineLevel="0" collapsed="false">
      <c r="A190" s="4"/>
      <c r="B190" s="33"/>
      <c r="C190" s="4"/>
      <c r="D190" s="4"/>
      <c r="E190" s="4"/>
      <c r="F190" s="4"/>
      <c r="G190" s="4"/>
      <c r="H190" s="4"/>
      <c r="I190" s="4"/>
      <c r="J190" s="4"/>
      <c r="K190" s="4"/>
      <c r="L190" s="33"/>
      <c r="M190" s="4"/>
    </row>
    <row r="191" customFormat="false" ht="15" hidden="false" customHeight="false" outlineLevel="0" collapsed="false">
      <c r="A191" s="4"/>
      <c r="B191" s="33"/>
      <c r="C191" s="4"/>
      <c r="D191" s="4"/>
      <c r="E191" s="4"/>
      <c r="F191" s="4"/>
      <c r="G191" s="4"/>
      <c r="H191" s="4"/>
      <c r="I191" s="4"/>
      <c r="J191" s="4"/>
      <c r="K191" s="4"/>
      <c r="L191" s="33"/>
      <c r="M191" s="4"/>
    </row>
    <row r="192" customFormat="false" ht="15" hidden="false" customHeight="false" outlineLevel="0" collapsed="false">
      <c r="A192" s="4"/>
      <c r="B192" s="33"/>
      <c r="C192" s="4"/>
      <c r="D192" s="4"/>
      <c r="E192" s="4"/>
      <c r="F192" s="4"/>
      <c r="G192" s="4"/>
      <c r="H192" s="4"/>
      <c r="I192" s="4"/>
      <c r="J192" s="4"/>
      <c r="K192" s="4"/>
      <c r="L192" s="33"/>
      <c r="M192" s="4"/>
    </row>
    <row r="193" customFormat="false" ht="15" hidden="false" customHeight="false" outlineLevel="0" collapsed="false">
      <c r="A193" s="4"/>
      <c r="B193" s="33"/>
      <c r="C193" s="4"/>
      <c r="D193" s="4"/>
      <c r="E193" s="4"/>
      <c r="F193" s="4"/>
      <c r="G193" s="4"/>
      <c r="H193" s="4"/>
      <c r="I193" s="4"/>
      <c r="J193" s="4"/>
      <c r="K193" s="4"/>
      <c r="L193" s="33"/>
      <c r="M193" s="4"/>
    </row>
    <row r="194" customFormat="false" ht="15" hidden="false" customHeight="false" outlineLevel="0" collapsed="false">
      <c r="A194" s="4"/>
      <c r="B194" s="33"/>
      <c r="C194" s="4"/>
      <c r="D194" s="4"/>
      <c r="E194" s="4"/>
      <c r="F194" s="4"/>
      <c r="G194" s="4"/>
      <c r="H194" s="4"/>
      <c r="I194" s="4"/>
      <c r="J194" s="4"/>
      <c r="K194" s="4"/>
      <c r="L194" s="33"/>
      <c r="M194" s="4"/>
    </row>
    <row r="195" customFormat="false" ht="15" hidden="false" customHeight="false" outlineLevel="0" collapsed="false">
      <c r="A195" s="4"/>
      <c r="B195" s="33"/>
      <c r="C195" s="4"/>
      <c r="D195" s="4"/>
      <c r="E195" s="4"/>
      <c r="F195" s="4"/>
      <c r="G195" s="4"/>
      <c r="H195" s="4"/>
      <c r="I195" s="4"/>
      <c r="J195" s="4"/>
      <c r="K195" s="4"/>
      <c r="L195" s="33"/>
      <c r="M195" s="4"/>
    </row>
    <row r="196" customFormat="false" ht="15" hidden="false" customHeight="false" outlineLevel="0" collapsed="false">
      <c r="A196" s="4"/>
      <c r="B196" s="33"/>
      <c r="C196" s="4"/>
      <c r="D196" s="4"/>
      <c r="E196" s="4"/>
      <c r="F196" s="4"/>
      <c r="G196" s="4"/>
      <c r="H196" s="4"/>
      <c r="I196" s="4"/>
      <c r="J196" s="4"/>
      <c r="K196" s="4"/>
      <c r="L196" s="33"/>
      <c r="M196" s="4"/>
    </row>
    <row r="197" customFormat="false" ht="15" hidden="false" customHeight="false" outlineLevel="0" collapsed="false">
      <c r="A197" s="4"/>
      <c r="B197" s="33"/>
      <c r="C197" s="4"/>
      <c r="D197" s="4"/>
      <c r="E197" s="4"/>
      <c r="F197" s="4"/>
      <c r="G197" s="4"/>
      <c r="H197" s="4"/>
      <c r="I197" s="4"/>
      <c r="J197" s="4"/>
      <c r="K197" s="4"/>
      <c r="L197" s="33"/>
      <c r="M197" s="4"/>
    </row>
    <row r="198" customFormat="false" ht="15" hidden="false" customHeight="false" outlineLevel="0" collapsed="false">
      <c r="A198" s="4"/>
      <c r="B198" s="33"/>
      <c r="C198" s="4"/>
      <c r="D198" s="4"/>
      <c r="E198" s="4"/>
      <c r="F198" s="4"/>
      <c r="G198" s="4"/>
      <c r="H198" s="4"/>
      <c r="I198" s="4"/>
      <c r="J198" s="4"/>
      <c r="K198" s="4"/>
      <c r="L198" s="33"/>
      <c r="M198" s="4"/>
    </row>
    <row r="199" customFormat="false" ht="15" hidden="false" customHeight="false" outlineLevel="0" collapsed="false">
      <c r="A199" s="4"/>
      <c r="B199" s="33"/>
      <c r="C199" s="4"/>
      <c r="D199" s="4"/>
      <c r="E199" s="4"/>
      <c r="F199" s="4"/>
      <c r="G199" s="4"/>
      <c r="H199" s="4"/>
      <c r="I199" s="4"/>
      <c r="J199" s="4"/>
      <c r="K199" s="4"/>
      <c r="L199" s="33"/>
      <c r="M199" s="4"/>
    </row>
    <row r="200" customFormat="false" ht="15" hidden="false" customHeight="false" outlineLevel="0" collapsed="false">
      <c r="A200" s="4"/>
      <c r="B200" s="33"/>
      <c r="C200" s="4"/>
      <c r="D200" s="4"/>
      <c r="E200" s="4"/>
      <c r="F200" s="4"/>
      <c r="G200" s="4"/>
      <c r="H200" s="4"/>
      <c r="I200" s="4"/>
      <c r="J200" s="4"/>
      <c r="K200" s="4"/>
      <c r="L200" s="33"/>
      <c r="M200" s="4"/>
    </row>
    <row r="201" customFormat="false" ht="15" hidden="false" customHeight="false" outlineLevel="0" collapsed="false">
      <c r="A201" s="4"/>
      <c r="B201" s="33"/>
      <c r="C201" s="4"/>
      <c r="D201" s="4"/>
      <c r="E201" s="4"/>
      <c r="F201" s="4"/>
      <c r="G201" s="4"/>
      <c r="H201" s="4"/>
      <c r="I201" s="4"/>
      <c r="J201" s="4"/>
      <c r="K201" s="4"/>
      <c r="L201" s="33"/>
      <c r="M201" s="4"/>
    </row>
    <row r="202" customFormat="false" ht="15" hidden="false" customHeight="false" outlineLevel="0" collapsed="false">
      <c r="A202" s="4"/>
      <c r="B202" s="33"/>
      <c r="C202" s="4"/>
      <c r="D202" s="4"/>
      <c r="E202" s="4"/>
      <c r="F202" s="4"/>
      <c r="G202" s="4"/>
      <c r="H202" s="4"/>
      <c r="I202" s="4"/>
      <c r="J202" s="4"/>
      <c r="K202" s="4"/>
      <c r="L202" s="33"/>
      <c r="M202" s="4"/>
    </row>
    <row r="203" customFormat="false" ht="15" hidden="false" customHeight="false" outlineLevel="0" collapsed="false">
      <c r="A203" s="4"/>
      <c r="B203" s="33"/>
      <c r="C203" s="4"/>
      <c r="D203" s="4"/>
      <c r="E203" s="4"/>
      <c r="F203" s="4"/>
      <c r="G203" s="4"/>
      <c r="H203" s="4"/>
      <c r="I203" s="4"/>
      <c r="J203" s="4"/>
      <c r="K203" s="4"/>
      <c r="L203" s="33"/>
      <c r="M203" s="4"/>
    </row>
  </sheetData>
  <autoFilter ref="A3:M203"/>
  <conditionalFormatting sqref="F4:F203">
    <cfRule type="expression" priority="2" aboveAverage="0" equalAverage="0" bottom="0" percent="0" rank="0" text="" dxfId="12">
      <formula>F4="Blocker"</formula>
    </cfRule>
    <cfRule type="expression" priority="3" aboveAverage="0" equalAverage="0" bottom="0" percent="0" rank="0" text="" dxfId="11">
      <formula>F4="Major"</formula>
    </cfRule>
    <cfRule type="expression" priority="4" aboveAverage="0" equalAverage="0" bottom="0" percent="0" rank="0" text="" dxfId="10">
      <formula>F4="Minor"</formula>
    </cfRule>
  </conditionalFormatting>
  <conditionalFormatting sqref="A4:E203 G4:M203">
    <cfRule type="expression" priority="5" aboveAverage="0" equalAverage="0" bottom="0" percent="0" rank="0" text="" dxfId="23">
      <formula>OR($G4="Resolved",$G4="Won't fix")</formula>
    </cfRule>
  </conditionalFormatting>
  <dataValidations count="4">
    <dataValidation allowBlank="true" errorStyle="stop" operator="between" showDropDown="false" showErrorMessage="false" showInputMessage="false" sqref="C4:C203" type="list">
      <formula1>"G1 ED305 live digital twin,G2 SCooP dataset &amp; paper,Shared SCooP testbed,Dual-Link Communication,Semantic Communication"</formula1>
      <formula2>0</formula2>
    </dataValidation>
    <dataValidation allowBlank="true" errorStyle="stop" operator="between" showDropDown="false" showErrorMessage="false" showInputMessage="false" sqref="E4:E203" type="list">
      <formula1>"Sensors &amp; platform,GS-SLAM,Scene detection,Isaac Sim,Sionna RT,SCooP dataset,Dual-link comms,Semantic comms,All (integration)"</formula1>
      <formula2>0</formula2>
    </dataValidation>
    <dataValidation allowBlank="true" errorStyle="stop" operator="between" showDropDown="false" showErrorMessage="false" showInputMessage="false" sqref="F4:F203" type="list">
      <formula1>"Blocker,Major,Minor"</formula1>
      <formula2>0</formula2>
    </dataValidation>
    <dataValidation allowBlank="true" errorStyle="stop" operator="between" showDropDown="false" showErrorMessage="false" showInputMessage="false" sqref="G4:G203" type="list">
      <formula1>"Open,Investigating,Resolved,Won't fix"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20"/>
    <col collapsed="false" customWidth="true" hidden="false" outlineLevel="0" max="4" min="4" style="0" width="36"/>
    <col collapsed="false" customWidth="true" hidden="false" outlineLevel="0" max="5" min="5" style="0" width="22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9" min="8" style="0" width="17"/>
    <col collapsed="false" customWidth="true" hidden="false" outlineLevel="0" max="10" min="10" style="0" width="12"/>
    <col collapsed="false" customWidth="true" hidden="false" outlineLevel="0" max="11" min="11" style="0" width="30"/>
  </cols>
  <sheetData>
    <row r="1" customFormat="false" ht="17.35" hidden="false" customHeight="false" outlineLevel="0" collapsed="false">
      <c r="A1" s="1" t="s">
        <v>9</v>
      </c>
    </row>
    <row r="2" customFormat="false" ht="15" hidden="false" customHeight="false" outlineLevel="0" collapsed="false">
      <c r="A2" s="2" t="s">
        <v>623</v>
      </c>
    </row>
    <row r="3" customFormat="false" ht="30" hidden="false" customHeight="true" outlineLevel="0" collapsed="false">
      <c r="A3" s="11" t="s">
        <v>624</v>
      </c>
      <c r="B3" s="11" t="s">
        <v>625</v>
      </c>
      <c r="C3" s="11" t="s">
        <v>626</v>
      </c>
      <c r="D3" s="11" t="s">
        <v>627</v>
      </c>
      <c r="E3" s="11" t="s">
        <v>628</v>
      </c>
      <c r="F3" s="11" t="s">
        <v>629</v>
      </c>
      <c r="G3" s="11" t="s">
        <v>630</v>
      </c>
      <c r="H3" s="11" t="s">
        <v>631</v>
      </c>
      <c r="I3" s="11" t="s">
        <v>632</v>
      </c>
      <c r="J3" s="11" t="s">
        <v>633</v>
      </c>
      <c r="K3" s="11" t="s">
        <v>94</v>
      </c>
    </row>
    <row r="4" customFormat="false" ht="15" hidden="false" customHeight="false" outlineLevel="0" collapsed="false">
      <c r="A4" s="4" t="s">
        <v>634</v>
      </c>
      <c r="B4" s="4" t="s">
        <v>635</v>
      </c>
      <c r="C4" s="4" t="s">
        <v>636</v>
      </c>
      <c r="D4" s="4" t="s">
        <v>637</v>
      </c>
      <c r="E4" s="4" t="s">
        <v>638</v>
      </c>
      <c r="F4" s="4" t="s">
        <v>638</v>
      </c>
      <c r="G4" s="4" t="s">
        <v>638</v>
      </c>
      <c r="H4" s="4" t="s">
        <v>60</v>
      </c>
      <c r="I4" s="4" t="s">
        <v>60</v>
      </c>
      <c r="J4" s="4" t="s">
        <v>78</v>
      </c>
      <c r="K4" s="4"/>
    </row>
    <row r="5" customFormat="false" ht="15" hidden="false" customHeight="false" outlineLevel="0" collapsed="false">
      <c r="A5" s="4" t="s">
        <v>639</v>
      </c>
      <c r="B5" s="4" t="s">
        <v>636</v>
      </c>
      <c r="C5" s="4" t="s">
        <v>640</v>
      </c>
      <c r="D5" s="4" t="s">
        <v>641</v>
      </c>
      <c r="E5" s="4" t="s">
        <v>638</v>
      </c>
      <c r="F5" s="4" t="s">
        <v>638</v>
      </c>
      <c r="G5" s="4" t="s">
        <v>638</v>
      </c>
      <c r="H5" s="4" t="s">
        <v>60</v>
      </c>
      <c r="I5" s="4" t="s">
        <v>61</v>
      </c>
      <c r="J5" s="4" t="s">
        <v>78</v>
      </c>
      <c r="K5" s="4"/>
    </row>
    <row r="6" customFormat="false" ht="15" hidden="false" customHeight="false" outlineLevel="0" collapsed="false">
      <c r="A6" s="4" t="s">
        <v>642</v>
      </c>
      <c r="B6" s="4" t="s">
        <v>635</v>
      </c>
      <c r="C6" s="4" t="s">
        <v>285</v>
      </c>
      <c r="D6" s="4" t="s">
        <v>643</v>
      </c>
      <c r="E6" s="4" t="s">
        <v>638</v>
      </c>
      <c r="F6" s="4" t="s">
        <v>638</v>
      </c>
      <c r="G6" s="4" t="s">
        <v>638</v>
      </c>
      <c r="H6" s="4" t="s">
        <v>60</v>
      </c>
      <c r="I6" s="4" t="s">
        <v>61</v>
      </c>
      <c r="J6" s="4" t="s">
        <v>78</v>
      </c>
      <c r="K6" s="4"/>
    </row>
    <row r="7" customFormat="false" ht="23.85" hidden="false" customHeight="false" outlineLevel="0" collapsed="false">
      <c r="A7" s="4" t="s">
        <v>644</v>
      </c>
      <c r="B7" s="4" t="s">
        <v>645</v>
      </c>
      <c r="C7" s="4" t="s">
        <v>646</v>
      </c>
      <c r="D7" s="4" t="s">
        <v>647</v>
      </c>
      <c r="E7" s="4" t="s">
        <v>638</v>
      </c>
      <c r="F7" s="4" t="s">
        <v>638</v>
      </c>
      <c r="G7" s="4" t="s">
        <v>638</v>
      </c>
      <c r="H7" s="4" t="s">
        <v>60</v>
      </c>
      <c r="I7" s="4" t="s">
        <v>61</v>
      </c>
      <c r="J7" s="4" t="s">
        <v>78</v>
      </c>
      <c r="K7" s="4"/>
    </row>
    <row r="8" customFormat="false" ht="15" hidden="false" customHeight="false" outlineLevel="0" collapsed="false">
      <c r="A8" s="4" t="s">
        <v>648</v>
      </c>
      <c r="B8" s="4" t="s">
        <v>649</v>
      </c>
      <c r="C8" s="4" t="s">
        <v>650</v>
      </c>
      <c r="D8" s="4" t="s">
        <v>651</v>
      </c>
      <c r="E8" s="4" t="s">
        <v>638</v>
      </c>
      <c r="F8" s="4" t="s">
        <v>638</v>
      </c>
      <c r="G8" s="4" t="s">
        <v>638</v>
      </c>
      <c r="H8" s="4" t="s">
        <v>61</v>
      </c>
      <c r="I8" s="4" t="s">
        <v>63</v>
      </c>
      <c r="J8" s="4" t="s">
        <v>78</v>
      </c>
      <c r="K8" s="4"/>
    </row>
    <row r="9" customFormat="false" ht="15" hidden="false" customHeight="false" outlineLevel="0" collapsed="false">
      <c r="A9" s="4" t="s">
        <v>652</v>
      </c>
      <c r="B9" s="4" t="s">
        <v>653</v>
      </c>
      <c r="C9" s="4" t="s">
        <v>654</v>
      </c>
      <c r="D9" s="4" t="s">
        <v>655</v>
      </c>
      <c r="E9" s="4" t="s">
        <v>638</v>
      </c>
      <c r="F9" s="4" t="s">
        <v>638</v>
      </c>
      <c r="G9" s="4" t="s">
        <v>638</v>
      </c>
      <c r="H9" s="4" t="s">
        <v>61</v>
      </c>
      <c r="I9" s="4" t="s">
        <v>61</v>
      </c>
      <c r="J9" s="4" t="s">
        <v>78</v>
      </c>
      <c r="K9" s="4"/>
    </row>
    <row r="10" customFormat="false" ht="23.85" hidden="false" customHeight="false" outlineLevel="0" collapsed="false">
      <c r="A10" s="4" t="s">
        <v>656</v>
      </c>
      <c r="B10" s="4" t="s">
        <v>654</v>
      </c>
      <c r="C10" s="4" t="s">
        <v>657</v>
      </c>
      <c r="D10" s="4" t="s">
        <v>658</v>
      </c>
      <c r="E10" s="4" t="s">
        <v>638</v>
      </c>
      <c r="F10" s="4" t="s">
        <v>638</v>
      </c>
      <c r="G10" s="4" t="s">
        <v>638</v>
      </c>
      <c r="H10" s="4" t="s">
        <v>61</v>
      </c>
      <c r="I10" s="4" t="s">
        <v>62</v>
      </c>
      <c r="J10" s="4" t="s">
        <v>78</v>
      </c>
      <c r="K10" s="4"/>
    </row>
    <row r="11" customFormat="false" ht="23.85" hidden="false" customHeight="false" outlineLevel="0" collapsed="false">
      <c r="A11" s="4" t="s">
        <v>659</v>
      </c>
      <c r="B11" s="4" t="s">
        <v>63</v>
      </c>
      <c r="C11" s="4" t="s">
        <v>660</v>
      </c>
      <c r="D11" s="4" t="s">
        <v>661</v>
      </c>
      <c r="E11" s="4" t="s">
        <v>638</v>
      </c>
      <c r="F11" s="4" t="s">
        <v>638</v>
      </c>
      <c r="G11" s="4" t="s">
        <v>638</v>
      </c>
      <c r="H11" s="4" t="s">
        <v>63</v>
      </c>
      <c r="I11" s="4" t="s">
        <v>62</v>
      </c>
      <c r="J11" s="4" t="s">
        <v>78</v>
      </c>
      <c r="K11" s="4"/>
    </row>
    <row r="12" customFormat="false" ht="23.85" hidden="false" customHeight="false" outlineLevel="0" collapsed="false">
      <c r="A12" s="4" t="s">
        <v>662</v>
      </c>
      <c r="B12" s="4" t="s">
        <v>663</v>
      </c>
      <c r="C12" s="4" t="s">
        <v>664</v>
      </c>
      <c r="D12" s="4" t="s">
        <v>665</v>
      </c>
      <c r="E12" s="4" t="s">
        <v>638</v>
      </c>
      <c r="F12" s="4" t="s">
        <v>638</v>
      </c>
      <c r="G12" s="4" t="s">
        <v>638</v>
      </c>
      <c r="H12" s="4" t="s">
        <v>62</v>
      </c>
      <c r="I12" s="4" t="s">
        <v>63</v>
      </c>
      <c r="J12" s="4" t="s">
        <v>78</v>
      </c>
      <c r="K12" s="4"/>
    </row>
    <row r="13" customFormat="false" ht="15" hidden="false" customHeight="false" outlineLevel="0" collapsed="false">
      <c r="A13" s="4" t="s">
        <v>666</v>
      </c>
      <c r="B13" s="4" t="s">
        <v>63</v>
      </c>
      <c r="C13" s="4" t="s">
        <v>667</v>
      </c>
      <c r="D13" s="4" t="s">
        <v>668</v>
      </c>
      <c r="E13" s="4" t="s">
        <v>638</v>
      </c>
      <c r="F13" s="4" t="s">
        <v>638</v>
      </c>
      <c r="G13" s="4" t="s">
        <v>638</v>
      </c>
      <c r="H13" s="4" t="s">
        <v>63</v>
      </c>
      <c r="I13" s="4" t="s">
        <v>60</v>
      </c>
      <c r="J13" s="4" t="s">
        <v>78</v>
      </c>
      <c r="K13" s="4"/>
    </row>
    <row r="14" customFormat="false" ht="15" hidden="false" customHeight="false" outlineLevel="0" collapsed="false">
      <c r="A14" s="4" t="s">
        <v>669</v>
      </c>
      <c r="B14" s="4" t="s">
        <v>63</v>
      </c>
      <c r="C14" s="4" t="s">
        <v>64</v>
      </c>
      <c r="D14" s="4" t="s">
        <v>670</v>
      </c>
      <c r="E14" s="4" t="s">
        <v>638</v>
      </c>
      <c r="F14" s="4" t="s">
        <v>638</v>
      </c>
      <c r="G14" s="4" t="s">
        <v>638</v>
      </c>
      <c r="H14" s="4" t="s">
        <v>63</v>
      </c>
      <c r="I14" s="4" t="s">
        <v>64</v>
      </c>
      <c r="J14" s="4" t="s">
        <v>78</v>
      </c>
      <c r="K14" s="4"/>
    </row>
    <row r="15" customFormat="false" ht="23.85" hidden="false" customHeight="false" outlineLevel="0" collapsed="false">
      <c r="A15" s="4" t="s">
        <v>671</v>
      </c>
      <c r="B15" s="4" t="s">
        <v>672</v>
      </c>
      <c r="C15" s="4" t="s">
        <v>673</v>
      </c>
      <c r="D15" s="4" t="s">
        <v>674</v>
      </c>
      <c r="E15" s="4" t="s">
        <v>638</v>
      </c>
      <c r="F15" s="4" t="s">
        <v>638</v>
      </c>
      <c r="G15" s="4" t="s">
        <v>638</v>
      </c>
      <c r="H15" s="4" t="s">
        <v>60</v>
      </c>
      <c r="I15" s="4" t="s">
        <v>62</v>
      </c>
      <c r="J15" s="4" t="s">
        <v>78</v>
      </c>
      <c r="K15" s="4"/>
    </row>
    <row r="16" customFormat="false" ht="15" hidden="false" customHeight="false" outlineLevel="0" collapsed="false">
      <c r="A16" s="4" t="s">
        <v>675</v>
      </c>
      <c r="B16" s="4" t="s">
        <v>64</v>
      </c>
      <c r="C16" s="4" t="s">
        <v>676</v>
      </c>
      <c r="D16" s="4" t="s">
        <v>677</v>
      </c>
      <c r="E16" s="4" t="s">
        <v>638</v>
      </c>
      <c r="F16" s="4" t="s">
        <v>638</v>
      </c>
      <c r="G16" s="4" t="s">
        <v>638</v>
      </c>
      <c r="H16" s="4" t="s">
        <v>64</v>
      </c>
      <c r="I16" s="4" t="s">
        <v>66</v>
      </c>
      <c r="J16" s="4" t="s">
        <v>78</v>
      </c>
      <c r="K16" s="4"/>
    </row>
    <row r="17" customFormat="false" ht="15" hidden="false" customHeight="false" outlineLevel="0" collapsed="false">
      <c r="A17" s="4" t="s">
        <v>678</v>
      </c>
      <c r="B17" s="4" t="s">
        <v>679</v>
      </c>
      <c r="C17" s="4" t="s">
        <v>680</v>
      </c>
      <c r="D17" s="4" t="s">
        <v>681</v>
      </c>
      <c r="E17" s="4" t="s">
        <v>638</v>
      </c>
      <c r="F17" s="4" t="s">
        <v>638</v>
      </c>
      <c r="G17" s="4" t="s">
        <v>638</v>
      </c>
      <c r="H17" s="4" t="s">
        <v>65</v>
      </c>
      <c r="I17" s="4" t="s">
        <v>64</v>
      </c>
      <c r="J17" s="4" t="s">
        <v>78</v>
      </c>
      <c r="K17" s="4"/>
    </row>
    <row r="18" customFormat="false" ht="15" hidden="false" customHeight="false" outlineLevel="0" collapsed="false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</row>
    <row r="19" customFormat="false" ht="15" hidden="false" customHeight="false" outlineLevel="0" collapsed="false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</row>
    <row r="20" customFormat="false" ht="15" hidden="false" customHeight="false" outlineLevel="0" collapsed="false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</row>
    <row r="21" customFormat="false" ht="15" hidden="false" customHeight="false" outlineLevel="0" collapsed="false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</row>
    <row r="22" customFormat="false" ht="15" hidden="false" customHeight="false" outlineLevel="0" collapsed="false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</row>
    <row r="23" customFormat="false" ht="15" hidden="false" customHeight="false" outlineLevel="0" collapsed="false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</row>
    <row r="24" customFormat="false" ht="15" hidden="false" customHeight="false" outlineLevel="0" collapsed="false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</row>
    <row r="25" customFormat="false" ht="15" hidden="false" customHeight="false" outlineLevel="0" collapsed="false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</row>
    <row r="26" customFormat="false" ht="15" hidden="false" customHeight="false" outlineLevel="0" collapsed="false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</row>
    <row r="27" customFormat="false" ht="15" hidden="false" customHeight="false" outlineLevel="0" collapsed="false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</row>
    <row r="28" customFormat="false" ht="15" hidden="false" customHeight="false" outlineLevel="0" collapsed="false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</row>
    <row r="29" customFormat="false" ht="15" hidden="false" customHeight="false" outlineLevel="0" collapsed="false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</row>
    <row r="30" customFormat="false" ht="15" hidden="false" customHeight="false" outlineLevel="0" collapsed="false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</row>
    <row r="31" customFormat="false" ht="15" hidden="false" customHeight="false" outlineLevel="0" collapsed="false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</row>
    <row r="32" customFormat="false" ht="15" hidden="false" customHeight="false" outlineLevel="0" collapsed="false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</row>
    <row r="33" customFormat="false" ht="15" hidden="false" customHeight="false" outlineLevel="0" collapsed="false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</row>
    <row r="34" customFormat="false" ht="15" hidden="false" customHeight="false" outlineLevel="0" collapsed="false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</row>
    <row r="35" customFormat="false" ht="15" hidden="false" customHeight="false" outlineLevel="0" collapsed="false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</row>
    <row r="36" customFormat="false" ht="15" hidden="false" customHeight="false" outlineLevel="0" collapsed="false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</row>
    <row r="37" customFormat="false" ht="15" hidden="false" customHeight="false" outlineLevel="0" collapsed="false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</row>
    <row r="38" customFormat="false" ht="15" hidden="false" customHeight="false" outlineLevel="0" collapsed="false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</row>
    <row r="39" customFormat="false" ht="15" hidden="false" customHeight="false" outlineLevel="0" collapsed="false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</row>
    <row r="40" customFormat="false" ht="15" hidden="false" customHeight="false" outlineLevel="0" collapsed="false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</row>
    <row r="41" customFormat="false" ht="15" hidden="false" customHeight="false" outlineLevel="0" collapsed="false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</row>
    <row r="42" customFormat="false" ht="15" hidden="false" customHeight="false" outlineLevel="0" collapsed="false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</row>
    <row r="43" customFormat="false" ht="15" hidden="false" customHeight="false" outlineLevel="0" collapsed="false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</row>
    <row r="44" customFormat="false" ht="15" hidden="false" customHeight="false" outlineLevel="0" collapsed="false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</row>
    <row r="45" customFormat="false" ht="15" hidden="false" customHeight="false" outlineLevel="0" collapsed="false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</row>
    <row r="46" customFormat="false" ht="15" hidden="false" customHeight="false" outlineLevel="0" collapsed="false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</row>
    <row r="47" customFormat="false" ht="15" hidden="false" customHeight="false" outlineLevel="0" collapsed="false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</row>
    <row r="48" customFormat="false" ht="15" hidden="false" customHeight="false" outlineLevel="0" collapsed="false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</row>
    <row r="49" customFormat="false" ht="15" hidden="false" customHeight="false" outlineLevel="0" collapsed="false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</row>
    <row r="50" customFormat="false" ht="15" hidden="false" customHeight="false" outlineLevel="0" collapsed="false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</row>
    <row r="51" customFormat="false" ht="15" hidden="false" customHeight="false" outlineLevel="0" collapsed="false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</row>
    <row r="52" customFormat="false" ht="15" hidden="false" customHeight="false" outlineLevel="0" collapsed="false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</row>
    <row r="53" customFormat="false" ht="15" hidden="false" customHeight="false" outlineLevel="0" collapsed="false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</row>
    <row r="54" customFormat="false" ht="15" hidden="false" customHeight="false" outlineLevel="0" collapsed="false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</row>
    <row r="55" customFormat="false" ht="15" hidden="false" customHeight="false" outlineLevel="0" collapsed="false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</row>
    <row r="56" customFormat="false" ht="15" hidden="false" customHeight="false" outlineLevel="0" collapsed="false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</row>
    <row r="57" customFormat="false" ht="15" hidden="false" customHeight="false" outlineLevel="0" collapsed="false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</row>
    <row r="58" customFormat="false" ht="15" hidden="false" customHeight="false" outlineLevel="0" collapsed="false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</row>
    <row r="59" customFormat="false" ht="15" hidden="false" customHeight="false" outlineLevel="0" collapsed="false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</row>
    <row r="60" customFormat="false" ht="15" hidden="false" customHeight="false" outlineLevel="0" collapsed="false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</row>
    <row r="61" customFormat="false" ht="15" hidden="false" customHeight="false" outlineLevel="0" collapsed="false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</row>
    <row r="62" customFormat="false" ht="15" hidden="false" customHeight="false" outlineLevel="0" collapsed="false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</row>
    <row r="63" customFormat="false" ht="15" hidden="false" customHeight="false" outlineLevel="0" collapsed="false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</row>
    <row r="64" customFormat="false" ht="15" hidden="false" customHeight="false" outlineLevel="0" collapsed="false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</row>
    <row r="65" customFormat="false" ht="15" hidden="false" customHeight="false" outlineLevel="0" collapsed="false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</row>
    <row r="66" customFormat="false" ht="15" hidden="false" customHeight="false" outlineLevel="0" collapsed="false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</row>
    <row r="67" customFormat="false" ht="15" hidden="false" customHeight="false" outlineLevel="0" collapsed="false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</row>
    <row r="68" customFormat="false" ht="15" hidden="false" customHeight="false" outlineLevel="0" collapsed="false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</row>
    <row r="69" customFormat="false" ht="15" hidden="false" customHeight="false" outlineLevel="0" collapsed="false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</row>
    <row r="70" customFormat="false" ht="15" hidden="false" customHeight="false" outlineLevel="0" collapsed="false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</row>
    <row r="71" customFormat="false" ht="15" hidden="false" customHeight="false" outlineLevel="0" collapsed="false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</row>
    <row r="72" customFormat="false" ht="15" hidden="false" customHeight="false" outlineLevel="0" collapsed="false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</row>
    <row r="73" customFormat="false" ht="15" hidden="false" customHeight="false" outlineLevel="0" collapsed="false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</row>
    <row r="74" customFormat="false" ht="15" hidden="false" customHeight="false" outlineLevel="0" collapsed="false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</row>
    <row r="75" customFormat="false" ht="15" hidden="false" customHeight="false" outlineLevel="0" collapsed="false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</row>
    <row r="76" customFormat="false" ht="15" hidden="false" customHeight="false" outlineLevel="0" collapsed="false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</row>
    <row r="77" customFormat="false" ht="15" hidden="false" customHeight="false" outlineLevel="0" collapsed="false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</row>
    <row r="78" customFormat="false" ht="15" hidden="false" customHeight="false" outlineLevel="0" collapsed="false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</row>
    <row r="79" customFormat="false" ht="15" hidden="false" customHeight="false" outlineLevel="0" collapsed="false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</row>
    <row r="80" customFormat="false" ht="15" hidden="false" customHeight="false" outlineLevel="0" collapsed="false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</row>
    <row r="81" customFormat="false" ht="15" hidden="false" customHeight="false" outlineLevel="0" collapsed="false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</row>
    <row r="82" customFormat="false" ht="15" hidden="false" customHeight="false" outlineLevel="0" collapsed="false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</row>
    <row r="83" customFormat="false" ht="15" hidden="false" customHeight="false" outlineLevel="0" collapsed="false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</row>
    <row r="84" customFormat="false" ht="15" hidden="false" customHeight="false" outlineLevel="0" collapsed="false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</row>
    <row r="85" customFormat="false" ht="15" hidden="false" customHeight="false" outlineLevel="0" collapsed="false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</row>
    <row r="86" customFormat="false" ht="15" hidden="false" customHeight="false" outlineLevel="0" collapsed="false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</row>
    <row r="87" customFormat="false" ht="15" hidden="false" customHeight="false" outlineLevel="0" collapsed="false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</row>
    <row r="88" customFormat="false" ht="15" hidden="false" customHeight="false" outlineLevel="0" collapsed="false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</row>
    <row r="89" customFormat="false" ht="15" hidden="false" customHeight="false" outlineLevel="0" collapsed="false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</row>
    <row r="90" customFormat="false" ht="15" hidden="false" customHeight="false" outlineLevel="0" collapsed="false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</row>
    <row r="91" customFormat="false" ht="15" hidden="false" customHeight="false" outlineLevel="0" collapsed="false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</row>
    <row r="92" customFormat="false" ht="15" hidden="false" customHeight="false" outlineLevel="0" collapsed="false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</row>
    <row r="93" customFormat="false" ht="15" hidden="false" customHeight="false" outlineLevel="0" collapsed="false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</row>
    <row r="94" customFormat="false" ht="15" hidden="false" customHeight="false" outlineLevel="0" collapsed="false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</row>
    <row r="95" customFormat="false" ht="15" hidden="false" customHeight="false" outlineLevel="0" collapsed="false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</row>
    <row r="96" customFormat="false" ht="15" hidden="false" customHeight="false" outlineLevel="0" collapsed="false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</row>
    <row r="97" customFormat="false" ht="15" hidden="false" customHeight="false" outlineLevel="0" collapsed="false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</row>
    <row r="98" customFormat="false" ht="15" hidden="false" customHeight="false" outlineLevel="0" collapsed="false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</row>
    <row r="99" customFormat="false" ht="15" hidden="false" customHeight="false" outlineLevel="0" collapsed="false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</row>
    <row r="100" customFormat="false" ht="15" hidden="false" customHeight="false" outlineLevel="0" collapsed="false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</row>
    <row r="101" customFormat="false" ht="15" hidden="false" customHeight="false" outlineLevel="0" collapsed="false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</row>
    <row r="102" customFormat="false" ht="15" hidden="false" customHeight="false" outlineLevel="0" collapsed="false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</row>
    <row r="103" customFormat="false" ht="15" hidden="false" customHeight="false" outlineLevel="0" collapsed="false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</row>
  </sheetData>
  <conditionalFormatting sqref="J4:J103">
    <cfRule type="expression" priority="2" aboveAverage="0" equalAverage="0" bottom="0" percent="0" rank="0" text="" dxfId="10">
      <formula>J4="Not defined"</formula>
    </cfRule>
    <cfRule type="expression" priority="3" aboveAverage="0" equalAverage="0" bottom="0" percent="0" rank="0" text="" dxfId="11">
      <formula>J4="Defined"</formula>
    </cfRule>
    <cfRule type="expression" priority="4" aboveAverage="0" equalAverage="0" bottom="0" percent="0" rank="0" text="" dxfId="24">
      <formula>J4="Implemented"</formula>
    </cfRule>
    <cfRule type="expression" priority="5" aboveAverage="0" equalAverage="0" bottom="0" percent="0" rank="0" text="" dxfId="13">
      <formula>J4="Tested"</formula>
    </cfRule>
  </conditionalFormatting>
  <dataValidations count="3">
    <dataValidation allowBlank="true" errorStyle="stop" operator="between" showDropDown="false" showErrorMessage="false" showInputMessage="false" sqref="H4:H103" type="list">
      <formula1>"Sensors &amp; platform,GS-SLAM,Scene detection,Isaac Sim,Sionna RT,SCooP dataset,Dual-link comms,Semantic comms,All (integration)"</formula1>
      <formula2>0</formula2>
    </dataValidation>
    <dataValidation allowBlank="true" errorStyle="stop" operator="between" showDropDown="false" showErrorMessage="false" showInputMessage="false" sqref="I4:I103" type="list">
      <formula1>"Sensors &amp; platform,GS-SLAM,Scene detection,Isaac Sim,Sionna RT,SCooP dataset,Dual-link comms,Semantic comms,All (integration)"</formula1>
      <formula2>0</formula2>
    </dataValidation>
    <dataValidation allowBlank="true" errorStyle="stop" operator="between" showDropDown="false" showErrorMessage="false" showInputMessage="false" sqref="J4:J103" type="list">
      <formula1>"Not defined,Defined,Implemented,Tested"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6"/>
    <col collapsed="false" customWidth="true" hidden="false" outlineLevel="0" max="4" min="3" style="0" width="50"/>
    <col collapsed="false" customWidth="true" hidden="false" outlineLevel="0" max="5" min="5" style="0" width="16"/>
    <col collapsed="false" customWidth="true" hidden="false" outlineLevel="0" max="6" min="6" style="0" width="30"/>
  </cols>
  <sheetData>
    <row r="1" customFormat="false" ht="17.35" hidden="false" customHeight="false" outlineLevel="0" collapsed="false">
      <c r="A1" s="1" t="s">
        <v>11</v>
      </c>
    </row>
    <row r="2" customFormat="false" ht="15" hidden="false" customHeight="false" outlineLevel="0" collapsed="false">
      <c r="A2" s="2" t="s">
        <v>682</v>
      </c>
    </row>
    <row r="3" customFormat="false" ht="30" hidden="false" customHeight="true" outlineLevel="0" collapsed="false">
      <c r="A3" s="11" t="s">
        <v>683</v>
      </c>
      <c r="B3" s="11" t="s">
        <v>59</v>
      </c>
      <c r="C3" s="11" t="s">
        <v>684</v>
      </c>
      <c r="D3" s="11" t="s">
        <v>685</v>
      </c>
      <c r="E3" s="11" t="s">
        <v>686</v>
      </c>
      <c r="F3" s="11" t="s">
        <v>94</v>
      </c>
    </row>
    <row r="4" customFormat="false" ht="15" hidden="false" customHeight="false" outlineLevel="0" collapsed="false">
      <c r="A4" s="34" t="n">
        <v>46300</v>
      </c>
      <c r="B4" s="35" t="s">
        <v>687</v>
      </c>
      <c r="C4" s="35" t="s">
        <v>688</v>
      </c>
      <c r="D4" s="35" t="s">
        <v>689</v>
      </c>
      <c r="E4" s="35" t="s">
        <v>613</v>
      </c>
      <c r="F4" s="35" t="s">
        <v>690</v>
      </c>
    </row>
    <row r="5" customFormat="false" ht="15" hidden="false" customHeight="false" outlineLevel="0" collapsed="false">
      <c r="A5" s="33"/>
      <c r="B5" s="4"/>
      <c r="C5" s="4"/>
      <c r="D5" s="4"/>
      <c r="E5" s="4"/>
      <c r="F5" s="4"/>
    </row>
    <row r="6" customFormat="false" ht="15" hidden="false" customHeight="false" outlineLevel="0" collapsed="false">
      <c r="A6" s="33"/>
      <c r="B6" s="4"/>
      <c r="C6" s="4"/>
      <c r="D6" s="4"/>
      <c r="E6" s="4"/>
      <c r="F6" s="4"/>
    </row>
    <row r="7" customFormat="false" ht="15" hidden="false" customHeight="false" outlineLevel="0" collapsed="false">
      <c r="A7" s="33"/>
      <c r="B7" s="4"/>
      <c r="C7" s="4"/>
      <c r="D7" s="4"/>
      <c r="E7" s="4"/>
      <c r="F7" s="4"/>
    </row>
    <row r="8" customFormat="false" ht="15" hidden="false" customHeight="false" outlineLevel="0" collapsed="false">
      <c r="A8" s="33"/>
      <c r="B8" s="4"/>
      <c r="C8" s="4"/>
      <c r="D8" s="4"/>
      <c r="E8" s="4"/>
      <c r="F8" s="4"/>
    </row>
    <row r="9" customFormat="false" ht="15" hidden="false" customHeight="false" outlineLevel="0" collapsed="false">
      <c r="A9" s="33"/>
      <c r="B9" s="4"/>
      <c r="C9" s="4"/>
      <c r="D9" s="4"/>
      <c r="E9" s="4"/>
      <c r="F9" s="4"/>
    </row>
    <row r="10" customFormat="false" ht="15" hidden="false" customHeight="false" outlineLevel="0" collapsed="false">
      <c r="A10" s="33"/>
      <c r="B10" s="4"/>
      <c r="C10" s="4"/>
      <c r="D10" s="4"/>
      <c r="E10" s="4"/>
      <c r="F10" s="4"/>
    </row>
    <row r="11" customFormat="false" ht="15" hidden="false" customHeight="false" outlineLevel="0" collapsed="false">
      <c r="A11" s="33"/>
      <c r="B11" s="4"/>
      <c r="C11" s="4"/>
      <c r="D11" s="4"/>
      <c r="E11" s="4"/>
      <c r="F11" s="4"/>
    </row>
    <row r="12" customFormat="false" ht="15" hidden="false" customHeight="false" outlineLevel="0" collapsed="false">
      <c r="A12" s="33"/>
      <c r="B12" s="4"/>
      <c r="C12" s="4"/>
      <c r="D12" s="4"/>
      <c r="E12" s="4"/>
      <c r="F12" s="4"/>
    </row>
    <row r="13" customFormat="false" ht="15" hidden="false" customHeight="false" outlineLevel="0" collapsed="false">
      <c r="A13" s="33"/>
      <c r="B13" s="4"/>
      <c r="C13" s="4"/>
      <c r="D13" s="4"/>
      <c r="E13" s="4"/>
      <c r="F13" s="4"/>
    </row>
    <row r="14" customFormat="false" ht="15" hidden="false" customHeight="false" outlineLevel="0" collapsed="false">
      <c r="A14" s="33"/>
      <c r="B14" s="4"/>
      <c r="C14" s="4"/>
      <c r="D14" s="4"/>
      <c r="E14" s="4"/>
      <c r="F14" s="4"/>
    </row>
    <row r="15" customFormat="false" ht="15" hidden="false" customHeight="false" outlineLevel="0" collapsed="false">
      <c r="A15" s="33"/>
      <c r="B15" s="4"/>
      <c r="C15" s="4"/>
      <c r="D15" s="4"/>
      <c r="E15" s="4"/>
      <c r="F15" s="4"/>
    </row>
    <row r="16" customFormat="false" ht="15" hidden="false" customHeight="false" outlineLevel="0" collapsed="false">
      <c r="A16" s="33"/>
      <c r="B16" s="4"/>
      <c r="C16" s="4"/>
      <c r="D16" s="4"/>
      <c r="E16" s="4"/>
      <c r="F16" s="4"/>
    </row>
    <row r="17" customFormat="false" ht="15" hidden="false" customHeight="false" outlineLevel="0" collapsed="false">
      <c r="A17" s="33"/>
      <c r="B17" s="4"/>
      <c r="C17" s="4"/>
      <c r="D17" s="4"/>
      <c r="E17" s="4"/>
      <c r="F17" s="4"/>
    </row>
    <row r="18" customFormat="false" ht="15" hidden="false" customHeight="false" outlineLevel="0" collapsed="false">
      <c r="A18" s="33"/>
      <c r="B18" s="4"/>
      <c r="C18" s="4"/>
      <c r="D18" s="4"/>
      <c r="E18" s="4"/>
      <c r="F18" s="4"/>
    </row>
    <row r="19" customFormat="false" ht="15" hidden="false" customHeight="false" outlineLevel="0" collapsed="false">
      <c r="A19" s="33"/>
      <c r="B19" s="4"/>
      <c r="C19" s="4"/>
      <c r="D19" s="4"/>
      <c r="E19" s="4"/>
      <c r="F19" s="4"/>
    </row>
    <row r="20" customFormat="false" ht="15" hidden="false" customHeight="false" outlineLevel="0" collapsed="false">
      <c r="A20" s="33"/>
      <c r="B20" s="4"/>
      <c r="C20" s="4"/>
      <c r="D20" s="4"/>
      <c r="E20" s="4"/>
      <c r="F20" s="4"/>
    </row>
    <row r="21" customFormat="false" ht="15" hidden="false" customHeight="false" outlineLevel="0" collapsed="false">
      <c r="A21" s="33"/>
      <c r="B21" s="4"/>
      <c r="C21" s="4"/>
      <c r="D21" s="4"/>
      <c r="E21" s="4"/>
      <c r="F21" s="4"/>
    </row>
    <row r="22" customFormat="false" ht="15" hidden="false" customHeight="false" outlineLevel="0" collapsed="false">
      <c r="A22" s="33"/>
      <c r="B22" s="4"/>
      <c r="C22" s="4"/>
      <c r="D22" s="4"/>
      <c r="E22" s="4"/>
      <c r="F22" s="4"/>
    </row>
    <row r="23" customFormat="false" ht="15" hidden="false" customHeight="false" outlineLevel="0" collapsed="false">
      <c r="A23" s="33"/>
      <c r="B23" s="4"/>
      <c r="C23" s="4"/>
      <c r="D23" s="4"/>
      <c r="E23" s="4"/>
      <c r="F23" s="4"/>
    </row>
    <row r="24" customFormat="false" ht="15" hidden="false" customHeight="false" outlineLevel="0" collapsed="false">
      <c r="A24" s="33"/>
      <c r="B24" s="4"/>
      <c r="C24" s="4"/>
      <c r="D24" s="4"/>
      <c r="E24" s="4"/>
      <c r="F24" s="4"/>
    </row>
    <row r="25" customFormat="false" ht="15" hidden="false" customHeight="false" outlineLevel="0" collapsed="false">
      <c r="A25" s="33"/>
      <c r="B25" s="4"/>
      <c r="C25" s="4"/>
      <c r="D25" s="4"/>
      <c r="E25" s="4"/>
      <c r="F25" s="4"/>
    </row>
    <row r="26" customFormat="false" ht="15" hidden="false" customHeight="false" outlineLevel="0" collapsed="false">
      <c r="A26" s="33"/>
      <c r="B26" s="4"/>
      <c r="C26" s="4"/>
      <c r="D26" s="4"/>
      <c r="E26" s="4"/>
      <c r="F26" s="4"/>
    </row>
    <row r="27" customFormat="false" ht="15" hidden="false" customHeight="false" outlineLevel="0" collapsed="false">
      <c r="A27" s="33"/>
      <c r="B27" s="4"/>
      <c r="C27" s="4"/>
      <c r="D27" s="4"/>
      <c r="E27" s="4"/>
      <c r="F27" s="4"/>
    </row>
    <row r="28" customFormat="false" ht="15" hidden="false" customHeight="false" outlineLevel="0" collapsed="false">
      <c r="A28" s="33"/>
      <c r="B28" s="4"/>
      <c r="C28" s="4"/>
      <c r="D28" s="4"/>
      <c r="E28" s="4"/>
      <c r="F28" s="4"/>
    </row>
    <row r="29" customFormat="false" ht="15" hidden="false" customHeight="false" outlineLevel="0" collapsed="false">
      <c r="A29" s="33"/>
      <c r="B29" s="4"/>
      <c r="C29" s="4"/>
      <c r="D29" s="4"/>
      <c r="E29" s="4"/>
      <c r="F29" s="4"/>
    </row>
    <row r="30" customFormat="false" ht="15" hidden="false" customHeight="false" outlineLevel="0" collapsed="false">
      <c r="A30" s="33"/>
      <c r="B30" s="4"/>
      <c r="C30" s="4"/>
      <c r="D30" s="4"/>
      <c r="E30" s="4"/>
      <c r="F30" s="4"/>
    </row>
    <row r="31" customFormat="false" ht="15" hidden="false" customHeight="false" outlineLevel="0" collapsed="false">
      <c r="A31" s="33"/>
      <c r="B31" s="4"/>
      <c r="C31" s="4"/>
      <c r="D31" s="4"/>
      <c r="E31" s="4"/>
      <c r="F31" s="4"/>
    </row>
    <row r="32" customFormat="false" ht="15" hidden="false" customHeight="false" outlineLevel="0" collapsed="false">
      <c r="A32" s="33"/>
      <c r="B32" s="4"/>
      <c r="C32" s="4"/>
      <c r="D32" s="4"/>
      <c r="E32" s="4"/>
      <c r="F32" s="4"/>
    </row>
    <row r="33" customFormat="false" ht="15" hidden="false" customHeight="false" outlineLevel="0" collapsed="false">
      <c r="A33" s="33"/>
      <c r="B33" s="4"/>
      <c r="C33" s="4"/>
      <c r="D33" s="4"/>
      <c r="E33" s="4"/>
      <c r="F33" s="4"/>
    </row>
    <row r="34" customFormat="false" ht="15" hidden="false" customHeight="false" outlineLevel="0" collapsed="false">
      <c r="A34" s="33"/>
      <c r="B34" s="4"/>
      <c r="C34" s="4"/>
      <c r="D34" s="4"/>
      <c r="E34" s="4"/>
      <c r="F34" s="4"/>
    </row>
    <row r="35" customFormat="false" ht="15" hidden="false" customHeight="false" outlineLevel="0" collapsed="false">
      <c r="A35" s="33"/>
      <c r="B35" s="4"/>
      <c r="C35" s="4"/>
      <c r="D35" s="4"/>
      <c r="E35" s="4"/>
      <c r="F35" s="4"/>
    </row>
    <row r="36" customFormat="false" ht="15" hidden="false" customHeight="false" outlineLevel="0" collapsed="false">
      <c r="A36" s="33"/>
      <c r="B36" s="4"/>
      <c r="C36" s="4"/>
      <c r="D36" s="4"/>
      <c r="E36" s="4"/>
      <c r="F36" s="4"/>
    </row>
    <row r="37" customFormat="false" ht="15" hidden="false" customHeight="false" outlineLevel="0" collapsed="false">
      <c r="A37" s="33"/>
      <c r="B37" s="4"/>
      <c r="C37" s="4"/>
      <c r="D37" s="4"/>
      <c r="E37" s="4"/>
      <c r="F37" s="4"/>
    </row>
    <row r="38" customFormat="false" ht="15" hidden="false" customHeight="false" outlineLevel="0" collapsed="false">
      <c r="A38" s="33"/>
      <c r="B38" s="4"/>
      <c r="C38" s="4"/>
      <c r="D38" s="4"/>
      <c r="E38" s="4"/>
      <c r="F38" s="4"/>
    </row>
    <row r="39" customFormat="false" ht="15" hidden="false" customHeight="false" outlineLevel="0" collapsed="false">
      <c r="A39" s="33"/>
      <c r="B39" s="4"/>
      <c r="C39" s="4"/>
      <c r="D39" s="4"/>
      <c r="E39" s="4"/>
      <c r="F39" s="4"/>
    </row>
    <row r="40" customFormat="false" ht="15" hidden="false" customHeight="false" outlineLevel="0" collapsed="false">
      <c r="A40" s="33"/>
      <c r="B40" s="4"/>
      <c r="C40" s="4"/>
      <c r="D40" s="4"/>
      <c r="E40" s="4"/>
      <c r="F40" s="4"/>
    </row>
    <row r="41" customFormat="false" ht="15" hidden="false" customHeight="false" outlineLevel="0" collapsed="false">
      <c r="A41" s="33"/>
      <c r="B41" s="4"/>
      <c r="C41" s="4"/>
      <c r="D41" s="4"/>
      <c r="E41" s="4"/>
      <c r="F41" s="4"/>
    </row>
    <row r="42" customFormat="false" ht="15" hidden="false" customHeight="false" outlineLevel="0" collapsed="false">
      <c r="A42" s="33"/>
      <c r="B42" s="4"/>
      <c r="C42" s="4"/>
      <c r="D42" s="4"/>
      <c r="E42" s="4"/>
      <c r="F42" s="4"/>
    </row>
    <row r="43" customFormat="false" ht="15" hidden="false" customHeight="false" outlineLevel="0" collapsed="false">
      <c r="A43" s="33"/>
      <c r="B43" s="4"/>
      <c r="C43" s="4"/>
      <c r="D43" s="4"/>
      <c r="E43" s="4"/>
      <c r="F43" s="4"/>
    </row>
    <row r="44" customFormat="false" ht="15" hidden="false" customHeight="false" outlineLevel="0" collapsed="false">
      <c r="A44" s="33"/>
      <c r="B44" s="4"/>
      <c r="C44" s="4"/>
      <c r="D44" s="4"/>
      <c r="E44" s="4"/>
      <c r="F44" s="4"/>
    </row>
    <row r="45" customFormat="false" ht="15" hidden="false" customHeight="false" outlineLevel="0" collapsed="false">
      <c r="A45" s="33"/>
      <c r="B45" s="4"/>
      <c r="C45" s="4"/>
      <c r="D45" s="4"/>
      <c r="E45" s="4"/>
      <c r="F45" s="4"/>
    </row>
    <row r="46" customFormat="false" ht="15" hidden="false" customHeight="false" outlineLevel="0" collapsed="false">
      <c r="A46" s="33"/>
      <c r="B46" s="4"/>
      <c r="C46" s="4"/>
      <c r="D46" s="4"/>
      <c r="E46" s="4"/>
      <c r="F46" s="4"/>
    </row>
    <row r="47" customFormat="false" ht="15" hidden="false" customHeight="false" outlineLevel="0" collapsed="false">
      <c r="A47" s="33"/>
      <c r="B47" s="4"/>
      <c r="C47" s="4"/>
      <c r="D47" s="4"/>
      <c r="E47" s="4"/>
      <c r="F47" s="4"/>
    </row>
    <row r="48" customFormat="false" ht="15" hidden="false" customHeight="false" outlineLevel="0" collapsed="false">
      <c r="A48" s="33"/>
      <c r="B48" s="4"/>
      <c r="C48" s="4"/>
      <c r="D48" s="4"/>
      <c r="E48" s="4"/>
      <c r="F48" s="4"/>
    </row>
    <row r="49" customFormat="false" ht="15" hidden="false" customHeight="false" outlineLevel="0" collapsed="false">
      <c r="A49" s="33"/>
      <c r="B49" s="4"/>
      <c r="C49" s="4"/>
      <c r="D49" s="4"/>
      <c r="E49" s="4"/>
      <c r="F49" s="4"/>
    </row>
    <row r="50" customFormat="false" ht="15" hidden="false" customHeight="false" outlineLevel="0" collapsed="false">
      <c r="A50" s="33"/>
      <c r="B50" s="4"/>
      <c r="C50" s="4"/>
      <c r="D50" s="4"/>
      <c r="E50" s="4"/>
      <c r="F50" s="4"/>
    </row>
    <row r="51" customFormat="false" ht="15" hidden="false" customHeight="false" outlineLevel="0" collapsed="false">
      <c r="A51" s="33"/>
      <c r="B51" s="4"/>
      <c r="C51" s="4"/>
      <c r="D51" s="4"/>
      <c r="E51" s="4"/>
      <c r="F51" s="4"/>
    </row>
    <row r="52" customFormat="false" ht="15" hidden="false" customHeight="false" outlineLevel="0" collapsed="false">
      <c r="A52" s="33"/>
      <c r="B52" s="4"/>
      <c r="C52" s="4"/>
      <c r="D52" s="4"/>
      <c r="E52" s="4"/>
      <c r="F52" s="4"/>
    </row>
    <row r="53" customFormat="false" ht="15" hidden="false" customHeight="false" outlineLevel="0" collapsed="false">
      <c r="A53" s="33"/>
      <c r="B53" s="4"/>
      <c r="C53" s="4"/>
      <c r="D53" s="4"/>
      <c r="E53" s="4"/>
      <c r="F53" s="4"/>
    </row>
    <row r="54" customFormat="false" ht="15" hidden="false" customHeight="false" outlineLevel="0" collapsed="false">
      <c r="A54" s="33"/>
      <c r="B54" s="4"/>
      <c r="C54" s="4"/>
      <c r="D54" s="4"/>
      <c r="E54" s="4"/>
      <c r="F54" s="4"/>
    </row>
    <row r="55" customFormat="false" ht="15" hidden="false" customHeight="false" outlineLevel="0" collapsed="false">
      <c r="A55" s="33"/>
      <c r="B55" s="4"/>
      <c r="C55" s="4"/>
      <c r="D55" s="4"/>
      <c r="E55" s="4"/>
      <c r="F55" s="4"/>
    </row>
    <row r="56" customFormat="false" ht="15" hidden="false" customHeight="false" outlineLevel="0" collapsed="false">
      <c r="A56" s="33"/>
      <c r="B56" s="4"/>
      <c r="C56" s="4"/>
      <c r="D56" s="4"/>
      <c r="E56" s="4"/>
      <c r="F56" s="4"/>
    </row>
    <row r="57" customFormat="false" ht="15" hidden="false" customHeight="false" outlineLevel="0" collapsed="false">
      <c r="A57" s="33"/>
      <c r="B57" s="4"/>
      <c r="C57" s="4"/>
      <c r="D57" s="4"/>
      <c r="E57" s="4"/>
      <c r="F57" s="4"/>
    </row>
    <row r="58" customFormat="false" ht="15" hidden="false" customHeight="false" outlineLevel="0" collapsed="false">
      <c r="A58" s="33"/>
      <c r="B58" s="4"/>
      <c r="C58" s="4"/>
      <c r="D58" s="4"/>
      <c r="E58" s="4"/>
      <c r="F58" s="4"/>
    </row>
    <row r="59" customFormat="false" ht="15" hidden="false" customHeight="false" outlineLevel="0" collapsed="false">
      <c r="A59" s="33"/>
      <c r="B59" s="4"/>
      <c r="C59" s="4"/>
      <c r="D59" s="4"/>
      <c r="E59" s="4"/>
      <c r="F59" s="4"/>
    </row>
    <row r="60" customFormat="false" ht="15" hidden="false" customHeight="false" outlineLevel="0" collapsed="false">
      <c r="A60" s="33"/>
      <c r="B60" s="4"/>
      <c r="C60" s="4"/>
      <c r="D60" s="4"/>
      <c r="E60" s="4"/>
      <c r="F60" s="4"/>
    </row>
    <row r="61" customFormat="false" ht="15" hidden="false" customHeight="false" outlineLevel="0" collapsed="false">
      <c r="A61" s="33"/>
      <c r="B61" s="4"/>
      <c r="C61" s="4"/>
      <c r="D61" s="4"/>
      <c r="E61" s="4"/>
      <c r="F61" s="4"/>
    </row>
    <row r="62" customFormat="false" ht="15" hidden="false" customHeight="false" outlineLevel="0" collapsed="false">
      <c r="A62" s="33"/>
      <c r="B62" s="4"/>
      <c r="C62" s="4"/>
      <c r="D62" s="4"/>
      <c r="E62" s="4"/>
      <c r="F62" s="4"/>
    </row>
    <row r="63" customFormat="false" ht="15" hidden="false" customHeight="false" outlineLevel="0" collapsed="false">
      <c r="A63" s="33"/>
      <c r="B63" s="4"/>
      <c r="C63" s="4"/>
      <c r="D63" s="4"/>
      <c r="E63" s="4"/>
      <c r="F63" s="4"/>
    </row>
    <row r="64" customFormat="false" ht="15" hidden="false" customHeight="false" outlineLevel="0" collapsed="false">
      <c r="A64" s="33"/>
      <c r="B64" s="4"/>
      <c r="C64" s="4"/>
      <c r="D64" s="4"/>
      <c r="E64" s="4"/>
      <c r="F64" s="4"/>
    </row>
    <row r="65" customFormat="false" ht="15" hidden="false" customHeight="false" outlineLevel="0" collapsed="false">
      <c r="A65" s="33"/>
      <c r="B65" s="4"/>
      <c r="C65" s="4"/>
      <c r="D65" s="4"/>
      <c r="E65" s="4"/>
      <c r="F65" s="4"/>
    </row>
    <row r="66" customFormat="false" ht="15" hidden="false" customHeight="false" outlineLevel="0" collapsed="false">
      <c r="A66" s="33"/>
      <c r="B66" s="4"/>
      <c r="C66" s="4"/>
      <c r="D66" s="4"/>
      <c r="E66" s="4"/>
      <c r="F66" s="4"/>
    </row>
    <row r="67" customFormat="false" ht="15" hidden="false" customHeight="false" outlineLevel="0" collapsed="false">
      <c r="A67" s="33"/>
      <c r="B67" s="4"/>
      <c r="C67" s="4"/>
      <c r="D67" s="4"/>
      <c r="E67" s="4"/>
      <c r="F67" s="4"/>
    </row>
    <row r="68" customFormat="false" ht="15" hidden="false" customHeight="false" outlineLevel="0" collapsed="false">
      <c r="A68" s="33"/>
      <c r="B68" s="4"/>
      <c r="C68" s="4"/>
      <c r="D68" s="4"/>
      <c r="E68" s="4"/>
      <c r="F68" s="4"/>
    </row>
    <row r="69" customFormat="false" ht="15" hidden="false" customHeight="false" outlineLevel="0" collapsed="false">
      <c r="A69" s="33"/>
      <c r="B69" s="4"/>
      <c r="C69" s="4"/>
      <c r="D69" s="4"/>
      <c r="E69" s="4"/>
      <c r="F69" s="4"/>
    </row>
    <row r="70" customFormat="false" ht="15" hidden="false" customHeight="false" outlineLevel="0" collapsed="false">
      <c r="A70" s="33"/>
      <c r="B70" s="4"/>
      <c r="C70" s="4"/>
      <c r="D70" s="4"/>
      <c r="E70" s="4"/>
      <c r="F70" s="4"/>
    </row>
    <row r="71" customFormat="false" ht="15" hidden="false" customHeight="false" outlineLevel="0" collapsed="false">
      <c r="A71" s="33"/>
      <c r="B71" s="4"/>
      <c r="C71" s="4"/>
      <c r="D71" s="4"/>
      <c r="E71" s="4"/>
      <c r="F71" s="4"/>
    </row>
    <row r="72" customFormat="false" ht="15" hidden="false" customHeight="false" outlineLevel="0" collapsed="false">
      <c r="A72" s="33"/>
      <c r="B72" s="4"/>
      <c r="C72" s="4"/>
      <c r="D72" s="4"/>
      <c r="E72" s="4"/>
      <c r="F72" s="4"/>
    </row>
    <row r="73" customFormat="false" ht="15" hidden="false" customHeight="false" outlineLevel="0" collapsed="false">
      <c r="A73" s="33"/>
      <c r="B73" s="4"/>
      <c r="C73" s="4"/>
      <c r="D73" s="4"/>
      <c r="E73" s="4"/>
      <c r="F73" s="4"/>
    </row>
    <row r="74" customFormat="false" ht="15" hidden="false" customHeight="false" outlineLevel="0" collapsed="false">
      <c r="A74" s="33"/>
      <c r="B74" s="4"/>
      <c r="C74" s="4"/>
      <c r="D74" s="4"/>
      <c r="E74" s="4"/>
      <c r="F74" s="4"/>
    </row>
    <row r="75" customFormat="false" ht="15" hidden="false" customHeight="false" outlineLevel="0" collapsed="false">
      <c r="A75" s="33"/>
      <c r="B75" s="4"/>
      <c r="C75" s="4"/>
      <c r="D75" s="4"/>
      <c r="E75" s="4"/>
      <c r="F75" s="4"/>
    </row>
    <row r="76" customFormat="false" ht="15" hidden="false" customHeight="false" outlineLevel="0" collapsed="false">
      <c r="A76" s="33"/>
      <c r="B76" s="4"/>
      <c r="C76" s="4"/>
      <c r="D76" s="4"/>
      <c r="E76" s="4"/>
      <c r="F76" s="4"/>
    </row>
    <row r="77" customFormat="false" ht="15" hidden="false" customHeight="false" outlineLevel="0" collapsed="false">
      <c r="A77" s="33"/>
      <c r="B77" s="4"/>
      <c r="C77" s="4"/>
      <c r="D77" s="4"/>
      <c r="E77" s="4"/>
      <c r="F77" s="4"/>
    </row>
    <row r="78" customFormat="false" ht="15" hidden="false" customHeight="false" outlineLevel="0" collapsed="false">
      <c r="A78" s="33"/>
      <c r="B78" s="4"/>
      <c r="C78" s="4"/>
      <c r="D78" s="4"/>
      <c r="E78" s="4"/>
      <c r="F78" s="4"/>
    </row>
    <row r="79" customFormat="false" ht="15" hidden="false" customHeight="false" outlineLevel="0" collapsed="false">
      <c r="A79" s="33"/>
      <c r="B79" s="4"/>
      <c r="C79" s="4"/>
      <c r="D79" s="4"/>
      <c r="E79" s="4"/>
      <c r="F79" s="4"/>
    </row>
    <row r="80" customFormat="false" ht="15" hidden="false" customHeight="false" outlineLevel="0" collapsed="false">
      <c r="A80" s="33"/>
      <c r="B80" s="4"/>
      <c r="C80" s="4"/>
      <c r="D80" s="4"/>
      <c r="E80" s="4"/>
      <c r="F80" s="4"/>
    </row>
    <row r="81" customFormat="false" ht="15" hidden="false" customHeight="false" outlineLevel="0" collapsed="false">
      <c r="A81" s="33"/>
      <c r="B81" s="4"/>
      <c r="C81" s="4"/>
      <c r="D81" s="4"/>
      <c r="E81" s="4"/>
      <c r="F81" s="4"/>
    </row>
    <row r="82" customFormat="false" ht="15" hidden="false" customHeight="false" outlineLevel="0" collapsed="false">
      <c r="A82" s="33"/>
      <c r="B82" s="4"/>
      <c r="C82" s="4"/>
      <c r="D82" s="4"/>
      <c r="E82" s="4"/>
      <c r="F82" s="4"/>
    </row>
    <row r="83" customFormat="false" ht="15" hidden="false" customHeight="false" outlineLevel="0" collapsed="false">
      <c r="A83" s="33"/>
      <c r="B83" s="4"/>
      <c r="C83" s="4"/>
      <c r="D83" s="4"/>
      <c r="E83" s="4"/>
      <c r="F83" s="4"/>
    </row>
    <row r="84" customFormat="false" ht="15" hidden="false" customHeight="false" outlineLevel="0" collapsed="false">
      <c r="A84" s="33"/>
      <c r="B84" s="4"/>
      <c r="C84" s="4"/>
      <c r="D84" s="4"/>
      <c r="E84" s="4"/>
      <c r="F84" s="4"/>
    </row>
    <row r="85" customFormat="false" ht="15" hidden="false" customHeight="false" outlineLevel="0" collapsed="false">
      <c r="A85" s="33"/>
      <c r="B85" s="4"/>
      <c r="C85" s="4"/>
      <c r="D85" s="4"/>
      <c r="E85" s="4"/>
      <c r="F85" s="4"/>
    </row>
    <row r="86" customFormat="false" ht="15" hidden="false" customHeight="false" outlineLevel="0" collapsed="false">
      <c r="A86" s="33"/>
      <c r="B86" s="4"/>
      <c r="C86" s="4"/>
      <c r="D86" s="4"/>
      <c r="E86" s="4"/>
      <c r="F86" s="4"/>
    </row>
    <row r="87" customFormat="false" ht="15" hidden="false" customHeight="false" outlineLevel="0" collapsed="false">
      <c r="A87" s="33"/>
      <c r="B87" s="4"/>
      <c r="C87" s="4"/>
      <c r="D87" s="4"/>
      <c r="E87" s="4"/>
      <c r="F87" s="4"/>
    </row>
    <row r="88" customFormat="false" ht="15" hidden="false" customHeight="false" outlineLevel="0" collapsed="false">
      <c r="A88" s="33"/>
      <c r="B88" s="4"/>
      <c r="C88" s="4"/>
      <c r="D88" s="4"/>
      <c r="E88" s="4"/>
      <c r="F88" s="4"/>
    </row>
    <row r="89" customFormat="false" ht="15" hidden="false" customHeight="false" outlineLevel="0" collapsed="false">
      <c r="A89" s="33"/>
      <c r="B89" s="4"/>
      <c r="C89" s="4"/>
      <c r="D89" s="4"/>
      <c r="E89" s="4"/>
      <c r="F89" s="4"/>
    </row>
    <row r="90" customFormat="false" ht="15" hidden="false" customHeight="false" outlineLevel="0" collapsed="false">
      <c r="A90" s="33"/>
      <c r="B90" s="4"/>
      <c r="C90" s="4"/>
      <c r="D90" s="4"/>
      <c r="E90" s="4"/>
      <c r="F90" s="4"/>
    </row>
    <row r="91" customFormat="false" ht="15" hidden="false" customHeight="false" outlineLevel="0" collapsed="false">
      <c r="A91" s="33"/>
      <c r="B91" s="4"/>
      <c r="C91" s="4"/>
      <c r="D91" s="4"/>
      <c r="E91" s="4"/>
      <c r="F91" s="4"/>
    </row>
    <row r="92" customFormat="false" ht="15" hidden="false" customHeight="false" outlineLevel="0" collapsed="false">
      <c r="A92" s="33"/>
      <c r="B92" s="4"/>
      <c r="C92" s="4"/>
      <c r="D92" s="4"/>
      <c r="E92" s="4"/>
      <c r="F92" s="4"/>
    </row>
    <row r="93" customFormat="false" ht="15" hidden="false" customHeight="false" outlineLevel="0" collapsed="false">
      <c r="A93" s="33"/>
      <c r="B93" s="4"/>
      <c r="C93" s="4"/>
      <c r="D93" s="4"/>
      <c r="E93" s="4"/>
      <c r="F93" s="4"/>
    </row>
    <row r="94" customFormat="false" ht="15" hidden="false" customHeight="false" outlineLevel="0" collapsed="false">
      <c r="A94" s="33"/>
      <c r="B94" s="4"/>
      <c r="C94" s="4"/>
      <c r="D94" s="4"/>
      <c r="E94" s="4"/>
      <c r="F94" s="4"/>
    </row>
    <row r="95" customFormat="false" ht="15" hidden="false" customHeight="false" outlineLevel="0" collapsed="false">
      <c r="A95" s="33"/>
      <c r="B95" s="4"/>
      <c r="C95" s="4"/>
      <c r="D95" s="4"/>
      <c r="E95" s="4"/>
      <c r="F95" s="4"/>
    </row>
    <row r="96" customFormat="false" ht="15" hidden="false" customHeight="false" outlineLevel="0" collapsed="false">
      <c r="A96" s="33"/>
      <c r="B96" s="4"/>
      <c r="C96" s="4"/>
      <c r="D96" s="4"/>
      <c r="E96" s="4"/>
      <c r="F96" s="4"/>
    </row>
    <row r="97" customFormat="false" ht="15" hidden="false" customHeight="false" outlineLevel="0" collapsed="false">
      <c r="A97" s="33"/>
      <c r="B97" s="4"/>
      <c r="C97" s="4"/>
      <c r="D97" s="4"/>
      <c r="E97" s="4"/>
      <c r="F97" s="4"/>
    </row>
    <row r="98" customFormat="false" ht="15" hidden="false" customHeight="false" outlineLevel="0" collapsed="false">
      <c r="A98" s="33"/>
      <c r="B98" s="4"/>
      <c r="C98" s="4"/>
      <c r="D98" s="4"/>
      <c r="E98" s="4"/>
      <c r="F98" s="4"/>
    </row>
    <row r="99" customFormat="false" ht="15" hidden="false" customHeight="false" outlineLevel="0" collapsed="false">
      <c r="A99" s="33"/>
      <c r="B99" s="4"/>
      <c r="C99" s="4"/>
      <c r="D99" s="4"/>
      <c r="E99" s="4"/>
      <c r="F99" s="4"/>
    </row>
    <row r="100" customFormat="false" ht="15" hidden="false" customHeight="false" outlineLevel="0" collapsed="false">
      <c r="A100" s="33"/>
      <c r="B100" s="4"/>
      <c r="C100" s="4"/>
      <c r="D100" s="4"/>
      <c r="E100" s="4"/>
      <c r="F100" s="4"/>
    </row>
    <row r="101" customFormat="false" ht="15" hidden="false" customHeight="false" outlineLevel="0" collapsed="false">
      <c r="A101" s="33"/>
      <c r="B101" s="4"/>
      <c r="C101" s="4"/>
      <c r="D101" s="4"/>
      <c r="E101" s="4"/>
      <c r="F101" s="4"/>
    </row>
    <row r="102" customFormat="false" ht="15" hidden="false" customHeight="false" outlineLevel="0" collapsed="false">
      <c r="A102" s="33"/>
      <c r="B102" s="4"/>
      <c r="C102" s="4"/>
      <c r="D102" s="4"/>
      <c r="E102" s="4"/>
      <c r="F102" s="4"/>
    </row>
    <row r="103" customFormat="false" ht="15" hidden="false" customHeight="false" outlineLevel="0" collapsed="false">
      <c r="A103" s="33"/>
      <c r="B103" s="4"/>
      <c r="C103" s="4"/>
      <c r="D103" s="4"/>
      <c r="E103" s="4"/>
      <c r="F103" s="4"/>
    </row>
    <row r="104" customFormat="false" ht="15" hidden="false" customHeight="false" outlineLevel="0" collapsed="false">
      <c r="A104" s="33"/>
      <c r="B104" s="4"/>
      <c r="C104" s="4"/>
      <c r="D104" s="4"/>
      <c r="E104" s="4"/>
      <c r="F104" s="4"/>
    </row>
    <row r="105" customFormat="false" ht="15" hidden="false" customHeight="false" outlineLevel="0" collapsed="false">
      <c r="A105" s="33"/>
      <c r="B105" s="4"/>
      <c r="C105" s="4"/>
      <c r="D105" s="4"/>
      <c r="E105" s="4"/>
      <c r="F105" s="4"/>
    </row>
    <row r="106" customFormat="false" ht="15" hidden="false" customHeight="false" outlineLevel="0" collapsed="false">
      <c r="A106" s="33"/>
      <c r="B106" s="4"/>
      <c r="C106" s="4"/>
      <c r="D106" s="4"/>
      <c r="E106" s="4"/>
      <c r="F106" s="4"/>
    </row>
    <row r="107" customFormat="false" ht="15" hidden="false" customHeight="false" outlineLevel="0" collapsed="false">
      <c r="A107" s="33"/>
      <c r="B107" s="4"/>
      <c r="C107" s="4"/>
      <c r="D107" s="4"/>
      <c r="E107" s="4"/>
      <c r="F107" s="4"/>
    </row>
    <row r="108" customFormat="false" ht="15" hidden="false" customHeight="false" outlineLevel="0" collapsed="false">
      <c r="A108" s="33"/>
      <c r="B108" s="4"/>
      <c r="C108" s="4"/>
      <c r="D108" s="4"/>
      <c r="E108" s="4"/>
      <c r="F108" s="4"/>
    </row>
    <row r="109" customFormat="false" ht="15" hidden="false" customHeight="false" outlineLevel="0" collapsed="false">
      <c r="A109" s="33"/>
      <c r="B109" s="4"/>
      <c r="C109" s="4"/>
      <c r="D109" s="4"/>
      <c r="E109" s="4"/>
      <c r="F109" s="4"/>
    </row>
    <row r="110" customFormat="false" ht="15" hidden="false" customHeight="false" outlineLevel="0" collapsed="false">
      <c r="A110" s="33"/>
      <c r="B110" s="4"/>
      <c r="C110" s="4"/>
      <c r="D110" s="4"/>
      <c r="E110" s="4"/>
      <c r="F110" s="4"/>
    </row>
    <row r="111" customFormat="false" ht="15" hidden="false" customHeight="false" outlineLevel="0" collapsed="false">
      <c r="A111" s="33"/>
      <c r="B111" s="4"/>
      <c r="C111" s="4"/>
      <c r="D111" s="4"/>
      <c r="E111" s="4"/>
      <c r="F111" s="4"/>
    </row>
    <row r="112" customFormat="false" ht="15" hidden="false" customHeight="false" outlineLevel="0" collapsed="false">
      <c r="A112" s="33"/>
      <c r="B112" s="4"/>
      <c r="C112" s="4"/>
      <c r="D112" s="4"/>
      <c r="E112" s="4"/>
      <c r="F112" s="4"/>
    </row>
    <row r="113" customFormat="false" ht="15" hidden="false" customHeight="false" outlineLevel="0" collapsed="false">
      <c r="A113" s="33"/>
      <c r="B113" s="4"/>
      <c r="C113" s="4"/>
      <c r="D113" s="4"/>
      <c r="E113" s="4"/>
      <c r="F113" s="4"/>
    </row>
    <row r="114" customFormat="false" ht="15" hidden="false" customHeight="false" outlineLevel="0" collapsed="false">
      <c r="A114" s="33"/>
      <c r="B114" s="4"/>
      <c r="C114" s="4"/>
      <c r="D114" s="4"/>
      <c r="E114" s="4"/>
      <c r="F114" s="4"/>
    </row>
    <row r="115" customFormat="false" ht="15" hidden="false" customHeight="false" outlineLevel="0" collapsed="false">
      <c r="A115" s="33"/>
      <c r="B115" s="4"/>
      <c r="C115" s="4"/>
      <c r="D115" s="4"/>
      <c r="E115" s="4"/>
      <c r="F115" s="4"/>
    </row>
    <row r="116" customFormat="false" ht="15" hidden="false" customHeight="false" outlineLevel="0" collapsed="false">
      <c r="A116" s="33"/>
      <c r="B116" s="4"/>
      <c r="C116" s="4"/>
      <c r="D116" s="4"/>
      <c r="E116" s="4"/>
      <c r="F116" s="4"/>
    </row>
    <row r="117" customFormat="false" ht="15" hidden="false" customHeight="false" outlineLevel="0" collapsed="false">
      <c r="A117" s="33"/>
      <c r="B117" s="4"/>
      <c r="C117" s="4"/>
      <c r="D117" s="4"/>
      <c r="E117" s="4"/>
      <c r="F117" s="4"/>
    </row>
    <row r="118" customFormat="false" ht="15" hidden="false" customHeight="false" outlineLevel="0" collapsed="false">
      <c r="A118" s="33"/>
      <c r="B118" s="4"/>
      <c r="C118" s="4"/>
      <c r="D118" s="4"/>
      <c r="E118" s="4"/>
      <c r="F118" s="4"/>
    </row>
    <row r="119" customFormat="false" ht="15" hidden="false" customHeight="false" outlineLevel="0" collapsed="false">
      <c r="A119" s="33"/>
      <c r="B119" s="4"/>
      <c r="C119" s="4"/>
      <c r="D119" s="4"/>
      <c r="E119" s="4"/>
      <c r="F119" s="4"/>
    </row>
    <row r="120" customFormat="false" ht="15" hidden="false" customHeight="false" outlineLevel="0" collapsed="false">
      <c r="A120" s="33"/>
      <c r="B120" s="4"/>
      <c r="C120" s="4"/>
      <c r="D120" s="4"/>
      <c r="E120" s="4"/>
      <c r="F120" s="4"/>
    </row>
    <row r="121" customFormat="false" ht="15" hidden="false" customHeight="false" outlineLevel="0" collapsed="false">
      <c r="A121" s="33"/>
      <c r="B121" s="4"/>
      <c r="C121" s="4"/>
      <c r="D121" s="4"/>
      <c r="E121" s="4"/>
      <c r="F121" s="4"/>
    </row>
    <row r="122" customFormat="false" ht="15" hidden="false" customHeight="false" outlineLevel="0" collapsed="false">
      <c r="A122" s="33"/>
      <c r="B122" s="4"/>
      <c r="C122" s="4"/>
      <c r="D122" s="4"/>
      <c r="E122" s="4"/>
      <c r="F122" s="4"/>
    </row>
    <row r="123" customFormat="false" ht="15" hidden="false" customHeight="false" outlineLevel="0" collapsed="false">
      <c r="A123" s="33"/>
      <c r="B123" s="4"/>
      <c r="C123" s="4"/>
      <c r="D123" s="4"/>
      <c r="E123" s="4"/>
      <c r="F123" s="4"/>
    </row>
    <row r="124" customFormat="false" ht="15" hidden="false" customHeight="false" outlineLevel="0" collapsed="false">
      <c r="A124" s="33"/>
      <c r="B124" s="4"/>
      <c r="C124" s="4"/>
      <c r="D124" s="4"/>
      <c r="E124" s="4"/>
      <c r="F124" s="4"/>
    </row>
    <row r="125" customFormat="false" ht="15" hidden="false" customHeight="false" outlineLevel="0" collapsed="false">
      <c r="A125" s="33"/>
      <c r="B125" s="4"/>
      <c r="C125" s="4"/>
      <c r="D125" s="4"/>
      <c r="E125" s="4"/>
      <c r="F125" s="4"/>
    </row>
    <row r="126" customFormat="false" ht="15" hidden="false" customHeight="false" outlineLevel="0" collapsed="false">
      <c r="A126" s="33"/>
      <c r="B126" s="4"/>
      <c r="C126" s="4"/>
      <c r="D126" s="4"/>
      <c r="E126" s="4"/>
      <c r="F126" s="4"/>
    </row>
    <row r="127" customFormat="false" ht="15" hidden="false" customHeight="false" outlineLevel="0" collapsed="false">
      <c r="A127" s="33"/>
      <c r="B127" s="4"/>
      <c r="C127" s="4"/>
      <c r="D127" s="4"/>
      <c r="E127" s="4"/>
      <c r="F127" s="4"/>
    </row>
    <row r="128" customFormat="false" ht="15" hidden="false" customHeight="false" outlineLevel="0" collapsed="false">
      <c r="A128" s="33"/>
      <c r="B128" s="4"/>
      <c r="C128" s="4"/>
      <c r="D128" s="4"/>
      <c r="E128" s="4"/>
      <c r="F128" s="4"/>
    </row>
    <row r="129" customFormat="false" ht="15" hidden="false" customHeight="false" outlineLevel="0" collapsed="false">
      <c r="A129" s="33"/>
      <c r="B129" s="4"/>
      <c r="C129" s="4"/>
      <c r="D129" s="4"/>
      <c r="E129" s="4"/>
      <c r="F129" s="4"/>
    </row>
    <row r="130" customFormat="false" ht="15" hidden="false" customHeight="false" outlineLevel="0" collapsed="false">
      <c r="A130" s="33"/>
      <c r="B130" s="4"/>
      <c r="C130" s="4"/>
      <c r="D130" s="4"/>
      <c r="E130" s="4"/>
      <c r="F130" s="4"/>
    </row>
    <row r="131" customFormat="false" ht="15" hidden="false" customHeight="false" outlineLevel="0" collapsed="false">
      <c r="A131" s="33"/>
      <c r="B131" s="4"/>
      <c r="C131" s="4"/>
      <c r="D131" s="4"/>
      <c r="E131" s="4"/>
      <c r="F131" s="4"/>
    </row>
    <row r="132" customFormat="false" ht="15" hidden="false" customHeight="false" outlineLevel="0" collapsed="false">
      <c r="A132" s="33"/>
      <c r="B132" s="4"/>
      <c r="C132" s="4"/>
      <c r="D132" s="4"/>
      <c r="E132" s="4"/>
      <c r="F132" s="4"/>
    </row>
    <row r="133" customFormat="false" ht="15" hidden="false" customHeight="false" outlineLevel="0" collapsed="false">
      <c r="A133" s="33"/>
      <c r="B133" s="4"/>
      <c r="C133" s="4"/>
      <c r="D133" s="4"/>
      <c r="E133" s="4"/>
      <c r="F133" s="4"/>
    </row>
    <row r="134" customFormat="false" ht="15" hidden="false" customHeight="false" outlineLevel="0" collapsed="false">
      <c r="A134" s="33"/>
      <c r="B134" s="4"/>
      <c r="C134" s="4"/>
      <c r="D134" s="4"/>
      <c r="E134" s="4"/>
      <c r="F134" s="4"/>
    </row>
    <row r="135" customFormat="false" ht="15" hidden="false" customHeight="false" outlineLevel="0" collapsed="false">
      <c r="A135" s="33"/>
      <c r="B135" s="4"/>
      <c r="C135" s="4"/>
      <c r="D135" s="4"/>
      <c r="E135" s="4"/>
      <c r="F135" s="4"/>
    </row>
    <row r="136" customFormat="false" ht="15" hidden="false" customHeight="false" outlineLevel="0" collapsed="false">
      <c r="A136" s="33"/>
      <c r="B136" s="4"/>
      <c r="C136" s="4"/>
      <c r="D136" s="4"/>
      <c r="E136" s="4"/>
      <c r="F136" s="4"/>
    </row>
    <row r="137" customFormat="false" ht="15" hidden="false" customHeight="false" outlineLevel="0" collapsed="false">
      <c r="A137" s="33"/>
      <c r="B137" s="4"/>
      <c r="C137" s="4"/>
      <c r="D137" s="4"/>
      <c r="E137" s="4"/>
      <c r="F137" s="4"/>
    </row>
    <row r="138" customFormat="false" ht="15" hidden="false" customHeight="false" outlineLevel="0" collapsed="false">
      <c r="A138" s="33"/>
      <c r="B138" s="4"/>
      <c r="C138" s="4"/>
      <c r="D138" s="4"/>
      <c r="E138" s="4"/>
      <c r="F138" s="4"/>
    </row>
    <row r="139" customFormat="false" ht="15" hidden="false" customHeight="false" outlineLevel="0" collapsed="false">
      <c r="A139" s="33"/>
      <c r="B139" s="4"/>
      <c r="C139" s="4"/>
      <c r="D139" s="4"/>
      <c r="E139" s="4"/>
      <c r="F139" s="4"/>
    </row>
    <row r="140" customFormat="false" ht="15" hidden="false" customHeight="false" outlineLevel="0" collapsed="false">
      <c r="A140" s="33"/>
      <c r="B140" s="4"/>
      <c r="C140" s="4"/>
      <c r="D140" s="4"/>
      <c r="E140" s="4"/>
      <c r="F140" s="4"/>
    </row>
    <row r="141" customFormat="false" ht="15" hidden="false" customHeight="false" outlineLevel="0" collapsed="false">
      <c r="A141" s="33"/>
      <c r="B141" s="4"/>
      <c r="C141" s="4"/>
      <c r="D141" s="4"/>
      <c r="E141" s="4"/>
      <c r="F141" s="4"/>
    </row>
    <row r="142" customFormat="false" ht="15" hidden="false" customHeight="false" outlineLevel="0" collapsed="false">
      <c r="A142" s="33"/>
      <c r="B142" s="4"/>
      <c r="C142" s="4"/>
      <c r="D142" s="4"/>
      <c r="E142" s="4"/>
      <c r="F142" s="4"/>
    </row>
    <row r="143" customFormat="false" ht="15" hidden="false" customHeight="false" outlineLevel="0" collapsed="false">
      <c r="A143" s="33"/>
      <c r="B143" s="4"/>
      <c r="C143" s="4"/>
      <c r="D143" s="4"/>
      <c r="E143" s="4"/>
      <c r="F143" s="4"/>
    </row>
    <row r="144" customFormat="false" ht="15" hidden="false" customHeight="false" outlineLevel="0" collapsed="false">
      <c r="A144" s="33"/>
      <c r="B144" s="4"/>
      <c r="C144" s="4"/>
      <c r="D144" s="4"/>
      <c r="E144" s="4"/>
      <c r="F144" s="4"/>
    </row>
    <row r="145" customFormat="false" ht="15" hidden="false" customHeight="false" outlineLevel="0" collapsed="false">
      <c r="A145" s="33"/>
      <c r="B145" s="4"/>
      <c r="C145" s="4"/>
      <c r="D145" s="4"/>
      <c r="E145" s="4"/>
      <c r="F145" s="4"/>
    </row>
    <row r="146" customFormat="false" ht="15" hidden="false" customHeight="false" outlineLevel="0" collapsed="false">
      <c r="A146" s="33"/>
      <c r="B146" s="4"/>
      <c r="C146" s="4"/>
      <c r="D146" s="4"/>
      <c r="E146" s="4"/>
      <c r="F146" s="4"/>
    </row>
    <row r="147" customFormat="false" ht="15" hidden="false" customHeight="false" outlineLevel="0" collapsed="false">
      <c r="A147" s="33"/>
      <c r="B147" s="4"/>
      <c r="C147" s="4"/>
      <c r="D147" s="4"/>
      <c r="E147" s="4"/>
      <c r="F147" s="4"/>
    </row>
    <row r="148" customFormat="false" ht="15" hidden="false" customHeight="false" outlineLevel="0" collapsed="false">
      <c r="A148" s="33"/>
      <c r="B148" s="4"/>
      <c r="C148" s="4"/>
      <c r="D148" s="4"/>
      <c r="E148" s="4"/>
      <c r="F148" s="4"/>
    </row>
    <row r="149" customFormat="false" ht="15" hidden="false" customHeight="false" outlineLevel="0" collapsed="false">
      <c r="A149" s="33"/>
      <c r="B149" s="4"/>
      <c r="C149" s="4"/>
      <c r="D149" s="4"/>
      <c r="E149" s="4"/>
      <c r="F149" s="4"/>
    </row>
    <row r="150" customFormat="false" ht="15" hidden="false" customHeight="false" outlineLevel="0" collapsed="false">
      <c r="A150" s="33"/>
      <c r="B150" s="4"/>
      <c r="C150" s="4"/>
      <c r="D150" s="4"/>
      <c r="E150" s="4"/>
      <c r="F150" s="4"/>
    </row>
    <row r="151" customFormat="false" ht="15" hidden="false" customHeight="false" outlineLevel="0" collapsed="false">
      <c r="A151" s="33"/>
      <c r="B151" s="4"/>
      <c r="C151" s="4"/>
      <c r="D151" s="4"/>
      <c r="E151" s="4"/>
      <c r="F151" s="4"/>
    </row>
    <row r="152" customFormat="false" ht="15" hidden="false" customHeight="false" outlineLevel="0" collapsed="false">
      <c r="A152" s="33"/>
      <c r="B152" s="4"/>
      <c r="C152" s="4"/>
      <c r="D152" s="4"/>
      <c r="E152" s="4"/>
      <c r="F152" s="4"/>
    </row>
    <row r="153" customFormat="false" ht="15" hidden="false" customHeight="false" outlineLevel="0" collapsed="false">
      <c r="A153" s="33"/>
      <c r="B153" s="4"/>
      <c r="C153" s="4"/>
      <c r="D153" s="4"/>
      <c r="E153" s="4"/>
      <c r="F153" s="4"/>
    </row>
    <row r="154" customFormat="false" ht="15" hidden="false" customHeight="false" outlineLevel="0" collapsed="false">
      <c r="A154" s="33"/>
      <c r="B154" s="4"/>
      <c r="C154" s="4"/>
      <c r="D154" s="4"/>
      <c r="E154" s="4"/>
      <c r="F154" s="4"/>
    </row>
    <row r="155" customFormat="false" ht="15" hidden="false" customHeight="false" outlineLevel="0" collapsed="false">
      <c r="A155" s="33"/>
      <c r="B155" s="4"/>
      <c r="C155" s="4"/>
      <c r="D155" s="4"/>
      <c r="E155" s="4"/>
      <c r="F155" s="4"/>
    </row>
    <row r="156" customFormat="false" ht="15" hidden="false" customHeight="false" outlineLevel="0" collapsed="false">
      <c r="A156" s="33"/>
      <c r="B156" s="4"/>
      <c r="C156" s="4"/>
      <c r="D156" s="4"/>
      <c r="E156" s="4"/>
      <c r="F156" s="4"/>
    </row>
    <row r="157" customFormat="false" ht="15" hidden="false" customHeight="false" outlineLevel="0" collapsed="false">
      <c r="A157" s="33"/>
      <c r="B157" s="4"/>
      <c r="C157" s="4"/>
      <c r="D157" s="4"/>
      <c r="E157" s="4"/>
      <c r="F157" s="4"/>
    </row>
    <row r="158" customFormat="false" ht="15" hidden="false" customHeight="false" outlineLevel="0" collapsed="false">
      <c r="A158" s="33"/>
      <c r="B158" s="4"/>
      <c r="C158" s="4"/>
      <c r="D158" s="4"/>
      <c r="E158" s="4"/>
      <c r="F158" s="4"/>
    </row>
    <row r="159" customFormat="false" ht="15" hidden="false" customHeight="false" outlineLevel="0" collapsed="false">
      <c r="A159" s="33"/>
      <c r="B159" s="4"/>
      <c r="C159" s="4"/>
      <c r="D159" s="4"/>
      <c r="E159" s="4"/>
      <c r="F159" s="4"/>
    </row>
    <row r="160" customFormat="false" ht="15" hidden="false" customHeight="false" outlineLevel="0" collapsed="false">
      <c r="A160" s="33"/>
      <c r="B160" s="4"/>
      <c r="C160" s="4"/>
      <c r="D160" s="4"/>
      <c r="E160" s="4"/>
      <c r="F160" s="4"/>
    </row>
    <row r="161" customFormat="false" ht="15" hidden="false" customHeight="false" outlineLevel="0" collapsed="false">
      <c r="A161" s="33"/>
      <c r="B161" s="4"/>
      <c r="C161" s="4"/>
      <c r="D161" s="4"/>
      <c r="E161" s="4"/>
      <c r="F161" s="4"/>
    </row>
    <row r="162" customFormat="false" ht="15" hidden="false" customHeight="false" outlineLevel="0" collapsed="false">
      <c r="A162" s="33"/>
      <c r="B162" s="4"/>
      <c r="C162" s="4"/>
      <c r="D162" s="4"/>
      <c r="E162" s="4"/>
      <c r="F162" s="4"/>
    </row>
    <row r="163" customFormat="false" ht="15" hidden="false" customHeight="false" outlineLevel="0" collapsed="false">
      <c r="A163" s="33"/>
      <c r="B163" s="4"/>
      <c r="C163" s="4"/>
      <c r="D163" s="4"/>
      <c r="E163" s="4"/>
      <c r="F163" s="4"/>
    </row>
    <row r="164" customFormat="false" ht="15" hidden="false" customHeight="false" outlineLevel="0" collapsed="false">
      <c r="A164" s="33"/>
      <c r="B164" s="4"/>
      <c r="C164" s="4"/>
      <c r="D164" s="4"/>
      <c r="E164" s="4"/>
      <c r="F164" s="4"/>
    </row>
    <row r="165" customFormat="false" ht="15" hidden="false" customHeight="false" outlineLevel="0" collapsed="false">
      <c r="A165" s="33"/>
      <c r="B165" s="4"/>
      <c r="C165" s="4"/>
      <c r="D165" s="4"/>
      <c r="E165" s="4"/>
      <c r="F165" s="4"/>
    </row>
    <row r="166" customFormat="false" ht="15" hidden="false" customHeight="false" outlineLevel="0" collapsed="false">
      <c r="A166" s="33"/>
      <c r="B166" s="4"/>
      <c r="C166" s="4"/>
      <c r="D166" s="4"/>
      <c r="E166" s="4"/>
      <c r="F166" s="4"/>
    </row>
    <row r="167" customFormat="false" ht="15" hidden="false" customHeight="false" outlineLevel="0" collapsed="false">
      <c r="A167" s="33"/>
      <c r="B167" s="4"/>
      <c r="C167" s="4"/>
      <c r="D167" s="4"/>
      <c r="E167" s="4"/>
      <c r="F167" s="4"/>
    </row>
    <row r="168" customFormat="false" ht="15" hidden="false" customHeight="false" outlineLevel="0" collapsed="false">
      <c r="A168" s="33"/>
      <c r="B168" s="4"/>
      <c r="C168" s="4"/>
      <c r="D168" s="4"/>
      <c r="E168" s="4"/>
      <c r="F168" s="4"/>
    </row>
    <row r="169" customFormat="false" ht="15" hidden="false" customHeight="false" outlineLevel="0" collapsed="false">
      <c r="A169" s="33"/>
      <c r="B169" s="4"/>
      <c r="C169" s="4"/>
      <c r="D169" s="4"/>
      <c r="E169" s="4"/>
      <c r="F169" s="4"/>
    </row>
    <row r="170" customFormat="false" ht="15" hidden="false" customHeight="false" outlineLevel="0" collapsed="false">
      <c r="A170" s="33"/>
      <c r="B170" s="4"/>
      <c r="C170" s="4"/>
      <c r="D170" s="4"/>
      <c r="E170" s="4"/>
      <c r="F170" s="4"/>
    </row>
    <row r="171" customFormat="false" ht="15" hidden="false" customHeight="false" outlineLevel="0" collapsed="false">
      <c r="A171" s="33"/>
      <c r="B171" s="4"/>
      <c r="C171" s="4"/>
      <c r="D171" s="4"/>
      <c r="E171" s="4"/>
      <c r="F171" s="4"/>
    </row>
    <row r="172" customFormat="false" ht="15" hidden="false" customHeight="false" outlineLevel="0" collapsed="false">
      <c r="A172" s="33"/>
      <c r="B172" s="4"/>
      <c r="C172" s="4"/>
      <c r="D172" s="4"/>
      <c r="E172" s="4"/>
      <c r="F172" s="4"/>
    </row>
    <row r="173" customFormat="false" ht="15" hidden="false" customHeight="false" outlineLevel="0" collapsed="false">
      <c r="A173" s="33"/>
      <c r="B173" s="4"/>
      <c r="C173" s="4"/>
      <c r="D173" s="4"/>
      <c r="E173" s="4"/>
      <c r="F173" s="4"/>
    </row>
    <row r="174" customFormat="false" ht="15" hidden="false" customHeight="false" outlineLevel="0" collapsed="false">
      <c r="A174" s="33"/>
      <c r="B174" s="4"/>
      <c r="C174" s="4"/>
      <c r="D174" s="4"/>
      <c r="E174" s="4"/>
      <c r="F174" s="4"/>
    </row>
    <row r="175" customFormat="false" ht="15" hidden="false" customHeight="false" outlineLevel="0" collapsed="false">
      <c r="A175" s="33"/>
      <c r="B175" s="4"/>
      <c r="C175" s="4"/>
      <c r="D175" s="4"/>
      <c r="E175" s="4"/>
      <c r="F175" s="4"/>
    </row>
    <row r="176" customFormat="false" ht="15" hidden="false" customHeight="false" outlineLevel="0" collapsed="false">
      <c r="A176" s="33"/>
      <c r="B176" s="4"/>
      <c r="C176" s="4"/>
      <c r="D176" s="4"/>
      <c r="E176" s="4"/>
      <c r="F176" s="4"/>
    </row>
    <row r="177" customFormat="false" ht="15" hidden="false" customHeight="false" outlineLevel="0" collapsed="false">
      <c r="A177" s="33"/>
      <c r="B177" s="4"/>
      <c r="C177" s="4"/>
      <c r="D177" s="4"/>
      <c r="E177" s="4"/>
      <c r="F177" s="4"/>
    </row>
    <row r="178" customFormat="false" ht="15" hidden="false" customHeight="false" outlineLevel="0" collapsed="false">
      <c r="A178" s="33"/>
      <c r="B178" s="4"/>
      <c r="C178" s="4"/>
      <c r="D178" s="4"/>
      <c r="E178" s="4"/>
      <c r="F178" s="4"/>
    </row>
    <row r="179" customFormat="false" ht="15" hidden="false" customHeight="false" outlineLevel="0" collapsed="false">
      <c r="A179" s="33"/>
      <c r="B179" s="4"/>
      <c r="C179" s="4"/>
      <c r="D179" s="4"/>
      <c r="E179" s="4"/>
      <c r="F179" s="4"/>
    </row>
    <row r="180" customFormat="false" ht="15" hidden="false" customHeight="false" outlineLevel="0" collapsed="false">
      <c r="A180" s="33"/>
      <c r="B180" s="4"/>
      <c r="C180" s="4"/>
      <c r="D180" s="4"/>
      <c r="E180" s="4"/>
      <c r="F180" s="4"/>
    </row>
    <row r="181" customFormat="false" ht="15" hidden="false" customHeight="false" outlineLevel="0" collapsed="false">
      <c r="A181" s="33"/>
      <c r="B181" s="4"/>
      <c r="C181" s="4"/>
      <c r="D181" s="4"/>
      <c r="E181" s="4"/>
      <c r="F181" s="4"/>
    </row>
    <row r="182" customFormat="false" ht="15" hidden="false" customHeight="false" outlineLevel="0" collapsed="false">
      <c r="A182" s="33"/>
      <c r="B182" s="4"/>
      <c r="C182" s="4"/>
      <c r="D182" s="4"/>
      <c r="E182" s="4"/>
      <c r="F182" s="4"/>
    </row>
    <row r="183" customFormat="false" ht="15" hidden="false" customHeight="false" outlineLevel="0" collapsed="false">
      <c r="A183" s="33"/>
      <c r="B183" s="4"/>
      <c r="C183" s="4"/>
      <c r="D183" s="4"/>
      <c r="E183" s="4"/>
      <c r="F183" s="4"/>
    </row>
    <row r="184" customFormat="false" ht="15" hidden="false" customHeight="false" outlineLevel="0" collapsed="false">
      <c r="A184" s="33"/>
      <c r="B184" s="4"/>
      <c r="C184" s="4"/>
      <c r="D184" s="4"/>
      <c r="E184" s="4"/>
      <c r="F184" s="4"/>
    </row>
    <row r="185" customFormat="false" ht="15" hidden="false" customHeight="false" outlineLevel="0" collapsed="false">
      <c r="A185" s="33"/>
      <c r="B185" s="4"/>
      <c r="C185" s="4"/>
      <c r="D185" s="4"/>
      <c r="E185" s="4"/>
      <c r="F185" s="4"/>
    </row>
    <row r="186" customFormat="false" ht="15" hidden="false" customHeight="false" outlineLevel="0" collapsed="false">
      <c r="A186" s="33"/>
      <c r="B186" s="4"/>
      <c r="C186" s="4"/>
      <c r="D186" s="4"/>
      <c r="E186" s="4"/>
      <c r="F186" s="4"/>
    </row>
    <row r="187" customFormat="false" ht="15" hidden="false" customHeight="false" outlineLevel="0" collapsed="false">
      <c r="A187" s="33"/>
      <c r="B187" s="4"/>
      <c r="C187" s="4"/>
      <c r="D187" s="4"/>
      <c r="E187" s="4"/>
      <c r="F187" s="4"/>
    </row>
    <row r="188" customFormat="false" ht="15" hidden="false" customHeight="false" outlineLevel="0" collapsed="false">
      <c r="A188" s="33"/>
      <c r="B188" s="4"/>
      <c r="C188" s="4"/>
      <c r="D188" s="4"/>
      <c r="E188" s="4"/>
      <c r="F188" s="4"/>
    </row>
    <row r="189" customFormat="false" ht="15" hidden="false" customHeight="false" outlineLevel="0" collapsed="false">
      <c r="A189" s="33"/>
      <c r="B189" s="4"/>
      <c r="C189" s="4"/>
      <c r="D189" s="4"/>
      <c r="E189" s="4"/>
      <c r="F189" s="4"/>
    </row>
    <row r="190" customFormat="false" ht="15" hidden="false" customHeight="false" outlineLevel="0" collapsed="false">
      <c r="A190" s="33"/>
      <c r="B190" s="4"/>
      <c r="C190" s="4"/>
      <c r="D190" s="4"/>
      <c r="E190" s="4"/>
      <c r="F190" s="4"/>
    </row>
    <row r="191" customFormat="false" ht="15" hidden="false" customHeight="false" outlineLevel="0" collapsed="false">
      <c r="A191" s="33"/>
      <c r="B191" s="4"/>
      <c r="C191" s="4"/>
      <c r="D191" s="4"/>
      <c r="E191" s="4"/>
      <c r="F191" s="4"/>
    </row>
    <row r="192" customFormat="false" ht="15" hidden="false" customHeight="false" outlineLevel="0" collapsed="false">
      <c r="A192" s="33"/>
      <c r="B192" s="4"/>
      <c r="C192" s="4"/>
      <c r="D192" s="4"/>
      <c r="E192" s="4"/>
      <c r="F192" s="4"/>
    </row>
    <row r="193" customFormat="false" ht="15" hidden="false" customHeight="false" outlineLevel="0" collapsed="false">
      <c r="A193" s="33"/>
      <c r="B193" s="4"/>
      <c r="C193" s="4"/>
      <c r="D193" s="4"/>
      <c r="E193" s="4"/>
      <c r="F193" s="4"/>
    </row>
    <row r="194" customFormat="false" ht="15" hidden="false" customHeight="false" outlineLevel="0" collapsed="false">
      <c r="A194" s="33"/>
      <c r="B194" s="4"/>
      <c r="C194" s="4"/>
      <c r="D194" s="4"/>
      <c r="E194" s="4"/>
      <c r="F194" s="4"/>
    </row>
    <row r="195" customFormat="false" ht="15" hidden="false" customHeight="false" outlineLevel="0" collapsed="false">
      <c r="A195" s="33"/>
      <c r="B195" s="4"/>
      <c r="C195" s="4"/>
      <c r="D195" s="4"/>
      <c r="E195" s="4"/>
      <c r="F195" s="4"/>
    </row>
    <row r="196" customFormat="false" ht="15" hidden="false" customHeight="false" outlineLevel="0" collapsed="false">
      <c r="A196" s="33"/>
      <c r="B196" s="4"/>
      <c r="C196" s="4"/>
      <c r="D196" s="4"/>
      <c r="E196" s="4"/>
      <c r="F196" s="4"/>
    </row>
    <row r="197" customFormat="false" ht="15" hidden="false" customHeight="false" outlineLevel="0" collapsed="false">
      <c r="A197" s="33"/>
      <c r="B197" s="4"/>
      <c r="C197" s="4"/>
      <c r="D197" s="4"/>
      <c r="E197" s="4"/>
      <c r="F197" s="4"/>
    </row>
    <row r="198" customFormat="false" ht="15" hidden="false" customHeight="false" outlineLevel="0" collapsed="false">
      <c r="A198" s="33"/>
      <c r="B198" s="4"/>
      <c r="C198" s="4"/>
      <c r="D198" s="4"/>
      <c r="E198" s="4"/>
      <c r="F198" s="4"/>
    </row>
    <row r="199" customFormat="false" ht="15" hidden="false" customHeight="false" outlineLevel="0" collapsed="false">
      <c r="A199" s="33"/>
      <c r="B199" s="4"/>
      <c r="C199" s="4"/>
      <c r="D199" s="4"/>
      <c r="E199" s="4"/>
      <c r="F199" s="4"/>
    </row>
    <row r="200" customFormat="false" ht="15" hidden="false" customHeight="false" outlineLevel="0" collapsed="false">
      <c r="A200" s="33"/>
      <c r="B200" s="4"/>
      <c r="C200" s="4"/>
      <c r="D200" s="4"/>
      <c r="E200" s="4"/>
      <c r="F200" s="4"/>
    </row>
    <row r="201" customFormat="false" ht="15" hidden="false" customHeight="false" outlineLevel="0" collapsed="false">
      <c r="A201" s="33"/>
      <c r="B201" s="4"/>
      <c r="C201" s="4"/>
      <c r="D201" s="4"/>
      <c r="E201" s="4"/>
      <c r="F201" s="4"/>
    </row>
    <row r="202" customFormat="false" ht="15" hidden="false" customHeight="false" outlineLevel="0" collapsed="false">
      <c r="A202" s="33"/>
      <c r="B202" s="4"/>
      <c r="C202" s="4"/>
      <c r="D202" s="4"/>
      <c r="E202" s="4"/>
      <c r="F202" s="4"/>
    </row>
    <row r="203" customFormat="false" ht="15" hidden="false" customHeight="false" outlineLevel="0" collapsed="false">
      <c r="A203" s="33"/>
      <c r="B203" s="4"/>
      <c r="C203" s="4"/>
      <c r="D203" s="4"/>
      <c r="E203" s="4"/>
      <c r="F203" s="4"/>
    </row>
    <row r="204" customFormat="false" ht="15" hidden="false" customHeight="false" outlineLevel="0" collapsed="false">
      <c r="A204" s="33"/>
      <c r="B204" s="4"/>
      <c r="C204" s="4"/>
      <c r="D204" s="4"/>
      <c r="E204" s="4"/>
      <c r="F204" s="4"/>
    </row>
    <row r="205" customFormat="false" ht="15" hidden="false" customHeight="false" outlineLevel="0" collapsed="false">
      <c r="A205" s="33"/>
      <c r="B205" s="4"/>
      <c r="C205" s="4"/>
      <c r="D205" s="4"/>
      <c r="E205" s="4"/>
      <c r="F205" s="4"/>
    </row>
    <row r="206" customFormat="false" ht="15" hidden="false" customHeight="false" outlineLevel="0" collapsed="false">
      <c r="A206" s="33"/>
      <c r="B206" s="4"/>
      <c r="C206" s="4"/>
      <c r="D206" s="4"/>
      <c r="E206" s="4"/>
      <c r="F206" s="4"/>
    </row>
    <row r="207" customFormat="false" ht="15" hidden="false" customHeight="false" outlineLevel="0" collapsed="false">
      <c r="A207" s="33"/>
      <c r="B207" s="4"/>
      <c r="C207" s="4"/>
      <c r="D207" s="4"/>
      <c r="E207" s="4"/>
      <c r="F207" s="4"/>
    </row>
    <row r="208" customFormat="false" ht="15" hidden="false" customHeight="false" outlineLevel="0" collapsed="false">
      <c r="A208" s="33"/>
      <c r="B208" s="4"/>
      <c r="C208" s="4"/>
      <c r="D208" s="4"/>
      <c r="E208" s="4"/>
      <c r="F208" s="4"/>
    </row>
    <row r="209" customFormat="false" ht="15" hidden="false" customHeight="false" outlineLevel="0" collapsed="false">
      <c r="A209" s="33"/>
      <c r="B209" s="4"/>
      <c r="C209" s="4"/>
      <c r="D209" s="4"/>
      <c r="E209" s="4"/>
      <c r="F209" s="4"/>
    </row>
    <row r="210" customFormat="false" ht="15" hidden="false" customHeight="false" outlineLevel="0" collapsed="false">
      <c r="A210" s="33"/>
      <c r="B210" s="4"/>
      <c r="C210" s="4"/>
      <c r="D210" s="4"/>
      <c r="E210" s="4"/>
      <c r="F210" s="4"/>
    </row>
    <row r="211" customFormat="false" ht="15" hidden="false" customHeight="false" outlineLevel="0" collapsed="false">
      <c r="A211" s="33"/>
      <c r="B211" s="4"/>
      <c r="C211" s="4"/>
      <c r="D211" s="4"/>
      <c r="E211" s="4"/>
      <c r="F211" s="4"/>
    </row>
    <row r="212" customFormat="false" ht="15" hidden="false" customHeight="false" outlineLevel="0" collapsed="false">
      <c r="A212" s="33"/>
      <c r="B212" s="4"/>
      <c r="C212" s="4"/>
      <c r="D212" s="4"/>
      <c r="E212" s="4"/>
      <c r="F212" s="4"/>
    </row>
    <row r="213" customFormat="false" ht="15" hidden="false" customHeight="false" outlineLevel="0" collapsed="false">
      <c r="A213" s="33"/>
      <c r="B213" s="4"/>
      <c r="C213" s="4"/>
      <c r="D213" s="4"/>
      <c r="E213" s="4"/>
      <c r="F213" s="4"/>
    </row>
    <row r="214" customFormat="false" ht="15" hidden="false" customHeight="false" outlineLevel="0" collapsed="false">
      <c r="A214" s="33"/>
      <c r="B214" s="4"/>
      <c r="C214" s="4"/>
      <c r="D214" s="4"/>
      <c r="E214" s="4"/>
      <c r="F214" s="4"/>
    </row>
    <row r="215" customFormat="false" ht="15" hidden="false" customHeight="false" outlineLevel="0" collapsed="false">
      <c r="A215" s="33"/>
      <c r="B215" s="4"/>
      <c r="C215" s="4"/>
      <c r="D215" s="4"/>
      <c r="E215" s="4"/>
      <c r="F215" s="4"/>
    </row>
    <row r="216" customFormat="false" ht="15" hidden="false" customHeight="false" outlineLevel="0" collapsed="false">
      <c r="A216" s="33"/>
      <c r="B216" s="4"/>
      <c r="C216" s="4"/>
      <c r="D216" s="4"/>
      <c r="E216" s="4"/>
      <c r="F216" s="4"/>
    </row>
    <row r="217" customFormat="false" ht="15" hidden="false" customHeight="false" outlineLevel="0" collapsed="false">
      <c r="A217" s="33"/>
      <c r="B217" s="4"/>
      <c r="C217" s="4"/>
      <c r="D217" s="4"/>
      <c r="E217" s="4"/>
      <c r="F217" s="4"/>
    </row>
    <row r="218" customFormat="false" ht="15" hidden="false" customHeight="false" outlineLevel="0" collapsed="false">
      <c r="A218" s="33"/>
      <c r="B218" s="4"/>
      <c r="C218" s="4"/>
      <c r="D218" s="4"/>
      <c r="E218" s="4"/>
      <c r="F218" s="4"/>
    </row>
    <row r="219" customFormat="false" ht="15" hidden="false" customHeight="false" outlineLevel="0" collapsed="false">
      <c r="A219" s="33"/>
      <c r="B219" s="4"/>
      <c r="C219" s="4"/>
      <c r="D219" s="4"/>
      <c r="E219" s="4"/>
      <c r="F219" s="4"/>
    </row>
    <row r="220" customFormat="false" ht="15" hidden="false" customHeight="false" outlineLevel="0" collapsed="false">
      <c r="A220" s="33"/>
      <c r="B220" s="4"/>
      <c r="C220" s="4"/>
      <c r="D220" s="4"/>
      <c r="E220" s="4"/>
      <c r="F220" s="4"/>
    </row>
    <row r="221" customFormat="false" ht="15" hidden="false" customHeight="false" outlineLevel="0" collapsed="false">
      <c r="A221" s="33"/>
      <c r="B221" s="4"/>
      <c r="C221" s="4"/>
      <c r="D221" s="4"/>
      <c r="E221" s="4"/>
      <c r="F221" s="4"/>
    </row>
    <row r="222" customFormat="false" ht="15" hidden="false" customHeight="false" outlineLevel="0" collapsed="false">
      <c r="A222" s="33"/>
      <c r="B222" s="4"/>
      <c r="C222" s="4"/>
      <c r="D222" s="4"/>
      <c r="E222" s="4"/>
      <c r="F222" s="4"/>
    </row>
    <row r="223" customFormat="false" ht="15" hidden="false" customHeight="false" outlineLevel="0" collapsed="false">
      <c r="A223" s="33"/>
      <c r="B223" s="4"/>
      <c r="C223" s="4"/>
      <c r="D223" s="4"/>
      <c r="E223" s="4"/>
      <c r="F223" s="4"/>
    </row>
    <row r="224" customFormat="false" ht="15" hidden="false" customHeight="false" outlineLevel="0" collapsed="false">
      <c r="A224" s="33"/>
      <c r="B224" s="4"/>
      <c r="C224" s="4"/>
      <c r="D224" s="4"/>
      <c r="E224" s="4"/>
      <c r="F224" s="4"/>
    </row>
    <row r="225" customFormat="false" ht="15" hidden="false" customHeight="false" outlineLevel="0" collapsed="false">
      <c r="A225" s="33"/>
      <c r="B225" s="4"/>
      <c r="C225" s="4"/>
      <c r="D225" s="4"/>
      <c r="E225" s="4"/>
      <c r="F225" s="4"/>
    </row>
    <row r="226" customFormat="false" ht="15" hidden="false" customHeight="false" outlineLevel="0" collapsed="false">
      <c r="A226" s="33"/>
      <c r="B226" s="4"/>
      <c r="C226" s="4"/>
      <c r="D226" s="4"/>
      <c r="E226" s="4"/>
      <c r="F226" s="4"/>
    </row>
    <row r="227" customFormat="false" ht="15" hidden="false" customHeight="false" outlineLevel="0" collapsed="false">
      <c r="A227" s="33"/>
      <c r="B227" s="4"/>
      <c r="C227" s="4"/>
      <c r="D227" s="4"/>
      <c r="E227" s="4"/>
      <c r="F227" s="4"/>
    </row>
    <row r="228" customFormat="false" ht="15" hidden="false" customHeight="false" outlineLevel="0" collapsed="false">
      <c r="A228" s="33"/>
      <c r="B228" s="4"/>
      <c r="C228" s="4"/>
      <c r="D228" s="4"/>
      <c r="E228" s="4"/>
      <c r="F228" s="4"/>
    </row>
    <row r="229" customFormat="false" ht="15" hidden="false" customHeight="false" outlineLevel="0" collapsed="false">
      <c r="A229" s="33"/>
      <c r="B229" s="4"/>
      <c r="C229" s="4"/>
      <c r="D229" s="4"/>
      <c r="E229" s="4"/>
      <c r="F229" s="4"/>
    </row>
    <row r="230" customFormat="false" ht="15" hidden="false" customHeight="false" outlineLevel="0" collapsed="false">
      <c r="A230" s="33"/>
      <c r="B230" s="4"/>
      <c r="C230" s="4"/>
      <c r="D230" s="4"/>
      <c r="E230" s="4"/>
      <c r="F230" s="4"/>
    </row>
    <row r="231" customFormat="false" ht="15" hidden="false" customHeight="false" outlineLevel="0" collapsed="false">
      <c r="A231" s="33"/>
      <c r="B231" s="4"/>
      <c r="C231" s="4"/>
      <c r="D231" s="4"/>
      <c r="E231" s="4"/>
      <c r="F231" s="4"/>
    </row>
    <row r="232" customFormat="false" ht="15" hidden="false" customHeight="false" outlineLevel="0" collapsed="false">
      <c r="A232" s="33"/>
      <c r="B232" s="4"/>
      <c r="C232" s="4"/>
      <c r="D232" s="4"/>
      <c r="E232" s="4"/>
      <c r="F232" s="4"/>
    </row>
    <row r="233" customFormat="false" ht="15" hidden="false" customHeight="false" outlineLevel="0" collapsed="false">
      <c r="A233" s="33"/>
      <c r="B233" s="4"/>
      <c r="C233" s="4"/>
      <c r="D233" s="4"/>
      <c r="E233" s="4"/>
      <c r="F233" s="4"/>
    </row>
    <row r="234" customFormat="false" ht="15" hidden="false" customHeight="false" outlineLevel="0" collapsed="false">
      <c r="A234" s="33"/>
      <c r="B234" s="4"/>
      <c r="C234" s="4"/>
      <c r="D234" s="4"/>
      <c r="E234" s="4"/>
      <c r="F234" s="4"/>
    </row>
    <row r="235" customFormat="false" ht="15" hidden="false" customHeight="false" outlineLevel="0" collapsed="false">
      <c r="A235" s="33"/>
      <c r="B235" s="4"/>
      <c r="C235" s="4"/>
      <c r="D235" s="4"/>
      <c r="E235" s="4"/>
      <c r="F235" s="4"/>
    </row>
    <row r="236" customFormat="false" ht="15" hidden="false" customHeight="false" outlineLevel="0" collapsed="false">
      <c r="A236" s="33"/>
      <c r="B236" s="4"/>
      <c r="C236" s="4"/>
      <c r="D236" s="4"/>
      <c r="E236" s="4"/>
      <c r="F236" s="4"/>
    </row>
    <row r="237" customFormat="false" ht="15" hidden="false" customHeight="false" outlineLevel="0" collapsed="false">
      <c r="A237" s="33"/>
      <c r="B237" s="4"/>
      <c r="C237" s="4"/>
      <c r="D237" s="4"/>
      <c r="E237" s="4"/>
      <c r="F237" s="4"/>
    </row>
    <row r="238" customFormat="false" ht="15" hidden="false" customHeight="false" outlineLevel="0" collapsed="false">
      <c r="A238" s="33"/>
      <c r="B238" s="4"/>
      <c r="C238" s="4"/>
      <c r="D238" s="4"/>
      <c r="E238" s="4"/>
      <c r="F238" s="4"/>
    </row>
    <row r="239" customFormat="false" ht="15" hidden="false" customHeight="false" outlineLevel="0" collapsed="false">
      <c r="A239" s="33"/>
      <c r="B239" s="4"/>
      <c r="C239" s="4"/>
      <c r="D239" s="4"/>
      <c r="E239" s="4"/>
      <c r="F239" s="4"/>
    </row>
    <row r="240" customFormat="false" ht="15" hidden="false" customHeight="false" outlineLevel="0" collapsed="false">
      <c r="A240" s="33"/>
      <c r="B240" s="4"/>
      <c r="C240" s="4"/>
      <c r="D240" s="4"/>
      <c r="E240" s="4"/>
      <c r="F240" s="4"/>
    </row>
    <row r="241" customFormat="false" ht="15" hidden="false" customHeight="false" outlineLevel="0" collapsed="false">
      <c r="A241" s="33"/>
      <c r="B241" s="4"/>
      <c r="C241" s="4"/>
      <c r="D241" s="4"/>
      <c r="E241" s="4"/>
      <c r="F241" s="4"/>
    </row>
    <row r="242" customFormat="false" ht="15" hidden="false" customHeight="false" outlineLevel="0" collapsed="false">
      <c r="A242" s="33"/>
      <c r="B242" s="4"/>
      <c r="C242" s="4"/>
      <c r="D242" s="4"/>
      <c r="E242" s="4"/>
      <c r="F242" s="4"/>
    </row>
    <row r="243" customFormat="false" ht="15" hidden="false" customHeight="false" outlineLevel="0" collapsed="false">
      <c r="A243" s="33"/>
      <c r="B243" s="4"/>
      <c r="C243" s="4"/>
      <c r="D243" s="4"/>
      <c r="E243" s="4"/>
      <c r="F243" s="4"/>
    </row>
    <row r="244" customFormat="false" ht="15" hidden="false" customHeight="false" outlineLevel="0" collapsed="false">
      <c r="A244" s="33"/>
      <c r="B244" s="4"/>
      <c r="C244" s="4"/>
      <c r="D244" s="4"/>
      <c r="E244" s="4"/>
      <c r="F244" s="4"/>
    </row>
    <row r="245" customFormat="false" ht="15" hidden="false" customHeight="false" outlineLevel="0" collapsed="false">
      <c r="A245" s="33"/>
      <c r="B245" s="4"/>
      <c r="C245" s="4"/>
      <c r="D245" s="4"/>
      <c r="E245" s="4"/>
      <c r="F245" s="4"/>
    </row>
    <row r="246" customFormat="false" ht="15" hidden="false" customHeight="false" outlineLevel="0" collapsed="false">
      <c r="A246" s="33"/>
      <c r="B246" s="4"/>
      <c r="C246" s="4"/>
      <c r="D246" s="4"/>
      <c r="E246" s="4"/>
      <c r="F246" s="4"/>
    </row>
    <row r="247" customFormat="false" ht="15" hidden="false" customHeight="false" outlineLevel="0" collapsed="false">
      <c r="A247" s="33"/>
      <c r="B247" s="4"/>
      <c r="C247" s="4"/>
      <c r="D247" s="4"/>
      <c r="E247" s="4"/>
      <c r="F247" s="4"/>
    </row>
    <row r="248" customFormat="false" ht="15" hidden="false" customHeight="false" outlineLevel="0" collapsed="false">
      <c r="A248" s="33"/>
      <c r="B248" s="4"/>
      <c r="C248" s="4"/>
      <c r="D248" s="4"/>
      <c r="E248" s="4"/>
      <c r="F248" s="4"/>
    </row>
    <row r="249" customFormat="false" ht="15" hidden="false" customHeight="false" outlineLevel="0" collapsed="false">
      <c r="A249" s="33"/>
      <c r="B249" s="4"/>
      <c r="C249" s="4"/>
      <c r="D249" s="4"/>
      <c r="E249" s="4"/>
      <c r="F249" s="4"/>
    </row>
    <row r="250" customFormat="false" ht="15" hidden="false" customHeight="false" outlineLevel="0" collapsed="false">
      <c r="A250" s="33"/>
      <c r="B250" s="4"/>
      <c r="C250" s="4"/>
      <c r="D250" s="4"/>
      <c r="E250" s="4"/>
      <c r="F250" s="4"/>
    </row>
    <row r="251" customFormat="false" ht="15" hidden="false" customHeight="false" outlineLevel="0" collapsed="false">
      <c r="A251" s="33"/>
      <c r="B251" s="4"/>
      <c r="C251" s="4"/>
      <c r="D251" s="4"/>
      <c r="E251" s="4"/>
      <c r="F251" s="4"/>
    </row>
    <row r="252" customFormat="false" ht="15" hidden="false" customHeight="false" outlineLevel="0" collapsed="false">
      <c r="A252" s="33"/>
      <c r="B252" s="4"/>
      <c r="C252" s="4"/>
      <c r="D252" s="4"/>
      <c r="E252" s="4"/>
      <c r="F252" s="4"/>
    </row>
    <row r="253" customFormat="false" ht="15" hidden="false" customHeight="false" outlineLevel="0" collapsed="false">
      <c r="A253" s="33"/>
      <c r="B253" s="4"/>
      <c r="C253" s="4"/>
      <c r="D253" s="4"/>
      <c r="E253" s="4"/>
      <c r="F253" s="4"/>
    </row>
    <row r="254" customFormat="false" ht="15" hidden="false" customHeight="false" outlineLevel="0" collapsed="false">
      <c r="A254" s="33"/>
      <c r="B254" s="4"/>
      <c r="C254" s="4"/>
      <c r="D254" s="4"/>
      <c r="E254" s="4"/>
      <c r="F254" s="4"/>
    </row>
    <row r="255" customFormat="false" ht="15" hidden="false" customHeight="false" outlineLevel="0" collapsed="false">
      <c r="A255" s="33"/>
      <c r="B255" s="4"/>
      <c r="C255" s="4"/>
      <c r="D255" s="4"/>
      <c r="E255" s="4"/>
      <c r="F255" s="4"/>
    </row>
    <row r="256" customFormat="false" ht="15" hidden="false" customHeight="false" outlineLevel="0" collapsed="false">
      <c r="A256" s="33"/>
      <c r="B256" s="4"/>
      <c r="C256" s="4"/>
      <c r="D256" s="4"/>
      <c r="E256" s="4"/>
      <c r="F256" s="4"/>
    </row>
    <row r="257" customFormat="false" ht="15" hidden="false" customHeight="false" outlineLevel="0" collapsed="false">
      <c r="A257" s="33"/>
      <c r="B257" s="4"/>
      <c r="C257" s="4"/>
      <c r="D257" s="4"/>
      <c r="E257" s="4"/>
      <c r="F257" s="4"/>
    </row>
    <row r="258" customFormat="false" ht="15" hidden="false" customHeight="false" outlineLevel="0" collapsed="false">
      <c r="A258" s="33"/>
      <c r="B258" s="4"/>
      <c r="C258" s="4"/>
      <c r="D258" s="4"/>
      <c r="E258" s="4"/>
      <c r="F258" s="4"/>
    </row>
    <row r="259" customFormat="false" ht="15" hidden="false" customHeight="false" outlineLevel="0" collapsed="false">
      <c r="A259" s="33"/>
      <c r="B259" s="4"/>
      <c r="C259" s="4"/>
      <c r="D259" s="4"/>
      <c r="E259" s="4"/>
      <c r="F259" s="4"/>
    </row>
    <row r="260" customFormat="false" ht="15" hidden="false" customHeight="false" outlineLevel="0" collapsed="false">
      <c r="A260" s="33"/>
      <c r="B260" s="4"/>
      <c r="C260" s="4"/>
      <c r="D260" s="4"/>
      <c r="E260" s="4"/>
      <c r="F260" s="4"/>
    </row>
    <row r="261" customFormat="false" ht="15" hidden="false" customHeight="false" outlineLevel="0" collapsed="false">
      <c r="A261" s="33"/>
      <c r="B261" s="4"/>
      <c r="C261" s="4"/>
      <c r="D261" s="4"/>
      <c r="E261" s="4"/>
      <c r="F261" s="4"/>
    </row>
    <row r="262" customFormat="false" ht="15" hidden="false" customHeight="false" outlineLevel="0" collapsed="false">
      <c r="A262" s="33"/>
      <c r="B262" s="4"/>
      <c r="C262" s="4"/>
      <c r="D262" s="4"/>
      <c r="E262" s="4"/>
      <c r="F262" s="4"/>
    </row>
    <row r="263" customFormat="false" ht="15" hidden="false" customHeight="false" outlineLevel="0" collapsed="false">
      <c r="A263" s="33"/>
      <c r="B263" s="4"/>
      <c r="C263" s="4"/>
      <c r="D263" s="4"/>
      <c r="E263" s="4"/>
      <c r="F263" s="4"/>
    </row>
    <row r="264" customFormat="false" ht="15" hidden="false" customHeight="false" outlineLevel="0" collapsed="false">
      <c r="A264" s="33"/>
      <c r="B264" s="4"/>
      <c r="C264" s="4"/>
      <c r="D264" s="4"/>
      <c r="E264" s="4"/>
      <c r="F264" s="4"/>
    </row>
    <row r="265" customFormat="false" ht="15" hidden="false" customHeight="false" outlineLevel="0" collapsed="false">
      <c r="A265" s="33"/>
      <c r="B265" s="4"/>
      <c r="C265" s="4"/>
      <c r="D265" s="4"/>
      <c r="E265" s="4"/>
      <c r="F265" s="4"/>
    </row>
    <row r="266" customFormat="false" ht="15" hidden="false" customHeight="false" outlineLevel="0" collapsed="false">
      <c r="A266" s="33"/>
      <c r="B266" s="4"/>
      <c r="C266" s="4"/>
      <c r="D266" s="4"/>
      <c r="E266" s="4"/>
      <c r="F266" s="4"/>
    </row>
    <row r="267" customFormat="false" ht="15" hidden="false" customHeight="false" outlineLevel="0" collapsed="false">
      <c r="A267" s="33"/>
      <c r="B267" s="4"/>
      <c r="C267" s="4"/>
      <c r="D267" s="4"/>
      <c r="E267" s="4"/>
      <c r="F267" s="4"/>
    </row>
    <row r="268" customFormat="false" ht="15" hidden="false" customHeight="false" outlineLevel="0" collapsed="false">
      <c r="A268" s="33"/>
      <c r="B268" s="4"/>
      <c r="C268" s="4"/>
      <c r="D268" s="4"/>
      <c r="E268" s="4"/>
      <c r="F268" s="4"/>
    </row>
    <row r="269" customFormat="false" ht="15" hidden="false" customHeight="false" outlineLevel="0" collapsed="false">
      <c r="A269" s="33"/>
      <c r="B269" s="4"/>
      <c r="C269" s="4"/>
      <c r="D269" s="4"/>
      <c r="E269" s="4"/>
      <c r="F269" s="4"/>
    </row>
    <row r="270" customFormat="false" ht="15" hidden="false" customHeight="false" outlineLevel="0" collapsed="false">
      <c r="A270" s="33"/>
      <c r="B270" s="4"/>
      <c r="C270" s="4"/>
      <c r="D270" s="4"/>
      <c r="E270" s="4"/>
      <c r="F270" s="4"/>
    </row>
    <row r="271" customFormat="false" ht="15" hidden="false" customHeight="false" outlineLevel="0" collapsed="false">
      <c r="A271" s="33"/>
      <c r="B271" s="4"/>
      <c r="C271" s="4"/>
      <c r="D271" s="4"/>
      <c r="E271" s="4"/>
      <c r="F271" s="4"/>
    </row>
    <row r="272" customFormat="false" ht="15" hidden="false" customHeight="false" outlineLevel="0" collapsed="false">
      <c r="A272" s="33"/>
      <c r="B272" s="4"/>
      <c r="C272" s="4"/>
      <c r="D272" s="4"/>
      <c r="E272" s="4"/>
      <c r="F272" s="4"/>
    </row>
    <row r="273" customFormat="false" ht="15" hidden="false" customHeight="false" outlineLevel="0" collapsed="false">
      <c r="A273" s="33"/>
      <c r="B273" s="4"/>
      <c r="C273" s="4"/>
      <c r="D273" s="4"/>
      <c r="E273" s="4"/>
      <c r="F273" s="4"/>
    </row>
    <row r="274" customFormat="false" ht="15" hidden="false" customHeight="false" outlineLevel="0" collapsed="false">
      <c r="A274" s="33"/>
      <c r="B274" s="4"/>
      <c r="C274" s="4"/>
      <c r="D274" s="4"/>
      <c r="E274" s="4"/>
      <c r="F274" s="4"/>
    </row>
    <row r="275" customFormat="false" ht="15" hidden="false" customHeight="false" outlineLevel="0" collapsed="false">
      <c r="A275" s="33"/>
      <c r="B275" s="4"/>
      <c r="C275" s="4"/>
      <c r="D275" s="4"/>
      <c r="E275" s="4"/>
      <c r="F275" s="4"/>
    </row>
    <row r="276" customFormat="false" ht="15" hidden="false" customHeight="false" outlineLevel="0" collapsed="false">
      <c r="A276" s="33"/>
      <c r="B276" s="4"/>
      <c r="C276" s="4"/>
      <c r="D276" s="4"/>
      <c r="E276" s="4"/>
      <c r="F276" s="4"/>
    </row>
    <row r="277" customFormat="false" ht="15" hidden="false" customHeight="false" outlineLevel="0" collapsed="false">
      <c r="A277" s="33"/>
      <c r="B277" s="4"/>
      <c r="C277" s="4"/>
      <c r="D277" s="4"/>
      <c r="E277" s="4"/>
      <c r="F277" s="4"/>
    </row>
    <row r="278" customFormat="false" ht="15" hidden="false" customHeight="false" outlineLevel="0" collapsed="false">
      <c r="A278" s="33"/>
      <c r="B278" s="4"/>
      <c r="C278" s="4"/>
      <c r="D278" s="4"/>
      <c r="E278" s="4"/>
      <c r="F278" s="4"/>
    </row>
    <row r="279" customFormat="false" ht="15" hidden="false" customHeight="false" outlineLevel="0" collapsed="false">
      <c r="A279" s="33"/>
      <c r="B279" s="4"/>
      <c r="C279" s="4"/>
      <c r="D279" s="4"/>
      <c r="E279" s="4"/>
      <c r="F279" s="4"/>
    </row>
    <row r="280" customFormat="false" ht="15" hidden="false" customHeight="false" outlineLevel="0" collapsed="false">
      <c r="A280" s="33"/>
      <c r="B280" s="4"/>
      <c r="C280" s="4"/>
      <c r="D280" s="4"/>
      <c r="E280" s="4"/>
      <c r="F280" s="4"/>
    </row>
    <row r="281" customFormat="false" ht="15" hidden="false" customHeight="false" outlineLevel="0" collapsed="false">
      <c r="A281" s="33"/>
      <c r="B281" s="4"/>
      <c r="C281" s="4"/>
      <c r="D281" s="4"/>
      <c r="E281" s="4"/>
      <c r="F281" s="4"/>
    </row>
    <row r="282" customFormat="false" ht="15" hidden="false" customHeight="false" outlineLevel="0" collapsed="false">
      <c r="A282" s="33"/>
      <c r="B282" s="4"/>
      <c r="C282" s="4"/>
      <c r="D282" s="4"/>
      <c r="E282" s="4"/>
      <c r="F282" s="4"/>
    </row>
    <row r="283" customFormat="false" ht="15" hidden="false" customHeight="false" outlineLevel="0" collapsed="false">
      <c r="A283" s="33"/>
      <c r="B283" s="4"/>
      <c r="C283" s="4"/>
      <c r="D283" s="4"/>
      <c r="E283" s="4"/>
      <c r="F283" s="4"/>
    </row>
    <row r="284" customFormat="false" ht="15" hidden="false" customHeight="false" outlineLevel="0" collapsed="false">
      <c r="A284" s="33"/>
      <c r="B284" s="4"/>
      <c r="C284" s="4"/>
      <c r="D284" s="4"/>
      <c r="E284" s="4"/>
      <c r="F284" s="4"/>
    </row>
    <row r="285" customFormat="false" ht="15" hidden="false" customHeight="false" outlineLevel="0" collapsed="false">
      <c r="A285" s="33"/>
      <c r="B285" s="4"/>
      <c r="C285" s="4"/>
      <c r="D285" s="4"/>
      <c r="E285" s="4"/>
      <c r="F285" s="4"/>
    </row>
    <row r="286" customFormat="false" ht="15" hidden="false" customHeight="false" outlineLevel="0" collapsed="false">
      <c r="A286" s="33"/>
      <c r="B286" s="4"/>
      <c r="C286" s="4"/>
      <c r="D286" s="4"/>
      <c r="E286" s="4"/>
      <c r="F286" s="4"/>
    </row>
    <row r="287" customFormat="false" ht="15" hidden="false" customHeight="false" outlineLevel="0" collapsed="false">
      <c r="A287" s="33"/>
      <c r="B287" s="4"/>
      <c r="C287" s="4"/>
      <c r="D287" s="4"/>
      <c r="E287" s="4"/>
      <c r="F287" s="4"/>
    </row>
    <row r="288" customFormat="false" ht="15" hidden="false" customHeight="false" outlineLevel="0" collapsed="false">
      <c r="A288" s="33"/>
      <c r="B288" s="4"/>
      <c r="C288" s="4"/>
      <c r="D288" s="4"/>
      <c r="E288" s="4"/>
      <c r="F288" s="4"/>
    </row>
    <row r="289" customFormat="false" ht="15" hidden="false" customHeight="false" outlineLevel="0" collapsed="false">
      <c r="A289" s="33"/>
      <c r="B289" s="4"/>
      <c r="C289" s="4"/>
      <c r="D289" s="4"/>
      <c r="E289" s="4"/>
      <c r="F289" s="4"/>
    </row>
    <row r="290" customFormat="false" ht="15" hidden="false" customHeight="false" outlineLevel="0" collapsed="false">
      <c r="A290" s="33"/>
      <c r="B290" s="4"/>
      <c r="C290" s="4"/>
      <c r="D290" s="4"/>
      <c r="E290" s="4"/>
      <c r="F290" s="4"/>
    </row>
    <row r="291" customFormat="false" ht="15" hidden="false" customHeight="false" outlineLevel="0" collapsed="false">
      <c r="A291" s="33"/>
      <c r="B291" s="4"/>
      <c r="C291" s="4"/>
      <c r="D291" s="4"/>
      <c r="E291" s="4"/>
      <c r="F291" s="4"/>
    </row>
    <row r="292" customFormat="false" ht="15" hidden="false" customHeight="false" outlineLevel="0" collapsed="false">
      <c r="A292" s="33"/>
      <c r="B292" s="4"/>
      <c r="C292" s="4"/>
      <c r="D292" s="4"/>
      <c r="E292" s="4"/>
      <c r="F292" s="4"/>
    </row>
    <row r="293" customFormat="false" ht="15" hidden="false" customHeight="false" outlineLevel="0" collapsed="false">
      <c r="A293" s="33"/>
      <c r="B293" s="4"/>
      <c r="C293" s="4"/>
      <c r="D293" s="4"/>
      <c r="E293" s="4"/>
      <c r="F293" s="4"/>
    </row>
    <row r="294" customFormat="false" ht="15" hidden="false" customHeight="false" outlineLevel="0" collapsed="false">
      <c r="A294" s="33"/>
      <c r="B294" s="4"/>
      <c r="C294" s="4"/>
      <c r="D294" s="4"/>
      <c r="E294" s="4"/>
      <c r="F294" s="4"/>
    </row>
    <row r="295" customFormat="false" ht="15" hidden="false" customHeight="false" outlineLevel="0" collapsed="false">
      <c r="A295" s="33"/>
      <c r="B295" s="4"/>
      <c r="C295" s="4"/>
      <c r="D295" s="4"/>
      <c r="E295" s="4"/>
      <c r="F295" s="4"/>
    </row>
    <row r="296" customFormat="false" ht="15" hidden="false" customHeight="false" outlineLevel="0" collapsed="false">
      <c r="A296" s="33"/>
      <c r="B296" s="4"/>
      <c r="C296" s="4"/>
      <c r="D296" s="4"/>
      <c r="E296" s="4"/>
      <c r="F296" s="4"/>
    </row>
    <row r="297" customFormat="false" ht="15" hidden="false" customHeight="false" outlineLevel="0" collapsed="false">
      <c r="A297" s="33"/>
      <c r="B297" s="4"/>
      <c r="C297" s="4"/>
      <c r="D297" s="4"/>
      <c r="E297" s="4"/>
      <c r="F297" s="4"/>
    </row>
    <row r="298" customFormat="false" ht="15" hidden="false" customHeight="false" outlineLevel="0" collapsed="false">
      <c r="A298" s="33"/>
      <c r="B298" s="4"/>
      <c r="C298" s="4"/>
      <c r="D298" s="4"/>
      <c r="E298" s="4"/>
      <c r="F298" s="4"/>
    </row>
    <row r="299" customFormat="false" ht="15" hidden="false" customHeight="false" outlineLevel="0" collapsed="false">
      <c r="A299" s="33"/>
      <c r="B299" s="4"/>
      <c r="C299" s="4"/>
      <c r="D299" s="4"/>
      <c r="E299" s="4"/>
      <c r="F299" s="4"/>
    </row>
    <row r="300" customFormat="false" ht="15" hidden="false" customHeight="false" outlineLevel="0" collapsed="false">
      <c r="A300" s="33"/>
      <c r="B300" s="4"/>
      <c r="C300" s="4"/>
      <c r="D300" s="4"/>
      <c r="E300" s="4"/>
      <c r="F300" s="4"/>
    </row>
    <row r="301" customFormat="false" ht="15" hidden="false" customHeight="false" outlineLevel="0" collapsed="false">
      <c r="A301" s="33"/>
      <c r="B301" s="4"/>
      <c r="C301" s="4"/>
      <c r="D301" s="4"/>
      <c r="E301" s="4"/>
      <c r="F301" s="4"/>
    </row>
    <row r="302" customFormat="false" ht="15" hidden="false" customHeight="false" outlineLevel="0" collapsed="false">
      <c r="A302" s="33"/>
      <c r="B302" s="4"/>
      <c r="C302" s="4"/>
      <c r="D302" s="4"/>
      <c r="E302" s="4"/>
      <c r="F302" s="4"/>
    </row>
    <row r="303" customFormat="false" ht="15" hidden="false" customHeight="false" outlineLevel="0" collapsed="false">
      <c r="A303" s="33"/>
      <c r="B303" s="4"/>
      <c r="C303" s="4"/>
      <c r="D303" s="4"/>
      <c r="E303" s="4"/>
      <c r="F303" s="4"/>
    </row>
    <row r="304" customFormat="false" ht="15" hidden="false" customHeight="false" outlineLevel="0" collapsed="false">
      <c r="A304" s="33"/>
      <c r="B304" s="4"/>
      <c r="C304" s="4"/>
      <c r="D304" s="4"/>
      <c r="E304" s="4"/>
      <c r="F304" s="4"/>
    </row>
    <row r="305" customFormat="false" ht="15" hidden="false" customHeight="false" outlineLevel="0" collapsed="false">
      <c r="A305" s="33"/>
      <c r="B305" s="4"/>
      <c r="C305" s="4"/>
      <c r="D305" s="4"/>
      <c r="E305" s="4"/>
      <c r="F305" s="4"/>
    </row>
    <row r="306" customFormat="false" ht="15" hidden="false" customHeight="false" outlineLevel="0" collapsed="false">
      <c r="A306" s="33"/>
      <c r="B306" s="4"/>
      <c r="C306" s="4"/>
      <c r="D306" s="4"/>
      <c r="E306" s="4"/>
      <c r="F306" s="4"/>
    </row>
    <row r="307" customFormat="false" ht="15" hidden="false" customHeight="false" outlineLevel="0" collapsed="false">
      <c r="A307" s="33"/>
      <c r="B307" s="4"/>
      <c r="C307" s="4"/>
      <c r="D307" s="4"/>
      <c r="E307" s="4"/>
      <c r="F307" s="4"/>
    </row>
    <row r="308" customFormat="false" ht="15" hidden="false" customHeight="false" outlineLevel="0" collapsed="false">
      <c r="A308" s="33"/>
      <c r="B308" s="4"/>
      <c r="C308" s="4"/>
      <c r="D308" s="4"/>
      <c r="E308" s="4"/>
      <c r="F308" s="4"/>
    </row>
    <row r="309" customFormat="false" ht="15" hidden="false" customHeight="false" outlineLevel="0" collapsed="false">
      <c r="A309" s="33"/>
      <c r="B309" s="4"/>
      <c r="C309" s="4"/>
      <c r="D309" s="4"/>
      <c r="E309" s="4"/>
      <c r="F309" s="4"/>
    </row>
    <row r="310" customFormat="false" ht="15" hidden="false" customHeight="false" outlineLevel="0" collapsed="false">
      <c r="A310" s="33"/>
      <c r="B310" s="4"/>
      <c r="C310" s="4"/>
      <c r="D310" s="4"/>
      <c r="E310" s="4"/>
      <c r="F310" s="4"/>
    </row>
    <row r="311" customFormat="false" ht="15" hidden="false" customHeight="false" outlineLevel="0" collapsed="false">
      <c r="A311" s="33"/>
      <c r="B311" s="4"/>
      <c r="C311" s="4"/>
      <c r="D311" s="4"/>
      <c r="E311" s="4"/>
      <c r="F311" s="4"/>
    </row>
    <row r="312" customFormat="false" ht="15" hidden="false" customHeight="false" outlineLevel="0" collapsed="false">
      <c r="A312" s="33"/>
      <c r="B312" s="4"/>
      <c r="C312" s="4"/>
      <c r="D312" s="4"/>
      <c r="E312" s="4"/>
      <c r="F312" s="4"/>
    </row>
    <row r="313" customFormat="false" ht="15" hidden="false" customHeight="false" outlineLevel="0" collapsed="false">
      <c r="A313" s="33"/>
      <c r="B313" s="4"/>
      <c r="C313" s="4"/>
      <c r="D313" s="4"/>
      <c r="E313" s="4"/>
      <c r="F313" s="4"/>
    </row>
    <row r="314" customFormat="false" ht="15" hidden="false" customHeight="false" outlineLevel="0" collapsed="false">
      <c r="A314" s="33"/>
      <c r="B314" s="4"/>
      <c r="C314" s="4"/>
      <c r="D314" s="4"/>
      <c r="E314" s="4"/>
      <c r="F314" s="4"/>
    </row>
    <row r="315" customFormat="false" ht="15" hidden="false" customHeight="false" outlineLevel="0" collapsed="false">
      <c r="A315" s="33"/>
      <c r="B315" s="4"/>
      <c r="C315" s="4"/>
      <c r="D315" s="4"/>
      <c r="E315" s="4"/>
      <c r="F315" s="4"/>
    </row>
    <row r="316" customFormat="false" ht="15" hidden="false" customHeight="false" outlineLevel="0" collapsed="false">
      <c r="A316" s="33"/>
      <c r="B316" s="4"/>
      <c r="C316" s="4"/>
      <c r="D316" s="4"/>
      <c r="E316" s="4"/>
      <c r="F316" s="4"/>
    </row>
    <row r="317" customFormat="false" ht="15" hidden="false" customHeight="false" outlineLevel="0" collapsed="false">
      <c r="A317" s="33"/>
      <c r="B317" s="4"/>
      <c r="C317" s="4"/>
      <c r="D317" s="4"/>
      <c r="E317" s="4"/>
      <c r="F317" s="4"/>
    </row>
    <row r="318" customFormat="false" ht="15" hidden="false" customHeight="false" outlineLevel="0" collapsed="false">
      <c r="A318" s="33"/>
      <c r="B318" s="4"/>
      <c r="C318" s="4"/>
      <c r="D318" s="4"/>
      <c r="E318" s="4"/>
      <c r="F318" s="4"/>
    </row>
    <row r="319" customFormat="false" ht="15" hidden="false" customHeight="false" outlineLevel="0" collapsed="false">
      <c r="A319" s="33"/>
      <c r="B319" s="4"/>
      <c r="C319" s="4"/>
      <c r="D319" s="4"/>
      <c r="E319" s="4"/>
      <c r="F319" s="4"/>
    </row>
    <row r="320" customFormat="false" ht="15" hidden="false" customHeight="false" outlineLevel="0" collapsed="false">
      <c r="A320" s="33"/>
      <c r="B320" s="4"/>
      <c r="C320" s="4"/>
      <c r="D320" s="4"/>
      <c r="E320" s="4"/>
      <c r="F320" s="4"/>
    </row>
    <row r="321" customFormat="false" ht="15" hidden="false" customHeight="false" outlineLevel="0" collapsed="false">
      <c r="A321" s="33"/>
      <c r="B321" s="4"/>
      <c r="C321" s="4"/>
      <c r="D321" s="4"/>
      <c r="E321" s="4"/>
      <c r="F321" s="4"/>
    </row>
    <row r="322" customFormat="false" ht="15" hidden="false" customHeight="false" outlineLevel="0" collapsed="false">
      <c r="A322" s="33"/>
      <c r="B322" s="4"/>
      <c r="C322" s="4"/>
      <c r="D322" s="4"/>
      <c r="E322" s="4"/>
      <c r="F322" s="4"/>
    </row>
    <row r="323" customFormat="false" ht="15" hidden="false" customHeight="false" outlineLevel="0" collapsed="false">
      <c r="A323" s="33"/>
      <c r="B323" s="4"/>
      <c r="C323" s="4"/>
      <c r="D323" s="4"/>
      <c r="E323" s="4"/>
      <c r="F323" s="4"/>
    </row>
    <row r="324" customFormat="false" ht="15" hidden="false" customHeight="false" outlineLevel="0" collapsed="false">
      <c r="A324" s="33"/>
      <c r="B324" s="4"/>
      <c r="C324" s="4"/>
      <c r="D324" s="4"/>
      <c r="E324" s="4"/>
      <c r="F324" s="4"/>
    </row>
    <row r="325" customFormat="false" ht="15" hidden="false" customHeight="false" outlineLevel="0" collapsed="false">
      <c r="A325" s="33"/>
      <c r="B325" s="4"/>
      <c r="C325" s="4"/>
      <c r="D325" s="4"/>
      <c r="E325" s="4"/>
      <c r="F325" s="4"/>
    </row>
    <row r="326" customFormat="false" ht="15" hidden="false" customHeight="false" outlineLevel="0" collapsed="false">
      <c r="A326" s="33"/>
      <c r="B326" s="4"/>
      <c r="C326" s="4"/>
      <c r="D326" s="4"/>
      <c r="E326" s="4"/>
      <c r="F326" s="4"/>
    </row>
    <row r="327" customFormat="false" ht="15" hidden="false" customHeight="false" outlineLevel="0" collapsed="false">
      <c r="A327" s="33"/>
      <c r="B327" s="4"/>
      <c r="C327" s="4"/>
      <c r="D327" s="4"/>
      <c r="E327" s="4"/>
      <c r="F327" s="4"/>
    </row>
    <row r="328" customFormat="false" ht="15" hidden="false" customHeight="false" outlineLevel="0" collapsed="false">
      <c r="A328" s="33"/>
      <c r="B328" s="4"/>
      <c r="C328" s="4"/>
      <c r="D328" s="4"/>
      <c r="E328" s="4"/>
      <c r="F328" s="4"/>
    </row>
    <row r="329" customFormat="false" ht="15" hidden="false" customHeight="false" outlineLevel="0" collapsed="false">
      <c r="A329" s="33"/>
      <c r="B329" s="4"/>
      <c r="C329" s="4"/>
      <c r="D329" s="4"/>
      <c r="E329" s="4"/>
      <c r="F329" s="4"/>
    </row>
    <row r="330" customFormat="false" ht="15" hidden="false" customHeight="false" outlineLevel="0" collapsed="false">
      <c r="A330" s="33"/>
      <c r="B330" s="4"/>
      <c r="C330" s="4"/>
      <c r="D330" s="4"/>
      <c r="E330" s="4"/>
      <c r="F330" s="4"/>
    </row>
    <row r="331" customFormat="false" ht="15" hidden="false" customHeight="false" outlineLevel="0" collapsed="false">
      <c r="A331" s="33"/>
      <c r="B331" s="4"/>
      <c r="C331" s="4"/>
      <c r="D331" s="4"/>
      <c r="E331" s="4"/>
      <c r="F331" s="4"/>
    </row>
    <row r="332" customFormat="false" ht="15" hidden="false" customHeight="false" outlineLevel="0" collapsed="false">
      <c r="A332" s="33"/>
      <c r="B332" s="4"/>
      <c r="C332" s="4"/>
      <c r="D332" s="4"/>
      <c r="E332" s="4"/>
      <c r="F332" s="4"/>
    </row>
    <row r="333" customFormat="false" ht="15" hidden="false" customHeight="false" outlineLevel="0" collapsed="false">
      <c r="A333" s="33"/>
      <c r="B333" s="4"/>
      <c r="C333" s="4"/>
      <c r="D333" s="4"/>
      <c r="E333" s="4"/>
      <c r="F333" s="4"/>
    </row>
    <row r="334" customFormat="false" ht="15" hidden="false" customHeight="false" outlineLevel="0" collapsed="false">
      <c r="A334" s="33"/>
      <c r="B334" s="4"/>
      <c r="C334" s="4"/>
      <c r="D334" s="4"/>
      <c r="E334" s="4"/>
      <c r="F334" s="4"/>
    </row>
    <row r="335" customFormat="false" ht="15" hidden="false" customHeight="false" outlineLevel="0" collapsed="false">
      <c r="A335" s="33"/>
      <c r="B335" s="4"/>
      <c r="C335" s="4"/>
      <c r="D335" s="4"/>
      <c r="E335" s="4"/>
      <c r="F335" s="4"/>
    </row>
    <row r="336" customFormat="false" ht="15" hidden="false" customHeight="false" outlineLevel="0" collapsed="false">
      <c r="A336" s="33"/>
      <c r="B336" s="4"/>
      <c r="C336" s="4"/>
      <c r="D336" s="4"/>
      <c r="E336" s="4"/>
      <c r="F336" s="4"/>
    </row>
    <row r="337" customFormat="false" ht="15" hidden="false" customHeight="false" outlineLevel="0" collapsed="false">
      <c r="A337" s="33"/>
      <c r="B337" s="4"/>
      <c r="C337" s="4"/>
      <c r="D337" s="4"/>
      <c r="E337" s="4"/>
      <c r="F337" s="4"/>
    </row>
    <row r="338" customFormat="false" ht="15" hidden="false" customHeight="false" outlineLevel="0" collapsed="false">
      <c r="A338" s="33"/>
      <c r="B338" s="4"/>
      <c r="C338" s="4"/>
      <c r="D338" s="4"/>
      <c r="E338" s="4"/>
      <c r="F338" s="4"/>
    </row>
    <row r="339" customFormat="false" ht="15" hidden="false" customHeight="false" outlineLevel="0" collapsed="false">
      <c r="A339" s="33"/>
      <c r="B339" s="4"/>
      <c r="C339" s="4"/>
      <c r="D339" s="4"/>
      <c r="E339" s="4"/>
      <c r="F339" s="4"/>
    </row>
    <row r="340" customFormat="false" ht="15" hidden="false" customHeight="false" outlineLevel="0" collapsed="false">
      <c r="A340" s="33"/>
      <c r="B340" s="4"/>
      <c r="C340" s="4"/>
      <c r="D340" s="4"/>
      <c r="E340" s="4"/>
      <c r="F340" s="4"/>
    </row>
    <row r="341" customFormat="false" ht="15" hidden="false" customHeight="false" outlineLevel="0" collapsed="false">
      <c r="A341" s="33"/>
      <c r="B341" s="4"/>
      <c r="C341" s="4"/>
      <c r="D341" s="4"/>
      <c r="E341" s="4"/>
      <c r="F341" s="4"/>
    </row>
    <row r="342" customFormat="false" ht="15" hidden="false" customHeight="false" outlineLevel="0" collapsed="false">
      <c r="A342" s="33"/>
      <c r="B342" s="4"/>
      <c r="C342" s="4"/>
      <c r="D342" s="4"/>
      <c r="E342" s="4"/>
      <c r="F342" s="4"/>
    </row>
    <row r="343" customFormat="false" ht="15" hidden="false" customHeight="false" outlineLevel="0" collapsed="false">
      <c r="A343" s="33"/>
      <c r="B343" s="4"/>
      <c r="C343" s="4"/>
      <c r="D343" s="4"/>
      <c r="E343" s="4"/>
      <c r="F343" s="4"/>
    </row>
    <row r="344" customFormat="false" ht="15" hidden="false" customHeight="false" outlineLevel="0" collapsed="false">
      <c r="A344" s="33"/>
      <c r="B344" s="4"/>
      <c r="C344" s="4"/>
      <c r="D344" s="4"/>
      <c r="E344" s="4"/>
      <c r="F344" s="4"/>
    </row>
    <row r="345" customFormat="false" ht="15" hidden="false" customHeight="false" outlineLevel="0" collapsed="false">
      <c r="A345" s="33"/>
      <c r="B345" s="4"/>
      <c r="C345" s="4"/>
      <c r="D345" s="4"/>
      <c r="E345" s="4"/>
      <c r="F345" s="4"/>
    </row>
    <row r="346" customFormat="false" ht="15" hidden="false" customHeight="false" outlineLevel="0" collapsed="false">
      <c r="A346" s="33"/>
      <c r="B346" s="4"/>
      <c r="C346" s="4"/>
      <c r="D346" s="4"/>
      <c r="E346" s="4"/>
      <c r="F346" s="4"/>
    </row>
    <row r="347" customFormat="false" ht="15" hidden="false" customHeight="false" outlineLevel="0" collapsed="false">
      <c r="A347" s="33"/>
      <c r="B347" s="4"/>
      <c r="C347" s="4"/>
      <c r="D347" s="4"/>
      <c r="E347" s="4"/>
      <c r="F347" s="4"/>
    </row>
    <row r="348" customFormat="false" ht="15" hidden="false" customHeight="false" outlineLevel="0" collapsed="false">
      <c r="A348" s="33"/>
      <c r="B348" s="4"/>
      <c r="C348" s="4"/>
      <c r="D348" s="4"/>
      <c r="E348" s="4"/>
      <c r="F348" s="4"/>
    </row>
    <row r="349" customFormat="false" ht="15" hidden="false" customHeight="false" outlineLevel="0" collapsed="false">
      <c r="A349" s="33"/>
      <c r="B349" s="4"/>
      <c r="C349" s="4"/>
      <c r="D349" s="4"/>
      <c r="E349" s="4"/>
      <c r="F349" s="4"/>
    </row>
    <row r="350" customFormat="false" ht="15" hidden="false" customHeight="false" outlineLevel="0" collapsed="false">
      <c r="A350" s="33"/>
      <c r="B350" s="4"/>
      <c r="C350" s="4"/>
      <c r="D350" s="4"/>
      <c r="E350" s="4"/>
      <c r="F350" s="4"/>
    </row>
    <row r="351" customFormat="false" ht="15" hidden="false" customHeight="false" outlineLevel="0" collapsed="false">
      <c r="A351" s="33"/>
      <c r="B351" s="4"/>
      <c r="C351" s="4"/>
      <c r="D351" s="4"/>
      <c r="E351" s="4"/>
      <c r="F351" s="4"/>
    </row>
    <row r="352" customFormat="false" ht="15" hidden="false" customHeight="false" outlineLevel="0" collapsed="false">
      <c r="A352" s="33"/>
      <c r="B352" s="4"/>
      <c r="C352" s="4"/>
      <c r="D352" s="4"/>
      <c r="E352" s="4"/>
      <c r="F352" s="4"/>
    </row>
    <row r="353" customFormat="false" ht="15" hidden="false" customHeight="false" outlineLevel="0" collapsed="false">
      <c r="A353" s="33"/>
      <c r="B353" s="4"/>
      <c r="C353" s="4"/>
      <c r="D353" s="4"/>
      <c r="E353" s="4"/>
      <c r="F353" s="4"/>
    </row>
    <row r="354" customFormat="false" ht="15" hidden="false" customHeight="false" outlineLevel="0" collapsed="false">
      <c r="A354" s="33"/>
      <c r="B354" s="4"/>
      <c r="C354" s="4"/>
      <c r="D354" s="4"/>
      <c r="E354" s="4"/>
      <c r="F354" s="4"/>
    </row>
    <row r="355" customFormat="false" ht="15" hidden="false" customHeight="false" outlineLevel="0" collapsed="false">
      <c r="A355" s="33"/>
      <c r="B355" s="4"/>
      <c r="C355" s="4"/>
      <c r="D355" s="4"/>
      <c r="E355" s="4"/>
      <c r="F355" s="4"/>
    </row>
    <row r="356" customFormat="false" ht="15" hidden="false" customHeight="false" outlineLevel="0" collapsed="false">
      <c r="A356" s="33"/>
      <c r="B356" s="4"/>
      <c r="C356" s="4"/>
      <c r="D356" s="4"/>
      <c r="E356" s="4"/>
      <c r="F356" s="4"/>
    </row>
    <row r="357" customFormat="false" ht="15" hidden="false" customHeight="false" outlineLevel="0" collapsed="false">
      <c r="A357" s="33"/>
      <c r="B357" s="4"/>
      <c r="C357" s="4"/>
      <c r="D357" s="4"/>
      <c r="E357" s="4"/>
      <c r="F357" s="4"/>
    </row>
    <row r="358" customFormat="false" ht="15" hidden="false" customHeight="false" outlineLevel="0" collapsed="false">
      <c r="A358" s="33"/>
      <c r="B358" s="4"/>
      <c r="C358" s="4"/>
      <c r="D358" s="4"/>
      <c r="E358" s="4"/>
      <c r="F358" s="4"/>
    </row>
    <row r="359" customFormat="false" ht="15" hidden="false" customHeight="false" outlineLevel="0" collapsed="false">
      <c r="A359" s="33"/>
      <c r="B359" s="4"/>
      <c r="C359" s="4"/>
      <c r="D359" s="4"/>
      <c r="E359" s="4"/>
      <c r="F359" s="4"/>
    </row>
    <row r="360" customFormat="false" ht="15" hidden="false" customHeight="false" outlineLevel="0" collapsed="false">
      <c r="A360" s="33"/>
      <c r="B360" s="4"/>
      <c r="C360" s="4"/>
      <c r="D360" s="4"/>
      <c r="E360" s="4"/>
      <c r="F360" s="4"/>
    </row>
    <row r="361" customFormat="false" ht="15" hidden="false" customHeight="false" outlineLevel="0" collapsed="false">
      <c r="A361" s="33"/>
      <c r="B361" s="4"/>
      <c r="C361" s="4"/>
      <c r="D361" s="4"/>
      <c r="E361" s="4"/>
      <c r="F361" s="4"/>
    </row>
    <row r="362" customFormat="false" ht="15" hidden="false" customHeight="false" outlineLevel="0" collapsed="false">
      <c r="A362" s="33"/>
      <c r="B362" s="4"/>
      <c r="C362" s="4"/>
      <c r="D362" s="4"/>
      <c r="E362" s="4"/>
      <c r="F362" s="4"/>
    </row>
    <row r="363" customFormat="false" ht="15" hidden="false" customHeight="false" outlineLevel="0" collapsed="false">
      <c r="A363" s="33"/>
      <c r="B363" s="4"/>
      <c r="C363" s="4"/>
      <c r="D363" s="4"/>
      <c r="E363" s="4"/>
      <c r="F363" s="4"/>
    </row>
    <row r="364" customFormat="false" ht="15" hidden="false" customHeight="false" outlineLevel="0" collapsed="false">
      <c r="A364" s="33"/>
      <c r="B364" s="4"/>
      <c r="C364" s="4"/>
      <c r="D364" s="4"/>
      <c r="E364" s="4"/>
      <c r="F364" s="4"/>
    </row>
    <row r="365" customFormat="false" ht="15" hidden="false" customHeight="false" outlineLevel="0" collapsed="false">
      <c r="A365" s="33"/>
      <c r="B365" s="4"/>
      <c r="C365" s="4"/>
      <c r="D365" s="4"/>
      <c r="E365" s="4"/>
      <c r="F365" s="4"/>
    </row>
    <row r="366" customFormat="false" ht="15" hidden="false" customHeight="false" outlineLevel="0" collapsed="false">
      <c r="A366" s="33"/>
      <c r="B366" s="4"/>
      <c r="C366" s="4"/>
      <c r="D366" s="4"/>
      <c r="E366" s="4"/>
      <c r="F366" s="4"/>
    </row>
    <row r="367" customFormat="false" ht="15" hidden="false" customHeight="false" outlineLevel="0" collapsed="false">
      <c r="A367" s="33"/>
      <c r="B367" s="4"/>
      <c r="C367" s="4"/>
      <c r="D367" s="4"/>
      <c r="E367" s="4"/>
      <c r="F367" s="4"/>
    </row>
    <row r="368" customFormat="false" ht="15" hidden="false" customHeight="false" outlineLevel="0" collapsed="false">
      <c r="A368" s="33"/>
      <c r="B368" s="4"/>
      <c r="C368" s="4"/>
      <c r="D368" s="4"/>
      <c r="E368" s="4"/>
      <c r="F368" s="4"/>
    </row>
    <row r="369" customFormat="false" ht="15" hidden="false" customHeight="false" outlineLevel="0" collapsed="false">
      <c r="A369" s="33"/>
      <c r="B369" s="4"/>
      <c r="C369" s="4"/>
      <c r="D369" s="4"/>
      <c r="E369" s="4"/>
      <c r="F369" s="4"/>
    </row>
    <row r="370" customFormat="false" ht="15" hidden="false" customHeight="false" outlineLevel="0" collapsed="false">
      <c r="A370" s="33"/>
      <c r="B370" s="4"/>
      <c r="C370" s="4"/>
      <c r="D370" s="4"/>
      <c r="E370" s="4"/>
      <c r="F370" s="4"/>
    </row>
    <row r="371" customFormat="false" ht="15" hidden="false" customHeight="false" outlineLevel="0" collapsed="false">
      <c r="A371" s="33"/>
      <c r="B371" s="4"/>
      <c r="C371" s="4"/>
      <c r="D371" s="4"/>
      <c r="E371" s="4"/>
      <c r="F371" s="4"/>
    </row>
    <row r="372" customFormat="false" ht="15" hidden="false" customHeight="false" outlineLevel="0" collapsed="false">
      <c r="A372" s="33"/>
      <c r="B372" s="4"/>
      <c r="C372" s="4"/>
      <c r="D372" s="4"/>
      <c r="E372" s="4"/>
      <c r="F372" s="4"/>
    </row>
    <row r="373" customFormat="false" ht="15" hidden="false" customHeight="false" outlineLevel="0" collapsed="false">
      <c r="A373" s="33"/>
      <c r="B373" s="4"/>
      <c r="C373" s="4"/>
      <c r="D373" s="4"/>
      <c r="E373" s="4"/>
      <c r="F373" s="4"/>
    </row>
    <row r="374" customFormat="false" ht="15" hidden="false" customHeight="false" outlineLevel="0" collapsed="false">
      <c r="A374" s="33"/>
      <c r="B374" s="4"/>
      <c r="C374" s="4"/>
      <c r="D374" s="4"/>
      <c r="E374" s="4"/>
      <c r="F374" s="4"/>
    </row>
    <row r="375" customFormat="false" ht="15" hidden="false" customHeight="false" outlineLevel="0" collapsed="false">
      <c r="A375" s="33"/>
      <c r="B375" s="4"/>
      <c r="C375" s="4"/>
      <c r="D375" s="4"/>
      <c r="E375" s="4"/>
      <c r="F375" s="4"/>
    </row>
    <row r="376" customFormat="false" ht="15" hidden="false" customHeight="false" outlineLevel="0" collapsed="false">
      <c r="A376" s="33"/>
      <c r="B376" s="4"/>
      <c r="C376" s="4"/>
      <c r="D376" s="4"/>
      <c r="E376" s="4"/>
      <c r="F376" s="4"/>
    </row>
    <row r="377" customFormat="false" ht="15" hidden="false" customHeight="false" outlineLevel="0" collapsed="false">
      <c r="A377" s="33"/>
      <c r="B377" s="4"/>
      <c r="C377" s="4"/>
      <c r="D377" s="4"/>
      <c r="E377" s="4"/>
      <c r="F377" s="4"/>
    </row>
    <row r="378" customFormat="false" ht="15" hidden="false" customHeight="false" outlineLevel="0" collapsed="false">
      <c r="A378" s="33"/>
      <c r="B378" s="4"/>
      <c r="C378" s="4"/>
      <c r="D378" s="4"/>
      <c r="E378" s="4"/>
      <c r="F378" s="4"/>
    </row>
    <row r="379" customFormat="false" ht="15" hidden="false" customHeight="false" outlineLevel="0" collapsed="false">
      <c r="A379" s="33"/>
      <c r="B379" s="4"/>
      <c r="C379" s="4"/>
      <c r="D379" s="4"/>
      <c r="E379" s="4"/>
      <c r="F379" s="4"/>
    </row>
    <row r="380" customFormat="false" ht="15" hidden="false" customHeight="false" outlineLevel="0" collapsed="false">
      <c r="A380" s="33"/>
      <c r="B380" s="4"/>
      <c r="C380" s="4"/>
      <c r="D380" s="4"/>
      <c r="E380" s="4"/>
      <c r="F380" s="4"/>
    </row>
    <row r="381" customFormat="false" ht="15" hidden="false" customHeight="false" outlineLevel="0" collapsed="false">
      <c r="A381" s="33"/>
      <c r="B381" s="4"/>
      <c r="C381" s="4"/>
      <c r="D381" s="4"/>
      <c r="E381" s="4"/>
      <c r="F381" s="4"/>
    </row>
    <row r="382" customFormat="false" ht="15" hidden="false" customHeight="false" outlineLevel="0" collapsed="false">
      <c r="A382" s="33"/>
      <c r="B382" s="4"/>
      <c r="C382" s="4"/>
      <c r="D382" s="4"/>
      <c r="E382" s="4"/>
      <c r="F382" s="4"/>
    </row>
    <row r="383" customFormat="false" ht="15" hidden="false" customHeight="false" outlineLevel="0" collapsed="false">
      <c r="A383" s="33"/>
      <c r="B383" s="4"/>
      <c r="C383" s="4"/>
      <c r="D383" s="4"/>
      <c r="E383" s="4"/>
      <c r="F383" s="4"/>
    </row>
    <row r="384" customFormat="false" ht="15" hidden="false" customHeight="false" outlineLevel="0" collapsed="false">
      <c r="A384" s="33"/>
      <c r="B384" s="4"/>
      <c r="C384" s="4"/>
      <c r="D384" s="4"/>
      <c r="E384" s="4"/>
      <c r="F384" s="4"/>
    </row>
    <row r="385" customFormat="false" ht="15" hidden="false" customHeight="false" outlineLevel="0" collapsed="false">
      <c r="A385" s="33"/>
      <c r="B385" s="4"/>
      <c r="C385" s="4"/>
      <c r="D385" s="4"/>
      <c r="E385" s="4"/>
      <c r="F385" s="4"/>
    </row>
    <row r="386" customFormat="false" ht="15" hidden="false" customHeight="false" outlineLevel="0" collapsed="false">
      <c r="A386" s="33"/>
      <c r="B386" s="4"/>
      <c r="C386" s="4"/>
      <c r="D386" s="4"/>
      <c r="E386" s="4"/>
      <c r="F386" s="4"/>
    </row>
    <row r="387" customFormat="false" ht="15" hidden="false" customHeight="false" outlineLevel="0" collapsed="false">
      <c r="A387" s="33"/>
      <c r="B387" s="4"/>
      <c r="C387" s="4"/>
      <c r="D387" s="4"/>
      <c r="E387" s="4"/>
      <c r="F387" s="4"/>
    </row>
    <row r="388" customFormat="false" ht="15" hidden="false" customHeight="false" outlineLevel="0" collapsed="false">
      <c r="A388" s="33"/>
      <c r="B388" s="4"/>
      <c r="C388" s="4"/>
      <c r="D388" s="4"/>
      <c r="E388" s="4"/>
      <c r="F388" s="4"/>
    </row>
    <row r="389" customFormat="false" ht="15" hidden="false" customHeight="false" outlineLevel="0" collapsed="false">
      <c r="A389" s="33"/>
      <c r="B389" s="4"/>
      <c r="C389" s="4"/>
      <c r="D389" s="4"/>
      <c r="E389" s="4"/>
      <c r="F389" s="4"/>
    </row>
    <row r="390" customFormat="false" ht="15" hidden="false" customHeight="false" outlineLevel="0" collapsed="false">
      <c r="A390" s="33"/>
      <c r="B390" s="4"/>
      <c r="C390" s="4"/>
      <c r="D390" s="4"/>
      <c r="E390" s="4"/>
      <c r="F390" s="4"/>
    </row>
    <row r="391" customFormat="false" ht="15" hidden="false" customHeight="false" outlineLevel="0" collapsed="false">
      <c r="A391" s="33"/>
      <c r="B391" s="4"/>
      <c r="C391" s="4"/>
      <c r="D391" s="4"/>
      <c r="E391" s="4"/>
      <c r="F391" s="4"/>
    </row>
    <row r="392" customFormat="false" ht="15" hidden="false" customHeight="false" outlineLevel="0" collapsed="false">
      <c r="A392" s="33"/>
      <c r="B392" s="4"/>
      <c r="C392" s="4"/>
      <c r="D392" s="4"/>
      <c r="E392" s="4"/>
      <c r="F392" s="4"/>
    </row>
    <row r="393" customFormat="false" ht="15" hidden="false" customHeight="false" outlineLevel="0" collapsed="false">
      <c r="A393" s="33"/>
      <c r="B393" s="4"/>
      <c r="C393" s="4"/>
      <c r="D393" s="4"/>
      <c r="E393" s="4"/>
      <c r="F393" s="4"/>
    </row>
    <row r="394" customFormat="false" ht="15" hidden="false" customHeight="false" outlineLevel="0" collapsed="false">
      <c r="A394" s="33"/>
      <c r="B394" s="4"/>
      <c r="C394" s="4"/>
      <c r="D394" s="4"/>
      <c r="E394" s="4"/>
      <c r="F394" s="4"/>
    </row>
    <row r="395" customFormat="false" ht="15" hidden="false" customHeight="false" outlineLevel="0" collapsed="false">
      <c r="A395" s="33"/>
      <c r="B395" s="4"/>
      <c r="C395" s="4"/>
      <c r="D395" s="4"/>
      <c r="E395" s="4"/>
      <c r="F395" s="4"/>
    </row>
    <row r="396" customFormat="false" ht="15" hidden="false" customHeight="false" outlineLevel="0" collapsed="false">
      <c r="A396" s="33"/>
      <c r="B396" s="4"/>
      <c r="C396" s="4"/>
      <c r="D396" s="4"/>
      <c r="E396" s="4"/>
      <c r="F396" s="4"/>
    </row>
    <row r="397" customFormat="false" ht="15" hidden="false" customHeight="false" outlineLevel="0" collapsed="false">
      <c r="A397" s="33"/>
      <c r="B397" s="4"/>
      <c r="C397" s="4"/>
      <c r="D397" s="4"/>
      <c r="E397" s="4"/>
      <c r="F397" s="4"/>
    </row>
    <row r="398" customFormat="false" ht="15" hidden="false" customHeight="false" outlineLevel="0" collapsed="false">
      <c r="A398" s="33"/>
      <c r="B398" s="4"/>
      <c r="C398" s="4"/>
      <c r="D398" s="4"/>
      <c r="E398" s="4"/>
      <c r="F398" s="4"/>
    </row>
    <row r="399" customFormat="false" ht="15" hidden="false" customHeight="false" outlineLevel="0" collapsed="false">
      <c r="A399" s="33"/>
      <c r="B399" s="4"/>
      <c r="C399" s="4"/>
      <c r="D399" s="4"/>
      <c r="E399" s="4"/>
      <c r="F399" s="4"/>
    </row>
    <row r="400" customFormat="false" ht="15" hidden="false" customHeight="false" outlineLevel="0" collapsed="false">
      <c r="A400" s="33"/>
      <c r="B400" s="4"/>
      <c r="C400" s="4"/>
      <c r="D400" s="4"/>
      <c r="E400" s="4"/>
      <c r="F400" s="4"/>
    </row>
    <row r="401" customFormat="false" ht="15" hidden="false" customHeight="false" outlineLevel="0" collapsed="false">
      <c r="A401" s="33"/>
      <c r="B401" s="4"/>
      <c r="C401" s="4"/>
      <c r="D401" s="4"/>
      <c r="E401" s="4"/>
      <c r="F401" s="4"/>
    </row>
    <row r="402" customFormat="false" ht="15" hidden="false" customHeight="false" outlineLevel="0" collapsed="false">
      <c r="A402" s="33"/>
      <c r="B402" s="4"/>
      <c r="C402" s="4"/>
      <c r="D402" s="4"/>
      <c r="E402" s="4"/>
      <c r="F402" s="4"/>
    </row>
    <row r="403" customFormat="false" ht="15" hidden="false" customHeight="false" outlineLevel="0" collapsed="false">
      <c r="A403" s="33"/>
      <c r="B403" s="4"/>
      <c r="C403" s="4"/>
      <c r="D403" s="4"/>
      <c r="E403" s="4"/>
      <c r="F403" s="4"/>
    </row>
    <row r="404" customFormat="false" ht="15" hidden="false" customHeight="false" outlineLevel="0" collapsed="false">
      <c r="A404" s="33"/>
      <c r="B404" s="4"/>
      <c r="C404" s="4"/>
      <c r="D404" s="4"/>
      <c r="E404" s="4"/>
      <c r="F404" s="4"/>
    </row>
    <row r="405" customFormat="false" ht="15" hidden="false" customHeight="false" outlineLevel="0" collapsed="false">
      <c r="A405" s="33"/>
      <c r="B405" s="4"/>
      <c r="C405" s="4"/>
      <c r="D405" s="4"/>
      <c r="E405" s="4"/>
      <c r="F405" s="4"/>
    </row>
    <row r="406" customFormat="false" ht="15" hidden="false" customHeight="false" outlineLevel="0" collapsed="false">
      <c r="A406" s="33"/>
      <c r="B406" s="4"/>
      <c r="C406" s="4"/>
      <c r="D406" s="4"/>
      <c r="E406" s="4"/>
      <c r="F406" s="4"/>
    </row>
    <row r="407" customFormat="false" ht="15" hidden="false" customHeight="false" outlineLevel="0" collapsed="false">
      <c r="A407" s="33"/>
      <c r="B407" s="4"/>
      <c r="C407" s="4"/>
      <c r="D407" s="4"/>
      <c r="E407" s="4"/>
      <c r="F407" s="4"/>
    </row>
    <row r="408" customFormat="false" ht="15" hidden="false" customHeight="false" outlineLevel="0" collapsed="false">
      <c r="A408" s="33"/>
      <c r="B408" s="4"/>
      <c r="C408" s="4"/>
      <c r="D408" s="4"/>
      <c r="E408" s="4"/>
      <c r="F408" s="4"/>
    </row>
    <row r="409" customFormat="false" ht="15" hidden="false" customHeight="false" outlineLevel="0" collapsed="false">
      <c r="A409" s="33"/>
      <c r="B409" s="4"/>
      <c r="C409" s="4"/>
      <c r="D409" s="4"/>
      <c r="E409" s="4"/>
      <c r="F409" s="4"/>
    </row>
    <row r="410" customFormat="false" ht="15" hidden="false" customHeight="false" outlineLevel="0" collapsed="false">
      <c r="A410" s="33"/>
      <c r="B410" s="4"/>
      <c r="C410" s="4"/>
      <c r="D410" s="4"/>
      <c r="E410" s="4"/>
      <c r="F410" s="4"/>
    </row>
    <row r="411" customFormat="false" ht="15" hidden="false" customHeight="false" outlineLevel="0" collapsed="false">
      <c r="A411" s="33"/>
      <c r="B411" s="4"/>
      <c r="C411" s="4"/>
      <c r="D411" s="4"/>
      <c r="E411" s="4"/>
      <c r="F411" s="4"/>
    </row>
    <row r="412" customFormat="false" ht="15" hidden="false" customHeight="false" outlineLevel="0" collapsed="false">
      <c r="A412" s="33"/>
      <c r="B412" s="4"/>
      <c r="C412" s="4"/>
      <c r="D412" s="4"/>
      <c r="E412" s="4"/>
      <c r="F412" s="4"/>
    </row>
    <row r="413" customFormat="false" ht="15" hidden="false" customHeight="false" outlineLevel="0" collapsed="false">
      <c r="A413" s="33"/>
      <c r="B413" s="4"/>
      <c r="C413" s="4"/>
      <c r="D413" s="4"/>
      <c r="E413" s="4"/>
      <c r="F413" s="4"/>
    </row>
    <row r="414" customFormat="false" ht="15" hidden="false" customHeight="false" outlineLevel="0" collapsed="false">
      <c r="A414" s="33"/>
      <c r="B414" s="4"/>
      <c r="C414" s="4"/>
      <c r="D414" s="4"/>
      <c r="E414" s="4"/>
      <c r="F414" s="4"/>
    </row>
    <row r="415" customFormat="false" ht="15" hidden="false" customHeight="false" outlineLevel="0" collapsed="false">
      <c r="A415" s="33"/>
      <c r="B415" s="4"/>
      <c r="C415" s="4"/>
      <c r="D415" s="4"/>
      <c r="E415" s="4"/>
      <c r="F415" s="4"/>
    </row>
    <row r="416" customFormat="false" ht="15" hidden="false" customHeight="false" outlineLevel="0" collapsed="false">
      <c r="A416" s="33"/>
      <c r="B416" s="4"/>
      <c r="C416" s="4"/>
      <c r="D416" s="4"/>
      <c r="E416" s="4"/>
      <c r="F416" s="4"/>
    </row>
    <row r="417" customFormat="false" ht="15" hidden="false" customHeight="false" outlineLevel="0" collapsed="false">
      <c r="A417" s="33"/>
      <c r="B417" s="4"/>
      <c r="C417" s="4"/>
      <c r="D417" s="4"/>
      <c r="E417" s="4"/>
      <c r="F417" s="4"/>
    </row>
    <row r="418" customFormat="false" ht="15" hidden="false" customHeight="false" outlineLevel="0" collapsed="false">
      <c r="A418" s="33"/>
      <c r="B418" s="4"/>
      <c r="C418" s="4"/>
      <c r="D418" s="4"/>
      <c r="E418" s="4"/>
      <c r="F418" s="4"/>
    </row>
    <row r="419" customFormat="false" ht="15" hidden="false" customHeight="false" outlineLevel="0" collapsed="false">
      <c r="A419" s="33"/>
      <c r="B419" s="4"/>
      <c r="C419" s="4"/>
      <c r="D419" s="4"/>
      <c r="E419" s="4"/>
      <c r="F419" s="4"/>
    </row>
    <row r="420" customFormat="false" ht="15" hidden="false" customHeight="false" outlineLevel="0" collapsed="false">
      <c r="A420" s="33"/>
      <c r="B420" s="4"/>
      <c r="C420" s="4"/>
      <c r="D420" s="4"/>
      <c r="E420" s="4"/>
      <c r="F420" s="4"/>
    </row>
    <row r="421" customFormat="false" ht="15" hidden="false" customHeight="false" outlineLevel="0" collapsed="false">
      <c r="A421" s="33"/>
      <c r="B421" s="4"/>
      <c r="C421" s="4"/>
      <c r="D421" s="4"/>
      <c r="E421" s="4"/>
      <c r="F421" s="4"/>
    </row>
    <row r="422" customFormat="false" ht="15" hidden="false" customHeight="false" outlineLevel="0" collapsed="false">
      <c r="A422" s="33"/>
      <c r="B422" s="4"/>
      <c r="C422" s="4"/>
      <c r="D422" s="4"/>
      <c r="E422" s="4"/>
      <c r="F422" s="4"/>
    </row>
    <row r="423" customFormat="false" ht="15" hidden="false" customHeight="false" outlineLevel="0" collapsed="false">
      <c r="A423" s="33"/>
      <c r="B423" s="4"/>
      <c r="C423" s="4"/>
      <c r="D423" s="4"/>
      <c r="E423" s="4"/>
      <c r="F423" s="4"/>
    </row>
    <row r="424" customFormat="false" ht="15" hidden="false" customHeight="false" outlineLevel="0" collapsed="false">
      <c r="A424" s="33"/>
      <c r="B424" s="4"/>
      <c r="C424" s="4"/>
      <c r="D424" s="4"/>
      <c r="E424" s="4"/>
      <c r="F424" s="4"/>
    </row>
    <row r="425" customFormat="false" ht="15" hidden="false" customHeight="false" outlineLevel="0" collapsed="false">
      <c r="A425" s="33"/>
      <c r="B425" s="4"/>
      <c r="C425" s="4"/>
      <c r="D425" s="4"/>
      <c r="E425" s="4"/>
      <c r="F425" s="4"/>
    </row>
    <row r="426" customFormat="false" ht="15" hidden="false" customHeight="false" outlineLevel="0" collapsed="false">
      <c r="A426" s="33"/>
      <c r="B426" s="4"/>
      <c r="C426" s="4"/>
      <c r="D426" s="4"/>
      <c r="E426" s="4"/>
      <c r="F426" s="4"/>
    </row>
    <row r="427" customFormat="false" ht="15" hidden="false" customHeight="false" outlineLevel="0" collapsed="false">
      <c r="A427" s="33"/>
      <c r="B427" s="4"/>
      <c r="C427" s="4"/>
      <c r="D427" s="4"/>
      <c r="E427" s="4"/>
      <c r="F427" s="4"/>
    </row>
    <row r="428" customFormat="false" ht="15" hidden="false" customHeight="false" outlineLevel="0" collapsed="false">
      <c r="A428" s="33"/>
      <c r="B428" s="4"/>
      <c r="C428" s="4"/>
      <c r="D428" s="4"/>
      <c r="E428" s="4"/>
      <c r="F428" s="4"/>
    </row>
    <row r="429" customFormat="false" ht="15" hidden="false" customHeight="false" outlineLevel="0" collapsed="false">
      <c r="A429" s="33"/>
      <c r="B429" s="4"/>
      <c r="C429" s="4"/>
      <c r="D429" s="4"/>
      <c r="E429" s="4"/>
      <c r="F429" s="4"/>
    </row>
    <row r="430" customFormat="false" ht="15" hidden="false" customHeight="false" outlineLevel="0" collapsed="false">
      <c r="A430" s="33"/>
      <c r="B430" s="4"/>
      <c r="C430" s="4"/>
      <c r="D430" s="4"/>
      <c r="E430" s="4"/>
      <c r="F430" s="4"/>
    </row>
    <row r="431" customFormat="false" ht="15" hidden="false" customHeight="false" outlineLevel="0" collapsed="false">
      <c r="A431" s="33"/>
      <c r="B431" s="4"/>
      <c r="C431" s="4"/>
      <c r="D431" s="4"/>
      <c r="E431" s="4"/>
      <c r="F431" s="4"/>
    </row>
    <row r="432" customFormat="false" ht="15" hidden="false" customHeight="false" outlineLevel="0" collapsed="false">
      <c r="A432" s="33"/>
      <c r="B432" s="4"/>
      <c r="C432" s="4"/>
      <c r="D432" s="4"/>
      <c r="E432" s="4"/>
      <c r="F432" s="4"/>
    </row>
    <row r="433" customFormat="false" ht="15" hidden="false" customHeight="false" outlineLevel="0" collapsed="false">
      <c r="A433" s="33"/>
      <c r="B433" s="4"/>
      <c r="C433" s="4"/>
      <c r="D433" s="4"/>
      <c r="E433" s="4"/>
      <c r="F433" s="4"/>
    </row>
    <row r="434" customFormat="false" ht="15" hidden="false" customHeight="false" outlineLevel="0" collapsed="false">
      <c r="A434" s="33"/>
      <c r="B434" s="4"/>
      <c r="C434" s="4"/>
      <c r="D434" s="4"/>
      <c r="E434" s="4"/>
      <c r="F434" s="4"/>
    </row>
    <row r="435" customFormat="false" ht="15" hidden="false" customHeight="false" outlineLevel="0" collapsed="false">
      <c r="A435" s="33"/>
      <c r="B435" s="4"/>
      <c r="C435" s="4"/>
      <c r="D435" s="4"/>
      <c r="E435" s="4"/>
      <c r="F435" s="4"/>
    </row>
    <row r="436" customFormat="false" ht="15" hidden="false" customHeight="false" outlineLevel="0" collapsed="false">
      <c r="A436" s="33"/>
      <c r="B436" s="4"/>
      <c r="C436" s="4"/>
      <c r="D436" s="4"/>
      <c r="E436" s="4"/>
      <c r="F436" s="4"/>
    </row>
    <row r="437" customFormat="false" ht="15" hidden="false" customHeight="false" outlineLevel="0" collapsed="false">
      <c r="A437" s="33"/>
      <c r="B437" s="4"/>
      <c r="C437" s="4"/>
      <c r="D437" s="4"/>
      <c r="E437" s="4"/>
      <c r="F437" s="4"/>
    </row>
    <row r="438" customFormat="false" ht="15" hidden="false" customHeight="false" outlineLevel="0" collapsed="false">
      <c r="A438" s="33"/>
      <c r="B438" s="4"/>
      <c r="C438" s="4"/>
      <c r="D438" s="4"/>
      <c r="E438" s="4"/>
      <c r="F438" s="4"/>
    </row>
    <row r="439" customFormat="false" ht="15" hidden="false" customHeight="false" outlineLevel="0" collapsed="false">
      <c r="A439" s="33"/>
      <c r="B439" s="4"/>
      <c r="C439" s="4"/>
      <c r="D439" s="4"/>
      <c r="E439" s="4"/>
      <c r="F439" s="4"/>
    </row>
    <row r="440" customFormat="false" ht="15" hidden="false" customHeight="false" outlineLevel="0" collapsed="false">
      <c r="A440" s="33"/>
      <c r="B440" s="4"/>
      <c r="C440" s="4"/>
      <c r="D440" s="4"/>
      <c r="E440" s="4"/>
      <c r="F440" s="4"/>
    </row>
    <row r="441" customFormat="false" ht="15" hidden="false" customHeight="false" outlineLevel="0" collapsed="false">
      <c r="A441" s="33"/>
      <c r="B441" s="4"/>
      <c r="C441" s="4"/>
      <c r="D441" s="4"/>
      <c r="E441" s="4"/>
      <c r="F441" s="4"/>
    </row>
    <row r="442" customFormat="false" ht="15" hidden="false" customHeight="false" outlineLevel="0" collapsed="false">
      <c r="A442" s="33"/>
      <c r="B442" s="4"/>
      <c r="C442" s="4"/>
      <c r="D442" s="4"/>
      <c r="E442" s="4"/>
      <c r="F442" s="4"/>
    </row>
    <row r="443" customFormat="false" ht="15" hidden="false" customHeight="false" outlineLevel="0" collapsed="false">
      <c r="A443" s="33"/>
      <c r="B443" s="4"/>
      <c r="C443" s="4"/>
      <c r="D443" s="4"/>
      <c r="E443" s="4"/>
      <c r="F443" s="4"/>
    </row>
    <row r="444" customFormat="false" ht="15" hidden="false" customHeight="false" outlineLevel="0" collapsed="false">
      <c r="A444" s="33"/>
      <c r="B444" s="4"/>
      <c r="C444" s="4"/>
      <c r="D444" s="4"/>
      <c r="E444" s="4"/>
      <c r="F444" s="4"/>
    </row>
    <row r="445" customFormat="false" ht="15" hidden="false" customHeight="false" outlineLevel="0" collapsed="false">
      <c r="A445" s="33"/>
      <c r="B445" s="4"/>
      <c r="C445" s="4"/>
      <c r="D445" s="4"/>
      <c r="E445" s="4"/>
      <c r="F445" s="4"/>
    </row>
    <row r="446" customFormat="false" ht="15" hidden="false" customHeight="false" outlineLevel="0" collapsed="false">
      <c r="A446" s="33"/>
      <c r="B446" s="4"/>
      <c r="C446" s="4"/>
      <c r="D446" s="4"/>
      <c r="E446" s="4"/>
      <c r="F446" s="4"/>
    </row>
    <row r="447" customFormat="false" ht="15" hidden="false" customHeight="false" outlineLevel="0" collapsed="false">
      <c r="A447" s="33"/>
      <c r="B447" s="4"/>
      <c r="C447" s="4"/>
      <c r="D447" s="4"/>
      <c r="E447" s="4"/>
      <c r="F447" s="4"/>
    </row>
    <row r="448" customFormat="false" ht="15" hidden="false" customHeight="false" outlineLevel="0" collapsed="false">
      <c r="A448" s="33"/>
      <c r="B448" s="4"/>
      <c r="C448" s="4"/>
      <c r="D448" s="4"/>
      <c r="E448" s="4"/>
      <c r="F448" s="4"/>
    </row>
    <row r="449" customFormat="false" ht="15" hidden="false" customHeight="false" outlineLevel="0" collapsed="false">
      <c r="A449" s="33"/>
      <c r="B449" s="4"/>
      <c r="C449" s="4"/>
      <c r="D449" s="4"/>
      <c r="E449" s="4"/>
      <c r="F449" s="4"/>
    </row>
    <row r="450" customFormat="false" ht="15" hidden="false" customHeight="false" outlineLevel="0" collapsed="false">
      <c r="A450" s="33"/>
      <c r="B450" s="4"/>
      <c r="C450" s="4"/>
      <c r="D450" s="4"/>
      <c r="E450" s="4"/>
      <c r="F450" s="4"/>
    </row>
    <row r="451" customFormat="false" ht="15" hidden="false" customHeight="false" outlineLevel="0" collapsed="false">
      <c r="A451" s="33"/>
      <c r="B451" s="4"/>
      <c r="C451" s="4"/>
      <c r="D451" s="4"/>
      <c r="E451" s="4"/>
      <c r="F451" s="4"/>
    </row>
    <row r="452" customFormat="false" ht="15" hidden="false" customHeight="false" outlineLevel="0" collapsed="false">
      <c r="A452" s="33"/>
      <c r="B452" s="4"/>
      <c r="C452" s="4"/>
      <c r="D452" s="4"/>
      <c r="E452" s="4"/>
      <c r="F452" s="4"/>
    </row>
    <row r="453" customFormat="false" ht="15" hidden="false" customHeight="false" outlineLevel="0" collapsed="false">
      <c r="A453" s="33"/>
      <c r="B453" s="4"/>
      <c r="C453" s="4"/>
      <c r="D453" s="4"/>
      <c r="E453" s="4"/>
      <c r="F453" s="4"/>
    </row>
    <row r="454" customFormat="false" ht="15" hidden="false" customHeight="false" outlineLevel="0" collapsed="false">
      <c r="A454" s="33"/>
      <c r="B454" s="4"/>
      <c r="C454" s="4"/>
      <c r="D454" s="4"/>
      <c r="E454" s="4"/>
      <c r="F454" s="4"/>
    </row>
    <row r="455" customFormat="false" ht="15" hidden="false" customHeight="false" outlineLevel="0" collapsed="false">
      <c r="A455" s="33"/>
      <c r="B455" s="4"/>
      <c r="C455" s="4"/>
      <c r="D455" s="4"/>
      <c r="E455" s="4"/>
      <c r="F455" s="4"/>
    </row>
    <row r="456" customFormat="false" ht="15" hidden="false" customHeight="false" outlineLevel="0" collapsed="false">
      <c r="A456" s="33"/>
      <c r="B456" s="4"/>
      <c r="C456" s="4"/>
      <c r="D456" s="4"/>
      <c r="E456" s="4"/>
      <c r="F456" s="4"/>
    </row>
    <row r="457" customFormat="false" ht="15" hidden="false" customHeight="false" outlineLevel="0" collapsed="false">
      <c r="A457" s="33"/>
      <c r="B457" s="4"/>
      <c r="C457" s="4"/>
      <c r="D457" s="4"/>
      <c r="E457" s="4"/>
      <c r="F457" s="4"/>
    </row>
    <row r="458" customFormat="false" ht="15" hidden="false" customHeight="false" outlineLevel="0" collapsed="false">
      <c r="A458" s="33"/>
      <c r="B458" s="4"/>
      <c r="C458" s="4"/>
      <c r="D458" s="4"/>
      <c r="E458" s="4"/>
      <c r="F458" s="4"/>
    </row>
    <row r="459" customFormat="false" ht="15" hidden="false" customHeight="false" outlineLevel="0" collapsed="false">
      <c r="A459" s="33"/>
      <c r="B459" s="4"/>
      <c r="C459" s="4"/>
      <c r="D459" s="4"/>
      <c r="E459" s="4"/>
      <c r="F459" s="4"/>
    </row>
    <row r="460" customFormat="false" ht="15" hidden="false" customHeight="false" outlineLevel="0" collapsed="false">
      <c r="A460" s="33"/>
      <c r="B460" s="4"/>
      <c r="C460" s="4"/>
      <c r="D460" s="4"/>
      <c r="E460" s="4"/>
      <c r="F460" s="4"/>
    </row>
    <row r="461" customFormat="false" ht="15" hidden="false" customHeight="false" outlineLevel="0" collapsed="false">
      <c r="A461" s="33"/>
      <c r="B461" s="4"/>
      <c r="C461" s="4"/>
      <c r="D461" s="4"/>
      <c r="E461" s="4"/>
      <c r="F461" s="4"/>
    </row>
    <row r="462" customFormat="false" ht="15" hidden="false" customHeight="false" outlineLevel="0" collapsed="false">
      <c r="A462" s="33"/>
      <c r="B462" s="4"/>
      <c r="C462" s="4"/>
      <c r="D462" s="4"/>
      <c r="E462" s="4"/>
      <c r="F462" s="4"/>
    </row>
    <row r="463" customFormat="false" ht="15" hidden="false" customHeight="false" outlineLevel="0" collapsed="false">
      <c r="A463" s="33"/>
      <c r="B463" s="4"/>
      <c r="C463" s="4"/>
      <c r="D463" s="4"/>
      <c r="E463" s="4"/>
      <c r="F463" s="4"/>
    </row>
    <row r="464" customFormat="false" ht="15" hidden="false" customHeight="false" outlineLevel="0" collapsed="false">
      <c r="A464" s="33"/>
      <c r="B464" s="4"/>
      <c r="C464" s="4"/>
      <c r="D464" s="4"/>
      <c r="E464" s="4"/>
      <c r="F464" s="4"/>
    </row>
    <row r="465" customFormat="false" ht="15" hidden="false" customHeight="false" outlineLevel="0" collapsed="false">
      <c r="A465" s="33"/>
      <c r="B465" s="4"/>
      <c r="C465" s="4"/>
      <c r="D465" s="4"/>
      <c r="E465" s="4"/>
      <c r="F465" s="4"/>
    </row>
    <row r="466" customFormat="false" ht="15" hidden="false" customHeight="false" outlineLevel="0" collapsed="false">
      <c r="A466" s="33"/>
      <c r="B466" s="4"/>
      <c r="C466" s="4"/>
      <c r="D466" s="4"/>
      <c r="E466" s="4"/>
      <c r="F466" s="4"/>
    </row>
    <row r="467" customFormat="false" ht="15" hidden="false" customHeight="false" outlineLevel="0" collapsed="false">
      <c r="A467" s="33"/>
      <c r="B467" s="4"/>
      <c r="C467" s="4"/>
      <c r="D467" s="4"/>
      <c r="E467" s="4"/>
      <c r="F467" s="4"/>
    </row>
    <row r="468" customFormat="false" ht="15" hidden="false" customHeight="false" outlineLevel="0" collapsed="false">
      <c r="A468" s="33"/>
      <c r="B468" s="4"/>
      <c r="C468" s="4"/>
      <c r="D468" s="4"/>
      <c r="E468" s="4"/>
      <c r="F468" s="4"/>
    </row>
    <row r="469" customFormat="false" ht="15" hidden="false" customHeight="false" outlineLevel="0" collapsed="false">
      <c r="A469" s="33"/>
      <c r="B469" s="4"/>
      <c r="C469" s="4"/>
      <c r="D469" s="4"/>
      <c r="E469" s="4"/>
      <c r="F469" s="4"/>
    </row>
    <row r="470" customFormat="false" ht="15" hidden="false" customHeight="false" outlineLevel="0" collapsed="false">
      <c r="A470" s="33"/>
      <c r="B470" s="4"/>
      <c r="C470" s="4"/>
      <c r="D470" s="4"/>
      <c r="E470" s="4"/>
      <c r="F470" s="4"/>
    </row>
    <row r="471" customFormat="false" ht="15" hidden="false" customHeight="false" outlineLevel="0" collapsed="false">
      <c r="A471" s="33"/>
      <c r="B471" s="4"/>
      <c r="C471" s="4"/>
      <c r="D471" s="4"/>
      <c r="E471" s="4"/>
      <c r="F471" s="4"/>
    </row>
    <row r="472" customFormat="false" ht="15" hidden="false" customHeight="false" outlineLevel="0" collapsed="false">
      <c r="A472" s="33"/>
      <c r="B472" s="4"/>
      <c r="C472" s="4"/>
      <c r="D472" s="4"/>
      <c r="E472" s="4"/>
      <c r="F472" s="4"/>
    </row>
    <row r="473" customFormat="false" ht="15" hidden="false" customHeight="false" outlineLevel="0" collapsed="false">
      <c r="A473" s="33"/>
      <c r="B473" s="4"/>
      <c r="C473" s="4"/>
      <c r="D473" s="4"/>
      <c r="E473" s="4"/>
      <c r="F473" s="4"/>
    </row>
    <row r="474" customFormat="false" ht="15" hidden="false" customHeight="false" outlineLevel="0" collapsed="false">
      <c r="A474" s="33"/>
      <c r="B474" s="4"/>
      <c r="C474" s="4"/>
      <c r="D474" s="4"/>
      <c r="E474" s="4"/>
      <c r="F474" s="4"/>
    </row>
    <row r="475" customFormat="false" ht="15" hidden="false" customHeight="false" outlineLevel="0" collapsed="false">
      <c r="A475" s="33"/>
      <c r="B475" s="4"/>
      <c r="C475" s="4"/>
      <c r="D475" s="4"/>
      <c r="E475" s="4"/>
      <c r="F475" s="4"/>
    </row>
    <row r="476" customFormat="false" ht="15" hidden="false" customHeight="false" outlineLevel="0" collapsed="false">
      <c r="A476" s="33"/>
      <c r="B476" s="4"/>
      <c r="C476" s="4"/>
      <c r="D476" s="4"/>
      <c r="E476" s="4"/>
      <c r="F476" s="4"/>
    </row>
    <row r="477" customFormat="false" ht="15" hidden="false" customHeight="false" outlineLevel="0" collapsed="false">
      <c r="A477" s="33"/>
      <c r="B477" s="4"/>
      <c r="C477" s="4"/>
      <c r="D477" s="4"/>
      <c r="E477" s="4"/>
      <c r="F477" s="4"/>
    </row>
    <row r="478" customFormat="false" ht="15" hidden="false" customHeight="false" outlineLevel="0" collapsed="false">
      <c r="A478" s="33"/>
      <c r="B478" s="4"/>
      <c r="C478" s="4"/>
      <c r="D478" s="4"/>
      <c r="E478" s="4"/>
      <c r="F478" s="4"/>
    </row>
    <row r="479" customFormat="false" ht="15" hidden="false" customHeight="false" outlineLevel="0" collapsed="false">
      <c r="A479" s="33"/>
      <c r="B479" s="4"/>
      <c r="C479" s="4"/>
      <c r="D479" s="4"/>
      <c r="E479" s="4"/>
      <c r="F479" s="4"/>
    </row>
    <row r="480" customFormat="false" ht="15" hidden="false" customHeight="false" outlineLevel="0" collapsed="false">
      <c r="A480" s="33"/>
      <c r="B480" s="4"/>
      <c r="C480" s="4"/>
      <c r="D480" s="4"/>
      <c r="E480" s="4"/>
      <c r="F480" s="4"/>
    </row>
    <row r="481" customFormat="false" ht="15" hidden="false" customHeight="false" outlineLevel="0" collapsed="false">
      <c r="A481" s="33"/>
      <c r="B481" s="4"/>
      <c r="C481" s="4"/>
      <c r="D481" s="4"/>
      <c r="E481" s="4"/>
      <c r="F481" s="4"/>
    </row>
    <row r="482" customFormat="false" ht="15" hidden="false" customHeight="false" outlineLevel="0" collapsed="false">
      <c r="A482" s="33"/>
      <c r="B482" s="4"/>
      <c r="C482" s="4"/>
      <c r="D482" s="4"/>
      <c r="E482" s="4"/>
      <c r="F482" s="4"/>
    </row>
    <row r="483" customFormat="false" ht="15" hidden="false" customHeight="false" outlineLevel="0" collapsed="false">
      <c r="A483" s="33"/>
      <c r="B483" s="4"/>
      <c r="C483" s="4"/>
      <c r="D483" s="4"/>
      <c r="E483" s="4"/>
      <c r="F483" s="4"/>
    </row>
    <row r="484" customFormat="false" ht="15" hidden="false" customHeight="false" outlineLevel="0" collapsed="false">
      <c r="A484" s="33"/>
      <c r="B484" s="4"/>
      <c r="C484" s="4"/>
      <c r="D484" s="4"/>
      <c r="E484" s="4"/>
      <c r="F484" s="4"/>
    </row>
    <row r="485" customFormat="false" ht="15" hidden="false" customHeight="false" outlineLevel="0" collapsed="false">
      <c r="A485" s="33"/>
      <c r="B485" s="4"/>
      <c r="C485" s="4"/>
      <c r="D485" s="4"/>
      <c r="E485" s="4"/>
      <c r="F485" s="4"/>
    </row>
    <row r="486" customFormat="false" ht="15" hidden="false" customHeight="false" outlineLevel="0" collapsed="false">
      <c r="A486" s="33"/>
      <c r="B486" s="4"/>
      <c r="C486" s="4"/>
      <c r="D486" s="4"/>
      <c r="E486" s="4"/>
      <c r="F486" s="4"/>
    </row>
    <row r="487" customFormat="false" ht="15" hidden="false" customHeight="false" outlineLevel="0" collapsed="false">
      <c r="A487" s="33"/>
      <c r="B487" s="4"/>
      <c r="C487" s="4"/>
      <c r="D487" s="4"/>
      <c r="E487" s="4"/>
      <c r="F487" s="4"/>
    </row>
    <row r="488" customFormat="false" ht="15" hidden="false" customHeight="false" outlineLevel="0" collapsed="false">
      <c r="A488" s="33"/>
      <c r="B488" s="4"/>
      <c r="C488" s="4"/>
      <c r="D488" s="4"/>
      <c r="E488" s="4"/>
      <c r="F488" s="4"/>
    </row>
    <row r="489" customFormat="false" ht="15" hidden="false" customHeight="false" outlineLevel="0" collapsed="false">
      <c r="A489" s="33"/>
      <c r="B489" s="4"/>
      <c r="C489" s="4"/>
      <c r="D489" s="4"/>
      <c r="E489" s="4"/>
      <c r="F489" s="4"/>
    </row>
    <row r="490" customFormat="false" ht="15" hidden="false" customHeight="false" outlineLevel="0" collapsed="false">
      <c r="A490" s="33"/>
      <c r="B490" s="4"/>
      <c r="C490" s="4"/>
      <c r="D490" s="4"/>
      <c r="E490" s="4"/>
      <c r="F490" s="4"/>
    </row>
    <row r="491" customFormat="false" ht="15" hidden="false" customHeight="false" outlineLevel="0" collapsed="false">
      <c r="A491" s="33"/>
      <c r="B491" s="4"/>
      <c r="C491" s="4"/>
      <c r="D491" s="4"/>
      <c r="E491" s="4"/>
      <c r="F491" s="4"/>
    </row>
    <row r="492" customFormat="false" ht="15" hidden="false" customHeight="false" outlineLevel="0" collapsed="false">
      <c r="A492" s="33"/>
      <c r="B492" s="4"/>
      <c r="C492" s="4"/>
      <c r="D492" s="4"/>
      <c r="E492" s="4"/>
      <c r="F492" s="4"/>
    </row>
    <row r="493" customFormat="false" ht="15" hidden="false" customHeight="false" outlineLevel="0" collapsed="false">
      <c r="A493" s="33"/>
      <c r="B493" s="4"/>
      <c r="C493" s="4"/>
      <c r="D493" s="4"/>
      <c r="E493" s="4"/>
      <c r="F493" s="4"/>
    </row>
    <row r="494" customFormat="false" ht="15" hidden="false" customHeight="false" outlineLevel="0" collapsed="false">
      <c r="A494" s="33"/>
      <c r="B494" s="4"/>
      <c r="C494" s="4"/>
      <c r="D494" s="4"/>
      <c r="E494" s="4"/>
      <c r="F494" s="4"/>
    </row>
    <row r="495" customFormat="false" ht="15" hidden="false" customHeight="false" outlineLevel="0" collapsed="false">
      <c r="A495" s="33"/>
      <c r="B495" s="4"/>
      <c r="C495" s="4"/>
      <c r="D495" s="4"/>
      <c r="E495" s="4"/>
      <c r="F495" s="4"/>
    </row>
    <row r="496" customFormat="false" ht="15" hidden="false" customHeight="false" outlineLevel="0" collapsed="false">
      <c r="A496" s="33"/>
      <c r="B496" s="4"/>
      <c r="C496" s="4"/>
      <c r="D496" s="4"/>
      <c r="E496" s="4"/>
      <c r="F496" s="4"/>
    </row>
    <row r="497" customFormat="false" ht="15" hidden="false" customHeight="false" outlineLevel="0" collapsed="false">
      <c r="A497" s="33"/>
      <c r="B497" s="4"/>
      <c r="C497" s="4"/>
      <c r="D497" s="4"/>
      <c r="E497" s="4"/>
      <c r="F497" s="4"/>
    </row>
    <row r="498" customFormat="false" ht="15" hidden="false" customHeight="false" outlineLevel="0" collapsed="false">
      <c r="A498" s="33"/>
      <c r="B498" s="4"/>
      <c r="C498" s="4"/>
      <c r="D498" s="4"/>
      <c r="E498" s="4"/>
      <c r="F498" s="4"/>
    </row>
    <row r="499" customFormat="false" ht="15" hidden="false" customHeight="false" outlineLevel="0" collapsed="false">
      <c r="A499" s="33"/>
      <c r="B499" s="4"/>
      <c r="C499" s="4"/>
      <c r="D499" s="4"/>
      <c r="E499" s="4"/>
      <c r="F499" s="4"/>
    </row>
    <row r="500" customFormat="false" ht="15" hidden="false" customHeight="false" outlineLevel="0" collapsed="false">
      <c r="A500" s="33"/>
      <c r="B500" s="4"/>
      <c r="C500" s="4"/>
      <c r="D500" s="4"/>
      <c r="E500" s="4"/>
      <c r="F500" s="4"/>
    </row>
    <row r="501" customFormat="false" ht="15" hidden="false" customHeight="false" outlineLevel="0" collapsed="false">
      <c r="A501" s="33"/>
      <c r="B501" s="4"/>
      <c r="C501" s="4"/>
      <c r="D501" s="4"/>
      <c r="E501" s="4"/>
      <c r="F501" s="4"/>
    </row>
    <row r="502" customFormat="false" ht="15" hidden="false" customHeight="false" outlineLevel="0" collapsed="false">
      <c r="A502" s="33"/>
      <c r="B502" s="4"/>
      <c r="C502" s="4"/>
      <c r="D502" s="4"/>
      <c r="E502" s="4"/>
      <c r="F502" s="4"/>
    </row>
    <row r="503" customFormat="false" ht="15" hidden="false" customHeight="false" outlineLevel="0" collapsed="false">
      <c r="A503" s="33"/>
      <c r="B503" s="4"/>
      <c r="C503" s="4"/>
      <c r="D503" s="4"/>
      <c r="E503" s="4"/>
      <c r="F503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20"/>
    <col collapsed="false" customWidth="true" hidden="false" outlineLevel="0" max="4" min="4" style="0" width="11"/>
    <col collapsed="false" customWidth="true" hidden="false" outlineLevel="0" max="5" min="5" style="0" width="22"/>
    <col collapsed="false" customWidth="true" hidden="false" outlineLevel="0" max="6" min="6" style="0" width="12"/>
    <col collapsed="false" customWidth="true" hidden="false" outlineLevel="0" max="7" min="7" style="0" width="22"/>
    <col collapsed="false" customWidth="true" hidden="false" outlineLevel="0" max="10" min="8" style="0" width="34"/>
  </cols>
  <sheetData>
    <row r="1" customFormat="false" ht="17.35" hidden="false" customHeight="false" outlineLevel="0" collapsed="false">
      <c r="A1" s="1" t="s">
        <v>13</v>
      </c>
    </row>
    <row r="2" customFormat="false" ht="15" hidden="false" customHeight="false" outlineLevel="0" collapsed="false">
      <c r="A2" s="2" t="s">
        <v>691</v>
      </c>
    </row>
    <row r="3" customFormat="false" ht="30" hidden="false" customHeight="true" outlineLevel="0" collapsed="false">
      <c r="A3" s="11" t="s">
        <v>692</v>
      </c>
      <c r="B3" s="11" t="s">
        <v>693</v>
      </c>
      <c r="C3" s="11" t="s">
        <v>43</v>
      </c>
      <c r="D3" s="11" t="s">
        <v>571</v>
      </c>
      <c r="E3" s="11" t="s">
        <v>694</v>
      </c>
      <c r="F3" s="11" t="s">
        <v>695</v>
      </c>
      <c r="G3" s="11" t="s">
        <v>696</v>
      </c>
      <c r="H3" s="11" t="s">
        <v>697</v>
      </c>
      <c r="I3" s="11" t="s">
        <v>698</v>
      </c>
      <c r="J3" s="11" t="s">
        <v>699</v>
      </c>
    </row>
    <row r="4" customFormat="false" ht="23.85" hidden="false" customHeight="false" outlineLevel="0" collapsed="false">
      <c r="A4" s="35" t="s">
        <v>700</v>
      </c>
      <c r="B4" s="34" t="n">
        <v>46301</v>
      </c>
      <c r="C4" s="35" t="s">
        <v>54</v>
      </c>
      <c r="D4" s="35" t="s">
        <v>191</v>
      </c>
      <c r="E4" s="35" t="s">
        <v>701</v>
      </c>
      <c r="F4" s="35" t="s">
        <v>702</v>
      </c>
      <c r="G4" s="35" t="s">
        <v>703</v>
      </c>
      <c r="H4" s="35" t="s">
        <v>704</v>
      </c>
      <c r="I4" s="35" t="s">
        <v>705</v>
      </c>
      <c r="J4" s="35" t="s">
        <v>706</v>
      </c>
    </row>
    <row r="5" customFormat="false" ht="15" hidden="false" customHeight="false" outlineLevel="0" collapsed="false">
      <c r="A5" s="8"/>
      <c r="B5" s="18"/>
      <c r="C5" s="8"/>
      <c r="D5" s="8"/>
      <c r="E5" s="8"/>
      <c r="F5" s="8"/>
      <c r="G5" s="8"/>
      <c r="H5" s="8"/>
      <c r="I5" s="8"/>
      <c r="J5" s="8"/>
    </row>
    <row r="6" customFormat="false" ht="15" hidden="false" customHeight="false" outlineLevel="0" collapsed="false">
      <c r="A6" s="8"/>
      <c r="B6" s="18"/>
      <c r="C6" s="8"/>
      <c r="D6" s="8"/>
      <c r="E6" s="8"/>
      <c r="F6" s="8"/>
      <c r="G6" s="8"/>
      <c r="H6" s="8"/>
      <c r="I6" s="8"/>
      <c r="J6" s="8"/>
    </row>
    <row r="7" customFormat="false" ht="15" hidden="false" customHeight="false" outlineLevel="0" collapsed="false">
      <c r="A7" s="8"/>
      <c r="B7" s="18"/>
      <c r="C7" s="8"/>
      <c r="D7" s="8"/>
      <c r="E7" s="8"/>
      <c r="F7" s="8"/>
      <c r="G7" s="8"/>
      <c r="H7" s="8"/>
      <c r="I7" s="8"/>
      <c r="J7" s="8"/>
    </row>
    <row r="8" customFormat="false" ht="15" hidden="false" customHeight="false" outlineLevel="0" collapsed="false">
      <c r="A8" s="8"/>
      <c r="B8" s="18"/>
      <c r="C8" s="8"/>
      <c r="D8" s="8"/>
      <c r="E8" s="8"/>
      <c r="F8" s="8"/>
      <c r="G8" s="8"/>
      <c r="H8" s="8"/>
      <c r="I8" s="8"/>
      <c r="J8" s="8"/>
    </row>
    <row r="9" customFormat="false" ht="15" hidden="false" customHeight="false" outlineLevel="0" collapsed="false">
      <c r="A9" s="8"/>
      <c r="B9" s="18"/>
      <c r="C9" s="8"/>
      <c r="D9" s="8"/>
      <c r="E9" s="8"/>
      <c r="F9" s="8"/>
      <c r="G9" s="8"/>
      <c r="H9" s="8"/>
      <c r="I9" s="8"/>
      <c r="J9" s="8"/>
    </row>
    <row r="10" customFormat="false" ht="15" hidden="false" customHeight="false" outlineLevel="0" collapsed="false">
      <c r="A10" s="8"/>
      <c r="B10" s="18"/>
      <c r="C10" s="8"/>
      <c r="D10" s="8"/>
      <c r="E10" s="8"/>
      <c r="F10" s="8"/>
      <c r="G10" s="8"/>
      <c r="H10" s="8"/>
      <c r="I10" s="8"/>
      <c r="J10" s="8"/>
    </row>
    <row r="11" customFormat="false" ht="15" hidden="false" customHeight="false" outlineLevel="0" collapsed="false">
      <c r="A11" s="8"/>
      <c r="B11" s="18"/>
      <c r="C11" s="8"/>
      <c r="D11" s="8"/>
      <c r="E11" s="8"/>
      <c r="F11" s="8"/>
      <c r="G11" s="8"/>
      <c r="H11" s="8"/>
      <c r="I11" s="8"/>
      <c r="J11" s="8"/>
    </row>
    <row r="12" customFormat="false" ht="15" hidden="false" customHeight="false" outlineLevel="0" collapsed="false">
      <c r="A12" s="8"/>
      <c r="B12" s="18"/>
      <c r="C12" s="8"/>
      <c r="D12" s="8"/>
      <c r="E12" s="8"/>
      <c r="F12" s="8"/>
      <c r="G12" s="8"/>
      <c r="H12" s="8"/>
      <c r="I12" s="8"/>
      <c r="J12" s="8"/>
    </row>
    <row r="13" customFormat="false" ht="15" hidden="false" customHeight="false" outlineLevel="0" collapsed="false">
      <c r="A13" s="8"/>
      <c r="B13" s="18"/>
      <c r="C13" s="8"/>
      <c r="D13" s="8"/>
      <c r="E13" s="8"/>
      <c r="F13" s="8"/>
      <c r="G13" s="8"/>
      <c r="H13" s="8"/>
      <c r="I13" s="8"/>
      <c r="J13" s="8"/>
    </row>
    <row r="14" customFormat="false" ht="15" hidden="false" customHeight="false" outlineLevel="0" collapsed="false">
      <c r="A14" s="8"/>
      <c r="B14" s="18"/>
      <c r="C14" s="8"/>
      <c r="D14" s="8"/>
      <c r="E14" s="8"/>
      <c r="F14" s="8"/>
      <c r="G14" s="8"/>
      <c r="H14" s="8"/>
      <c r="I14" s="8"/>
      <c r="J14" s="8"/>
    </row>
    <row r="15" customFormat="false" ht="15" hidden="false" customHeight="false" outlineLevel="0" collapsed="false">
      <c r="A15" s="8"/>
      <c r="B15" s="18"/>
      <c r="C15" s="8"/>
      <c r="D15" s="8"/>
      <c r="E15" s="8"/>
      <c r="F15" s="8"/>
      <c r="G15" s="8"/>
      <c r="H15" s="8"/>
      <c r="I15" s="8"/>
      <c r="J15" s="8"/>
    </row>
    <row r="16" customFormat="false" ht="15" hidden="false" customHeight="false" outlineLevel="0" collapsed="false">
      <c r="A16" s="8"/>
      <c r="B16" s="18"/>
      <c r="C16" s="8"/>
      <c r="D16" s="8"/>
      <c r="E16" s="8"/>
      <c r="F16" s="8"/>
      <c r="G16" s="8"/>
      <c r="H16" s="8"/>
      <c r="I16" s="8"/>
      <c r="J16" s="8"/>
    </row>
    <row r="17" customFormat="false" ht="15" hidden="false" customHeight="false" outlineLevel="0" collapsed="false">
      <c r="A17" s="8"/>
      <c r="B17" s="18"/>
      <c r="C17" s="8"/>
      <c r="D17" s="8"/>
      <c r="E17" s="8"/>
      <c r="F17" s="8"/>
      <c r="G17" s="8"/>
      <c r="H17" s="8"/>
      <c r="I17" s="8"/>
      <c r="J17" s="8"/>
    </row>
    <row r="18" customFormat="false" ht="15" hidden="false" customHeight="false" outlineLevel="0" collapsed="false">
      <c r="A18" s="8"/>
      <c r="B18" s="18"/>
      <c r="C18" s="8"/>
      <c r="D18" s="8"/>
      <c r="E18" s="8"/>
      <c r="F18" s="8"/>
      <c r="G18" s="8"/>
      <c r="H18" s="8"/>
      <c r="I18" s="8"/>
      <c r="J18" s="8"/>
    </row>
    <row r="19" customFormat="false" ht="15" hidden="false" customHeight="false" outlineLevel="0" collapsed="false">
      <c r="A19" s="8"/>
      <c r="B19" s="18"/>
      <c r="C19" s="8"/>
      <c r="D19" s="8"/>
      <c r="E19" s="8"/>
      <c r="F19" s="8"/>
      <c r="G19" s="8"/>
      <c r="H19" s="8"/>
      <c r="I19" s="8"/>
      <c r="J19" s="8"/>
    </row>
    <row r="20" customFormat="false" ht="15" hidden="false" customHeight="false" outlineLevel="0" collapsed="false">
      <c r="A20" s="8"/>
      <c r="B20" s="18"/>
      <c r="C20" s="8"/>
      <c r="D20" s="8"/>
      <c r="E20" s="8"/>
      <c r="F20" s="8"/>
      <c r="G20" s="8"/>
      <c r="H20" s="8"/>
      <c r="I20" s="8"/>
      <c r="J20" s="8"/>
    </row>
    <row r="21" customFormat="false" ht="15" hidden="false" customHeight="false" outlineLevel="0" collapsed="false">
      <c r="A21" s="8"/>
      <c r="B21" s="18"/>
      <c r="C21" s="8"/>
      <c r="D21" s="8"/>
      <c r="E21" s="8"/>
      <c r="F21" s="8"/>
      <c r="G21" s="8"/>
      <c r="H21" s="8"/>
      <c r="I21" s="8"/>
      <c r="J21" s="8"/>
    </row>
    <row r="22" customFormat="false" ht="15" hidden="false" customHeight="false" outlineLevel="0" collapsed="false">
      <c r="A22" s="8"/>
      <c r="B22" s="18"/>
      <c r="C22" s="8"/>
      <c r="D22" s="8"/>
      <c r="E22" s="8"/>
      <c r="F22" s="8"/>
      <c r="G22" s="8"/>
      <c r="H22" s="8"/>
      <c r="I22" s="8"/>
      <c r="J22" s="8"/>
    </row>
    <row r="23" customFormat="false" ht="15" hidden="false" customHeight="false" outlineLevel="0" collapsed="false">
      <c r="A23" s="8"/>
      <c r="B23" s="18"/>
      <c r="C23" s="8"/>
      <c r="D23" s="8"/>
      <c r="E23" s="8"/>
      <c r="F23" s="8"/>
      <c r="G23" s="8"/>
      <c r="H23" s="8"/>
      <c r="I23" s="8"/>
      <c r="J23" s="8"/>
    </row>
    <row r="24" customFormat="false" ht="15" hidden="false" customHeight="false" outlineLevel="0" collapsed="false">
      <c r="A24" s="8"/>
      <c r="B24" s="18"/>
      <c r="C24" s="8"/>
      <c r="D24" s="8"/>
      <c r="E24" s="8"/>
      <c r="F24" s="8"/>
      <c r="G24" s="8"/>
      <c r="H24" s="8"/>
      <c r="I24" s="8"/>
      <c r="J24" s="8"/>
    </row>
    <row r="25" customFormat="false" ht="15" hidden="false" customHeight="false" outlineLevel="0" collapsed="false">
      <c r="A25" s="8"/>
      <c r="B25" s="18"/>
      <c r="C25" s="8"/>
      <c r="D25" s="8"/>
      <c r="E25" s="8"/>
      <c r="F25" s="8"/>
      <c r="G25" s="8"/>
      <c r="H25" s="8"/>
      <c r="I25" s="8"/>
      <c r="J25" s="8"/>
    </row>
    <row r="26" customFormat="false" ht="15" hidden="false" customHeight="false" outlineLevel="0" collapsed="false">
      <c r="A26" s="8"/>
      <c r="B26" s="18"/>
      <c r="C26" s="8"/>
      <c r="D26" s="8"/>
      <c r="E26" s="8"/>
      <c r="F26" s="8"/>
      <c r="G26" s="8"/>
      <c r="H26" s="8"/>
      <c r="I26" s="8"/>
      <c r="J26" s="8"/>
    </row>
    <row r="27" customFormat="false" ht="15" hidden="false" customHeight="false" outlineLevel="0" collapsed="false">
      <c r="A27" s="8"/>
      <c r="B27" s="18"/>
      <c r="C27" s="8"/>
      <c r="D27" s="8"/>
      <c r="E27" s="8"/>
      <c r="F27" s="8"/>
      <c r="G27" s="8"/>
      <c r="H27" s="8"/>
      <c r="I27" s="8"/>
      <c r="J27" s="8"/>
    </row>
    <row r="28" customFormat="false" ht="15" hidden="false" customHeight="false" outlineLevel="0" collapsed="false">
      <c r="A28" s="8"/>
      <c r="B28" s="18"/>
      <c r="C28" s="8"/>
      <c r="D28" s="8"/>
      <c r="E28" s="8"/>
      <c r="F28" s="8"/>
      <c r="G28" s="8"/>
      <c r="H28" s="8"/>
      <c r="I28" s="8"/>
      <c r="J28" s="8"/>
    </row>
    <row r="29" customFormat="false" ht="15" hidden="false" customHeight="false" outlineLevel="0" collapsed="false">
      <c r="A29" s="8"/>
      <c r="B29" s="18"/>
      <c r="C29" s="8"/>
      <c r="D29" s="8"/>
      <c r="E29" s="8"/>
      <c r="F29" s="8"/>
      <c r="G29" s="8"/>
      <c r="H29" s="8"/>
      <c r="I29" s="8"/>
      <c r="J29" s="8"/>
    </row>
    <row r="30" customFormat="false" ht="15" hidden="false" customHeight="false" outlineLevel="0" collapsed="false">
      <c r="A30" s="8"/>
      <c r="B30" s="18"/>
      <c r="C30" s="8"/>
      <c r="D30" s="8"/>
      <c r="E30" s="8"/>
      <c r="F30" s="8"/>
      <c r="G30" s="8"/>
      <c r="H30" s="8"/>
      <c r="I30" s="8"/>
      <c r="J30" s="8"/>
    </row>
    <row r="31" customFormat="false" ht="15" hidden="false" customHeight="false" outlineLevel="0" collapsed="false">
      <c r="A31" s="8"/>
      <c r="B31" s="18"/>
      <c r="C31" s="8"/>
      <c r="D31" s="8"/>
      <c r="E31" s="8"/>
      <c r="F31" s="8"/>
      <c r="G31" s="8"/>
      <c r="H31" s="8"/>
      <c r="I31" s="8"/>
      <c r="J31" s="8"/>
    </row>
    <row r="32" customFormat="false" ht="15" hidden="false" customHeight="false" outlineLevel="0" collapsed="false">
      <c r="A32" s="8"/>
      <c r="B32" s="18"/>
      <c r="C32" s="8"/>
      <c r="D32" s="8"/>
      <c r="E32" s="8"/>
      <c r="F32" s="8"/>
      <c r="G32" s="8"/>
      <c r="H32" s="8"/>
      <c r="I32" s="8"/>
      <c r="J32" s="8"/>
    </row>
    <row r="33" customFormat="false" ht="15" hidden="false" customHeight="false" outlineLevel="0" collapsed="false">
      <c r="A33" s="8"/>
      <c r="B33" s="18"/>
      <c r="C33" s="8"/>
      <c r="D33" s="8"/>
      <c r="E33" s="8"/>
      <c r="F33" s="8"/>
      <c r="G33" s="8"/>
      <c r="H33" s="8"/>
      <c r="I33" s="8"/>
      <c r="J33" s="8"/>
    </row>
    <row r="34" customFormat="false" ht="15" hidden="false" customHeight="false" outlineLevel="0" collapsed="false">
      <c r="A34" s="8"/>
      <c r="B34" s="18"/>
      <c r="C34" s="8"/>
      <c r="D34" s="8"/>
      <c r="E34" s="8"/>
      <c r="F34" s="8"/>
      <c r="G34" s="8"/>
      <c r="H34" s="8"/>
      <c r="I34" s="8"/>
      <c r="J34" s="8"/>
    </row>
    <row r="35" customFormat="false" ht="15" hidden="false" customHeight="false" outlineLevel="0" collapsed="false">
      <c r="A35" s="8"/>
      <c r="B35" s="18"/>
      <c r="C35" s="8"/>
      <c r="D35" s="8"/>
      <c r="E35" s="8"/>
      <c r="F35" s="8"/>
      <c r="G35" s="8"/>
      <c r="H35" s="8"/>
      <c r="I35" s="8"/>
      <c r="J35" s="8"/>
    </row>
    <row r="36" customFormat="false" ht="15" hidden="false" customHeight="false" outlineLevel="0" collapsed="false">
      <c r="A36" s="8"/>
      <c r="B36" s="18"/>
      <c r="C36" s="8"/>
      <c r="D36" s="8"/>
      <c r="E36" s="8"/>
      <c r="F36" s="8"/>
      <c r="G36" s="8"/>
      <c r="H36" s="8"/>
      <c r="I36" s="8"/>
      <c r="J36" s="8"/>
    </row>
    <row r="37" customFormat="false" ht="15" hidden="false" customHeight="false" outlineLevel="0" collapsed="false">
      <c r="A37" s="8"/>
      <c r="B37" s="18"/>
      <c r="C37" s="8"/>
      <c r="D37" s="8"/>
      <c r="E37" s="8"/>
      <c r="F37" s="8"/>
      <c r="G37" s="8"/>
      <c r="H37" s="8"/>
      <c r="I37" s="8"/>
      <c r="J37" s="8"/>
    </row>
    <row r="38" customFormat="false" ht="15" hidden="false" customHeight="false" outlineLevel="0" collapsed="false">
      <c r="A38" s="8"/>
      <c r="B38" s="18"/>
      <c r="C38" s="8"/>
      <c r="D38" s="8"/>
      <c r="E38" s="8"/>
      <c r="F38" s="8"/>
      <c r="G38" s="8"/>
      <c r="H38" s="8"/>
      <c r="I38" s="8"/>
      <c r="J38" s="8"/>
    </row>
    <row r="39" customFormat="false" ht="15" hidden="false" customHeight="false" outlineLevel="0" collapsed="false">
      <c r="A39" s="8"/>
      <c r="B39" s="18"/>
      <c r="C39" s="8"/>
      <c r="D39" s="8"/>
      <c r="E39" s="8"/>
      <c r="F39" s="8"/>
      <c r="G39" s="8"/>
      <c r="H39" s="8"/>
      <c r="I39" s="8"/>
      <c r="J39" s="8"/>
    </row>
    <row r="40" customFormat="false" ht="15" hidden="false" customHeight="false" outlineLevel="0" collapsed="false">
      <c r="A40" s="8"/>
      <c r="B40" s="18"/>
      <c r="C40" s="8"/>
      <c r="D40" s="8"/>
      <c r="E40" s="8"/>
      <c r="F40" s="8"/>
      <c r="G40" s="8"/>
      <c r="H40" s="8"/>
      <c r="I40" s="8"/>
      <c r="J40" s="8"/>
    </row>
    <row r="41" customFormat="false" ht="15" hidden="false" customHeight="false" outlineLevel="0" collapsed="false">
      <c r="A41" s="8"/>
      <c r="B41" s="18"/>
      <c r="C41" s="8"/>
      <c r="D41" s="8"/>
      <c r="E41" s="8"/>
      <c r="F41" s="8"/>
      <c r="G41" s="8"/>
      <c r="H41" s="8"/>
      <c r="I41" s="8"/>
      <c r="J41" s="8"/>
    </row>
    <row r="42" customFormat="false" ht="15" hidden="false" customHeight="false" outlineLevel="0" collapsed="false">
      <c r="A42" s="8"/>
      <c r="B42" s="18"/>
      <c r="C42" s="8"/>
      <c r="D42" s="8"/>
      <c r="E42" s="8"/>
      <c r="F42" s="8"/>
      <c r="G42" s="8"/>
      <c r="H42" s="8"/>
      <c r="I42" s="8"/>
      <c r="J42" s="8"/>
    </row>
    <row r="43" customFormat="false" ht="15" hidden="false" customHeight="false" outlineLevel="0" collapsed="false">
      <c r="A43" s="8"/>
      <c r="B43" s="18"/>
      <c r="C43" s="8"/>
      <c r="D43" s="8"/>
      <c r="E43" s="8"/>
      <c r="F43" s="8"/>
      <c r="G43" s="8"/>
      <c r="H43" s="8"/>
      <c r="I43" s="8"/>
      <c r="J43" s="8"/>
    </row>
    <row r="44" customFormat="false" ht="15" hidden="false" customHeight="false" outlineLevel="0" collapsed="false">
      <c r="A44" s="8"/>
      <c r="B44" s="18"/>
      <c r="C44" s="8"/>
      <c r="D44" s="8"/>
      <c r="E44" s="8"/>
      <c r="F44" s="8"/>
      <c r="G44" s="8"/>
      <c r="H44" s="8"/>
      <c r="I44" s="8"/>
      <c r="J44" s="8"/>
    </row>
    <row r="45" customFormat="false" ht="15" hidden="false" customHeight="false" outlineLevel="0" collapsed="false">
      <c r="A45" s="8"/>
      <c r="B45" s="18"/>
      <c r="C45" s="8"/>
      <c r="D45" s="8"/>
      <c r="E45" s="8"/>
      <c r="F45" s="8"/>
      <c r="G45" s="8"/>
      <c r="H45" s="8"/>
      <c r="I45" s="8"/>
      <c r="J45" s="8"/>
    </row>
    <row r="46" customFormat="false" ht="15" hidden="false" customHeight="false" outlineLevel="0" collapsed="false">
      <c r="A46" s="8"/>
      <c r="B46" s="18"/>
      <c r="C46" s="8"/>
      <c r="D46" s="8"/>
      <c r="E46" s="8"/>
      <c r="F46" s="8"/>
      <c r="G46" s="8"/>
      <c r="H46" s="8"/>
      <c r="I46" s="8"/>
      <c r="J46" s="8"/>
    </row>
    <row r="47" customFormat="false" ht="15" hidden="false" customHeight="false" outlineLevel="0" collapsed="false">
      <c r="A47" s="8"/>
      <c r="B47" s="18"/>
      <c r="C47" s="8"/>
      <c r="D47" s="8"/>
      <c r="E47" s="8"/>
      <c r="F47" s="8"/>
      <c r="G47" s="8"/>
      <c r="H47" s="8"/>
      <c r="I47" s="8"/>
      <c r="J47" s="8"/>
    </row>
    <row r="48" customFormat="false" ht="15" hidden="false" customHeight="false" outlineLevel="0" collapsed="false">
      <c r="A48" s="8"/>
      <c r="B48" s="18"/>
      <c r="C48" s="8"/>
      <c r="D48" s="8"/>
      <c r="E48" s="8"/>
      <c r="F48" s="8"/>
      <c r="G48" s="8"/>
      <c r="H48" s="8"/>
      <c r="I48" s="8"/>
      <c r="J48" s="8"/>
    </row>
    <row r="49" customFormat="false" ht="15" hidden="false" customHeight="false" outlineLevel="0" collapsed="false">
      <c r="A49" s="8"/>
      <c r="B49" s="18"/>
      <c r="C49" s="8"/>
      <c r="D49" s="8"/>
      <c r="E49" s="8"/>
      <c r="F49" s="8"/>
      <c r="G49" s="8"/>
      <c r="H49" s="8"/>
      <c r="I49" s="8"/>
      <c r="J49" s="8"/>
    </row>
    <row r="50" customFormat="false" ht="15" hidden="false" customHeight="false" outlineLevel="0" collapsed="false">
      <c r="A50" s="8"/>
      <c r="B50" s="18"/>
      <c r="C50" s="8"/>
      <c r="D50" s="8"/>
      <c r="E50" s="8"/>
      <c r="F50" s="8"/>
      <c r="G50" s="8"/>
      <c r="H50" s="8"/>
      <c r="I50" s="8"/>
      <c r="J50" s="8"/>
    </row>
    <row r="51" customFormat="false" ht="15" hidden="false" customHeight="false" outlineLevel="0" collapsed="false">
      <c r="A51" s="8"/>
      <c r="B51" s="18"/>
      <c r="C51" s="8"/>
      <c r="D51" s="8"/>
      <c r="E51" s="8"/>
      <c r="F51" s="8"/>
      <c r="G51" s="8"/>
      <c r="H51" s="8"/>
      <c r="I51" s="8"/>
      <c r="J51" s="8"/>
    </row>
    <row r="52" customFormat="false" ht="15" hidden="false" customHeight="false" outlineLevel="0" collapsed="false">
      <c r="A52" s="8"/>
      <c r="B52" s="18"/>
      <c r="C52" s="8"/>
      <c r="D52" s="8"/>
      <c r="E52" s="8"/>
      <c r="F52" s="8"/>
      <c r="G52" s="8"/>
      <c r="H52" s="8"/>
      <c r="I52" s="8"/>
      <c r="J52" s="8"/>
    </row>
    <row r="53" customFormat="false" ht="15" hidden="false" customHeight="false" outlineLevel="0" collapsed="false">
      <c r="A53" s="8"/>
      <c r="B53" s="18"/>
      <c r="C53" s="8"/>
      <c r="D53" s="8"/>
      <c r="E53" s="8"/>
      <c r="F53" s="8"/>
      <c r="G53" s="8"/>
      <c r="H53" s="8"/>
      <c r="I53" s="8"/>
      <c r="J53" s="8"/>
    </row>
    <row r="54" customFormat="false" ht="15" hidden="false" customHeight="false" outlineLevel="0" collapsed="false">
      <c r="A54" s="8"/>
      <c r="B54" s="18"/>
      <c r="C54" s="8"/>
      <c r="D54" s="8"/>
      <c r="E54" s="8"/>
      <c r="F54" s="8"/>
      <c r="G54" s="8"/>
      <c r="H54" s="8"/>
      <c r="I54" s="8"/>
      <c r="J54" s="8"/>
    </row>
    <row r="55" customFormat="false" ht="15" hidden="false" customHeight="false" outlineLevel="0" collapsed="false">
      <c r="A55" s="8"/>
      <c r="B55" s="18"/>
      <c r="C55" s="8"/>
      <c r="D55" s="8"/>
      <c r="E55" s="8"/>
      <c r="F55" s="8"/>
      <c r="G55" s="8"/>
      <c r="H55" s="8"/>
      <c r="I55" s="8"/>
      <c r="J55" s="8"/>
    </row>
    <row r="56" customFormat="false" ht="15" hidden="false" customHeight="false" outlineLevel="0" collapsed="false">
      <c r="A56" s="8"/>
      <c r="B56" s="18"/>
      <c r="C56" s="8"/>
      <c r="D56" s="8"/>
      <c r="E56" s="8"/>
      <c r="F56" s="8"/>
      <c r="G56" s="8"/>
      <c r="H56" s="8"/>
      <c r="I56" s="8"/>
      <c r="J56" s="8"/>
    </row>
    <row r="57" customFormat="false" ht="15" hidden="false" customHeight="false" outlineLevel="0" collapsed="false">
      <c r="A57" s="8"/>
      <c r="B57" s="18"/>
      <c r="C57" s="8"/>
      <c r="D57" s="8"/>
      <c r="E57" s="8"/>
      <c r="F57" s="8"/>
      <c r="G57" s="8"/>
      <c r="H57" s="8"/>
      <c r="I57" s="8"/>
      <c r="J57" s="8"/>
    </row>
    <row r="58" customFormat="false" ht="15" hidden="false" customHeight="false" outlineLevel="0" collapsed="false">
      <c r="A58" s="8"/>
      <c r="B58" s="18"/>
      <c r="C58" s="8"/>
      <c r="D58" s="8"/>
      <c r="E58" s="8"/>
      <c r="F58" s="8"/>
      <c r="G58" s="8"/>
      <c r="H58" s="8"/>
      <c r="I58" s="8"/>
      <c r="J58" s="8"/>
    </row>
    <row r="59" customFormat="false" ht="15" hidden="false" customHeight="false" outlineLevel="0" collapsed="false">
      <c r="A59" s="8"/>
      <c r="B59" s="18"/>
      <c r="C59" s="8"/>
      <c r="D59" s="8"/>
      <c r="E59" s="8"/>
      <c r="F59" s="8"/>
      <c r="G59" s="8"/>
      <c r="H59" s="8"/>
      <c r="I59" s="8"/>
      <c r="J59" s="8"/>
    </row>
    <row r="60" customFormat="false" ht="15" hidden="false" customHeight="false" outlineLevel="0" collapsed="false">
      <c r="A60" s="8"/>
      <c r="B60" s="18"/>
      <c r="C60" s="8"/>
      <c r="D60" s="8"/>
      <c r="E60" s="8"/>
      <c r="F60" s="8"/>
      <c r="G60" s="8"/>
      <c r="H60" s="8"/>
      <c r="I60" s="8"/>
      <c r="J60" s="8"/>
    </row>
    <row r="61" customFormat="false" ht="15" hidden="false" customHeight="false" outlineLevel="0" collapsed="false">
      <c r="A61" s="8"/>
      <c r="B61" s="18"/>
      <c r="C61" s="8"/>
      <c r="D61" s="8"/>
      <c r="E61" s="8"/>
      <c r="F61" s="8"/>
      <c r="G61" s="8"/>
      <c r="H61" s="8"/>
      <c r="I61" s="8"/>
      <c r="J61" s="8"/>
    </row>
    <row r="62" customFormat="false" ht="15" hidden="false" customHeight="false" outlineLevel="0" collapsed="false">
      <c r="A62" s="8"/>
      <c r="B62" s="18"/>
      <c r="C62" s="8"/>
      <c r="D62" s="8"/>
      <c r="E62" s="8"/>
      <c r="F62" s="8"/>
      <c r="G62" s="8"/>
      <c r="H62" s="8"/>
      <c r="I62" s="8"/>
      <c r="J62" s="8"/>
    </row>
    <row r="63" customFormat="false" ht="15" hidden="false" customHeight="false" outlineLevel="0" collapsed="false">
      <c r="A63" s="8"/>
      <c r="B63" s="18"/>
      <c r="C63" s="8"/>
      <c r="D63" s="8"/>
      <c r="E63" s="8"/>
      <c r="F63" s="8"/>
      <c r="G63" s="8"/>
      <c r="H63" s="8"/>
      <c r="I63" s="8"/>
      <c r="J63" s="8"/>
    </row>
    <row r="64" customFormat="false" ht="15" hidden="false" customHeight="false" outlineLevel="0" collapsed="false">
      <c r="A64" s="8"/>
      <c r="B64" s="18"/>
      <c r="C64" s="8"/>
      <c r="D64" s="8"/>
      <c r="E64" s="8"/>
      <c r="F64" s="8"/>
      <c r="G64" s="8"/>
      <c r="H64" s="8"/>
      <c r="I64" s="8"/>
      <c r="J64" s="8"/>
    </row>
    <row r="65" customFormat="false" ht="15" hidden="false" customHeight="false" outlineLevel="0" collapsed="false">
      <c r="A65" s="8"/>
      <c r="B65" s="18"/>
      <c r="C65" s="8"/>
      <c r="D65" s="8"/>
      <c r="E65" s="8"/>
      <c r="F65" s="8"/>
      <c r="G65" s="8"/>
      <c r="H65" s="8"/>
      <c r="I65" s="8"/>
      <c r="J65" s="8"/>
    </row>
    <row r="66" customFormat="false" ht="15" hidden="false" customHeight="false" outlineLevel="0" collapsed="false">
      <c r="A66" s="8"/>
      <c r="B66" s="18"/>
      <c r="C66" s="8"/>
      <c r="D66" s="8"/>
      <c r="E66" s="8"/>
      <c r="F66" s="8"/>
      <c r="G66" s="8"/>
      <c r="H66" s="8"/>
      <c r="I66" s="8"/>
      <c r="J66" s="8"/>
    </row>
    <row r="67" customFormat="false" ht="15" hidden="false" customHeight="false" outlineLevel="0" collapsed="false">
      <c r="A67" s="8"/>
      <c r="B67" s="18"/>
      <c r="C67" s="8"/>
      <c r="D67" s="8"/>
      <c r="E67" s="8"/>
      <c r="F67" s="8"/>
      <c r="G67" s="8"/>
      <c r="H67" s="8"/>
      <c r="I67" s="8"/>
      <c r="J67" s="8"/>
    </row>
    <row r="68" customFormat="false" ht="15" hidden="false" customHeight="false" outlineLevel="0" collapsed="false">
      <c r="A68" s="8"/>
      <c r="B68" s="18"/>
      <c r="C68" s="8"/>
      <c r="D68" s="8"/>
      <c r="E68" s="8"/>
      <c r="F68" s="8"/>
      <c r="G68" s="8"/>
      <c r="H68" s="8"/>
      <c r="I68" s="8"/>
      <c r="J68" s="8"/>
    </row>
    <row r="69" customFormat="false" ht="15" hidden="false" customHeight="false" outlineLevel="0" collapsed="false">
      <c r="A69" s="8"/>
      <c r="B69" s="18"/>
      <c r="C69" s="8"/>
      <c r="D69" s="8"/>
      <c r="E69" s="8"/>
      <c r="F69" s="8"/>
      <c r="G69" s="8"/>
      <c r="H69" s="8"/>
      <c r="I69" s="8"/>
      <c r="J69" s="8"/>
    </row>
    <row r="70" customFormat="false" ht="15" hidden="false" customHeight="false" outlineLevel="0" collapsed="false">
      <c r="A70" s="8"/>
      <c r="B70" s="18"/>
      <c r="C70" s="8"/>
      <c r="D70" s="8"/>
      <c r="E70" s="8"/>
      <c r="F70" s="8"/>
      <c r="G70" s="8"/>
      <c r="H70" s="8"/>
      <c r="I70" s="8"/>
      <c r="J70" s="8"/>
    </row>
    <row r="71" customFormat="false" ht="15" hidden="false" customHeight="false" outlineLevel="0" collapsed="false">
      <c r="A71" s="8"/>
      <c r="B71" s="18"/>
      <c r="C71" s="8"/>
      <c r="D71" s="8"/>
      <c r="E71" s="8"/>
      <c r="F71" s="8"/>
      <c r="G71" s="8"/>
      <c r="H71" s="8"/>
      <c r="I71" s="8"/>
      <c r="J71" s="8"/>
    </row>
    <row r="72" customFormat="false" ht="15" hidden="false" customHeight="false" outlineLevel="0" collapsed="false">
      <c r="A72" s="8"/>
      <c r="B72" s="18"/>
      <c r="C72" s="8"/>
      <c r="D72" s="8"/>
      <c r="E72" s="8"/>
      <c r="F72" s="8"/>
      <c r="G72" s="8"/>
      <c r="H72" s="8"/>
      <c r="I72" s="8"/>
      <c r="J72" s="8"/>
    </row>
    <row r="73" customFormat="false" ht="15" hidden="false" customHeight="false" outlineLevel="0" collapsed="false">
      <c r="A73" s="8"/>
      <c r="B73" s="18"/>
      <c r="C73" s="8"/>
      <c r="D73" s="8"/>
      <c r="E73" s="8"/>
      <c r="F73" s="8"/>
      <c r="G73" s="8"/>
      <c r="H73" s="8"/>
      <c r="I73" s="8"/>
      <c r="J73" s="8"/>
    </row>
    <row r="74" customFormat="false" ht="15" hidden="false" customHeight="false" outlineLevel="0" collapsed="false">
      <c r="A74" s="8"/>
      <c r="B74" s="18"/>
      <c r="C74" s="8"/>
      <c r="D74" s="8"/>
      <c r="E74" s="8"/>
      <c r="F74" s="8"/>
      <c r="G74" s="8"/>
      <c r="H74" s="8"/>
      <c r="I74" s="8"/>
      <c r="J74" s="8"/>
    </row>
    <row r="75" customFormat="false" ht="15" hidden="false" customHeight="false" outlineLevel="0" collapsed="false">
      <c r="A75" s="8"/>
      <c r="B75" s="18"/>
      <c r="C75" s="8"/>
      <c r="D75" s="8"/>
      <c r="E75" s="8"/>
      <c r="F75" s="8"/>
      <c r="G75" s="8"/>
      <c r="H75" s="8"/>
      <c r="I75" s="8"/>
      <c r="J75" s="8"/>
    </row>
    <row r="76" customFormat="false" ht="15" hidden="false" customHeight="false" outlineLevel="0" collapsed="false">
      <c r="A76" s="8"/>
      <c r="B76" s="18"/>
      <c r="C76" s="8"/>
      <c r="D76" s="8"/>
      <c r="E76" s="8"/>
      <c r="F76" s="8"/>
      <c r="G76" s="8"/>
      <c r="H76" s="8"/>
      <c r="I76" s="8"/>
      <c r="J76" s="8"/>
    </row>
    <row r="77" customFormat="false" ht="15" hidden="false" customHeight="false" outlineLevel="0" collapsed="false">
      <c r="A77" s="8"/>
      <c r="B77" s="18"/>
      <c r="C77" s="8"/>
      <c r="D77" s="8"/>
      <c r="E77" s="8"/>
      <c r="F77" s="8"/>
      <c r="G77" s="8"/>
      <c r="H77" s="8"/>
      <c r="I77" s="8"/>
      <c r="J77" s="8"/>
    </row>
    <row r="78" customFormat="false" ht="15" hidden="false" customHeight="false" outlineLevel="0" collapsed="false">
      <c r="A78" s="8"/>
      <c r="B78" s="18"/>
      <c r="C78" s="8"/>
      <c r="D78" s="8"/>
      <c r="E78" s="8"/>
      <c r="F78" s="8"/>
      <c r="G78" s="8"/>
      <c r="H78" s="8"/>
      <c r="I78" s="8"/>
      <c r="J78" s="8"/>
    </row>
    <row r="79" customFormat="false" ht="15" hidden="false" customHeight="false" outlineLevel="0" collapsed="false">
      <c r="A79" s="8"/>
      <c r="B79" s="18"/>
      <c r="C79" s="8"/>
      <c r="D79" s="8"/>
      <c r="E79" s="8"/>
      <c r="F79" s="8"/>
      <c r="G79" s="8"/>
      <c r="H79" s="8"/>
      <c r="I79" s="8"/>
      <c r="J79" s="8"/>
    </row>
    <row r="80" customFormat="false" ht="15" hidden="false" customHeight="false" outlineLevel="0" collapsed="false">
      <c r="A80" s="8"/>
      <c r="B80" s="18"/>
      <c r="C80" s="8"/>
      <c r="D80" s="8"/>
      <c r="E80" s="8"/>
      <c r="F80" s="8"/>
      <c r="G80" s="8"/>
      <c r="H80" s="8"/>
      <c r="I80" s="8"/>
      <c r="J80" s="8"/>
    </row>
    <row r="81" customFormat="false" ht="15" hidden="false" customHeight="false" outlineLevel="0" collapsed="false">
      <c r="A81" s="8"/>
      <c r="B81" s="18"/>
      <c r="C81" s="8"/>
      <c r="D81" s="8"/>
      <c r="E81" s="8"/>
      <c r="F81" s="8"/>
      <c r="G81" s="8"/>
      <c r="H81" s="8"/>
      <c r="I81" s="8"/>
      <c r="J81" s="8"/>
    </row>
    <row r="82" customFormat="false" ht="15" hidden="false" customHeight="false" outlineLevel="0" collapsed="false">
      <c r="A82" s="8"/>
      <c r="B82" s="18"/>
      <c r="C82" s="8"/>
      <c r="D82" s="8"/>
      <c r="E82" s="8"/>
      <c r="F82" s="8"/>
      <c r="G82" s="8"/>
      <c r="H82" s="8"/>
      <c r="I82" s="8"/>
      <c r="J82" s="8"/>
    </row>
    <row r="83" customFormat="false" ht="15" hidden="false" customHeight="false" outlineLevel="0" collapsed="false">
      <c r="A83" s="8"/>
      <c r="B83" s="18"/>
      <c r="C83" s="8"/>
      <c r="D83" s="8"/>
      <c r="E83" s="8"/>
      <c r="F83" s="8"/>
      <c r="G83" s="8"/>
      <c r="H83" s="8"/>
      <c r="I83" s="8"/>
      <c r="J83" s="8"/>
    </row>
    <row r="84" customFormat="false" ht="15" hidden="false" customHeight="false" outlineLevel="0" collapsed="false">
      <c r="A84" s="8"/>
      <c r="B84" s="18"/>
      <c r="C84" s="8"/>
      <c r="D84" s="8"/>
      <c r="E84" s="8"/>
      <c r="F84" s="8"/>
      <c r="G84" s="8"/>
      <c r="H84" s="8"/>
      <c r="I84" s="8"/>
      <c r="J84" s="8"/>
    </row>
    <row r="85" customFormat="false" ht="15" hidden="false" customHeight="false" outlineLevel="0" collapsed="false">
      <c r="A85" s="8"/>
      <c r="B85" s="18"/>
      <c r="C85" s="8"/>
      <c r="D85" s="8"/>
      <c r="E85" s="8"/>
      <c r="F85" s="8"/>
      <c r="G85" s="8"/>
      <c r="H85" s="8"/>
      <c r="I85" s="8"/>
      <c r="J85" s="8"/>
    </row>
    <row r="86" customFormat="false" ht="15" hidden="false" customHeight="false" outlineLevel="0" collapsed="false">
      <c r="A86" s="8"/>
      <c r="B86" s="18"/>
      <c r="C86" s="8"/>
      <c r="D86" s="8"/>
      <c r="E86" s="8"/>
      <c r="F86" s="8"/>
      <c r="G86" s="8"/>
      <c r="H86" s="8"/>
      <c r="I86" s="8"/>
      <c r="J86" s="8"/>
    </row>
    <row r="87" customFormat="false" ht="15" hidden="false" customHeight="false" outlineLevel="0" collapsed="false">
      <c r="A87" s="8"/>
      <c r="B87" s="18"/>
      <c r="C87" s="8"/>
      <c r="D87" s="8"/>
      <c r="E87" s="8"/>
      <c r="F87" s="8"/>
      <c r="G87" s="8"/>
      <c r="H87" s="8"/>
      <c r="I87" s="8"/>
      <c r="J87" s="8"/>
    </row>
    <row r="88" customFormat="false" ht="15" hidden="false" customHeight="false" outlineLevel="0" collapsed="false">
      <c r="A88" s="8"/>
      <c r="B88" s="18"/>
      <c r="C88" s="8"/>
      <c r="D88" s="8"/>
      <c r="E88" s="8"/>
      <c r="F88" s="8"/>
      <c r="G88" s="8"/>
      <c r="H88" s="8"/>
      <c r="I88" s="8"/>
      <c r="J88" s="8"/>
    </row>
    <row r="89" customFormat="false" ht="15" hidden="false" customHeight="false" outlineLevel="0" collapsed="false">
      <c r="A89" s="8"/>
      <c r="B89" s="18"/>
      <c r="C89" s="8"/>
      <c r="D89" s="8"/>
      <c r="E89" s="8"/>
      <c r="F89" s="8"/>
      <c r="G89" s="8"/>
      <c r="H89" s="8"/>
      <c r="I89" s="8"/>
      <c r="J89" s="8"/>
    </row>
    <row r="90" customFormat="false" ht="15" hidden="false" customHeight="false" outlineLevel="0" collapsed="false">
      <c r="A90" s="8"/>
      <c r="B90" s="18"/>
      <c r="C90" s="8"/>
      <c r="D90" s="8"/>
      <c r="E90" s="8"/>
      <c r="F90" s="8"/>
      <c r="G90" s="8"/>
      <c r="H90" s="8"/>
      <c r="I90" s="8"/>
      <c r="J90" s="8"/>
    </row>
    <row r="91" customFormat="false" ht="15" hidden="false" customHeight="false" outlineLevel="0" collapsed="false">
      <c r="A91" s="8"/>
      <c r="B91" s="18"/>
      <c r="C91" s="8"/>
      <c r="D91" s="8"/>
      <c r="E91" s="8"/>
      <c r="F91" s="8"/>
      <c r="G91" s="8"/>
      <c r="H91" s="8"/>
      <c r="I91" s="8"/>
      <c r="J91" s="8"/>
    </row>
    <row r="92" customFormat="false" ht="15" hidden="false" customHeight="false" outlineLevel="0" collapsed="false">
      <c r="A92" s="8"/>
      <c r="B92" s="18"/>
      <c r="C92" s="8"/>
      <c r="D92" s="8"/>
      <c r="E92" s="8"/>
      <c r="F92" s="8"/>
      <c r="G92" s="8"/>
      <c r="H92" s="8"/>
      <c r="I92" s="8"/>
      <c r="J92" s="8"/>
    </row>
    <row r="93" customFormat="false" ht="15" hidden="false" customHeight="false" outlineLevel="0" collapsed="false">
      <c r="A93" s="8"/>
      <c r="B93" s="18"/>
      <c r="C93" s="8"/>
      <c r="D93" s="8"/>
      <c r="E93" s="8"/>
      <c r="F93" s="8"/>
      <c r="G93" s="8"/>
      <c r="H93" s="8"/>
      <c r="I93" s="8"/>
      <c r="J93" s="8"/>
    </row>
    <row r="94" customFormat="false" ht="15" hidden="false" customHeight="false" outlineLevel="0" collapsed="false">
      <c r="A94" s="8"/>
      <c r="B94" s="18"/>
      <c r="C94" s="8"/>
      <c r="D94" s="8"/>
      <c r="E94" s="8"/>
      <c r="F94" s="8"/>
      <c r="G94" s="8"/>
      <c r="H94" s="8"/>
      <c r="I94" s="8"/>
      <c r="J94" s="8"/>
    </row>
    <row r="95" customFormat="false" ht="15" hidden="false" customHeight="false" outlineLevel="0" collapsed="false">
      <c r="A95" s="8"/>
      <c r="B95" s="18"/>
      <c r="C95" s="8"/>
      <c r="D95" s="8"/>
      <c r="E95" s="8"/>
      <c r="F95" s="8"/>
      <c r="G95" s="8"/>
      <c r="H95" s="8"/>
      <c r="I95" s="8"/>
      <c r="J95" s="8"/>
    </row>
    <row r="96" customFormat="false" ht="15" hidden="false" customHeight="false" outlineLevel="0" collapsed="false">
      <c r="A96" s="8"/>
      <c r="B96" s="18"/>
      <c r="C96" s="8"/>
      <c r="D96" s="8"/>
      <c r="E96" s="8"/>
      <c r="F96" s="8"/>
      <c r="G96" s="8"/>
      <c r="H96" s="8"/>
      <c r="I96" s="8"/>
      <c r="J96" s="8"/>
    </row>
    <row r="97" customFormat="false" ht="15" hidden="false" customHeight="false" outlineLevel="0" collapsed="false">
      <c r="A97" s="8"/>
      <c r="B97" s="18"/>
      <c r="C97" s="8"/>
      <c r="D97" s="8"/>
      <c r="E97" s="8"/>
      <c r="F97" s="8"/>
      <c r="G97" s="8"/>
      <c r="H97" s="8"/>
      <c r="I97" s="8"/>
      <c r="J97" s="8"/>
    </row>
    <row r="98" customFormat="false" ht="15" hidden="false" customHeight="false" outlineLevel="0" collapsed="false">
      <c r="A98" s="8"/>
      <c r="B98" s="18"/>
      <c r="C98" s="8"/>
      <c r="D98" s="8"/>
      <c r="E98" s="8"/>
      <c r="F98" s="8"/>
      <c r="G98" s="8"/>
      <c r="H98" s="8"/>
      <c r="I98" s="8"/>
      <c r="J98" s="8"/>
    </row>
    <row r="99" customFormat="false" ht="15" hidden="false" customHeight="false" outlineLevel="0" collapsed="false">
      <c r="A99" s="8"/>
      <c r="B99" s="18"/>
      <c r="C99" s="8"/>
      <c r="D99" s="8"/>
      <c r="E99" s="8"/>
      <c r="F99" s="8"/>
      <c r="G99" s="8"/>
      <c r="H99" s="8"/>
      <c r="I99" s="8"/>
      <c r="J99" s="8"/>
    </row>
    <row r="100" customFormat="false" ht="15" hidden="false" customHeight="false" outlineLevel="0" collapsed="false">
      <c r="A100" s="8"/>
      <c r="B100" s="18"/>
      <c r="C100" s="8"/>
      <c r="D100" s="8"/>
      <c r="E100" s="8"/>
      <c r="F100" s="8"/>
      <c r="G100" s="8"/>
      <c r="H100" s="8"/>
      <c r="I100" s="8"/>
      <c r="J100" s="8"/>
    </row>
    <row r="101" customFormat="false" ht="15" hidden="false" customHeight="false" outlineLevel="0" collapsed="false">
      <c r="A101" s="8"/>
      <c r="B101" s="18"/>
      <c r="C101" s="8"/>
      <c r="D101" s="8"/>
      <c r="E101" s="8"/>
      <c r="F101" s="8"/>
      <c r="G101" s="8"/>
      <c r="H101" s="8"/>
      <c r="I101" s="8"/>
      <c r="J101" s="8"/>
    </row>
    <row r="102" customFormat="false" ht="15" hidden="false" customHeight="false" outlineLevel="0" collapsed="false">
      <c r="A102" s="8"/>
      <c r="B102" s="18"/>
      <c r="C102" s="8"/>
      <c r="D102" s="8"/>
      <c r="E102" s="8"/>
      <c r="F102" s="8"/>
      <c r="G102" s="8"/>
      <c r="H102" s="8"/>
      <c r="I102" s="8"/>
      <c r="J102" s="8"/>
    </row>
    <row r="103" customFormat="false" ht="15" hidden="false" customHeight="false" outlineLevel="0" collapsed="false">
      <c r="A103" s="8"/>
      <c r="B103" s="18"/>
      <c r="C103" s="8"/>
      <c r="D103" s="8"/>
      <c r="E103" s="8"/>
      <c r="F103" s="8"/>
      <c r="G103" s="8"/>
      <c r="H103" s="8"/>
      <c r="I103" s="8"/>
      <c r="J103" s="8"/>
    </row>
    <row r="104" customFormat="false" ht="15" hidden="false" customHeight="false" outlineLevel="0" collapsed="false">
      <c r="A104" s="8"/>
      <c r="B104" s="18"/>
      <c r="C104" s="8"/>
      <c r="D104" s="8"/>
      <c r="E104" s="8"/>
      <c r="F104" s="8"/>
      <c r="G104" s="8"/>
      <c r="H104" s="8"/>
      <c r="I104" s="8"/>
      <c r="J104" s="8"/>
    </row>
    <row r="105" customFormat="false" ht="15" hidden="false" customHeight="false" outlineLevel="0" collapsed="false">
      <c r="A105" s="8"/>
      <c r="B105" s="18"/>
      <c r="C105" s="8"/>
      <c r="D105" s="8"/>
      <c r="E105" s="8"/>
      <c r="F105" s="8"/>
      <c r="G105" s="8"/>
      <c r="H105" s="8"/>
      <c r="I105" s="8"/>
      <c r="J105" s="8"/>
    </row>
    <row r="106" customFormat="false" ht="15" hidden="false" customHeight="false" outlineLevel="0" collapsed="false">
      <c r="A106" s="8"/>
      <c r="B106" s="18"/>
      <c r="C106" s="8"/>
      <c r="D106" s="8"/>
      <c r="E106" s="8"/>
      <c r="F106" s="8"/>
      <c r="G106" s="8"/>
      <c r="H106" s="8"/>
      <c r="I106" s="8"/>
      <c r="J106" s="8"/>
    </row>
    <row r="107" customFormat="false" ht="15" hidden="false" customHeight="false" outlineLevel="0" collapsed="false">
      <c r="A107" s="8"/>
      <c r="B107" s="18"/>
      <c r="C107" s="8"/>
      <c r="D107" s="8"/>
      <c r="E107" s="8"/>
      <c r="F107" s="8"/>
      <c r="G107" s="8"/>
      <c r="H107" s="8"/>
      <c r="I107" s="8"/>
      <c r="J107" s="8"/>
    </row>
    <row r="108" customFormat="false" ht="15" hidden="false" customHeight="false" outlineLevel="0" collapsed="false">
      <c r="A108" s="8"/>
      <c r="B108" s="18"/>
      <c r="C108" s="8"/>
      <c r="D108" s="8"/>
      <c r="E108" s="8"/>
      <c r="F108" s="8"/>
      <c r="G108" s="8"/>
      <c r="H108" s="8"/>
      <c r="I108" s="8"/>
      <c r="J108" s="8"/>
    </row>
    <row r="109" customFormat="false" ht="15" hidden="false" customHeight="false" outlineLevel="0" collapsed="false">
      <c r="A109" s="8"/>
      <c r="B109" s="18"/>
      <c r="C109" s="8"/>
      <c r="D109" s="8"/>
      <c r="E109" s="8"/>
      <c r="F109" s="8"/>
      <c r="G109" s="8"/>
      <c r="H109" s="8"/>
      <c r="I109" s="8"/>
      <c r="J109" s="8"/>
    </row>
    <row r="110" customFormat="false" ht="15" hidden="false" customHeight="false" outlineLevel="0" collapsed="false">
      <c r="A110" s="8"/>
      <c r="B110" s="18"/>
      <c r="C110" s="8"/>
      <c r="D110" s="8"/>
      <c r="E110" s="8"/>
      <c r="F110" s="8"/>
      <c r="G110" s="8"/>
      <c r="H110" s="8"/>
      <c r="I110" s="8"/>
      <c r="J110" s="8"/>
    </row>
    <row r="111" customFormat="false" ht="15" hidden="false" customHeight="false" outlineLevel="0" collapsed="false">
      <c r="A111" s="8"/>
      <c r="B111" s="18"/>
      <c r="C111" s="8"/>
      <c r="D111" s="8"/>
      <c r="E111" s="8"/>
      <c r="F111" s="8"/>
      <c r="G111" s="8"/>
      <c r="H111" s="8"/>
      <c r="I111" s="8"/>
      <c r="J111" s="8"/>
    </row>
    <row r="112" customFormat="false" ht="15" hidden="false" customHeight="false" outlineLevel="0" collapsed="false">
      <c r="A112" s="8"/>
      <c r="B112" s="18"/>
      <c r="C112" s="8"/>
      <c r="D112" s="8"/>
      <c r="E112" s="8"/>
      <c r="F112" s="8"/>
      <c r="G112" s="8"/>
      <c r="H112" s="8"/>
      <c r="I112" s="8"/>
      <c r="J112" s="8"/>
    </row>
    <row r="113" customFormat="false" ht="15" hidden="false" customHeight="false" outlineLevel="0" collapsed="false">
      <c r="A113" s="8"/>
      <c r="B113" s="18"/>
      <c r="C113" s="8"/>
      <c r="D113" s="8"/>
      <c r="E113" s="8"/>
      <c r="F113" s="8"/>
      <c r="G113" s="8"/>
      <c r="H113" s="8"/>
      <c r="I113" s="8"/>
      <c r="J113" s="8"/>
    </row>
    <row r="114" customFormat="false" ht="15" hidden="false" customHeight="false" outlineLevel="0" collapsed="false">
      <c r="A114" s="8"/>
      <c r="B114" s="18"/>
      <c r="C114" s="8"/>
      <c r="D114" s="8"/>
      <c r="E114" s="8"/>
      <c r="F114" s="8"/>
      <c r="G114" s="8"/>
      <c r="H114" s="8"/>
      <c r="I114" s="8"/>
      <c r="J114" s="8"/>
    </row>
    <row r="115" customFormat="false" ht="15" hidden="false" customHeight="false" outlineLevel="0" collapsed="false">
      <c r="A115" s="8"/>
      <c r="B115" s="18"/>
      <c r="C115" s="8"/>
      <c r="D115" s="8"/>
      <c r="E115" s="8"/>
      <c r="F115" s="8"/>
      <c r="G115" s="8"/>
      <c r="H115" s="8"/>
      <c r="I115" s="8"/>
      <c r="J115" s="8"/>
    </row>
    <row r="116" customFormat="false" ht="15" hidden="false" customHeight="false" outlineLevel="0" collapsed="false">
      <c r="A116" s="8"/>
      <c r="B116" s="18"/>
      <c r="C116" s="8"/>
      <c r="D116" s="8"/>
      <c r="E116" s="8"/>
      <c r="F116" s="8"/>
      <c r="G116" s="8"/>
      <c r="H116" s="8"/>
      <c r="I116" s="8"/>
      <c r="J116" s="8"/>
    </row>
    <row r="117" customFormat="false" ht="15" hidden="false" customHeight="false" outlineLevel="0" collapsed="false">
      <c r="A117" s="8"/>
      <c r="B117" s="18"/>
      <c r="C117" s="8"/>
      <c r="D117" s="8"/>
      <c r="E117" s="8"/>
      <c r="F117" s="8"/>
      <c r="G117" s="8"/>
      <c r="H117" s="8"/>
      <c r="I117" s="8"/>
      <c r="J117" s="8"/>
    </row>
    <row r="118" customFormat="false" ht="15" hidden="false" customHeight="false" outlineLevel="0" collapsed="false">
      <c r="A118" s="8"/>
      <c r="B118" s="18"/>
      <c r="C118" s="8"/>
      <c r="D118" s="8"/>
      <c r="E118" s="8"/>
      <c r="F118" s="8"/>
      <c r="G118" s="8"/>
      <c r="H118" s="8"/>
      <c r="I118" s="8"/>
      <c r="J118" s="8"/>
    </row>
    <row r="119" customFormat="false" ht="15" hidden="false" customHeight="false" outlineLevel="0" collapsed="false">
      <c r="A119" s="8"/>
      <c r="B119" s="18"/>
      <c r="C119" s="8"/>
      <c r="D119" s="8"/>
      <c r="E119" s="8"/>
      <c r="F119" s="8"/>
      <c r="G119" s="8"/>
      <c r="H119" s="8"/>
      <c r="I119" s="8"/>
      <c r="J119" s="8"/>
    </row>
    <row r="120" customFormat="false" ht="15" hidden="false" customHeight="false" outlineLevel="0" collapsed="false">
      <c r="A120" s="8"/>
      <c r="B120" s="18"/>
      <c r="C120" s="8"/>
      <c r="D120" s="8"/>
      <c r="E120" s="8"/>
      <c r="F120" s="8"/>
      <c r="G120" s="8"/>
      <c r="H120" s="8"/>
      <c r="I120" s="8"/>
      <c r="J120" s="8"/>
    </row>
    <row r="121" customFormat="false" ht="15" hidden="false" customHeight="false" outlineLevel="0" collapsed="false">
      <c r="A121" s="8"/>
      <c r="B121" s="18"/>
      <c r="C121" s="8"/>
      <c r="D121" s="8"/>
      <c r="E121" s="8"/>
      <c r="F121" s="8"/>
      <c r="G121" s="8"/>
      <c r="H121" s="8"/>
      <c r="I121" s="8"/>
      <c r="J121" s="8"/>
    </row>
    <row r="122" customFormat="false" ht="15" hidden="false" customHeight="false" outlineLevel="0" collapsed="false">
      <c r="A122" s="8"/>
      <c r="B122" s="18"/>
      <c r="C122" s="8"/>
      <c r="D122" s="8"/>
      <c r="E122" s="8"/>
      <c r="F122" s="8"/>
      <c r="G122" s="8"/>
      <c r="H122" s="8"/>
      <c r="I122" s="8"/>
      <c r="J122" s="8"/>
    </row>
    <row r="123" customFormat="false" ht="15" hidden="false" customHeight="false" outlineLevel="0" collapsed="false">
      <c r="A123" s="8"/>
      <c r="B123" s="18"/>
      <c r="C123" s="8"/>
      <c r="D123" s="8"/>
      <c r="E123" s="8"/>
      <c r="F123" s="8"/>
      <c r="G123" s="8"/>
      <c r="H123" s="8"/>
      <c r="I123" s="8"/>
      <c r="J123" s="8"/>
    </row>
    <row r="124" customFormat="false" ht="15" hidden="false" customHeight="false" outlineLevel="0" collapsed="false">
      <c r="A124" s="8"/>
      <c r="B124" s="18"/>
      <c r="C124" s="8"/>
      <c r="D124" s="8"/>
      <c r="E124" s="8"/>
      <c r="F124" s="8"/>
      <c r="G124" s="8"/>
      <c r="H124" s="8"/>
      <c r="I124" s="8"/>
      <c r="J124" s="8"/>
    </row>
    <row r="125" customFormat="false" ht="15" hidden="false" customHeight="false" outlineLevel="0" collapsed="false">
      <c r="A125" s="8"/>
      <c r="B125" s="18"/>
      <c r="C125" s="8"/>
      <c r="D125" s="8"/>
      <c r="E125" s="8"/>
      <c r="F125" s="8"/>
      <c r="G125" s="8"/>
      <c r="H125" s="8"/>
      <c r="I125" s="8"/>
      <c r="J125" s="8"/>
    </row>
    <row r="126" customFormat="false" ht="15" hidden="false" customHeight="false" outlineLevel="0" collapsed="false">
      <c r="A126" s="8"/>
      <c r="B126" s="18"/>
      <c r="C126" s="8"/>
      <c r="D126" s="8"/>
      <c r="E126" s="8"/>
      <c r="F126" s="8"/>
      <c r="G126" s="8"/>
      <c r="H126" s="8"/>
      <c r="I126" s="8"/>
      <c r="J126" s="8"/>
    </row>
    <row r="127" customFormat="false" ht="15" hidden="false" customHeight="false" outlineLevel="0" collapsed="false">
      <c r="A127" s="8"/>
      <c r="B127" s="18"/>
      <c r="C127" s="8"/>
      <c r="D127" s="8"/>
      <c r="E127" s="8"/>
      <c r="F127" s="8"/>
      <c r="G127" s="8"/>
      <c r="H127" s="8"/>
      <c r="I127" s="8"/>
      <c r="J127" s="8"/>
    </row>
    <row r="128" customFormat="false" ht="15" hidden="false" customHeight="false" outlineLevel="0" collapsed="false">
      <c r="A128" s="8"/>
      <c r="B128" s="18"/>
      <c r="C128" s="8"/>
      <c r="D128" s="8"/>
      <c r="E128" s="8"/>
      <c r="F128" s="8"/>
      <c r="G128" s="8"/>
      <c r="H128" s="8"/>
      <c r="I128" s="8"/>
      <c r="J128" s="8"/>
    </row>
    <row r="129" customFormat="false" ht="15" hidden="false" customHeight="false" outlineLevel="0" collapsed="false">
      <c r="A129" s="8"/>
      <c r="B129" s="18"/>
      <c r="C129" s="8"/>
      <c r="D129" s="8"/>
      <c r="E129" s="8"/>
      <c r="F129" s="8"/>
      <c r="G129" s="8"/>
      <c r="H129" s="8"/>
      <c r="I129" s="8"/>
      <c r="J129" s="8"/>
    </row>
    <row r="130" customFormat="false" ht="15" hidden="false" customHeight="false" outlineLevel="0" collapsed="false">
      <c r="A130" s="8"/>
      <c r="B130" s="18"/>
      <c r="C130" s="8"/>
      <c r="D130" s="8"/>
      <c r="E130" s="8"/>
      <c r="F130" s="8"/>
      <c r="G130" s="8"/>
      <c r="H130" s="8"/>
      <c r="I130" s="8"/>
      <c r="J130" s="8"/>
    </row>
    <row r="131" customFormat="false" ht="15" hidden="false" customHeight="false" outlineLevel="0" collapsed="false">
      <c r="A131" s="8"/>
      <c r="B131" s="18"/>
      <c r="C131" s="8"/>
      <c r="D131" s="8"/>
      <c r="E131" s="8"/>
      <c r="F131" s="8"/>
      <c r="G131" s="8"/>
      <c r="H131" s="8"/>
      <c r="I131" s="8"/>
      <c r="J131" s="8"/>
    </row>
    <row r="132" customFormat="false" ht="15" hidden="false" customHeight="false" outlineLevel="0" collapsed="false">
      <c r="A132" s="8"/>
      <c r="B132" s="18"/>
      <c r="C132" s="8"/>
      <c r="D132" s="8"/>
      <c r="E132" s="8"/>
      <c r="F132" s="8"/>
      <c r="G132" s="8"/>
      <c r="H132" s="8"/>
      <c r="I132" s="8"/>
      <c r="J132" s="8"/>
    </row>
    <row r="133" customFormat="false" ht="15" hidden="false" customHeight="false" outlineLevel="0" collapsed="false">
      <c r="A133" s="8"/>
      <c r="B133" s="18"/>
      <c r="C133" s="8"/>
      <c r="D133" s="8"/>
      <c r="E133" s="8"/>
      <c r="F133" s="8"/>
      <c r="G133" s="8"/>
      <c r="H133" s="8"/>
      <c r="I133" s="8"/>
      <c r="J133" s="8"/>
    </row>
    <row r="134" customFormat="false" ht="15" hidden="false" customHeight="false" outlineLevel="0" collapsed="false">
      <c r="A134" s="8"/>
      <c r="B134" s="18"/>
      <c r="C134" s="8"/>
      <c r="D134" s="8"/>
      <c r="E134" s="8"/>
      <c r="F134" s="8"/>
      <c r="G134" s="8"/>
      <c r="H134" s="8"/>
      <c r="I134" s="8"/>
      <c r="J134" s="8"/>
    </row>
    <row r="135" customFormat="false" ht="15" hidden="false" customHeight="false" outlineLevel="0" collapsed="false">
      <c r="A135" s="8"/>
      <c r="B135" s="18"/>
      <c r="C135" s="8"/>
      <c r="D135" s="8"/>
      <c r="E135" s="8"/>
      <c r="F135" s="8"/>
      <c r="G135" s="8"/>
      <c r="H135" s="8"/>
      <c r="I135" s="8"/>
      <c r="J135" s="8"/>
    </row>
    <row r="136" customFormat="false" ht="15" hidden="false" customHeight="false" outlineLevel="0" collapsed="false">
      <c r="A136" s="8"/>
      <c r="B136" s="18"/>
      <c r="C136" s="8"/>
      <c r="D136" s="8"/>
      <c r="E136" s="8"/>
      <c r="F136" s="8"/>
      <c r="G136" s="8"/>
      <c r="H136" s="8"/>
      <c r="I136" s="8"/>
      <c r="J136" s="8"/>
    </row>
    <row r="137" customFormat="false" ht="15" hidden="false" customHeight="false" outlineLevel="0" collapsed="false">
      <c r="A137" s="8"/>
      <c r="B137" s="18"/>
      <c r="C137" s="8"/>
      <c r="D137" s="8"/>
      <c r="E137" s="8"/>
      <c r="F137" s="8"/>
      <c r="G137" s="8"/>
      <c r="H137" s="8"/>
      <c r="I137" s="8"/>
      <c r="J137" s="8"/>
    </row>
    <row r="138" customFormat="false" ht="15" hidden="false" customHeight="false" outlineLevel="0" collapsed="false">
      <c r="A138" s="8"/>
      <c r="B138" s="18"/>
      <c r="C138" s="8"/>
      <c r="D138" s="8"/>
      <c r="E138" s="8"/>
      <c r="F138" s="8"/>
      <c r="G138" s="8"/>
      <c r="H138" s="8"/>
      <c r="I138" s="8"/>
      <c r="J138" s="8"/>
    </row>
    <row r="139" customFormat="false" ht="15" hidden="false" customHeight="false" outlineLevel="0" collapsed="false">
      <c r="A139" s="8"/>
      <c r="B139" s="18"/>
      <c r="C139" s="8"/>
      <c r="D139" s="8"/>
      <c r="E139" s="8"/>
      <c r="F139" s="8"/>
      <c r="G139" s="8"/>
      <c r="H139" s="8"/>
      <c r="I139" s="8"/>
      <c r="J139" s="8"/>
    </row>
    <row r="140" customFormat="false" ht="15" hidden="false" customHeight="false" outlineLevel="0" collapsed="false">
      <c r="A140" s="8"/>
      <c r="B140" s="18"/>
      <c r="C140" s="8"/>
      <c r="D140" s="8"/>
      <c r="E140" s="8"/>
      <c r="F140" s="8"/>
      <c r="G140" s="8"/>
      <c r="H140" s="8"/>
      <c r="I140" s="8"/>
      <c r="J140" s="8"/>
    </row>
    <row r="141" customFormat="false" ht="15" hidden="false" customHeight="false" outlineLevel="0" collapsed="false">
      <c r="A141" s="8"/>
      <c r="B141" s="18"/>
      <c r="C141" s="8"/>
      <c r="D141" s="8"/>
      <c r="E141" s="8"/>
      <c r="F141" s="8"/>
      <c r="G141" s="8"/>
      <c r="H141" s="8"/>
      <c r="I141" s="8"/>
      <c r="J141" s="8"/>
    </row>
    <row r="142" customFormat="false" ht="15" hidden="false" customHeight="false" outlineLevel="0" collapsed="false">
      <c r="A142" s="8"/>
      <c r="B142" s="18"/>
      <c r="C142" s="8"/>
      <c r="D142" s="8"/>
      <c r="E142" s="8"/>
      <c r="F142" s="8"/>
      <c r="G142" s="8"/>
      <c r="H142" s="8"/>
      <c r="I142" s="8"/>
      <c r="J142" s="8"/>
    </row>
    <row r="143" customFormat="false" ht="15" hidden="false" customHeight="false" outlineLevel="0" collapsed="false">
      <c r="A143" s="8"/>
      <c r="B143" s="18"/>
      <c r="C143" s="8"/>
      <c r="D143" s="8"/>
      <c r="E143" s="8"/>
      <c r="F143" s="8"/>
      <c r="G143" s="8"/>
      <c r="H143" s="8"/>
      <c r="I143" s="8"/>
      <c r="J143" s="8"/>
    </row>
    <row r="144" customFormat="false" ht="15" hidden="false" customHeight="false" outlineLevel="0" collapsed="false">
      <c r="A144" s="8"/>
      <c r="B144" s="18"/>
      <c r="C144" s="8"/>
      <c r="D144" s="8"/>
      <c r="E144" s="8"/>
      <c r="F144" s="8"/>
      <c r="G144" s="8"/>
      <c r="H144" s="8"/>
      <c r="I144" s="8"/>
      <c r="J144" s="8"/>
    </row>
    <row r="145" customFormat="false" ht="15" hidden="false" customHeight="false" outlineLevel="0" collapsed="false">
      <c r="A145" s="8"/>
      <c r="B145" s="18"/>
      <c r="C145" s="8"/>
      <c r="D145" s="8"/>
      <c r="E145" s="8"/>
      <c r="F145" s="8"/>
      <c r="G145" s="8"/>
      <c r="H145" s="8"/>
      <c r="I145" s="8"/>
      <c r="J145" s="8"/>
    </row>
    <row r="146" customFormat="false" ht="15" hidden="false" customHeight="false" outlineLevel="0" collapsed="false">
      <c r="A146" s="8"/>
      <c r="B146" s="18"/>
      <c r="C146" s="8"/>
      <c r="D146" s="8"/>
      <c r="E146" s="8"/>
      <c r="F146" s="8"/>
      <c r="G146" s="8"/>
      <c r="H146" s="8"/>
      <c r="I146" s="8"/>
      <c r="J146" s="8"/>
    </row>
    <row r="147" customFormat="false" ht="15" hidden="false" customHeight="false" outlineLevel="0" collapsed="false">
      <c r="A147" s="8"/>
      <c r="B147" s="18"/>
      <c r="C147" s="8"/>
      <c r="D147" s="8"/>
      <c r="E147" s="8"/>
      <c r="F147" s="8"/>
      <c r="G147" s="8"/>
      <c r="H147" s="8"/>
      <c r="I147" s="8"/>
      <c r="J147" s="8"/>
    </row>
    <row r="148" customFormat="false" ht="15" hidden="false" customHeight="false" outlineLevel="0" collapsed="false">
      <c r="A148" s="8"/>
      <c r="B148" s="18"/>
      <c r="C148" s="8"/>
      <c r="D148" s="8"/>
      <c r="E148" s="8"/>
      <c r="F148" s="8"/>
      <c r="G148" s="8"/>
      <c r="H148" s="8"/>
      <c r="I148" s="8"/>
      <c r="J148" s="8"/>
    </row>
    <row r="149" customFormat="false" ht="15" hidden="false" customHeight="false" outlineLevel="0" collapsed="false">
      <c r="A149" s="8"/>
      <c r="B149" s="18"/>
      <c r="C149" s="8"/>
      <c r="D149" s="8"/>
      <c r="E149" s="8"/>
      <c r="F149" s="8"/>
      <c r="G149" s="8"/>
      <c r="H149" s="8"/>
      <c r="I149" s="8"/>
      <c r="J149" s="8"/>
    </row>
    <row r="150" customFormat="false" ht="15" hidden="false" customHeight="false" outlineLevel="0" collapsed="false">
      <c r="A150" s="8"/>
      <c r="B150" s="18"/>
      <c r="C150" s="8"/>
      <c r="D150" s="8"/>
      <c r="E150" s="8"/>
      <c r="F150" s="8"/>
      <c r="G150" s="8"/>
      <c r="H150" s="8"/>
      <c r="I150" s="8"/>
      <c r="J150" s="8"/>
    </row>
    <row r="151" customFormat="false" ht="15" hidden="false" customHeight="false" outlineLevel="0" collapsed="false">
      <c r="A151" s="8"/>
      <c r="B151" s="18"/>
      <c r="C151" s="8"/>
      <c r="D151" s="8"/>
      <c r="E151" s="8"/>
      <c r="F151" s="8"/>
      <c r="G151" s="8"/>
      <c r="H151" s="8"/>
      <c r="I151" s="8"/>
      <c r="J151" s="8"/>
    </row>
    <row r="152" customFormat="false" ht="15" hidden="false" customHeight="false" outlineLevel="0" collapsed="false">
      <c r="A152" s="8"/>
      <c r="B152" s="18"/>
      <c r="C152" s="8"/>
      <c r="D152" s="8"/>
      <c r="E152" s="8"/>
      <c r="F152" s="8"/>
      <c r="G152" s="8"/>
      <c r="H152" s="8"/>
      <c r="I152" s="8"/>
      <c r="J152" s="8"/>
    </row>
    <row r="153" customFormat="false" ht="15" hidden="false" customHeight="false" outlineLevel="0" collapsed="false">
      <c r="A153" s="8"/>
      <c r="B153" s="18"/>
      <c r="C153" s="8"/>
      <c r="D153" s="8"/>
      <c r="E153" s="8"/>
      <c r="F153" s="8"/>
      <c r="G153" s="8"/>
      <c r="H153" s="8"/>
      <c r="I153" s="8"/>
      <c r="J153" s="8"/>
    </row>
    <row r="154" customFormat="false" ht="15" hidden="false" customHeight="false" outlineLevel="0" collapsed="false">
      <c r="A154" s="8"/>
      <c r="B154" s="18"/>
      <c r="C154" s="8"/>
      <c r="D154" s="8"/>
      <c r="E154" s="8"/>
      <c r="F154" s="8"/>
      <c r="G154" s="8"/>
      <c r="H154" s="8"/>
      <c r="I154" s="8"/>
      <c r="J154" s="8"/>
    </row>
    <row r="155" customFormat="false" ht="15" hidden="false" customHeight="false" outlineLevel="0" collapsed="false">
      <c r="A155" s="8"/>
      <c r="B155" s="18"/>
      <c r="C155" s="8"/>
      <c r="D155" s="8"/>
      <c r="E155" s="8"/>
      <c r="F155" s="8"/>
      <c r="G155" s="8"/>
      <c r="H155" s="8"/>
      <c r="I155" s="8"/>
      <c r="J155" s="8"/>
    </row>
    <row r="156" customFormat="false" ht="15" hidden="false" customHeight="false" outlineLevel="0" collapsed="false">
      <c r="A156" s="8"/>
      <c r="B156" s="18"/>
      <c r="C156" s="8"/>
      <c r="D156" s="8"/>
      <c r="E156" s="8"/>
      <c r="F156" s="8"/>
      <c r="G156" s="8"/>
      <c r="H156" s="8"/>
      <c r="I156" s="8"/>
      <c r="J156" s="8"/>
    </row>
    <row r="157" customFormat="false" ht="15" hidden="false" customHeight="false" outlineLevel="0" collapsed="false">
      <c r="A157" s="8"/>
      <c r="B157" s="18"/>
      <c r="C157" s="8"/>
      <c r="D157" s="8"/>
      <c r="E157" s="8"/>
      <c r="F157" s="8"/>
      <c r="G157" s="8"/>
      <c r="H157" s="8"/>
      <c r="I157" s="8"/>
      <c r="J157" s="8"/>
    </row>
    <row r="158" customFormat="false" ht="15" hidden="false" customHeight="false" outlineLevel="0" collapsed="false">
      <c r="A158" s="8"/>
      <c r="B158" s="18"/>
      <c r="C158" s="8"/>
      <c r="D158" s="8"/>
      <c r="E158" s="8"/>
      <c r="F158" s="8"/>
      <c r="G158" s="8"/>
      <c r="H158" s="8"/>
      <c r="I158" s="8"/>
      <c r="J158" s="8"/>
    </row>
    <row r="159" customFormat="false" ht="15" hidden="false" customHeight="false" outlineLevel="0" collapsed="false">
      <c r="A159" s="8"/>
      <c r="B159" s="18"/>
      <c r="C159" s="8"/>
      <c r="D159" s="8"/>
      <c r="E159" s="8"/>
      <c r="F159" s="8"/>
      <c r="G159" s="8"/>
      <c r="H159" s="8"/>
      <c r="I159" s="8"/>
      <c r="J159" s="8"/>
    </row>
    <row r="160" customFormat="false" ht="15" hidden="false" customHeight="false" outlineLevel="0" collapsed="false">
      <c r="A160" s="8"/>
      <c r="B160" s="18"/>
      <c r="C160" s="8"/>
      <c r="D160" s="8"/>
      <c r="E160" s="8"/>
      <c r="F160" s="8"/>
      <c r="G160" s="8"/>
      <c r="H160" s="8"/>
      <c r="I160" s="8"/>
      <c r="J160" s="8"/>
    </row>
    <row r="161" customFormat="false" ht="15" hidden="false" customHeight="false" outlineLevel="0" collapsed="false">
      <c r="A161" s="8"/>
      <c r="B161" s="18"/>
      <c r="C161" s="8"/>
      <c r="D161" s="8"/>
      <c r="E161" s="8"/>
      <c r="F161" s="8"/>
      <c r="G161" s="8"/>
      <c r="H161" s="8"/>
      <c r="I161" s="8"/>
      <c r="J161" s="8"/>
    </row>
    <row r="162" customFormat="false" ht="15" hidden="false" customHeight="false" outlineLevel="0" collapsed="false">
      <c r="A162" s="8"/>
      <c r="B162" s="18"/>
      <c r="C162" s="8"/>
      <c r="D162" s="8"/>
      <c r="E162" s="8"/>
      <c r="F162" s="8"/>
      <c r="G162" s="8"/>
      <c r="H162" s="8"/>
      <c r="I162" s="8"/>
      <c r="J162" s="8"/>
    </row>
    <row r="163" customFormat="false" ht="15" hidden="false" customHeight="false" outlineLevel="0" collapsed="false">
      <c r="A163" s="8"/>
      <c r="B163" s="18"/>
      <c r="C163" s="8"/>
      <c r="D163" s="8"/>
      <c r="E163" s="8"/>
      <c r="F163" s="8"/>
      <c r="G163" s="8"/>
      <c r="H163" s="8"/>
      <c r="I163" s="8"/>
      <c r="J163" s="8"/>
    </row>
    <row r="164" customFormat="false" ht="15" hidden="false" customHeight="false" outlineLevel="0" collapsed="false">
      <c r="A164" s="8"/>
      <c r="B164" s="18"/>
      <c r="C164" s="8"/>
      <c r="D164" s="8"/>
      <c r="E164" s="8"/>
      <c r="F164" s="8"/>
      <c r="G164" s="8"/>
      <c r="H164" s="8"/>
      <c r="I164" s="8"/>
      <c r="J164" s="8"/>
    </row>
    <row r="165" customFormat="false" ht="15" hidden="false" customHeight="false" outlineLevel="0" collapsed="false">
      <c r="A165" s="8"/>
      <c r="B165" s="18"/>
      <c r="C165" s="8"/>
      <c r="D165" s="8"/>
      <c r="E165" s="8"/>
      <c r="F165" s="8"/>
      <c r="G165" s="8"/>
      <c r="H165" s="8"/>
      <c r="I165" s="8"/>
      <c r="J165" s="8"/>
    </row>
    <row r="166" customFormat="false" ht="15" hidden="false" customHeight="false" outlineLevel="0" collapsed="false">
      <c r="A166" s="8"/>
      <c r="B166" s="18"/>
      <c r="C166" s="8"/>
      <c r="D166" s="8"/>
      <c r="E166" s="8"/>
      <c r="F166" s="8"/>
      <c r="G166" s="8"/>
      <c r="H166" s="8"/>
      <c r="I166" s="8"/>
      <c r="J166" s="8"/>
    </row>
    <row r="167" customFormat="false" ht="15" hidden="false" customHeight="false" outlineLevel="0" collapsed="false">
      <c r="A167" s="8"/>
      <c r="B167" s="18"/>
      <c r="C167" s="8"/>
      <c r="D167" s="8"/>
      <c r="E167" s="8"/>
      <c r="F167" s="8"/>
      <c r="G167" s="8"/>
      <c r="H167" s="8"/>
      <c r="I167" s="8"/>
      <c r="J167" s="8"/>
    </row>
    <row r="168" customFormat="false" ht="15" hidden="false" customHeight="false" outlineLevel="0" collapsed="false">
      <c r="A168" s="8"/>
      <c r="B168" s="18"/>
      <c r="C168" s="8"/>
      <c r="D168" s="8"/>
      <c r="E168" s="8"/>
      <c r="F168" s="8"/>
      <c r="G168" s="8"/>
      <c r="H168" s="8"/>
      <c r="I168" s="8"/>
      <c r="J168" s="8"/>
    </row>
    <row r="169" customFormat="false" ht="15" hidden="false" customHeight="false" outlineLevel="0" collapsed="false">
      <c r="A169" s="8"/>
      <c r="B169" s="18"/>
      <c r="C169" s="8"/>
      <c r="D169" s="8"/>
      <c r="E169" s="8"/>
      <c r="F169" s="8"/>
      <c r="G169" s="8"/>
      <c r="H169" s="8"/>
      <c r="I169" s="8"/>
      <c r="J169" s="8"/>
    </row>
    <row r="170" customFormat="false" ht="15" hidden="false" customHeight="false" outlineLevel="0" collapsed="false">
      <c r="A170" s="8"/>
      <c r="B170" s="18"/>
      <c r="C170" s="8"/>
      <c r="D170" s="8"/>
      <c r="E170" s="8"/>
      <c r="F170" s="8"/>
      <c r="G170" s="8"/>
      <c r="H170" s="8"/>
      <c r="I170" s="8"/>
      <c r="J170" s="8"/>
    </row>
    <row r="171" customFormat="false" ht="15" hidden="false" customHeight="false" outlineLevel="0" collapsed="false">
      <c r="A171" s="8"/>
      <c r="B171" s="18"/>
      <c r="C171" s="8"/>
      <c r="D171" s="8"/>
      <c r="E171" s="8"/>
      <c r="F171" s="8"/>
      <c r="G171" s="8"/>
      <c r="H171" s="8"/>
      <c r="I171" s="8"/>
      <c r="J171" s="8"/>
    </row>
    <row r="172" customFormat="false" ht="15" hidden="false" customHeight="false" outlineLevel="0" collapsed="false">
      <c r="A172" s="8"/>
      <c r="B172" s="18"/>
      <c r="C172" s="8"/>
      <c r="D172" s="8"/>
      <c r="E172" s="8"/>
      <c r="F172" s="8"/>
      <c r="G172" s="8"/>
      <c r="H172" s="8"/>
      <c r="I172" s="8"/>
      <c r="J172" s="8"/>
    </row>
    <row r="173" customFormat="false" ht="15" hidden="false" customHeight="false" outlineLevel="0" collapsed="false">
      <c r="A173" s="8"/>
      <c r="B173" s="18"/>
      <c r="C173" s="8"/>
      <c r="D173" s="8"/>
      <c r="E173" s="8"/>
      <c r="F173" s="8"/>
      <c r="G173" s="8"/>
      <c r="H173" s="8"/>
      <c r="I173" s="8"/>
      <c r="J173" s="8"/>
    </row>
    <row r="174" customFormat="false" ht="15" hidden="false" customHeight="false" outlineLevel="0" collapsed="false">
      <c r="A174" s="8"/>
      <c r="B174" s="18"/>
      <c r="C174" s="8"/>
      <c r="D174" s="8"/>
      <c r="E174" s="8"/>
      <c r="F174" s="8"/>
      <c r="G174" s="8"/>
      <c r="H174" s="8"/>
      <c r="I174" s="8"/>
      <c r="J174" s="8"/>
    </row>
    <row r="175" customFormat="false" ht="15" hidden="false" customHeight="false" outlineLevel="0" collapsed="false">
      <c r="A175" s="8"/>
      <c r="B175" s="18"/>
      <c r="C175" s="8"/>
      <c r="D175" s="8"/>
      <c r="E175" s="8"/>
      <c r="F175" s="8"/>
      <c r="G175" s="8"/>
      <c r="H175" s="8"/>
      <c r="I175" s="8"/>
      <c r="J175" s="8"/>
    </row>
    <row r="176" customFormat="false" ht="15" hidden="false" customHeight="false" outlineLevel="0" collapsed="false">
      <c r="A176" s="8"/>
      <c r="B176" s="18"/>
      <c r="C176" s="8"/>
      <c r="D176" s="8"/>
      <c r="E176" s="8"/>
      <c r="F176" s="8"/>
      <c r="G176" s="8"/>
      <c r="H176" s="8"/>
      <c r="I176" s="8"/>
      <c r="J176" s="8"/>
    </row>
    <row r="177" customFormat="false" ht="15" hidden="false" customHeight="false" outlineLevel="0" collapsed="false">
      <c r="A177" s="8"/>
      <c r="B177" s="18"/>
      <c r="C177" s="8"/>
      <c r="D177" s="8"/>
      <c r="E177" s="8"/>
      <c r="F177" s="8"/>
      <c r="G177" s="8"/>
      <c r="H177" s="8"/>
      <c r="I177" s="8"/>
      <c r="J177" s="8"/>
    </row>
    <row r="178" customFormat="false" ht="15" hidden="false" customHeight="false" outlineLevel="0" collapsed="false">
      <c r="A178" s="8"/>
      <c r="B178" s="18"/>
      <c r="C178" s="8"/>
      <c r="D178" s="8"/>
      <c r="E178" s="8"/>
      <c r="F178" s="8"/>
      <c r="G178" s="8"/>
      <c r="H178" s="8"/>
      <c r="I178" s="8"/>
      <c r="J178" s="8"/>
    </row>
    <row r="179" customFormat="false" ht="15" hidden="false" customHeight="false" outlineLevel="0" collapsed="false">
      <c r="A179" s="8"/>
      <c r="B179" s="18"/>
      <c r="C179" s="8"/>
      <c r="D179" s="8"/>
      <c r="E179" s="8"/>
      <c r="F179" s="8"/>
      <c r="G179" s="8"/>
      <c r="H179" s="8"/>
      <c r="I179" s="8"/>
      <c r="J179" s="8"/>
    </row>
    <row r="180" customFormat="false" ht="15" hidden="false" customHeight="false" outlineLevel="0" collapsed="false">
      <c r="A180" s="8"/>
      <c r="B180" s="18"/>
      <c r="C180" s="8"/>
      <c r="D180" s="8"/>
      <c r="E180" s="8"/>
      <c r="F180" s="8"/>
      <c r="G180" s="8"/>
      <c r="H180" s="8"/>
      <c r="I180" s="8"/>
      <c r="J180" s="8"/>
    </row>
    <row r="181" customFormat="false" ht="15" hidden="false" customHeight="false" outlineLevel="0" collapsed="false">
      <c r="A181" s="8"/>
      <c r="B181" s="18"/>
      <c r="C181" s="8"/>
      <c r="D181" s="8"/>
      <c r="E181" s="8"/>
      <c r="F181" s="8"/>
      <c r="G181" s="8"/>
      <c r="H181" s="8"/>
      <c r="I181" s="8"/>
      <c r="J181" s="8"/>
    </row>
    <row r="182" customFormat="false" ht="15" hidden="false" customHeight="false" outlineLevel="0" collapsed="false">
      <c r="A182" s="8"/>
      <c r="B182" s="18"/>
      <c r="C182" s="8"/>
      <c r="D182" s="8"/>
      <c r="E182" s="8"/>
      <c r="F182" s="8"/>
      <c r="G182" s="8"/>
      <c r="H182" s="8"/>
      <c r="I182" s="8"/>
      <c r="J182" s="8"/>
    </row>
    <row r="183" customFormat="false" ht="15" hidden="false" customHeight="false" outlineLevel="0" collapsed="false">
      <c r="A183" s="8"/>
      <c r="B183" s="18"/>
      <c r="C183" s="8"/>
      <c r="D183" s="8"/>
      <c r="E183" s="8"/>
      <c r="F183" s="8"/>
      <c r="G183" s="8"/>
      <c r="H183" s="8"/>
      <c r="I183" s="8"/>
      <c r="J183" s="8"/>
    </row>
    <row r="184" customFormat="false" ht="15" hidden="false" customHeight="false" outlineLevel="0" collapsed="false">
      <c r="A184" s="8"/>
      <c r="B184" s="18"/>
      <c r="C184" s="8"/>
      <c r="D184" s="8"/>
      <c r="E184" s="8"/>
      <c r="F184" s="8"/>
      <c r="G184" s="8"/>
      <c r="H184" s="8"/>
      <c r="I184" s="8"/>
      <c r="J184" s="8"/>
    </row>
    <row r="185" customFormat="false" ht="15" hidden="false" customHeight="false" outlineLevel="0" collapsed="false">
      <c r="A185" s="8"/>
      <c r="B185" s="18"/>
      <c r="C185" s="8"/>
      <c r="D185" s="8"/>
      <c r="E185" s="8"/>
      <c r="F185" s="8"/>
      <c r="G185" s="8"/>
      <c r="H185" s="8"/>
      <c r="I185" s="8"/>
      <c r="J185" s="8"/>
    </row>
    <row r="186" customFormat="false" ht="15" hidden="false" customHeight="false" outlineLevel="0" collapsed="false">
      <c r="A186" s="8"/>
      <c r="B186" s="18"/>
      <c r="C186" s="8"/>
      <c r="D186" s="8"/>
      <c r="E186" s="8"/>
      <c r="F186" s="8"/>
      <c r="G186" s="8"/>
      <c r="H186" s="8"/>
      <c r="I186" s="8"/>
      <c r="J186" s="8"/>
    </row>
    <row r="187" customFormat="false" ht="15" hidden="false" customHeight="false" outlineLevel="0" collapsed="false">
      <c r="A187" s="8"/>
      <c r="B187" s="18"/>
      <c r="C187" s="8"/>
      <c r="D187" s="8"/>
      <c r="E187" s="8"/>
      <c r="F187" s="8"/>
      <c r="G187" s="8"/>
      <c r="H187" s="8"/>
      <c r="I187" s="8"/>
      <c r="J187" s="8"/>
    </row>
    <row r="188" customFormat="false" ht="15" hidden="false" customHeight="false" outlineLevel="0" collapsed="false">
      <c r="A188" s="8"/>
      <c r="B188" s="18"/>
      <c r="C188" s="8"/>
      <c r="D188" s="8"/>
      <c r="E188" s="8"/>
      <c r="F188" s="8"/>
      <c r="G188" s="8"/>
      <c r="H188" s="8"/>
      <c r="I188" s="8"/>
      <c r="J188" s="8"/>
    </row>
    <row r="189" customFormat="false" ht="15" hidden="false" customHeight="false" outlineLevel="0" collapsed="false">
      <c r="A189" s="8"/>
      <c r="B189" s="18"/>
      <c r="C189" s="8"/>
      <c r="D189" s="8"/>
      <c r="E189" s="8"/>
      <c r="F189" s="8"/>
      <c r="G189" s="8"/>
      <c r="H189" s="8"/>
      <c r="I189" s="8"/>
      <c r="J189" s="8"/>
    </row>
    <row r="190" customFormat="false" ht="15" hidden="false" customHeight="false" outlineLevel="0" collapsed="false">
      <c r="A190" s="8"/>
      <c r="B190" s="18"/>
      <c r="C190" s="8"/>
      <c r="D190" s="8"/>
      <c r="E190" s="8"/>
      <c r="F190" s="8"/>
      <c r="G190" s="8"/>
      <c r="H190" s="8"/>
      <c r="I190" s="8"/>
      <c r="J190" s="8"/>
    </row>
    <row r="191" customFormat="false" ht="15" hidden="false" customHeight="false" outlineLevel="0" collapsed="false">
      <c r="A191" s="8"/>
      <c r="B191" s="18"/>
      <c r="C191" s="8"/>
      <c r="D191" s="8"/>
      <c r="E191" s="8"/>
      <c r="F191" s="8"/>
      <c r="G191" s="8"/>
      <c r="H191" s="8"/>
      <c r="I191" s="8"/>
      <c r="J191" s="8"/>
    </row>
    <row r="192" customFormat="false" ht="15" hidden="false" customHeight="false" outlineLevel="0" collapsed="false">
      <c r="A192" s="8"/>
      <c r="B192" s="18"/>
      <c r="C192" s="8"/>
      <c r="D192" s="8"/>
      <c r="E192" s="8"/>
      <c r="F192" s="8"/>
      <c r="G192" s="8"/>
      <c r="H192" s="8"/>
      <c r="I192" s="8"/>
      <c r="J192" s="8"/>
    </row>
    <row r="193" customFormat="false" ht="15" hidden="false" customHeight="false" outlineLevel="0" collapsed="false">
      <c r="A193" s="8"/>
      <c r="B193" s="18"/>
      <c r="C193" s="8"/>
      <c r="D193" s="8"/>
      <c r="E193" s="8"/>
      <c r="F193" s="8"/>
      <c r="G193" s="8"/>
      <c r="H193" s="8"/>
      <c r="I193" s="8"/>
      <c r="J193" s="8"/>
    </row>
    <row r="194" customFormat="false" ht="15" hidden="false" customHeight="false" outlineLevel="0" collapsed="false">
      <c r="A194" s="8"/>
      <c r="B194" s="18"/>
      <c r="C194" s="8"/>
      <c r="D194" s="8"/>
      <c r="E194" s="8"/>
      <c r="F194" s="8"/>
      <c r="G194" s="8"/>
      <c r="H194" s="8"/>
      <c r="I194" s="8"/>
      <c r="J194" s="8"/>
    </row>
    <row r="195" customFormat="false" ht="15" hidden="false" customHeight="false" outlineLevel="0" collapsed="false">
      <c r="A195" s="8"/>
      <c r="B195" s="18"/>
      <c r="C195" s="8"/>
      <c r="D195" s="8"/>
      <c r="E195" s="8"/>
      <c r="F195" s="8"/>
      <c r="G195" s="8"/>
      <c r="H195" s="8"/>
      <c r="I195" s="8"/>
      <c r="J195" s="8"/>
    </row>
    <row r="196" customFormat="false" ht="15" hidden="false" customHeight="false" outlineLevel="0" collapsed="false">
      <c r="A196" s="8"/>
      <c r="B196" s="18"/>
      <c r="C196" s="8"/>
      <c r="D196" s="8"/>
      <c r="E196" s="8"/>
      <c r="F196" s="8"/>
      <c r="G196" s="8"/>
      <c r="H196" s="8"/>
      <c r="I196" s="8"/>
      <c r="J196" s="8"/>
    </row>
    <row r="197" customFormat="false" ht="15" hidden="false" customHeight="false" outlineLevel="0" collapsed="false">
      <c r="A197" s="8"/>
      <c r="B197" s="18"/>
      <c r="C197" s="8"/>
      <c r="D197" s="8"/>
      <c r="E197" s="8"/>
      <c r="F197" s="8"/>
      <c r="G197" s="8"/>
      <c r="H197" s="8"/>
      <c r="I197" s="8"/>
      <c r="J197" s="8"/>
    </row>
    <row r="198" customFormat="false" ht="15" hidden="false" customHeight="false" outlineLevel="0" collapsed="false">
      <c r="A198" s="8"/>
      <c r="B198" s="18"/>
      <c r="C198" s="8"/>
      <c r="D198" s="8"/>
      <c r="E198" s="8"/>
      <c r="F198" s="8"/>
      <c r="G198" s="8"/>
      <c r="H198" s="8"/>
      <c r="I198" s="8"/>
      <c r="J198" s="8"/>
    </row>
    <row r="199" customFormat="false" ht="15" hidden="false" customHeight="false" outlineLevel="0" collapsed="false">
      <c r="A199" s="8"/>
      <c r="B199" s="18"/>
      <c r="C199" s="8"/>
      <c r="D199" s="8"/>
      <c r="E199" s="8"/>
      <c r="F199" s="8"/>
      <c r="G199" s="8"/>
      <c r="H199" s="8"/>
      <c r="I199" s="8"/>
      <c r="J199" s="8"/>
    </row>
    <row r="200" customFormat="false" ht="15" hidden="false" customHeight="false" outlineLevel="0" collapsed="false">
      <c r="A200" s="8"/>
      <c r="B200" s="18"/>
      <c r="C200" s="8"/>
      <c r="D200" s="8"/>
      <c r="E200" s="8"/>
      <c r="F200" s="8"/>
      <c r="G200" s="8"/>
      <c r="H200" s="8"/>
      <c r="I200" s="8"/>
      <c r="J200" s="8"/>
    </row>
    <row r="201" customFormat="false" ht="15" hidden="false" customHeight="false" outlineLevel="0" collapsed="false">
      <c r="A201" s="8"/>
      <c r="B201" s="18"/>
      <c r="C201" s="8"/>
      <c r="D201" s="8"/>
      <c r="E201" s="8"/>
      <c r="F201" s="8"/>
      <c r="G201" s="8"/>
      <c r="H201" s="8"/>
      <c r="I201" s="8"/>
      <c r="J201" s="8"/>
    </row>
    <row r="202" customFormat="false" ht="15" hidden="false" customHeight="false" outlineLevel="0" collapsed="false">
      <c r="A202" s="8"/>
      <c r="B202" s="18"/>
      <c r="C202" s="8"/>
      <c r="D202" s="8"/>
      <c r="E202" s="8"/>
      <c r="F202" s="8"/>
      <c r="G202" s="8"/>
      <c r="H202" s="8"/>
      <c r="I202" s="8"/>
      <c r="J202" s="8"/>
    </row>
    <row r="203" customFormat="false" ht="15" hidden="false" customHeight="false" outlineLevel="0" collapsed="false">
      <c r="A203" s="8"/>
      <c r="B203" s="18"/>
      <c r="C203" s="8"/>
      <c r="D203" s="8"/>
      <c r="E203" s="8"/>
      <c r="F203" s="8"/>
      <c r="G203" s="8"/>
      <c r="H203" s="8"/>
      <c r="I203" s="8"/>
      <c r="J203" s="8"/>
    </row>
    <row r="204" customFormat="false" ht="15" hidden="false" customHeight="false" outlineLevel="0" collapsed="false">
      <c r="A204" s="8"/>
      <c r="B204" s="18"/>
      <c r="C204" s="8"/>
      <c r="D204" s="8"/>
      <c r="E204" s="8"/>
      <c r="F204" s="8"/>
      <c r="G204" s="8"/>
      <c r="H204" s="8"/>
      <c r="I204" s="8"/>
      <c r="J204" s="8"/>
    </row>
    <row r="205" customFormat="false" ht="15" hidden="false" customHeight="false" outlineLevel="0" collapsed="false">
      <c r="A205" s="8"/>
      <c r="B205" s="18"/>
      <c r="C205" s="8"/>
      <c r="D205" s="8"/>
      <c r="E205" s="8"/>
      <c r="F205" s="8"/>
      <c r="G205" s="8"/>
      <c r="H205" s="8"/>
      <c r="I205" s="8"/>
      <c r="J205" s="8"/>
    </row>
    <row r="206" customFormat="false" ht="15" hidden="false" customHeight="false" outlineLevel="0" collapsed="false">
      <c r="A206" s="8"/>
      <c r="B206" s="18"/>
      <c r="C206" s="8"/>
      <c r="D206" s="8"/>
      <c r="E206" s="8"/>
      <c r="F206" s="8"/>
      <c r="G206" s="8"/>
      <c r="H206" s="8"/>
      <c r="I206" s="8"/>
      <c r="J206" s="8"/>
    </row>
    <row r="207" customFormat="false" ht="15" hidden="false" customHeight="false" outlineLevel="0" collapsed="false">
      <c r="A207" s="8"/>
      <c r="B207" s="18"/>
      <c r="C207" s="8"/>
      <c r="D207" s="8"/>
      <c r="E207" s="8"/>
      <c r="F207" s="8"/>
      <c r="G207" s="8"/>
      <c r="H207" s="8"/>
      <c r="I207" s="8"/>
      <c r="J207" s="8"/>
    </row>
    <row r="208" customFormat="false" ht="15" hidden="false" customHeight="false" outlineLevel="0" collapsed="false">
      <c r="A208" s="8"/>
      <c r="B208" s="18"/>
      <c r="C208" s="8"/>
      <c r="D208" s="8"/>
      <c r="E208" s="8"/>
      <c r="F208" s="8"/>
      <c r="G208" s="8"/>
      <c r="H208" s="8"/>
      <c r="I208" s="8"/>
      <c r="J208" s="8"/>
    </row>
    <row r="209" customFormat="false" ht="15" hidden="false" customHeight="false" outlineLevel="0" collapsed="false">
      <c r="A209" s="8"/>
      <c r="B209" s="18"/>
      <c r="C209" s="8"/>
      <c r="D209" s="8"/>
      <c r="E209" s="8"/>
      <c r="F209" s="8"/>
      <c r="G209" s="8"/>
      <c r="H209" s="8"/>
      <c r="I209" s="8"/>
      <c r="J209" s="8"/>
    </row>
    <row r="210" customFormat="false" ht="15" hidden="false" customHeight="false" outlineLevel="0" collapsed="false">
      <c r="A210" s="8"/>
      <c r="B210" s="18"/>
      <c r="C210" s="8"/>
      <c r="D210" s="8"/>
      <c r="E210" s="8"/>
      <c r="F210" s="8"/>
      <c r="G210" s="8"/>
      <c r="H210" s="8"/>
      <c r="I210" s="8"/>
      <c r="J210" s="8"/>
    </row>
    <row r="211" customFormat="false" ht="15" hidden="false" customHeight="false" outlineLevel="0" collapsed="false">
      <c r="A211" s="8"/>
      <c r="B211" s="18"/>
      <c r="C211" s="8"/>
      <c r="D211" s="8"/>
      <c r="E211" s="8"/>
      <c r="F211" s="8"/>
      <c r="G211" s="8"/>
      <c r="H211" s="8"/>
      <c r="I211" s="8"/>
      <c r="J211" s="8"/>
    </row>
    <row r="212" customFormat="false" ht="15" hidden="false" customHeight="false" outlineLevel="0" collapsed="false">
      <c r="A212" s="8"/>
      <c r="B212" s="18"/>
      <c r="C212" s="8"/>
      <c r="D212" s="8"/>
      <c r="E212" s="8"/>
      <c r="F212" s="8"/>
      <c r="G212" s="8"/>
      <c r="H212" s="8"/>
      <c r="I212" s="8"/>
      <c r="J212" s="8"/>
    </row>
    <row r="213" customFormat="false" ht="15" hidden="false" customHeight="false" outlineLevel="0" collapsed="false">
      <c r="A213" s="8"/>
      <c r="B213" s="18"/>
      <c r="C213" s="8"/>
      <c r="D213" s="8"/>
      <c r="E213" s="8"/>
      <c r="F213" s="8"/>
      <c r="G213" s="8"/>
      <c r="H213" s="8"/>
      <c r="I213" s="8"/>
      <c r="J213" s="8"/>
    </row>
    <row r="214" customFormat="false" ht="15" hidden="false" customHeight="false" outlineLevel="0" collapsed="false">
      <c r="A214" s="8"/>
      <c r="B214" s="18"/>
      <c r="C214" s="8"/>
      <c r="D214" s="8"/>
      <c r="E214" s="8"/>
      <c r="F214" s="8"/>
      <c r="G214" s="8"/>
      <c r="H214" s="8"/>
      <c r="I214" s="8"/>
      <c r="J214" s="8"/>
    </row>
    <row r="215" customFormat="false" ht="15" hidden="false" customHeight="false" outlineLevel="0" collapsed="false">
      <c r="A215" s="8"/>
      <c r="B215" s="18"/>
      <c r="C215" s="8"/>
      <c r="D215" s="8"/>
      <c r="E215" s="8"/>
      <c r="F215" s="8"/>
      <c r="G215" s="8"/>
      <c r="H215" s="8"/>
      <c r="I215" s="8"/>
      <c r="J215" s="8"/>
    </row>
    <row r="216" customFormat="false" ht="15" hidden="false" customHeight="false" outlineLevel="0" collapsed="false">
      <c r="A216" s="8"/>
      <c r="B216" s="18"/>
      <c r="C216" s="8"/>
      <c r="D216" s="8"/>
      <c r="E216" s="8"/>
      <c r="F216" s="8"/>
      <c r="G216" s="8"/>
      <c r="H216" s="8"/>
      <c r="I216" s="8"/>
      <c r="J216" s="8"/>
    </row>
    <row r="217" customFormat="false" ht="15" hidden="false" customHeight="false" outlineLevel="0" collapsed="false">
      <c r="A217" s="8"/>
      <c r="B217" s="18"/>
      <c r="C217" s="8"/>
      <c r="D217" s="8"/>
      <c r="E217" s="8"/>
      <c r="F217" s="8"/>
      <c r="G217" s="8"/>
      <c r="H217" s="8"/>
      <c r="I217" s="8"/>
      <c r="J217" s="8"/>
    </row>
    <row r="218" customFormat="false" ht="15" hidden="false" customHeight="false" outlineLevel="0" collapsed="false">
      <c r="A218" s="8"/>
      <c r="B218" s="18"/>
      <c r="C218" s="8"/>
      <c r="D218" s="8"/>
      <c r="E218" s="8"/>
      <c r="F218" s="8"/>
      <c r="G218" s="8"/>
      <c r="H218" s="8"/>
      <c r="I218" s="8"/>
      <c r="J218" s="8"/>
    </row>
    <row r="219" customFormat="false" ht="15" hidden="false" customHeight="false" outlineLevel="0" collapsed="false">
      <c r="A219" s="8"/>
      <c r="B219" s="18"/>
      <c r="C219" s="8"/>
      <c r="D219" s="8"/>
      <c r="E219" s="8"/>
      <c r="F219" s="8"/>
      <c r="G219" s="8"/>
      <c r="H219" s="8"/>
      <c r="I219" s="8"/>
      <c r="J219" s="8"/>
    </row>
    <row r="220" customFormat="false" ht="15" hidden="false" customHeight="false" outlineLevel="0" collapsed="false">
      <c r="A220" s="8"/>
      <c r="B220" s="18"/>
      <c r="C220" s="8"/>
      <c r="D220" s="8"/>
      <c r="E220" s="8"/>
      <c r="F220" s="8"/>
      <c r="G220" s="8"/>
      <c r="H220" s="8"/>
      <c r="I220" s="8"/>
      <c r="J220" s="8"/>
    </row>
    <row r="221" customFormat="false" ht="15" hidden="false" customHeight="false" outlineLevel="0" collapsed="false">
      <c r="A221" s="8"/>
      <c r="B221" s="18"/>
      <c r="C221" s="8"/>
      <c r="D221" s="8"/>
      <c r="E221" s="8"/>
      <c r="F221" s="8"/>
      <c r="G221" s="8"/>
      <c r="H221" s="8"/>
      <c r="I221" s="8"/>
      <c r="J221" s="8"/>
    </row>
    <row r="222" customFormat="false" ht="15" hidden="false" customHeight="false" outlineLevel="0" collapsed="false">
      <c r="A222" s="8"/>
      <c r="B222" s="18"/>
      <c r="C222" s="8"/>
      <c r="D222" s="8"/>
      <c r="E222" s="8"/>
      <c r="F222" s="8"/>
      <c r="G222" s="8"/>
      <c r="H222" s="8"/>
      <c r="I222" s="8"/>
      <c r="J222" s="8"/>
    </row>
    <row r="223" customFormat="false" ht="15" hidden="false" customHeight="false" outlineLevel="0" collapsed="false">
      <c r="A223" s="8"/>
      <c r="B223" s="18"/>
      <c r="C223" s="8"/>
      <c r="D223" s="8"/>
      <c r="E223" s="8"/>
      <c r="F223" s="8"/>
      <c r="G223" s="8"/>
      <c r="H223" s="8"/>
      <c r="I223" s="8"/>
      <c r="J223" s="8"/>
    </row>
    <row r="224" customFormat="false" ht="15" hidden="false" customHeight="false" outlineLevel="0" collapsed="false">
      <c r="A224" s="8"/>
      <c r="B224" s="18"/>
      <c r="C224" s="8"/>
      <c r="D224" s="8"/>
      <c r="E224" s="8"/>
      <c r="F224" s="8"/>
      <c r="G224" s="8"/>
      <c r="H224" s="8"/>
      <c r="I224" s="8"/>
      <c r="J224" s="8"/>
    </row>
    <row r="225" customFormat="false" ht="15" hidden="false" customHeight="false" outlineLevel="0" collapsed="false">
      <c r="A225" s="8"/>
      <c r="B225" s="18"/>
      <c r="C225" s="8"/>
      <c r="D225" s="8"/>
      <c r="E225" s="8"/>
      <c r="F225" s="8"/>
      <c r="G225" s="8"/>
      <c r="H225" s="8"/>
      <c r="I225" s="8"/>
      <c r="J225" s="8"/>
    </row>
    <row r="226" customFormat="false" ht="15" hidden="false" customHeight="false" outlineLevel="0" collapsed="false">
      <c r="A226" s="8"/>
      <c r="B226" s="18"/>
      <c r="C226" s="8"/>
      <c r="D226" s="8"/>
      <c r="E226" s="8"/>
      <c r="F226" s="8"/>
      <c r="G226" s="8"/>
      <c r="H226" s="8"/>
      <c r="I226" s="8"/>
      <c r="J226" s="8"/>
    </row>
    <row r="227" customFormat="false" ht="15" hidden="false" customHeight="false" outlineLevel="0" collapsed="false">
      <c r="A227" s="8"/>
      <c r="B227" s="18"/>
      <c r="C227" s="8"/>
      <c r="D227" s="8"/>
      <c r="E227" s="8"/>
      <c r="F227" s="8"/>
      <c r="G227" s="8"/>
      <c r="H227" s="8"/>
      <c r="I227" s="8"/>
      <c r="J227" s="8"/>
    </row>
    <row r="228" customFormat="false" ht="15" hidden="false" customHeight="false" outlineLevel="0" collapsed="false">
      <c r="A228" s="8"/>
      <c r="B228" s="18"/>
      <c r="C228" s="8"/>
      <c r="D228" s="8"/>
      <c r="E228" s="8"/>
      <c r="F228" s="8"/>
      <c r="G228" s="8"/>
      <c r="H228" s="8"/>
      <c r="I228" s="8"/>
      <c r="J228" s="8"/>
    </row>
    <row r="229" customFormat="false" ht="15" hidden="false" customHeight="false" outlineLevel="0" collapsed="false">
      <c r="A229" s="8"/>
      <c r="B229" s="18"/>
      <c r="C229" s="8"/>
      <c r="D229" s="8"/>
      <c r="E229" s="8"/>
      <c r="F229" s="8"/>
      <c r="G229" s="8"/>
      <c r="H229" s="8"/>
      <c r="I229" s="8"/>
      <c r="J229" s="8"/>
    </row>
    <row r="230" customFormat="false" ht="15" hidden="false" customHeight="false" outlineLevel="0" collapsed="false">
      <c r="A230" s="8"/>
      <c r="B230" s="18"/>
      <c r="C230" s="8"/>
      <c r="D230" s="8"/>
      <c r="E230" s="8"/>
      <c r="F230" s="8"/>
      <c r="G230" s="8"/>
      <c r="H230" s="8"/>
      <c r="I230" s="8"/>
      <c r="J230" s="8"/>
    </row>
    <row r="231" customFormat="false" ht="15" hidden="false" customHeight="false" outlineLevel="0" collapsed="false">
      <c r="A231" s="8"/>
      <c r="B231" s="18"/>
      <c r="C231" s="8"/>
      <c r="D231" s="8"/>
      <c r="E231" s="8"/>
      <c r="F231" s="8"/>
      <c r="G231" s="8"/>
      <c r="H231" s="8"/>
      <c r="I231" s="8"/>
      <c r="J231" s="8"/>
    </row>
    <row r="232" customFormat="false" ht="15" hidden="false" customHeight="false" outlineLevel="0" collapsed="false">
      <c r="A232" s="8"/>
      <c r="B232" s="18"/>
      <c r="C232" s="8"/>
      <c r="D232" s="8"/>
      <c r="E232" s="8"/>
      <c r="F232" s="8"/>
      <c r="G232" s="8"/>
      <c r="H232" s="8"/>
      <c r="I232" s="8"/>
      <c r="J232" s="8"/>
    </row>
    <row r="233" customFormat="false" ht="15" hidden="false" customHeight="false" outlineLevel="0" collapsed="false">
      <c r="A233" s="8"/>
      <c r="B233" s="18"/>
      <c r="C233" s="8"/>
      <c r="D233" s="8"/>
      <c r="E233" s="8"/>
      <c r="F233" s="8"/>
      <c r="G233" s="8"/>
      <c r="H233" s="8"/>
      <c r="I233" s="8"/>
      <c r="J233" s="8"/>
    </row>
    <row r="234" customFormat="false" ht="15" hidden="false" customHeight="false" outlineLevel="0" collapsed="false">
      <c r="A234" s="8"/>
      <c r="B234" s="18"/>
      <c r="C234" s="8"/>
      <c r="D234" s="8"/>
      <c r="E234" s="8"/>
      <c r="F234" s="8"/>
      <c r="G234" s="8"/>
      <c r="H234" s="8"/>
      <c r="I234" s="8"/>
      <c r="J234" s="8"/>
    </row>
    <row r="235" customFormat="false" ht="15" hidden="false" customHeight="false" outlineLevel="0" collapsed="false">
      <c r="A235" s="8"/>
      <c r="B235" s="18"/>
      <c r="C235" s="8"/>
      <c r="D235" s="8"/>
      <c r="E235" s="8"/>
      <c r="F235" s="8"/>
      <c r="G235" s="8"/>
      <c r="H235" s="8"/>
      <c r="I235" s="8"/>
      <c r="J235" s="8"/>
    </row>
    <row r="236" customFormat="false" ht="15" hidden="false" customHeight="false" outlineLevel="0" collapsed="false">
      <c r="A236" s="8"/>
      <c r="B236" s="18"/>
      <c r="C236" s="8"/>
      <c r="D236" s="8"/>
      <c r="E236" s="8"/>
      <c r="F236" s="8"/>
      <c r="G236" s="8"/>
      <c r="H236" s="8"/>
      <c r="I236" s="8"/>
      <c r="J236" s="8"/>
    </row>
    <row r="237" customFormat="false" ht="15" hidden="false" customHeight="false" outlineLevel="0" collapsed="false">
      <c r="A237" s="8"/>
      <c r="B237" s="18"/>
      <c r="C237" s="8"/>
      <c r="D237" s="8"/>
      <c r="E237" s="8"/>
      <c r="F237" s="8"/>
      <c r="G237" s="8"/>
      <c r="H237" s="8"/>
      <c r="I237" s="8"/>
      <c r="J237" s="8"/>
    </row>
    <row r="238" customFormat="false" ht="15" hidden="false" customHeight="false" outlineLevel="0" collapsed="false">
      <c r="A238" s="8"/>
      <c r="B238" s="18"/>
      <c r="C238" s="8"/>
      <c r="D238" s="8"/>
      <c r="E238" s="8"/>
      <c r="F238" s="8"/>
      <c r="G238" s="8"/>
      <c r="H238" s="8"/>
      <c r="I238" s="8"/>
      <c r="J238" s="8"/>
    </row>
    <row r="239" customFormat="false" ht="15" hidden="false" customHeight="false" outlineLevel="0" collapsed="false">
      <c r="A239" s="8"/>
      <c r="B239" s="18"/>
      <c r="C239" s="8"/>
      <c r="D239" s="8"/>
      <c r="E239" s="8"/>
      <c r="F239" s="8"/>
      <c r="G239" s="8"/>
      <c r="H239" s="8"/>
      <c r="I239" s="8"/>
      <c r="J239" s="8"/>
    </row>
    <row r="240" customFormat="false" ht="15" hidden="false" customHeight="false" outlineLevel="0" collapsed="false">
      <c r="A240" s="8"/>
      <c r="B240" s="18"/>
      <c r="C240" s="8"/>
      <c r="D240" s="8"/>
      <c r="E240" s="8"/>
      <c r="F240" s="8"/>
      <c r="G240" s="8"/>
      <c r="H240" s="8"/>
      <c r="I240" s="8"/>
      <c r="J240" s="8"/>
    </row>
    <row r="241" customFormat="false" ht="15" hidden="false" customHeight="false" outlineLevel="0" collapsed="false">
      <c r="A241" s="8"/>
      <c r="B241" s="18"/>
      <c r="C241" s="8"/>
      <c r="D241" s="8"/>
      <c r="E241" s="8"/>
      <c r="F241" s="8"/>
      <c r="G241" s="8"/>
      <c r="H241" s="8"/>
      <c r="I241" s="8"/>
      <c r="J241" s="8"/>
    </row>
    <row r="242" customFormat="false" ht="15" hidden="false" customHeight="false" outlineLevel="0" collapsed="false">
      <c r="A242" s="8"/>
      <c r="B242" s="18"/>
      <c r="C242" s="8"/>
      <c r="D242" s="8"/>
      <c r="E242" s="8"/>
      <c r="F242" s="8"/>
      <c r="G242" s="8"/>
      <c r="H242" s="8"/>
      <c r="I242" s="8"/>
      <c r="J242" s="8"/>
    </row>
    <row r="243" customFormat="false" ht="15" hidden="false" customHeight="false" outlineLevel="0" collapsed="false">
      <c r="A243" s="8"/>
      <c r="B243" s="18"/>
      <c r="C243" s="8"/>
      <c r="D243" s="8"/>
      <c r="E243" s="8"/>
      <c r="F243" s="8"/>
      <c r="G243" s="8"/>
      <c r="H243" s="8"/>
      <c r="I243" s="8"/>
      <c r="J243" s="8"/>
    </row>
    <row r="244" customFormat="false" ht="15" hidden="false" customHeight="false" outlineLevel="0" collapsed="false">
      <c r="A244" s="8"/>
      <c r="B244" s="18"/>
      <c r="C244" s="8"/>
      <c r="D244" s="8"/>
      <c r="E244" s="8"/>
      <c r="F244" s="8"/>
      <c r="G244" s="8"/>
      <c r="H244" s="8"/>
      <c r="I244" s="8"/>
      <c r="J244" s="8"/>
    </row>
    <row r="245" customFormat="false" ht="15" hidden="false" customHeight="false" outlineLevel="0" collapsed="false">
      <c r="A245" s="8"/>
      <c r="B245" s="18"/>
      <c r="C245" s="8"/>
      <c r="D245" s="8"/>
      <c r="E245" s="8"/>
      <c r="F245" s="8"/>
      <c r="G245" s="8"/>
      <c r="H245" s="8"/>
      <c r="I245" s="8"/>
      <c r="J245" s="8"/>
    </row>
    <row r="246" customFormat="false" ht="15" hidden="false" customHeight="false" outlineLevel="0" collapsed="false">
      <c r="A246" s="8"/>
      <c r="B246" s="18"/>
      <c r="C246" s="8"/>
      <c r="D246" s="8"/>
      <c r="E246" s="8"/>
      <c r="F246" s="8"/>
      <c r="G246" s="8"/>
      <c r="H246" s="8"/>
      <c r="I246" s="8"/>
      <c r="J246" s="8"/>
    </row>
    <row r="247" customFormat="false" ht="15" hidden="false" customHeight="false" outlineLevel="0" collapsed="false">
      <c r="A247" s="8"/>
      <c r="B247" s="18"/>
      <c r="C247" s="8"/>
      <c r="D247" s="8"/>
      <c r="E247" s="8"/>
      <c r="F247" s="8"/>
      <c r="G247" s="8"/>
      <c r="H247" s="8"/>
      <c r="I247" s="8"/>
      <c r="J247" s="8"/>
    </row>
    <row r="248" customFormat="false" ht="15" hidden="false" customHeight="false" outlineLevel="0" collapsed="false">
      <c r="A248" s="8"/>
      <c r="B248" s="18"/>
      <c r="C248" s="8"/>
      <c r="D248" s="8"/>
      <c r="E248" s="8"/>
      <c r="F248" s="8"/>
      <c r="G248" s="8"/>
      <c r="H248" s="8"/>
      <c r="I248" s="8"/>
      <c r="J248" s="8"/>
    </row>
    <row r="249" customFormat="false" ht="15" hidden="false" customHeight="false" outlineLevel="0" collapsed="false">
      <c r="A249" s="8"/>
      <c r="B249" s="18"/>
      <c r="C249" s="8"/>
      <c r="D249" s="8"/>
      <c r="E249" s="8"/>
      <c r="F249" s="8"/>
      <c r="G249" s="8"/>
      <c r="H249" s="8"/>
      <c r="I249" s="8"/>
      <c r="J249" s="8"/>
    </row>
    <row r="250" customFormat="false" ht="15" hidden="false" customHeight="false" outlineLevel="0" collapsed="false">
      <c r="A250" s="8"/>
      <c r="B250" s="18"/>
      <c r="C250" s="8"/>
      <c r="D250" s="8"/>
      <c r="E250" s="8"/>
      <c r="F250" s="8"/>
      <c r="G250" s="8"/>
      <c r="H250" s="8"/>
      <c r="I250" s="8"/>
      <c r="J250" s="8"/>
    </row>
    <row r="251" customFormat="false" ht="15" hidden="false" customHeight="false" outlineLevel="0" collapsed="false">
      <c r="A251" s="8"/>
      <c r="B251" s="18"/>
      <c r="C251" s="8"/>
      <c r="D251" s="8"/>
      <c r="E251" s="8"/>
      <c r="F251" s="8"/>
      <c r="G251" s="8"/>
      <c r="H251" s="8"/>
      <c r="I251" s="8"/>
      <c r="J251" s="8"/>
    </row>
    <row r="252" customFormat="false" ht="15" hidden="false" customHeight="false" outlineLevel="0" collapsed="false">
      <c r="A252" s="8"/>
      <c r="B252" s="18"/>
      <c r="C252" s="8"/>
      <c r="D252" s="8"/>
      <c r="E252" s="8"/>
      <c r="F252" s="8"/>
      <c r="G252" s="8"/>
      <c r="H252" s="8"/>
      <c r="I252" s="8"/>
      <c r="J252" s="8"/>
    </row>
    <row r="253" customFormat="false" ht="15" hidden="false" customHeight="false" outlineLevel="0" collapsed="false">
      <c r="A253" s="8"/>
      <c r="B253" s="18"/>
      <c r="C253" s="8"/>
      <c r="D253" s="8"/>
      <c r="E253" s="8"/>
      <c r="F253" s="8"/>
      <c r="G253" s="8"/>
      <c r="H253" s="8"/>
      <c r="I253" s="8"/>
      <c r="J253" s="8"/>
    </row>
    <row r="254" customFormat="false" ht="15" hidden="false" customHeight="false" outlineLevel="0" collapsed="false">
      <c r="A254" s="8"/>
      <c r="B254" s="18"/>
      <c r="C254" s="8"/>
      <c r="D254" s="8"/>
      <c r="E254" s="8"/>
      <c r="F254" s="8"/>
      <c r="G254" s="8"/>
      <c r="H254" s="8"/>
      <c r="I254" s="8"/>
      <c r="J254" s="8"/>
    </row>
    <row r="255" customFormat="false" ht="15" hidden="false" customHeight="false" outlineLevel="0" collapsed="false">
      <c r="A255" s="8"/>
      <c r="B255" s="18"/>
      <c r="C255" s="8"/>
      <c r="D255" s="8"/>
      <c r="E255" s="8"/>
      <c r="F255" s="8"/>
      <c r="G255" s="8"/>
      <c r="H255" s="8"/>
      <c r="I255" s="8"/>
      <c r="J255" s="8"/>
    </row>
    <row r="256" customFormat="false" ht="15" hidden="false" customHeight="false" outlineLevel="0" collapsed="false">
      <c r="A256" s="8"/>
      <c r="B256" s="18"/>
      <c r="C256" s="8"/>
      <c r="D256" s="8"/>
      <c r="E256" s="8"/>
      <c r="F256" s="8"/>
      <c r="G256" s="8"/>
      <c r="H256" s="8"/>
      <c r="I256" s="8"/>
      <c r="J256" s="8"/>
    </row>
    <row r="257" customFormat="false" ht="15" hidden="false" customHeight="false" outlineLevel="0" collapsed="false">
      <c r="A257" s="8"/>
      <c r="B257" s="18"/>
      <c r="C257" s="8"/>
      <c r="D257" s="8"/>
      <c r="E257" s="8"/>
      <c r="F257" s="8"/>
      <c r="G257" s="8"/>
      <c r="H257" s="8"/>
      <c r="I257" s="8"/>
      <c r="J257" s="8"/>
    </row>
    <row r="258" customFormat="false" ht="15" hidden="false" customHeight="false" outlineLevel="0" collapsed="false">
      <c r="A258" s="8"/>
      <c r="B258" s="18"/>
      <c r="C258" s="8"/>
      <c r="D258" s="8"/>
      <c r="E258" s="8"/>
      <c r="F258" s="8"/>
      <c r="G258" s="8"/>
      <c r="H258" s="8"/>
      <c r="I258" s="8"/>
      <c r="J258" s="8"/>
    </row>
    <row r="259" customFormat="false" ht="15" hidden="false" customHeight="false" outlineLevel="0" collapsed="false">
      <c r="A259" s="8"/>
      <c r="B259" s="18"/>
      <c r="C259" s="8"/>
      <c r="D259" s="8"/>
      <c r="E259" s="8"/>
      <c r="F259" s="8"/>
      <c r="G259" s="8"/>
      <c r="H259" s="8"/>
      <c r="I259" s="8"/>
      <c r="J259" s="8"/>
    </row>
    <row r="260" customFormat="false" ht="15" hidden="false" customHeight="false" outlineLevel="0" collapsed="false">
      <c r="A260" s="8"/>
      <c r="B260" s="18"/>
      <c r="C260" s="8"/>
      <c r="D260" s="8"/>
      <c r="E260" s="8"/>
      <c r="F260" s="8"/>
      <c r="G260" s="8"/>
      <c r="H260" s="8"/>
      <c r="I260" s="8"/>
      <c r="J260" s="8"/>
    </row>
    <row r="261" customFormat="false" ht="15" hidden="false" customHeight="false" outlineLevel="0" collapsed="false">
      <c r="A261" s="8"/>
      <c r="B261" s="18"/>
      <c r="C261" s="8"/>
      <c r="D261" s="8"/>
      <c r="E261" s="8"/>
      <c r="F261" s="8"/>
      <c r="G261" s="8"/>
      <c r="H261" s="8"/>
      <c r="I261" s="8"/>
      <c r="J261" s="8"/>
    </row>
    <row r="262" customFormat="false" ht="15" hidden="false" customHeight="false" outlineLevel="0" collapsed="false">
      <c r="A262" s="8"/>
      <c r="B262" s="18"/>
      <c r="C262" s="8"/>
      <c r="D262" s="8"/>
      <c r="E262" s="8"/>
      <c r="F262" s="8"/>
      <c r="G262" s="8"/>
      <c r="H262" s="8"/>
      <c r="I262" s="8"/>
      <c r="J262" s="8"/>
    </row>
    <row r="263" customFormat="false" ht="15" hidden="false" customHeight="false" outlineLevel="0" collapsed="false">
      <c r="A263" s="8"/>
      <c r="B263" s="18"/>
      <c r="C263" s="8"/>
      <c r="D263" s="8"/>
      <c r="E263" s="8"/>
      <c r="F263" s="8"/>
      <c r="G263" s="8"/>
      <c r="H263" s="8"/>
      <c r="I263" s="8"/>
      <c r="J263" s="8"/>
    </row>
    <row r="264" customFormat="false" ht="15" hidden="false" customHeight="false" outlineLevel="0" collapsed="false">
      <c r="A264" s="8"/>
      <c r="B264" s="18"/>
      <c r="C264" s="8"/>
      <c r="D264" s="8"/>
      <c r="E264" s="8"/>
      <c r="F264" s="8"/>
      <c r="G264" s="8"/>
      <c r="H264" s="8"/>
      <c r="I264" s="8"/>
      <c r="J264" s="8"/>
    </row>
    <row r="265" customFormat="false" ht="15" hidden="false" customHeight="false" outlineLevel="0" collapsed="false">
      <c r="A265" s="8"/>
      <c r="B265" s="18"/>
      <c r="C265" s="8"/>
      <c r="D265" s="8"/>
      <c r="E265" s="8"/>
      <c r="F265" s="8"/>
      <c r="G265" s="8"/>
      <c r="H265" s="8"/>
      <c r="I265" s="8"/>
      <c r="J265" s="8"/>
    </row>
    <row r="266" customFormat="false" ht="15" hidden="false" customHeight="false" outlineLevel="0" collapsed="false">
      <c r="A266" s="8"/>
      <c r="B266" s="18"/>
      <c r="C266" s="8"/>
      <c r="D266" s="8"/>
      <c r="E266" s="8"/>
      <c r="F266" s="8"/>
      <c r="G266" s="8"/>
      <c r="H266" s="8"/>
      <c r="I266" s="8"/>
      <c r="J266" s="8"/>
    </row>
    <row r="267" customFormat="false" ht="15" hidden="false" customHeight="false" outlineLevel="0" collapsed="false">
      <c r="A267" s="8"/>
      <c r="B267" s="18"/>
      <c r="C267" s="8"/>
      <c r="D267" s="8"/>
      <c r="E267" s="8"/>
      <c r="F267" s="8"/>
      <c r="G267" s="8"/>
      <c r="H267" s="8"/>
      <c r="I267" s="8"/>
      <c r="J267" s="8"/>
    </row>
    <row r="268" customFormat="false" ht="15" hidden="false" customHeight="false" outlineLevel="0" collapsed="false">
      <c r="A268" s="8"/>
      <c r="B268" s="18"/>
      <c r="C268" s="8"/>
      <c r="D268" s="8"/>
      <c r="E268" s="8"/>
      <c r="F268" s="8"/>
      <c r="G268" s="8"/>
      <c r="H268" s="8"/>
      <c r="I268" s="8"/>
      <c r="J268" s="8"/>
    </row>
    <row r="269" customFormat="false" ht="15" hidden="false" customHeight="false" outlineLevel="0" collapsed="false">
      <c r="A269" s="8"/>
      <c r="B269" s="18"/>
      <c r="C269" s="8"/>
      <c r="D269" s="8"/>
      <c r="E269" s="8"/>
      <c r="F269" s="8"/>
      <c r="G269" s="8"/>
      <c r="H269" s="8"/>
      <c r="I269" s="8"/>
      <c r="J269" s="8"/>
    </row>
    <row r="270" customFormat="false" ht="15" hidden="false" customHeight="false" outlineLevel="0" collapsed="false">
      <c r="A270" s="8"/>
      <c r="B270" s="18"/>
      <c r="C270" s="8"/>
      <c r="D270" s="8"/>
      <c r="E270" s="8"/>
      <c r="F270" s="8"/>
      <c r="G270" s="8"/>
      <c r="H270" s="8"/>
      <c r="I270" s="8"/>
      <c r="J270" s="8"/>
    </row>
    <row r="271" customFormat="false" ht="15" hidden="false" customHeight="false" outlineLevel="0" collapsed="false">
      <c r="A271" s="8"/>
      <c r="B271" s="18"/>
      <c r="C271" s="8"/>
      <c r="D271" s="8"/>
      <c r="E271" s="8"/>
      <c r="F271" s="8"/>
      <c r="G271" s="8"/>
      <c r="H271" s="8"/>
      <c r="I271" s="8"/>
      <c r="J271" s="8"/>
    </row>
    <row r="272" customFormat="false" ht="15" hidden="false" customHeight="false" outlineLevel="0" collapsed="false">
      <c r="A272" s="8"/>
      <c r="B272" s="18"/>
      <c r="C272" s="8"/>
      <c r="D272" s="8"/>
      <c r="E272" s="8"/>
      <c r="F272" s="8"/>
      <c r="G272" s="8"/>
      <c r="H272" s="8"/>
      <c r="I272" s="8"/>
      <c r="J272" s="8"/>
    </row>
    <row r="273" customFormat="false" ht="15" hidden="false" customHeight="false" outlineLevel="0" collapsed="false">
      <c r="A273" s="8"/>
      <c r="B273" s="18"/>
      <c r="C273" s="8"/>
      <c r="D273" s="8"/>
      <c r="E273" s="8"/>
      <c r="F273" s="8"/>
      <c r="G273" s="8"/>
      <c r="H273" s="8"/>
      <c r="I273" s="8"/>
      <c r="J273" s="8"/>
    </row>
    <row r="274" customFormat="false" ht="15" hidden="false" customHeight="false" outlineLevel="0" collapsed="false">
      <c r="A274" s="8"/>
      <c r="B274" s="18"/>
      <c r="C274" s="8"/>
      <c r="D274" s="8"/>
      <c r="E274" s="8"/>
      <c r="F274" s="8"/>
      <c r="G274" s="8"/>
      <c r="H274" s="8"/>
      <c r="I274" s="8"/>
      <c r="J274" s="8"/>
    </row>
    <row r="275" customFormat="false" ht="15" hidden="false" customHeight="false" outlineLevel="0" collapsed="false">
      <c r="A275" s="8"/>
      <c r="B275" s="18"/>
      <c r="C275" s="8"/>
      <c r="D275" s="8"/>
      <c r="E275" s="8"/>
      <c r="F275" s="8"/>
      <c r="G275" s="8"/>
      <c r="H275" s="8"/>
      <c r="I275" s="8"/>
      <c r="J275" s="8"/>
    </row>
    <row r="276" customFormat="false" ht="15" hidden="false" customHeight="false" outlineLevel="0" collapsed="false">
      <c r="A276" s="8"/>
      <c r="B276" s="18"/>
      <c r="C276" s="8"/>
      <c r="D276" s="8"/>
      <c r="E276" s="8"/>
      <c r="F276" s="8"/>
      <c r="G276" s="8"/>
      <c r="H276" s="8"/>
      <c r="I276" s="8"/>
      <c r="J276" s="8"/>
    </row>
    <row r="277" customFormat="false" ht="15" hidden="false" customHeight="false" outlineLevel="0" collapsed="false">
      <c r="A277" s="8"/>
      <c r="B277" s="18"/>
      <c r="C277" s="8"/>
      <c r="D277" s="8"/>
      <c r="E277" s="8"/>
      <c r="F277" s="8"/>
      <c r="G277" s="8"/>
      <c r="H277" s="8"/>
      <c r="I277" s="8"/>
      <c r="J277" s="8"/>
    </row>
    <row r="278" customFormat="false" ht="15" hidden="false" customHeight="false" outlineLevel="0" collapsed="false">
      <c r="A278" s="8"/>
      <c r="B278" s="18"/>
      <c r="C278" s="8"/>
      <c r="D278" s="8"/>
      <c r="E278" s="8"/>
      <c r="F278" s="8"/>
      <c r="G278" s="8"/>
      <c r="H278" s="8"/>
      <c r="I278" s="8"/>
      <c r="J278" s="8"/>
    </row>
    <row r="279" customFormat="false" ht="15" hidden="false" customHeight="false" outlineLevel="0" collapsed="false">
      <c r="A279" s="8"/>
      <c r="B279" s="18"/>
      <c r="C279" s="8"/>
      <c r="D279" s="8"/>
      <c r="E279" s="8"/>
      <c r="F279" s="8"/>
      <c r="G279" s="8"/>
      <c r="H279" s="8"/>
      <c r="I279" s="8"/>
      <c r="J279" s="8"/>
    </row>
    <row r="280" customFormat="false" ht="15" hidden="false" customHeight="false" outlineLevel="0" collapsed="false">
      <c r="A280" s="8"/>
      <c r="B280" s="18"/>
      <c r="C280" s="8"/>
      <c r="D280" s="8"/>
      <c r="E280" s="8"/>
      <c r="F280" s="8"/>
      <c r="G280" s="8"/>
      <c r="H280" s="8"/>
      <c r="I280" s="8"/>
      <c r="J280" s="8"/>
    </row>
    <row r="281" customFormat="false" ht="15" hidden="false" customHeight="false" outlineLevel="0" collapsed="false">
      <c r="A281" s="8"/>
      <c r="B281" s="18"/>
      <c r="C281" s="8"/>
      <c r="D281" s="8"/>
      <c r="E281" s="8"/>
      <c r="F281" s="8"/>
      <c r="G281" s="8"/>
      <c r="H281" s="8"/>
      <c r="I281" s="8"/>
      <c r="J281" s="8"/>
    </row>
    <row r="282" customFormat="false" ht="15" hidden="false" customHeight="false" outlineLevel="0" collapsed="false">
      <c r="A282" s="8"/>
      <c r="B282" s="18"/>
      <c r="C282" s="8"/>
      <c r="D282" s="8"/>
      <c r="E282" s="8"/>
      <c r="F282" s="8"/>
      <c r="G282" s="8"/>
      <c r="H282" s="8"/>
      <c r="I282" s="8"/>
      <c r="J282" s="8"/>
    </row>
    <row r="283" customFormat="false" ht="15" hidden="false" customHeight="false" outlineLevel="0" collapsed="false">
      <c r="A283" s="8"/>
      <c r="B283" s="18"/>
      <c r="C283" s="8"/>
      <c r="D283" s="8"/>
      <c r="E283" s="8"/>
      <c r="F283" s="8"/>
      <c r="G283" s="8"/>
      <c r="H283" s="8"/>
      <c r="I283" s="8"/>
      <c r="J283" s="8"/>
    </row>
    <row r="284" customFormat="false" ht="15" hidden="false" customHeight="false" outlineLevel="0" collapsed="false">
      <c r="A284" s="8"/>
      <c r="B284" s="18"/>
      <c r="C284" s="8"/>
      <c r="D284" s="8"/>
      <c r="E284" s="8"/>
      <c r="F284" s="8"/>
      <c r="G284" s="8"/>
      <c r="H284" s="8"/>
      <c r="I284" s="8"/>
      <c r="J284" s="8"/>
    </row>
    <row r="285" customFormat="false" ht="15" hidden="false" customHeight="false" outlineLevel="0" collapsed="false">
      <c r="A285" s="8"/>
      <c r="B285" s="18"/>
      <c r="C285" s="8"/>
      <c r="D285" s="8"/>
      <c r="E285" s="8"/>
      <c r="F285" s="8"/>
      <c r="G285" s="8"/>
      <c r="H285" s="8"/>
      <c r="I285" s="8"/>
      <c r="J285" s="8"/>
    </row>
    <row r="286" customFormat="false" ht="15" hidden="false" customHeight="false" outlineLevel="0" collapsed="false">
      <c r="A286" s="8"/>
      <c r="B286" s="18"/>
      <c r="C286" s="8"/>
      <c r="D286" s="8"/>
      <c r="E286" s="8"/>
      <c r="F286" s="8"/>
      <c r="G286" s="8"/>
      <c r="H286" s="8"/>
      <c r="I286" s="8"/>
      <c r="J286" s="8"/>
    </row>
    <row r="287" customFormat="false" ht="15" hidden="false" customHeight="false" outlineLevel="0" collapsed="false">
      <c r="A287" s="8"/>
      <c r="B287" s="18"/>
      <c r="C287" s="8"/>
      <c r="D287" s="8"/>
      <c r="E287" s="8"/>
      <c r="F287" s="8"/>
      <c r="G287" s="8"/>
      <c r="H287" s="8"/>
      <c r="I287" s="8"/>
      <c r="J287" s="8"/>
    </row>
    <row r="288" customFormat="false" ht="15" hidden="false" customHeight="false" outlineLevel="0" collapsed="false">
      <c r="A288" s="8"/>
      <c r="B288" s="18"/>
      <c r="C288" s="8"/>
      <c r="D288" s="8"/>
      <c r="E288" s="8"/>
      <c r="F288" s="8"/>
      <c r="G288" s="8"/>
      <c r="H288" s="8"/>
      <c r="I288" s="8"/>
      <c r="J288" s="8"/>
    </row>
    <row r="289" customFormat="false" ht="15" hidden="false" customHeight="false" outlineLevel="0" collapsed="false">
      <c r="A289" s="8"/>
      <c r="B289" s="18"/>
      <c r="C289" s="8"/>
      <c r="D289" s="8"/>
      <c r="E289" s="8"/>
      <c r="F289" s="8"/>
      <c r="G289" s="8"/>
      <c r="H289" s="8"/>
      <c r="I289" s="8"/>
      <c r="J289" s="8"/>
    </row>
    <row r="290" customFormat="false" ht="15" hidden="false" customHeight="false" outlineLevel="0" collapsed="false">
      <c r="A290" s="8"/>
      <c r="B290" s="18"/>
      <c r="C290" s="8"/>
      <c r="D290" s="8"/>
      <c r="E290" s="8"/>
      <c r="F290" s="8"/>
      <c r="G290" s="8"/>
      <c r="H290" s="8"/>
      <c r="I290" s="8"/>
      <c r="J290" s="8"/>
    </row>
    <row r="291" customFormat="false" ht="15" hidden="false" customHeight="false" outlineLevel="0" collapsed="false">
      <c r="A291" s="8"/>
      <c r="B291" s="18"/>
      <c r="C291" s="8"/>
      <c r="D291" s="8"/>
      <c r="E291" s="8"/>
      <c r="F291" s="8"/>
      <c r="G291" s="8"/>
      <c r="H291" s="8"/>
      <c r="I291" s="8"/>
      <c r="J291" s="8"/>
    </row>
    <row r="292" customFormat="false" ht="15" hidden="false" customHeight="false" outlineLevel="0" collapsed="false">
      <c r="A292" s="8"/>
      <c r="B292" s="18"/>
      <c r="C292" s="8"/>
      <c r="D292" s="8"/>
      <c r="E292" s="8"/>
      <c r="F292" s="8"/>
      <c r="G292" s="8"/>
      <c r="H292" s="8"/>
      <c r="I292" s="8"/>
      <c r="J292" s="8"/>
    </row>
    <row r="293" customFormat="false" ht="15" hidden="false" customHeight="false" outlineLevel="0" collapsed="false">
      <c r="A293" s="8"/>
      <c r="B293" s="18"/>
      <c r="C293" s="8"/>
      <c r="D293" s="8"/>
      <c r="E293" s="8"/>
      <c r="F293" s="8"/>
      <c r="G293" s="8"/>
      <c r="H293" s="8"/>
      <c r="I293" s="8"/>
      <c r="J293" s="8"/>
    </row>
    <row r="294" customFormat="false" ht="15" hidden="false" customHeight="false" outlineLevel="0" collapsed="false">
      <c r="A294" s="8"/>
      <c r="B294" s="18"/>
      <c r="C294" s="8"/>
      <c r="D294" s="8"/>
      <c r="E294" s="8"/>
      <c r="F294" s="8"/>
      <c r="G294" s="8"/>
      <c r="H294" s="8"/>
      <c r="I294" s="8"/>
      <c r="J294" s="8"/>
    </row>
    <row r="295" customFormat="false" ht="15" hidden="false" customHeight="false" outlineLevel="0" collapsed="false">
      <c r="A295" s="8"/>
      <c r="B295" s="18"/>
      <c r="C295" s="8"/>
      <c r="D295" s="8"/>
      <c r="E295" s="8"/>
      <c r="F295" s="8"/>
      <c r="G295" s="8"/>
      <c r="H295" s="8"/>
      <c r="I295" s="8"/>
      <c r="J295" s="8"/>
    </row>
    <row r="296" customFormat="false" ht="15" hidden="false" customHeight="false" outlineLevel="0" collapsed="false">
      <c r="A296" s="8"/>
      <c r="B296" s="18"/>
      <c r="C296" s="8"/>
      <c r="D296" s="8"/>
      <c r="E296" s="8"/>
      <c r="F296" s="8"/>
      <c r="G296" s="8"/>
      <c r="H296" s="8"/>
      <c r="I296" s="8"/>
      <c r="J296" s="8"/>
    </row>
    <row r="297" customFormat="false" ht="15" hidden="false" customHeight="false" outlineLevel="0" collapsed="false">
      <c r="A297" s="8"/>
      <c r="B297" s="18"/>
      <c r="C297" s="8"/>
      <c r="D297" s="8"/>
      <c r="E297" s="8"/>
      <c r="F297" s="8"/>
      <c r="G297" s="8"/>
      <c r="H297" s="8"/>
      <c r="I297" s="8"/>
      <c r="J297" s="8"/>
    </row>
    <row r="298" customFormat="false" ht="15" hidden="false" customHeight="false" outlineLevel="0" collapsed="false">
      <c r="A298" s="8"/>
      <c r="B298" s="18"/>
      <c r="C298" s="8"/>
      <c r="D298" s="8"/>
      <c r="E298" s="8"/>
      <c r="F298" s="8"/>
      <c r="G298" s="8"/>
      <c r="H298" s="8"/>
      <c r="I298" s="8"/>
      <c r="J298" s="8"/>
    </row>
    <row r="299" customFormat="false" ht="15" hidden="false" customHeight="false" outlineLevel="0" collapsed="false">
      <c r="A299" s="8"/>
      <c r="B299" s="18"/>
      <c r="C299" s="8"/>
      <c r="D299" s="8"/>
      <c r="E299" s="8"/>
      <c r="F299" s="8"/>
      <c r="G299" s="8"/>
      <c r="H299" s="8"/>
      <c r="I299" s="8"/>
      <c r="J299" s="8"/>
    </row>
    <row r="300" customFormat="false" ht="15" hidden="false" customHeight="false" outlineLevel="0" collapsed="false">
      <c r="A300" s="8"/>
      <c r="B300" s="18"/>
      <c r="C300" s="8"/>
      <c r="D300" s="8"/>
      <c r="E300" s="8"/>
      <c r="F300" s="8"/>
      <c r="G300" s="8"/>
      <c r="H300" s="8"/>
      <c r="I300" s="8"/>
      <c r="J300" s="8"/>
    </row>
    <row r="301" customFormat="false" ht="15" hidden="false" customHeight="false" outlineLevel="0" collapsed="false">
      <c r="A301" s="8"/>
      <c r="B301" s="18"/>
      <c r="C301" s="8"/>
      <c r="D301" s="8"/>
      <c r="E301" s="8"/>
      <c r="F301" s="8"/>
      <c r="G301" s="8"/>
      <c r="H301" s="8"/>
      <c r="I301" s="8"/>
      <c r="J301" s="8"/>
    </row>
    <row r="302" customFormat="false" ht="15" hidden="false" customHeight="false" outlineLevel="0" collapsed="false">
      <c r="A302" s="8"/>
      <c r="B302" s="18"/>
      <c r="C302" s="8"/>
      <c r="D302" s="8"/>
      <c r="E302" s="8"/>
      <c r="F302" s="8"/>
      <c r="G302" s="8"/>
      <c r="H302" s="8"/>
      <c r="I302" s="8"/>
      <c r="J302" s="8"/>
    </row>
    <row r="303" customFormat="false" ht="15" hidden="false" customHeight="false" outlineLevel="0" collapsed="false">
      <c r="A303" s="8"/>
      <c r="B303" s="18"/>
      <c r="C303" s="8"/>
      <c r="D303" s="8"/>
      <c r="E303" s="8"/>
      <c r="F303" s="8"/>
      <c r="G303" s="8"/>
      <c r="H303" s="8"/>
      <c r="I303" s="8"/>
      <c r="J303" s="8"/>
    </row>
    <row r="304" customFormat="false" ht="15" hidden="false" customHeight="false" outlineLevel="0" collapsed="false">
      <c r="A304" s="8"/>
      <c r="B304" s="18"/>
      <c r="C304" s="8"/>
      <c r="D304" s="8"/>
      <c r="E304" s="8"/>
      <c r="F304" s="8"/>
      <c r="G304" s="8"/>
      <c r="H304" s="8"/>
      <c r="I304" s="8"/>
      <c r="J304" s="8"/>
    </row>
    <row r="305" customFormat="false" ht="15" hidden="false" customHeight="false" outlineLevel="0" collapsed="false">
      <c r="A305" s="8"/>
      <c r="B305" s="18"/>
      <c r="C305" s="8"/>
      <c r="D305" s="8"/>
      <c r="E305" s="8"/>
      <c r="F305" s="8"/>
      <c r="G305" s="8"/>
      <c r="H305" s="8"/>
      <c r="I305" s="8"/>
      <c r="J305" s="8"/>
    </row>
    <row r="306" customFormat="false" ht="15" hidden="false" customHeight="false" outlineLevel="0" collapsed="false">
      <c r="A306" s="8"/>
      <c r="B306" s="18"/>
      <c r="C306" s="8"/>
      <c r="D306" s="8"/>
      <c r="E306" s="8"/>
      <c r="F306" s="8"/>
      <c r="G306" s="8"/>
      <c r="H306" s="8"/>
      <c r="I306" s="8"/>
      <c r="J306" s="8"/>
    </row>
    <row r="307" customFormat="false" ht="15" hidden="false" customHeight="false" outlineLevel="0" collapsed="false">
      <c r="A307" s="8"/>
      <c r="B307" s="18"/>
      <c r="C307" s="8"/>
      <c r="D307" s="8"/>
      <c r="E307" s="8"/>
      <c r="F307" s="8"/>
      <c r="G307" s="8"/>
      <c r="H307" s="8"/>
      <c r="I307" s="8"/>
      <c r="J307" s="8"/>
    </row>
    <row r="308" customFormat="false" ht="15" hidden="false" customHeight="false" outlineLevel="0" collapsed="false">
      <c r="A308" s="8"/>
      <c r="B308" s="18"/>
      <c r="C308" s="8"/>
      <c r="D308" s="8"/>
      <c r="E308" s="8"/>
      <c r="F308" s="8"/>
      <c r="G308" s="8"/>
      <c r="H308" s="8"/>
      <c r="I308" s="8"/>
      <c r="J308" s="8"/>
    </row>
    <row r="309" customFormat="false" ht="15" hidden="false" customHeight="false" outlineLevel="0" collapsed="false">
      <c r="A309" s="8"/>
      <c r="B309" s="18"/>
      <c r="C309" s="8"/>
      <c r="D309" s="8"/>
      <c r="E309" s="8"/>
      <c r="F309" s="8"/>
      <c r="G309" s="8"/>
      <c r="H309" s="8"/>
      <c r="I309" s="8"/>
      <c r="J309" s="8"/>
    </row>
    <row r="310" customFormat="false" ht="15" hidden="false" customHeight="false" outlineLevel="0" collapsed="false">
      <c r="A310" s="8"/>
      <c r="B310" s="18"/>
      <c r="C310" s="8"/>
      <c r="D310" s="8"/>
      <c r="E310" s="8"/>
      <c r="F310" s="8"/>
      <c r="G310" s="8"/>
      <c r="H310" s="8"/>
      <c r="I310" s="8"/>
      <c r="J310" s="8"/>
    </row>
    <row r="311" customFormat="false" ht="15" hidden="false" customHeight="false" outlineLevel="0" collapsed="false">
      <c r="A311" s="8"/>
      <c r="B311" s="18"/>
      <c r="C311" s="8"/>
      <c r="D311" s="8"/>
      <c r="E311" s="8"/>
      <c r="F311" s="8"/>
      <c r="G311" s="8"/>
      <c r="H311" s="8"/>
      <c r="I311" s="8"/>
      <c r="J311" s="8"/>
    </row>
    <row r="312" customFormat="false" ht="15" hidden="false" customHeight="false" outlineLevel="0" collapsed="false">
      <c r="A312" s="8"/>
      <c r="B312" s="18"/>
      <c r="C312" s="8"/>
      <c r="D312" s="8"/>
      <c r="E312" s="8"/>
      <c r="F312" s="8"/>
      <c r="G312" s="8"/>
      <c r="H312" s="8"/>
      <c r="I312" s="8"/>
      <c r="J312" s="8"/>
    </row>
    <row r="313" customFormat="false" ht="15" hidden="false" customHeight="false" outlineLevel="0" collapsed="false">
      <c r="A313" s="8"/>
      <c r="B313" s="18"/>
      <c r="C313" s="8"/>
      <c r="D313" s="8"/>
      <c r="E313" s="8"/>
      <c r="F313" s="8"/>
      <c r="G313" s="8"/>
      <c r="H313" s="8"/>
      <c r="I313" s="8"/>
      <c r="J313" s="8"/>
    </row>
    <row r="314" customFormat="false" ht="15" hidden="false" customHeight="false" outlineLevel="0" collapsed="false">
      <c r="A314" s="8"/>
      <c r="B314" s="18"/>
      <c r="C314" s="8"/>
      <c r="D314" s="8"/>
      <c r="E314" s="8"/>
      <c r="F314" s="8"/>
      <c r="G314" s="8"/>
      <c r="H314" s="8"/>
      <c r="I314" s="8"/>
      <c r="J314" s="8"/>
    </row>
    <row r="315" customFormat="false" ht="15" hidden="false" customHeight="false" outlineLevel="0" collapsed="false">
      <c r="A315" s="8"/>
      <c r="B315" s="18"/>
      <c r="C315" s="8"/>
      <c r="D315" s="8"/>
      <c r="E315" s="8"/>
      <c r="F315" s="8"/>
      <c r="G315" s="8"/>
      <c r="H315" s="8"/>
      <c r="I315" s="8"/>
      <c r="J315" s="8"/>
    </row>
    <row r="316" customFormat="false" ht="15" hidden="false" customHeight="false" outlineLevel="0" collapsed="false">
      <c r="A316" s="8"/>
      <c r="B316" s="18"/>
      <c r="C316" s="8"/>
      <c r="D316" s="8"/>
      <c r="E316" s="8"/>
      <c r="F316" s="8"/>
      <c r="G316" s="8"/>
      <c r="H316" s="8"/>
      <c r="I316" s="8"/>
      <c r="J316" s="8"/>
    </row>
    <row r="317" customFormat="false" ht="15" hidden="false" customHeight="false" outlineLevel="0" collapsed="false">
      <c r="A317" s="8"/>
      <c r="B317" s="18"/>
      <c r="C317" s="8"/>
      <c r="D317" s="8"/>
      <c r="E317" s="8"/>
      <c r="F317" s="8"/>
      <c r="G317" s="8"/>
      <c r="H317" s="8"/>
      <c r="I317" s="8"/>
      <c r="J317" s="8"/>
    </row>
    <row r="318" customFormat="false" ht="15" hidden="false" customHeight="false" outlineLevel="0" collapsed="false">
      <c r="A318" s="8"/>
      <c r="B318" s="18"/>
      <c r="C318" s="8"/>
      <c r="D318" s="8"/>
      <c r="E318" s="8"/>
      <c r="F318" s="8"/>
      <c r="G318" s="8"/>
      <c r="H318" s="8"/>
      <c r="I318" s="8"/>
      <c r="J318" s="8"/>
    </row>
    <row r="319" customFormat="false" ht="15" hidden="false" customHeight="false" outlineLevel="0" collapsed="false">
      <c r="A319" s="8"/>
      <c r="B319" s="18"/>
      <c r="C319" s="8"/>
      <c r="D319" s="8"/>
      <c r="E319" s="8"/>
      <c r="F319" s="8"/>
      <c r="G319" s="8"/>
      <c r="H319" s="8"/>
      <c r="I319" s="8"/>
      <c r="J319" s="8"/>
    </row>
    <row r="320" customFormat="false" ht="15" hidden="false" customHeight="false" outlineLevel="0" collapsed="false">
      <c r="A320" s="8"/>
      <c r="B320" s="18"/>
      <c r="C320" s="8"/>
      <c r="D320" s="8"/>
      <c r="E320" s="8"/>
      <c r="F320" s="8"/>
      <c r="G320" s="8"/>
      <c r="H320" s="8"/>
      <c r="I320" s="8"/>
      <c r="J320" s="8"/>
    </row>
    <row r="321" customFormat="false" ht="15" hidden="false" customHeight="false" outlineLevel="0" collapsed="false">
      <c r="A321" s="8"/>
      <c r="B321" s="18"/>
      <c r="C321" s="8"/>
      <c r="D321" s="8"/>
      <c r="E321" s="8"/>
      <c r="F321" s="8"/>
      <c r="G321" s="8"/>
      <c r="H321" s="8"/>
      <c r="I321" s="8"/>
      <c r="J321" s="8"/>
    </row>
    <row r="322" customFormat="false" ht="15" hidden="false" customHeight="false" outlineLevel="0" collapsed="false">
      <c r="A322" s="8"/>
      <c r="B322" s="18"/>
      <c r="C322" s="8"/>
      <c r="D322" s="8"/>
      <c r="E322" s="8"/>
      <c r="F322" s="8"/>
      <c r="G322" s="8"/>
      <c r="H322" s="8"/>
      <c r="I322" s="8"/>
      <c r="J322" s="8"/>
    </row>
    <row r="323" customFormat="false" ht="15" hidden="false" customHeight="false" outlineLevel="0" collapsed="false">
      <c r="A323" s="8"/>
      <c r="B323" s="18"/>
      <c r="C323" s="8"/>
      <c r="D323" s="8"/>
      <c r="E323" s="8"/>
      <c r="F323" s="8"/>
      <c r="G323" s="8"/>
      <c r="H323" s="8"/>
      <c r="I323" s="8"/>
      <c r="J323" s="8"/>
    </row>
    <row r="324" customFormat="false" ht="15" hidden="false" customHeight="false" outlineLevel="0" collapsed="false">
      <c r="A324" s="8"/>
      <c r="B324" s="18"/>
      <c r="C324" s="8"/>
      <c r="D324" s="8"/>
      <c r="E324" s="8"/>
      <c r="F324" s="8"/>
      <c r="G324" s="8"/>
      <c r="H324" s="8"/>
      <c r="I324" s="8"/>
      <c r="J324" s="8"/>
    </row>
    <row r="325" customFormat="false" ht="15" hidden="false" customHeight="false" outlineLevel="0" collapsed="false">
      <c r="A325" s="8"/>
      <c r="B325" s="18"/>
      <c r="C325" s="8"/>
      <c r="D325" s="8"/>
      <c r="E325" s="8"/>
      <c r="F325" s="8"/>
      <c r="G325" s="8"/>
      <c r="H325" s="8"/>
      <c r="I325" s="8"/>
      <c r="J325" s="8"/>
    </row>
    <row r="326" customFormat="false" ht="15" hidden="false" customHeight="false" outlineLevel="0" collapsed="false">
      <c r="A326" s="8"/>
      <c r="B326" s="18"/>
      <c r="C326" s="8"/>
      <c r="D326" s="8"/>
      <c r="E326" s="8"/>
      <c r="F326" s="8"/>
      <c r="G326" s="8"/>
      <c r="H326" s="8"/>
      <c r="I326" s="8"/>
      <c r="J326" s="8"/>
    </row>
    <row r="327" customFormat="false" ht="15" hidden="false" customHeight="false" outlineLevel="0" collapsed="false">
      <c r="A327" s="8"/>
      <c r="B327" s="18"/>
      <c r="C327" s="8"/>
      <c r="D327" s="8"/>
      <c r="E327" s="8"/>
      <c r="F327" s="8"/>
      <c r="G327" s="8"/>
      <c r="H327" s="8"/>
      <c r="I327" s="8"/>
      <c r="J327" s="8"/>
    </row>
    <row r="328" customFormat="false" ht="15" hidden="false" customHeight="false" outlineLevel="0" collapsed="false">
      <c r="A328" s="8"/>
      <c r="B328" s="18"/>
      <c r="C328" s="8"/>
      <c r="D328" s="8"/>
      <c r="E328" s="8"/>
      <c r="F328" s="8"/>
      <c r="G328" s="8"/>
      <c r="H328" s="8"/>
      <c r="I328" s="8"/>
      <c r="J328" s="8"/>
    </row>
    <row r="329" customFormat="false" ht="15" hidden="false" customHeight="false" outlineLevel="0" collapsed="false">
      <c r="A329" s="8"/>
      <c r="B329" s="18"/>
      <c r="C329" s="8"/>
      <c r="D329" s="8"/>
      <c r="E329" s="8"/>
      <c r="F329" s="8"/>
      <c r="G329" s="8"/>
      <c r="H329" s="8"/>
      <c r="I329" s="8"/>
      <c r="J329" s="8"/>
    </row>
    <row r="330" customFormat="false" ht="15" hidden="false" customHeight="false" outlineLevel="0" collapsed="false">
      <c r="A330" s="8"/>
      <c r="B330" s="18"/>
      <c r="C330" s="8"/>
      <c r="D330" s="8"/>
      <c r="E330" s="8"/>
      <c r="F330" s="8"/>
      <c r="G330" s="8"/>
      <c r="H330" s="8"/>
      <c r="I330" s="8"/>
      <c r="J330" s="8"/>
    </row>
    <row r="331" customFormat="false" ht="15" hidden="false" customHeight="false" outlineLevel="0" collapsed="false">
      <c r="A331" s="8"/>
      <c r="B331" s="18"/>
      <c r="C331" s="8"/>
      <c r="D331" s="8"/>
      <c r="E331" s="8"/>
      <c r="F331" s="8"/>
      <c r="G331" s="8"/>
      <c r="H331" s="8"/>
      <c r="I331" s="8"/>
      <c r="J331" s="8"/>
    </row>
    <row r="332" customFormat="false" ht="15" hidden="false" customHeight="false" outlineLevel="0" collapsed="false">
      <c r="A332" s="8"/>
      <c r="B332" s="18"/>
      <c r="C332" s="8"/>
      <c r="D332" s="8"/>
      <c r="E332" s="8"/>
      <c r="F332" s="8"/>
      <c r="G332" s="8"/>
      <c r="H332" s="8"/>
      <c r="I332" s="8"/>
      <c r="J332" s="8"/>
    </row>
    <row r="333" customFormat="false" ht="15" hidden="false" customHeight="false" outlineLevel="0" collapsed="false">
      <c r="A333" s="8"/>
      <c r="B333" s="18"/>
      <c r="C333" s="8"/>
      <c r="D333" s="8"/>
      <c r="E333" s="8"/>
      <c r="F333" s="8"/>
      <c r="G333" s="8"/>
      <c r="H333" s="8"/>
      <c r="I333" s="8"/>
      <c r="J333" s="8"/>
    </row>
    <row r="334" customFormat="false" ht="15" hidden="false" customHeight="false" outlineLevel="0" collapsed="false">
      <c r="A334" s="8"/>
      <c r="B334" s="18"/>
      <c r="C334" s="8"/>
      <c r="D334" s="8"/>
      <c r="E334" s="8"/>
      <c r="F334" s="8"/>
      <c r="G334" s="8"/>
      <c r="H334" s="8"/>
      <c r="I334" s="8"/>
      <c r="J334" s="8"/>
    </row>
    <row r="335" customFormat="false" ht="15" hidden="false" customHeight="false" outlineLevel="0" collapsed="false">
      <c r="A335" s="8"/>
      <c r="B335" s="18"/>
      <c r="C335" s="8"/>
      <c r="D335" s="8"/>
      <c r="E335" s="8"/>
      <c r="F335" s="8"/>
      <c r="G335" s="8"/>
      <c r="H335" s="8"/>
      <c r="I335" s="8"/>
      <c r="J335" s="8"/>
    </row>
    <row r="336" customFormat="false" ht="15" hidden="false" customHeight="false" outlineLevel="0" collapsed="false">
      <c r="A336" s="8"/>
      <c r="B336" s="18"/>
      <c r="C336" s="8"/>
      <c r="D336" s="8"/>
      <c r="E336" s="8"/>
      <c r="F336" s="8"/>
      <c r="G336" s="8"/>
      <c r="H336" s="8"/>
      <c r="I336" s="8"/>
      <c r="J336" s="8"/>
    </row>
    <row r="337" customFormat="false" ht="15" hidden="false" customHeight="false" outlineLevel="0" collapsed="false">
      <c r="A337" s="8"/>
      <c r="B337" s="18"/>
      <c r="C337" s="8"/>
      <c r="D337" s="8"/>
      <c r="E337" s="8"/>
      <c r="F337" s="8"/>
      <c r="G337" s="8"/>
      <c r="H337" s="8"/>
      <c r="I337" s="8"/>
      <c r="J337" s="8"/>
    </row>
    <row r="338" customFormat="false" ht="15" hidden="false" customHeight="false" outlineLevel="0" collapsed="false">
      <c r="A338" s="8"/>
      <c r="B338" s="18"/>
      <c r="C338" s="8"/>
      <c r="D338" s="8"/>
      <c r="E338" s="8"/>
      <c r="F338" s="8"/>
      <c r="G338" s="8"/>
      <c r="H338" s="8"/>
      <c r="I338" s="8"/>
      <c r="J338" s="8"/>
    </row>
    <row r="339" customFormat="false" ht="15" hidden="false" customHeight="false" outlineLevel="0" collapsed="false">
      <c r="A339" s="8"/>
      <c r="B339" s="18"/>
      <c r="C339" s="8"/>
      <c r="D339" s="8"/>
      <c r="E339" s="8"/>
      <c r="F339" s="8"/>
      <c r="G339" s="8"/>
      <c r="H339" s="8"/>
      <c r="I339" s="8"/>
      <c r="J339" s="8"/>
    </row>
    <row r="340" customFormat="false" ht="15" hidden="false" customHeight="false" outlineLevel="0" collapsed="false">
      <c r="A340" s="8"/>
      <c r="B340" s="18"/>
      <c r="C340" s="8"/>
      <c r="D340" s="8"/>
      <c r="E340" s="8"/>
      <c r="F340" s="8"/>
      <c r="G340" s="8"/>
      <c r="H340" s="8"/>
      <c r="I340" s="8"/>
      <c r="J340" s="8"/>
    </row>
    <row r="341" customFormat="false" ht="15" hidden="false" customHeight="false" outlineLevel="0" collapsed="false">
      <c r="A341" s="8"/>
      <c r="B341" s="18"/>
      <c r="C341" s="8"/>
      <c r="D341" s="8"/>
      <c r="E341" s="8"/>
      <c r="F341" s="8"/>
      <c r="G341" s="8"/>
      <c r="H341" s="8"/>
      <c r="I341" s="8"/>
      <c r="J341" s="8"/>
    </row>
    <row r="342" customFormat="false" ht="15" hidden="false" customHeight="false" outlineLevel="0" collapsed="false">
      <c r="A342" s="8"/>
      <c r="B342" s="18"/>
      <c r="C342" s="8"/>
      <c r="D342" s="8"/>
      <c r="E342" s="8"/>
      <c r="F342" s="8"/>
      <c r="G342" s="8"/>
      <c r="H342" s="8"/>
      <c r="I342" s="8"/>
      <c r="J342" s="8"/>
    </row>
    <row r="343" customFormat="false" ht="15" hidden="false" customHeight="false" outlineLevel="0" collapsed="false">
      <c r="A343" s="8"/>
      <c r="B343" s="18"/>
      <c r="C343" s="8"/>
      <c r="D343" s="8"/>
      <c r="E343" s="8"/>
      <c r="F343" s="8"/>
      <c r="G343" s="8"/>
      <c r="H343" s="8"/>
      <c r="I343" s="8"/>
      <c r="J343" s="8"/>
    </row>
    <row r="344" customFormat="false" ht="15" hidden="false" customHeight="false" outlineLevel="0" collapsed="false">
      <c r="A344" s="8"/>
      <c r="B344" s="18"/>
      <c r="C344" s="8"/>
      <c r="D344" s="8"/>
      <c r="E344" s="8"/>
      <c r="F344" s="8"/>
      <c r="G344" s="8"/>
      <c r="H344" s="8"/>
      <c r="I344" s="8"/>
      <c r="J344" s="8"/>
    </row>
    <row r="345" customFormat="false" ht="15" hidden="false" customHeight="false" outlineLevel="0" collapsed="false">
      <c r="A345" s="8"/>
      <c r="B345" s="18"/>
      <c r="C345" s="8"/>
      <c r="D345" s="8"/>
      <c r="E345" s="8"/>
      <c r="F345" s="8"/>
      <c r="G345" s="8"/>
      <c r="H345" s="8"/>
      <c r="I345" s="8"/>
      <c r="J345" s="8"/>
    </row>
    <row r="346" customFormat="false" ht="15" hidden="false" customHeight="false" outlineLevel="0" collapsed="false">
      <c r="A346" s="8"/>
      <c r="B346" s="18"/>
      <c r="C346" s="8"/>
      <c r="D346" s="8"/>
      <c r="E346" s="8"/>
      <c r="F346" s="8"/>
      <c r="G346" s="8"/>
      <c r="H346" s="8"/>
      <c r="I346" s="8"/>
      <c r="J346" s="8"/>
    </row>
    <row r="347" customFormat="false" ht="15" hidden="false" customHeight="false" outlineLevel="0" collapsed="false">
      <c r="A347" s="8"/>
      <c r="B347" s="18"/>
      <c r="C347" s="8"/>
      <c r="D347" s="8"/>
      <c r="E347" s="8"/>
      <c r="F347" s="8"/>
      <c r="G347" s="8"/>
      <c r="H347" s="8"/>
      <c r="I347" s="8"/>
      <c r="J347" s="8"/>
    </row>
    <row r="348" customFormat="false" ht="15" hidden="false" customHeight="false" outlineLevel="0" collapsed="false">
      <c r="A348" s="8"/>
      <c r="B348" s="18"/>
      <c r="C348" s="8"/>
      <c r="D348" s="8"/>
      <c r="E348" s="8"/>
      <c r="F348" s="8"/>
      <c r="G348" s="8"/>
      <c r="H348" s="8"/>
      <c r="I348" s="8"/>
      <c r="J348" s="8"/>
    </row>
    <row r="349" customFormat="false" ht="15" hidden="false" customHeight="false" outlineLevel="0" collapsed="false">
      <c r="A349" s="8"/>
      <c r="B349" s="18"/>
      <c r="C349" s="8"/>
      <c r="D349" s="8"/>
      <c r="E349" s="8"/>
      <c r="F349" s="8"/>
      <c r="G349" s="8"/>
      <c r="H349" s="8"/>
      <c r="I349" s="8"/>
      <c r="J349" s="8"/>
    </row>
    <row r="350" customFormat="false" ht="15" hidden="false" customHeight="false" outlineLevel="0" collapsed="false">
      <c r="A350" s="8"/>
      <c r="B350" s="18"/>
      <c r="C350" s="8"/>
      <c r="D350" s="8"/>
      <c r="E350" s="8"/>
      <c r="F350" s="8"/>
      <c r="G350" s="8"/>
      <c r="H350" s="8"/>
      <c r="I350" s="8"/>
      <c r="J350" s="8"/>
    </row>
    <row r="351" customFormat="false" ht="15" hidden="false" customHeight="false" outlineLevel="0" collapsed="false">
      <c r="A351" s="8"/>
      <c r="B351" s="18"/>
      <c r="C351" s="8"/>
      <c r="D351" s="8"/>
      <c r="E351" s="8"/>
      <c r="F351" s="8"/>
      <c r="G351" s="8"/>
      <c r="H351" s="8"/>
      <c r="I351" s="8"/>
      <c r="J351" s="8"/>
    </row>
    <row r="352" customFormat="false" ht="15" hidden="false" customHeight="false" outlineLevel="0" collapsed="false">
      <c r="A352" s="8"/>
      <c r="B352" s="18"/>
      <c r="C352" s="8"/>
      <c r="D352" s="8"/>
      <c r="E352" s="8"/>
      <c r="F352" s="8"/>
      <c r="G352" s="8"/>
      <c r="H352" s="8"/>
      <c r="I352" s="8"/>
      <c r="J352" s="8"/>
    </row>
    <row r="353" customFormat="false" ht="15" hidden="false" customHeight="false" outlineLevel="0" collapsed="false">
      <c r="A353" s="8"/>
      <c r="B353" s="18"/>
      <c r="C353" s="8"/>
      <c r="D353" s="8"/>
      <c r="E353" s="8"/>
      <c r="F353" s="8"/>
      <c r="G353" s="8"/>
      <c r="H353" s="8"/>
      <c r="I353" s="8"/>
      <c r="J353" s="8"/>
    </row>
    <row r="354" customFormat="false" ht="15" hidden="false" customHeight="false" outlineLevel="0" collapsed="false">
      <c r="A354" s="8"/>
      <c r="B354" s="18"/>
      <c r="C354" s="8"/>
      <c r="D354" s="8"/>
      <c r="E354" s="8"/>
      <c r="F354" s="8"/>
      <c r="G354" s="8"/>
      <c r="H354" s="8"/>
      <c r="I354" s="8"/>
      <c r="J354" s="8"/>
    </row>
    <row r="355" customFormat="false" ht="15" hidden="false" customHeight="false" outlineLevel="0" collapsed="false">
      <c r="A355" s="8"/>
      <c r="B355" s="18"/>
      <c r="C355" s="8"/>
      <c r="D355" s="8"/>
      <c r="E355" s="8"/>
      <c r="F355" s="8"/>
      <c r="G355" s="8"/>
      <c r="H355" s="8"/>
      <c r="I355" s="8"/>
      <c r="J355" s="8"/>
    </row>
    <row r="356" customFormat="false" ht="15" hidden="false" customHeight="false" outlineLevel="0" collapsed="false">
      <c r="A356" s="8"/>
      <c r="B356" s="18"/>
      <c r="C356" s="8"/>
      <c r="D356" s="8"/>
      <c r="E356" s="8"/>
      <c r="F356" s="8"/>
      <c r="G356" s="8"/>
      <c r="H356" s="8"/>
      <c r="I356" s="8"/>
      <c r="J356" s="8"/>
    </row>
    <row r="357" customFormat="false" ht="15" hidden="false" customHeight="false" outlineLevel="0" collapsed="false">
      <c r="A357" s="8"/>
      <c r="B357" s="18"/>
      <c r="C357" s="8"/>
      <c r="D357" s="8"/>
      <c r="E357" s="8"/>
      <c r="F357" s="8"/>
      <c r="G357" s="8"/>
      <c r="H357" s="8"/>
      <c r="I357" s="8"/>
      <c r="J357" s="8"/>
    </row>
    <row r="358" customFormat="false" ht="15" hidden="false" customHeight="false" outlineLevel="0" collapsed="false">
      <c r="A358" s="8"/>
      <c r="B358" s="18"/>
      <c r="C358" s="8"/>
      <c r="D358" s="8"/>
      <c r="E358" s="8"/>
      <c r="F358" s="8"/>
      <c r="G358" s="8"/>
      <c r="H358" s="8"/>
      <c r="I358" s="8"/>
      <c r="J358" s="8"/>
    </row>
    <row r="359" customFormat="false" ht="15" hidden="false" customHeight="false" outlineLevel="0" collapsed="false">
      <c r="A359" s="8"/>
      <c r="B359" s="18"/>
      <c r="C359" s="8"/>
      <c r="D359" s="8"/>
      <c r="E359" s="8"/>
      <c r="F359" s="8"/>
      <c r="G359" s="8"/>
      <c r="H359" s="8"/>
      <c r="I359" s="8"/>
      <c r="J359" s="8"/>
    </row>
    <row r="360" customFormat="false" ht="15" hidden="false" customHeight="false" outlineLevel="0" collapsed="false">
      <c r="A360" s="8"/>
      <c r="B360" s="18"/>
      <c r="C360" s="8"/>
      <c r="D360" s="8"/>
      <c r="E360" s="8"/>
      <c r="F360" s="8"/>
      <c r="G360" s="8"/>
      <c r="H360" s="8"/>
      <c r="I360" s="8"/>
      <c r="J360" s="8"/>
    </row>
    <row r="361" customFormat="false" ht="15" hidden="false" customHeight="false" outlineLevel="0" collapsed="false">
      <c r="A361" s="8"/>
      <c r="B361" s="18"/>
      <c r="C361" s="8"/>
      <c r="D361" s="8"/>
      <c r="E361" s="8"/>
      <c r="F361" s="8"/>
      <c r="G361" s="8"/>
      <c r="H361" s="8"/>
      <c r="I361" s="8"/>
      <c r="J361" s="8"/>
    </row>
    <row r="362" customFormat="false" ht="15" hidden="false" customHeight="false" outlineLevel="0" collapsed="false">
      <c r="A362" s="8"/>
      <c r="B362" s="18"/>
      <c r="C362" s="8"/>
      <c r="D362" s="8"/>
      <c r="E362" s="8"/>
      <c r="F362" s="8"/>
      <c r="G362" s="8"/>
      <c r="H362" s="8"/>
      <c r="I362" s="8"/>
      <c r="J362" s="8"/>
    </row>
    <row r="363" customFormat="false" ht="15" hidden="false" customHeight="false" outlineLevel="0" collapsed="false">
      <c r="A363" s="8"/>
      <c r="B363" s="18"/>
      <c r="C363" s="8"/>
      <c r="D363" s="8"/>
      <c r="E363" s="8"/>
      <c r="F363" s="8"/>
      <c r="G363" s="8"/>
      <c r="H363" s="8"/>
      <c r="I363" s="8"/>
      <c r="J363" s="8"/>
    </row>
    <row r="364" customFormat="false" ht="15" hidden="false" customHeight="false" outlineLevel="0" collapsed="false">
      <c r="A364" s="8"/>
      <c r="B364" s="18"/>
      <c r="C364" s="8"/>
      <c r="D364" s="8"/>
      <c r="E364" s="8"/>
      <c r="F364" s="8"/>
      <c r="G364" s="8"/>
      <c r="H364" s="8"/>
      <c r="I364" s="8"/>
      <c r="J364" s="8"/>
    </row>
    <row r="365" customFormat="false" ht="15" hidden="false" customHeight="false" outlineLevel="0" collapsed="false">
      <c r="A365" s="8"/>
      <c r="B365" s="18"/>
      <c r="C365" s="8"/>
      <c r="D365" s="8"/>
      <c r="E365" s="8"/>
      <c r="F365" s="8"/>
      <c r="G365" s="8"/>
      <c r="H365" s="8"/>
      <c r="I365" s="8"/>
      <c r="J365" s="8"/>
    </row>
    <row r="366" customFormat="false" ht="15" hidden="false" customHeight="false" outlineLevel="0" collapsed="false">
      <c r="A366" s="8"/>
      <c r="B366" s="18"/>
      <c r="C366" s="8"/>
      <c r="D366" s="8"/>
      <c r="E366" s="8"/>
      <c r="F366" s="8"/>
      <c r="G366" s="8"/>
      <c r="H366" s="8"/>
      <c r="I366" s="8"/>
      <c r="J366" s="8"/>
    </row>
    <row r="367" customFormat="false" ht="15" hidden="false" customHeight="false" outlineLevel="0" collapsed="false">
      <c r="A367" s="8"/>
      <c r="B367" s="18"/>
      <c r="C367" s="8"/>
      <c r="D367" s="8"/>
      <c r="E367" s="8"/>
      <c r="F367" s="8"/>
      <c r="G367" s="8"/>
      <c r="H367" s="8"/>
      <c r="I367" s="8"/>
      <c r="J367" s="8"/>
    </row>
    <row r="368" customFormat="false" ht="15" hidden="false" customHeight="false" outlineLevel="0" collapsed="false">
      <c r="A368" s="8"/>
      <c r="B368" s="18"/>
      <c r="C368" s="8"/>
      <c r="D368" s="8"/>
      <c r="E368" s="8"/>
      <c r="F368" s="8"/>
      <c r="G368" s="8"/>
      <c r="H368" s="8"/>
      <c r="I368" s="8"/>
      <c r="J368" s="8"/>
    </row>
    <row r="369" customFormat="false" ht="15" hidden="false" customHeight="false" outlineLevel="0" collapsed="false">
      <c r="A369" s="8"/>
      <c r="B369" s="18"/>
      <c r="C369" s="8"/>
      <c r="D369" s="8"/>
      <c r="E369" s="8"/>
      <c r="F369" s="8"/>
      <c r="G369" s="8"/>
      <c r="H369" s="8"/>
      <c r="I369" s="8"/>
      <c r="J369" s="8"/>
    </row>
    <row r="370" customFormat="false" ht="15" hidden="false" customHeight="false" outlineLevel="0" collapsed="false">
      <c r="A370" s="8"/>
      <c r="B370" s="18"/>
      <c r="C370" s="8"/>
      <c r="D370" s="8"/>
      <c r="E370" s="8"/>
      <c r="F370" s="8"/>
      <c r="G370" s="8"/>
      <c r="H370" s="8"/>
      <c r="I370" s="8"/>
      <c r="J370" s="8"/>
    </row>
    <row r="371" customFormat="false" ht="15" hidden="false" customHeight="false" outlineLevel="0" collapsed="false">
      <c r="A371" s="8"/>
      <c r="B371" s="18"/>
      <c r="C371" s="8"/>
      <c r="D371" s="8"/>
      <c r="E371" s="8"/>
      <c r="F371" s="8"/>
      <c r="G371" s="8"/>
      <c r="H371" s="8"/>
      <c r="I371" s="8"/>
      <c r="J371" s="8"/>
    </row>
    <row r="372" customFormat="false" ht="15" hidden="false" customHeight="false" outlineLevel="0" collapsed="false">
      <c r="A372" s="8"/>
      <c r="B372" s="18"/>
      <c r="C372" s="8"/>
      <c r="D372" s="8"/>
      <c r="E372" s="8"/>
      <c r="F372" s="8"/>
      <c r="G372" s="8"/>
      <c r="H372" s="8"/>
      <c r="I372" s="8"/>
      <c r="J372" s="8"/>
    </row>
    <row r="373" customFormat="false" ht="15" hidden="false" customHeight="false" outlineLevel="0" collapsed="false">
      <c r="A373" s="8"/>
      <c r="B373" s="18"/>
      <c r="C373" s="8"/>
      <c r="D373" s="8"/>
      <c r="E373" s="8"/>
      <c r="F373" s="8"/>
      <c r="G373" s="8"/>
      <c r="H373" s="8"/>
      <c r="I373" s="8"/>
      <c r="J373" s="8"/>
    </row>
    <row r="374" customFormat="false" ht="15" hidden="false" customHeight="false" outlineLevel="0" collapsed="false">
      <c r="A374" s="8"/>
      <c r="B374" s="18"/>
      <c r="C374" s="8"/>
      <c r="D374" s="8"/>
      <c r="E374" s="8"/>
      <c r="F374" s="8"/>
      <c r="G374" s="8"/>
      <c r="H374" s="8"/>
      <c r="I374" s="8"/>
      <c r="J374" s="8"/>
    </row>
    <row r="375" customFormat="false" ht="15" hidden="false" customHeight="false" outlineLevel="0" collapsed="false">
      <c r="A375" s="8"/>
      <c r="B375" s="18"/>
      <c r="C375" s="8"/>
      <c r="D375" s="8"/>
      <c r="E375" s="8"/>
      <c r="F375" s="8"/>
      <c r="G375" s="8"/>
      <c r="H375" s="8"/>
      <c r="I375" s="8"/>
      <c r="J375" s="8"/>
    </row>
    <row r="376" customFormat="false" ht="15" hidden="false" customHeight="false" outlineLevel="0" collapsed="false">
      <c r="A376" s="8"/>
      <c r="B376" s="18"/>
      <c r="C376" s="8"/>
      <c r="D376" s="8"/>
      <c r="E376" s="8"/>
      <c r="F376" s="8"/>
      <c r="G376" s="8"/>
      <c r="H376" s="8"/>
      <c r="I376" s="8"/>
      <c r="J376" s="8"/>
    </row>
    <row r="377" customFormat="false" ht="15" hidden="false" customHeight="false" outlineLevel="0" collapsed="false">
      <c r="A377" s="8"/>
      <c r="B377" s="18"/>
      <c r="C377" s="8"/>
      <c r="D377" s="8"/>
      <c r="E377" s="8"/>
      <c r="F377" s="8"/>
      <c r="G377" s="8"/>
      <c r="H377" s="8"/>
      <c r="I377" s="8"/>
      <c r="J377" s="8"/>
    </row>
    <row r="378" customFormat="false" ht="15" hidden="false" customHeight="false" outlineLevel="0" collapsed="false">
      <c r="A378" s="8"/>
      <c r="B378" s="18"/>
      <c r="C378" s="8"/>
      <c r="D378" s="8"/>
      <c r="E378" s="8"/>
      <c r="F378" s="8"/>
      <c r="G378" s="8"/>
      <c r="H378" s="8"/>
      <c r="I378" s="8"/>
      <c r="J378" s="8"/>
    </row>
    <row r="379" customFormat="false" ht="15" hidden="false" customHeight="false" outlineLevel="0" collapsed="false">
      <c r="A379" s="8"/>
      <c r="B379" s="18"/>
      <c r="C379" s="8"/>
      <c r="D379" s="8"/>
      <c r="E379" s="8"/>
      <c r="F379" s="8"/>
      <c r="G379" s="8"/>
      <c r="H379" s="8"/>
      <c r="I379" s="8"/>
      <c r="J379" s="8"/>
    </row>
    <row r="380" customFormat="false" ht="15" hidden="false" customHeight="false" outlineLevel="0" collapsed="false">
      <c r="A380" s="8"/>
      <c r="B380" s="18"/>
      <c r="C380" s="8"/>
      <c r="D380" s="8"/>
      <c r="E380" s="8"/>
      <c r="F380" s="8"/>
      <c r="G380" s="8"/>
      <c r="H380" s="8"/>
      <c r="I380" s="8"/>
      <c r="J380" s="8"/>
    </row>
    <row r="381" customFormat="false" ht="15" hidden="false" customHeight="false" outlineLevel="0" collapsed="false">
      <c r="A381" s="8"/>
      <c r="B381" s="18"/>
      <c r="C381" s="8"/>
      <c r="D381" s="8"/>
      <c r="E381" s="8"/>
      <c r="F381" s="8"/>
      <c r="G381" s="8"/>
      <c r="H381" s="8"/>
      <c r="I381" s="8"/>
      <c r="J381" s="8"/>
    </row>
    <row r="382" customFormat="false" ht="15" hidden="false" customHeight="false" outlineLevel="0" collapsed="false">
      <c r="A382" s="8"/>
      <c r="B382" s="18"/>
      <c r="C382" s="8"/>
      <c r="D382" s="8"/>
      <c r="E382" s="8"/>
      <c r="F382" s="8"/>
      <c r="G382" s="8"/>
      <c r="H382" s="8"/>
      <c r="I382" s="8"/>
      <c r="J382" s="8"/>
    </row>
    <row r="383" customFormat="false" ht="15" hidden="false" customHeight="false" outlineLevel="0" collapsed="false">
      <c r="A383" s="8"/>
      <c r="B383" s="18"/>
      <c r="C383" s="8"/>
      <c r="D383" s="8"/>
      <c r="E383" s="8"/>
      <c r="F383" s="8"/>
      <c r="G383" s="8"/>
      <c r="H383" s="8"/>
      <c r="I383" s="8"/>
      <c r="J383" s="8"/>
    </row>
    <row r="384" customFormat="false" ht="15" hidden="false" customHeight="false" outlineLevel="0" collapsed="false">
      <c r="A384" s="8"/>
      <c r="B384" s="18"/>
      <c r="C384" s="8"/>
      <c r="D384" s="8"/>
      <c r="E384" s="8"/>
      <c r="F384" s="8"/>
      <c r="G384" s="8"/>
      <c r="H384" s="8"/>
      <c r="I384" s="8"/>
      <c r="J384" s="8"/>
    </row>
    <row r="385" customFormat="false" ht="15" hidden="false" customHeight="false" outlineLevel="0" collapsed="false">
      <c r="A385" s="8"/>
      <c r="B385" s="18"/>
      <c r="C385" s="8"/>
      <c r="D385" s="8"/>
      <c r="E385" s="8"/>
      <c r="F385" s="8"/>
      <c r="G385" s="8"/>
      <c r="H385" s="8"/>
      <c r="I385" s="8"/>
      <c r="J385" s="8"/>
    </row>
    <row r="386" customFormat="false" ht="15" hidden="false" customHeight="false" outlineLevel="0" collapsed="false">
      <c r="A386" s="8"/>
      <c r="B386" s="18"/>
      <c r="C386" s="8"/>
      <c r="D386" s="8"/>
      <c r="E386" s="8"/>
      <c r="F386" s="8"/>
      <c r="G386" s="8"/>
      <c r="H386" s="8"/>
      <c r="I386" s="8"/>
      <c r="J386" s="8"/>
    </row>
    <row r="387" customFormat="false" ht="15" hidden="false" customHeight="false" outlineLevel="0" collapsed="false">
      <c r="A387" s="8"/>
      <c r="B387" s="18"/>
      <c r="C387" s="8"/>
      <c r="D387" s="8"/>
      <c r="E387" s="8"/>
      <c r="F387" s="8"/>
      <c r="G387" s="8"/>
      <c r="H387" s="8"/>
      <c r="I387" s="8"/>
      <c r="J387" s="8"/>
    </row>
    <row r="388" customFormat="false" ht="15" hidden="false" customHeight="false" outlineLevel="0" collapsed="false">
      <c r="A388" s="8"/>
      <c r="B388" s="18"/>
      <c r="C388" s="8"/>
      <c r="D388" s="8"/>
      <c r="E388" s="8"/>
      <c r="F388" s="8"/>
      <c r="G388" s="8"/>
      <c r="H388" s="8"/>
      <c r="I388" s="8"/>
      <c r="J388" s="8"/>
    </row>
    <row r="389" customFormat="false" ht="15" hidden="false" customHeight="false" outlineLevel="0" collapsed="false">
      <c r="A389" s="8"/>
      <c r="B389" s="18"/>
      <c r="C389" s="8"/>
      <c r="D389" s="8"/>
      <c r="E389" s="8"/>
      <c r="F389" s="8"/>
      <c r="G389" s="8"/>
      <c r="H389" s="8"/>
      <c r="I389" s="8"/>
      <c r="J389" s="8"/>
    </row>
    <row r="390" customFormat="false" ht="15" hidden="false" customHeight="false" outlineLevel="0" collapsed="false">
      <c r="A390" s="8"/>
      <c r="B390" s="18"/>
      <c r="C390" s="8"/>
      <c r="D390" s="8"/>
      <c r="E390" s="8"/>
      <c r="F390" s="8"/>
      <c r="G390" s="8"/>
      <c r="H390" s="8"/>
      <c r="I390" s="8"/>
      <c r="J390" s="8"/>
    </row>
    <row r="391" customFormat="false" ht="15" hidden="false" customHeight="false" outlineLevel="0" collapsed="false">
      <c r="A391" s="8"/>
      <c r="B391" s="18"/>
      <c r="C391" s="8"/>
      <c r="D391" s="8"/>
      <c r="E391" s="8"/>
      <c r="F391" s="8"/>
      <c r="G391" s="8"/>
      <c r="H391" s="8"/>
      <c r="I391" s="8"/>
      <c r="J391" s="8"/>
    </row>
    <row r="392" customFormat="false" ht="15" hidden="false" customHeight="false" outlineLevel="0" collapsed="false">
      <c r="A392" s="8"/>
      <c r="B392" s="18"/>
      <c r="C392" s="8"/>
      <c r="D392" s="8"/>
      <c r="E392" s="8"/>
      <c r="F392" s="8"/>
      <c r="G392" s="8"/>
      <c r="H392" s="8"/>
      <c r="I392" s="8"/>
      <c r="J392" s="8"/>
    </row>
    <row r="393" customFormat="false" ht="15" hidden="false" customHeight="false" outlineLevel="0" collapsed="false">
      <c r="A393" s="8"/>
      <c r="B393" s="18"/>
      <c r="C393" s="8"/>
      <c r="D393" s="8"/>
      <c r="E393" s="8"/>
      <c r="F393" s="8"/>
      <c r="G393" s="8"/>
      <c r="H393" s="8"/>
      <c r="I393" s="8"/>
      <c r="J393" s="8"/>
    </row>
    <row r="394" customFormat="false" ht="15" hidden="false" customHeight="false" outlineLevel="0" collapsed="false">
      <c r="A394" s="8"/>
      <c r="B394" s="18"/>
      <c r="C394" s="8"/>
      <c r="D394" s="8"/>
      <c r="E394" s="8"/>
      <c r="F394" s="8"/>
      <c r="G394" s="8"/>
      <c r="H394" s="8"/>
      <c r="I394" s="8"/>
      <c r="J394" s="8"/>
    </row>
    <row r="395" customFormat="false" ht="15" hidden="false" customHeight="false" outlineLevel="0" collapsed="false">
      <c r="A395" s="8"/>
      <c r="B395" s="18"/>
      <c r="C395" s="8"/>
      <c r="D395" s="8"/>
      <c r="E395" s="8"/>
      <c r="F395" s="8"/>
      <c r="G395" s="8"/>
      <c r="H395" s="8"/>
      <c r="I395" s="8"/>
      <c r="J395" s="8"/>
    </row>
    <row r="396" customFormat="false" ht="15" hidden="false" customHeight="false" outlineLevel="0" collapsed="false">
      <c r="A396" s="8"/>
      <c r="B396" s="18"/>
      <c r="C396" s="8"/>
      <c r="D396" s="8"/>
      <c r="E396" s="8"/>
      <c r="F396" s="8"/>
      <c r="G396" s="8"/>
      <c r="H396" s="8"/>
      <c r="I396" s="8"/>
      <c r="J396" s="8"/>
    </row>
    <row r="397" customFormat="false" ht="15" hidden="false" customHeight="false" outlineLevel="0" collapsed="false">
      <c r="A397" s="8"/>
      <c r="B397" s="18"/>
      <c r="C397" s="8"/>
      <c r="D397" s="8"/>
      <c r="E397" s="8"/>
      <c r="F397" s="8"/>
      <c r="G397" s="8"/>
      <c r="H397" s="8"/>
      <c r="I397" s="8"/>
      <c r="J397" s="8"/>
    </row>
    <row r="398" customFormat="false" ht="15" hidden="false" customHeight="false" outlineLevel="0" collapsed="false">
      <c r="A398" s="8"/>
      <c r="B398" s="18"/>
      <c r="C398" s="8"/>
      <c r="D398" s="8"/>
      <c r="E398" s="8"/>
      <c r="F398" s="8"/>
      <c r="G398" s="8"/>
      <c r="H398" s="8"/>
      <c r="I398" s="8"/>
      <c r="J398" s="8"/>
    </row>
    <row r="399" customFormat="false" ht="15" hidden="false" customHeight="false" outlineLevel="0" collapsed="false">
      <c r="A399" s="8"/>
      <c r="B399" s="18"/>
      <c r="C399" s="8"/>
      <c r="D399" s="8"/>
      <c r="E399" s="8"/>
      <c r="F399" s="8"/>
      <c r="G399" s="8"/>
      <c r="H399" s="8"/>
      <c r="I399" s="8"/>
      <c r="J399" s="8"/>
    </row>
    <row r="400" customFormat="false" ht="15" hidden="false" customHeight="false" outlineLevel="0" collapsed="false">
      <c r="A400" s="8"/>
      <c r="B400" s="18"/>
      <c r="C400" s="8"/>
      <c r="D400" s="8"/>
      <c r="E400" s="8"/>
      <c r="F400" s="8"/>
      <c r="G400" s="8"/>
      <c r="H400" s="8"/>
      <c r="I400" s="8"/>
      <c r="J400" s="8"/>
    </row>
    <row r="401" customFormat="false" ht="15" hidden="false" customHeight="false" outlineLevel="0" collapsed="false">
      <c r="A401" s="8"/>
      <c r="B401" s="18"/>
      <c r="C401" s="8"/>
      <c r="D401" s="8"/>
      <c r="E401" s="8"/>
      <c r="F401" s="8"/>
      <c r="G401" s="8"/>
      <c r="H401" s="8"/>
      <c r="I401" s="8"/>
      <c r="J401" s="8"/>
    </row>
    <row r="402" customFormat="false" ht="15" hidden="false" customHeight="false" outlineLevel="0" collapsed="false">
      <c r="A402" s="8"/>
      <c r="B402" s="18"/>
      <c r="C402" s="8"/>
      <c r="D402" s="8"/>
      <c r="E402" s="8"/>
      <c r="F402" s="8"/>
      <c r="G402" s="8"/>
      <c r="H402" s="8"/>
      <c r="I402" s="8"/>
      <c r="J402" s="8"/>
    </row>
    <row r="403" customFormat="false" ht="15" hidden="false" customHeight="false" outlineLevel="0" collapsed="false">
      <c r="A403" s="8"/>
      <c r="B403" s="18"/>
      <c r="C403" s="8"/>
      <c r="D403" s="8"/>
      <c r="E403" s="8"/>
      <c r="F403" s="8"/>
      <c r="G403" s="8"/>
      <c r="H403" s="8"/>
      <c r="I403" s="8"/>
      <c r="J403" s="8"/>
    </row>
    <row r="404" customFormat="false" ht="15" hidden="false" customHeight="false" outlineLevel="0" collapsed="false">
      <c r="A404" s="8"/>
      <c r="B404" s="18"/>
      <c r="C404" s="8"/>
      <c r="D404" s="8"/>
      <c r="E404" s="8"/>
      <c r="F404" s="8"/>
      <c r="G404" s="8"/>
      <c r="H404" s="8"/>
      <c r="I404" s="8"/>
      <c r="J404" s="8"/>
    </row>
    <row r="405" customFormat="false" ht="15" hidden="false" customHeight="false" outlineLevel="0" collapsed="false">
      <c r="A405" s="8"/>
      <c r="B405" s="18"/>
      <c r="C405" s="8"/>
      <c r="D405" s="8"/>
      <c r="E405" s="8"/>
      <c r="F405" s="8"/>
      <c r="G405" s="8"/>
      <c r="H405" s="8"/>
      <c r="I405" s="8"/>
      <c r="J405" s="8"/>
    </row>
    <row r="406" customFormat="false" ht="15" hidden="false" customHeight="false" outlineLevel="0" collapsed="false">
      <c r="A406" s="8"/>
      <c r="B406" s="18"/>
      <c r="C406" s="8"/>
      <c r="D406" s="8"/>
      <c r="E406" s="8"/>
      <c r="F406" s="8"/>
      <c r="G406" s="8"/>
      <c r="H406" s="8"/>
      <c r="I406" s="8"/>
      <c r="J406" s="8"/>
    </row>
    <row r="407" customFormat="false" ht="15" hidden="false" customHeight="false" outlineLevel="0" collapsed="false">
      <c r="A407" s="8"/>
      <c r="B407" s="18"/>
      <c r="C407" s="8"/>
      <c r="D407" s="8"/>
      <c r="E407" s="8"/>
      <c r="F407" s="8"/>
      <c r="G407" s="8"/>
      <c r="H407" s="8"/>
      <c r="I407" s="8"/>
      <c r="J407" s="8"/>
    </row>
    <row r="408" customFormat="false" ht="15" hidden="false" customHeight="false" outlineLevel="0" collapsed="false">
      <c r="A408" s="8"/>
      <c r="B408" s="18"/>
      <c r="C408" s="8"/>
      <c r="D408" s="8"/>
      <c r="E408" s="8"/>
      <c r="F408" s="8"/>
      <c r="G408" s="8"/>
      <c r="H408" s="8"/>
      <c r="I408" s="8"/>
      <c r="J408" s="8"/>
    </row>
    <row r="409" customFormat="false" ht="15" hidden="false" customHeight="false" outlineLevel="0" collapsed="false">
      <c r="A409" s="8"/>
      <c r="B409" s="18"/>
      <c r="C409" s="8"/>
      <c r="D409" s="8"/>
      <c r="E409" s="8"/>
      <c r="F409" s="8"/>
      <c r="G409" s="8"/>
      <c r="H409" s="8"/>
      <c r="I409" s="8"/>
      <c r="J409" s="8"/>
    </row>
    <row r="410" customFormat="false" ht="15" hidden="false" customHeight="false" outlineLevel="0" collapsed="false">
      <c r="A410" s="8"/>
      <c r="B410" s="18"/>
      <c r="C410" s="8"/>
      <c r="D410" s="8"/>
      <c r="E410" s="8"/>
      <c r="F410" s="8"/>
      <c r="G410" s="8"/>
      <c r="H410" s="8"/>
      <c r="I410" s="8"/>
      <c r="J410" s="8"/>
    </row>
    <row r="411" customFormat="false" ht="15" hidden="false" customHeight="false" outlineLevel="0" collapsed="false">
      <c r="A411" s="8"/>
      <c r="B411" s="18"/>
      <c r="C411" s="8"/>
      <c r="D411" s="8"/>
      <c r="E411" s="8"/>
      <c r="F411" s="8"/>
      <c r="G411" s="8"/>
      <c r="H411" s="8"/>
      <c r="I411" s="8"/>
      <c r="J411" s="8"/>
    </row>
    <row r="412" customFormat="false" ht="15" hidden="false" customHeight="false" outlineLevel="0" collapsed="false">
      <c r="A412" s="8"/>
      <c r="B412" s="18"/>
      <c r="C412" s="8"/>
      <c r="D412" s="8"/>
      <c r="E412" s="8"/>
      <c r="F412" s="8"/>
      <c r="G412" s="8"/>
      <c r="H412" s="8"/>
      <c r="I412" s="8"/>
      <c r="J412" s="8"/>
    </row>
    <row r="413" customFormat="false" ht="15" hidden="false" customHeight="false" outlineLevel="0" collapsed="false">
      <c r="A413" s="8"/>
      <c r="B413" s="18"/>
      <c r="C413" s="8"/>
      <c r="D413" s="8"/>
      <c r="E413" s="8"/>
      <c r="F413" s="8"/>
      <c r="G413" s="8"/>
      <c r="H413" s="8"/>
      <c r="I413" s="8"/>
      <c r="J413" s="8"/>
    </row>
    <row r="414" customFormat="false" ht="15" hidden="false" customHeight="false" outlineLevel="0" collapsed="false">
      <c r="A414" s="8"/>
      <c r="B414" s="18"/>
      <c r="C414" s="8"/>
      <c r="D414" s="8"/>
      <c r="E414" s="8"/>
      <c r="F414" s="8"/>
      <c r="G414" s="8"/>
      <c r="H414" s="8"/>
      <c r="I414" s="8"/>
      <c r="J414" s="8"/>
    </row>
    <row r="415" customFormat="false" ht="15" hidden="false" customHeight="false" outlineLevel="0" collapsed="false">
      <c r="A415" s="8"/>
      <c r="B415" s="18"/>
      <c r="C415" s="8"/>
      <c r="D415" s="8"/>
      <c r="E415" s="8"/>
      <c r="F415" s="8"/>
      <c r="G415" s="8"/>
      <c r="H415" s="8"/>
      <c r="I415" s="8"/>
      <c r="J415" s="8"/>
    </row>
    <row r="416" customFormat="false" ht="15" hidden="false" customHeight="false" outlineLevel="0" collapsed="false">
      <c r="A416" s="8"/>
      <c r="B416" s="18"/>
      <c r="C416" s="8"/>
      <c r="D416" s="8"/>
      <c r="E416" s="8"/>
      <c r="F416" s="8"/>
      <c r="G416" s="8"/>
      <c r="H416" s="8"/>
      <c r="I416" s="8"/>
      <c r="J416" s="8"/>
    </row>
    <row r="417" customFormat="false" ht="15" hidden="false" customHeight="false" outlineLevel="0" collapsed="false">
      <c r="A417" s="8"/>
      <c r="B417" s="18"/>
      <c r="C417" s="8"/>
      <c r="D417" s="8"/>
      <c r="E417" s="8"/>
      <c r="F417" s="8"/>
      <c r="G417" s="8"/>
      <c r="H417" s="8"/>
      <c r="I417" s="8"/>
      <c r="J417" s="8"/>
    </row>
    <row r="418" customFormat="false" ht="15" hidden="false" customHeight="false" outlineLevel="0" collapsed="false">
      <c r="A418" s="8"/>
      <c r="B418" s="18"/>
      <c r="C418" s="8"/>
      <c r="D418" s="8"/>
      <c r="E418" s="8"/>
      <c r="F418" s="8"/>
      <c r="G418" s="8"/>
      <c r="H418" s="8"/>
      <c r="I418" s="8"/>
      <c r="J418" s="8"/>
    </row>
    <row r="419" customFormat="false" ht="15" hidden="false" customHeight="false" outlineLevel="0" collapsed="false">
      <c r="A419" s="8"/>
      <c r="B419" s="18"/>
      <c r="C419" s="8"/>
      <c r="D419" s="8"/>
      <c r="E419" s="8"/>
      <c r="F419" s="8"/>
      <c r="G419" s="8"/>
      <c r="H419" s="8"/>
      <c r="I419" s="8"/>
      <c r="J419" s="8"/>
    </row>
    <row r="420" customFormat="false" ht="15" hidden="false" customHeight="false" outlineLevel="0" collapsed="false">
      <c r="A420" s="8"/>
      <c r="B420" s="18"/>
      <c r="C420" s="8"/>
      <c r="D420" s="8"/>
      <c r="E420" s="8"/>
      <c r="F420" s="8"/>
      <c r="G420" s="8"/>
      <c r="H420" s="8"/>
      <c r="I420" s="8"/>
      <c r="J420" s="8"/>
    </row>
    <row r="421" customFormat="false" ht="15" hidden="false" customHeight="false" outlineLevel="0" collapsed="false">
      <c r="A421" s="8"/>
      <c r="B421" s="18"/>
      <c r="C421" s="8"/>
      <c r="D421" s="8"/>
      <c r="E421" s="8"/>
      <c r="F421" s="8"/>
      <c r="G421" s="8"/>
      <c r="H421" s="8"/>
      <c r="I421" s="8"/>
      <c r="J421" s="8"/>
    </row>
    <row r="422" customFormat="false" ht="15" hidden="false" customHeight="false" outlineLevel="0" collapsed="false">
      <c r="A422" s="8"/>
      <c r="B422" s="18"/>
      <c r="C422" s="8"/>
      <c r="D422" s="8"/>
      <c r="E422" s="8"/>
      <c r="F422" s="8"/>
      <c r="G422" s="8"/>
      <c r="H422" s="8"/>
      <c r="I422" s="8"/>
      <c r="J422" s="8"/>
    </row>
    <row r="423" customFormat="false" ht="15" hidden="false" customHeight="false" outlineLevel="0" collapsed="false">
      <c r="A423" s="8"/>
      <c r="B423" s="18"/>
      <c r="C423" s="8"/>
      <c r="D423" s="8"/>
      <c r="E423" s="8"/>
      <c r="F423" s="8"/>
      <c r="G423" s="8"/>
      <c r="H423" s="8"/>
      <c r="I423" s="8"/>
      <c r="J423" s="8"/>
    </row>
    <row r="424" customFormat="false" ht="15" hidden="false" customHeight="false" outlineLevel="0" collapsed="false">
      <c r="A424" s="8"/>
      <c r="B424" s="18"/>
      <c r="C424" s="8"/>
      <c r="D424" s="8"/>
      <c r="E424" s="8"/>
      <c r="F424" s="8"/>
      <c r="G424" s="8"/>
      <c r="H424" s="8"/>
      <c r="I424" s="8"/>
      <c r="J424" s="8"/>
    </row>
    <row r="425" customFormat="false" ht="15" hidden="false" customHeight="false" outlineLevel="0" collapsed="false">
      <c r="A425" s="8"/>
      <c r="B425" s="18"/>
      <c r="C425" s="8"/>
      <c r="D425" s="8"/>
      <c r="E425" s="8"/>
      <c r="F425" s="8"/>
      <c r="G425" s="8"/>
      <c r="H425" s="8"/>
      <c r="I425" s="8"/>
      <c r="J425" s="8"/>
    </row>
    <row r="426" customFormat="false" ht="15" hidden="false" customHeight="false" outlineLevel="0" collapsed="false">
      <c r="A426" s="8"/>
      <c r="B426" s="18"/>
      <c r="C426" s="8"/>
      <c r="D426" s="8"/>
      <c r="E426" s="8"/>
      <c r="F426" s="8"/>
      <c r="G426" s="8"/>
      <c r="H426" s="8"/>
      <c r="I426" s="8"/>
      <c r="J426" s="8"/>
    </row>
    <row r="427" customFormat="false" ht="15" hidden="false" customHeight="false" outlineLevel="0" collapsed="false">
      <c r="A427" s="8"/>
      <c r="B427" s="18"/>
      <c r="C427" s="8"/>
      <c r="D427" s="8"/>
      <c r="E427" s="8"/>
      <c r="F427" s="8"/>
      <c r="G427" s="8"/>
      <c r="H427" s="8"/>
      <c r="I427" s="8"/>
      <c r="J427" s="8"/>
    </row>
    <row r="428" customFormat="false" ht="15" hidden="false" customHeight="false" outlineLevel="0" collapsed="false">
      <c r="A428" s="8"/>
      <c r="B428" s="18"/>
      <c r="C428" s="8"/>
      <c r="D428" s="8"/>
      <c r="E428" s="8"/>
      <c r="F428" s="8"/>
      <c r="G428" s="8"/>
      <c r="H428" s="8"/>
      <c r="I428" s="8"/>
      <c r="J428" s="8"/>
    </row>
    <row r="429" customFormat="false" ht="15" hidden="false" customHeight="false" outlineLevel="0" collapsed="false">
      <c r="A429" s="8"/>
      <c r="B429" s="18"/>
      <c r="C429" s="8"/>
      <c r="D429" s="8"/>
      <c r="E429" s="8"/>
      <c r="F429" s="8"/>
      <c r="G429" s="8"/>
      <c r="H429" s="8"/>
      <c r="I429" s="8"/>
      <c r="J429" s="8"/>
    </row>
    <row r="430" customFormat="false" ht="15" hidden="false" customHeight="false" outlineLevel="0" collapsed="false">
      <c r="A430" s="8"/>
      <c r="B430" s="18"/>
      <c r="C430" s="8"/>
      <c r="D430" s="8"/>
      <c r="E430" s="8"/>
      <c r="F430" s="8"/>
      <c r="G430" s="8"/>
      <c r="H430" s="8"/>
      <c r="I430" s="8"/>
      <c r="J430" s="8"/>
    </row>
    <row r="431" customFormat="false" ht="15" hidden="false" customHeight="false" outlineLevel="0" collapsed="false">
      <c r="A431" s="8"/>
      <c r="B431" s="18"/>
      <c r="C431" s="8"/>
      <c r="D431" s="8"/>
      <c r="E431" s="8"/>
      <c r="F431" s="8"/>
      <c r="G431" s="8"/>
      <c r="H431" s="8"/>
      <c r="I431" s="8"/>
      <c r="J431" s="8"/>
    </row>
    <row r="432" customFormat="false" ht="15" hidden="false" customHeight="false" outlineLevel="0" collapsed="false">
      <c r="A432" s="8"/>
      <c r="B432" s="18"/>
      <c r="C432" s="8"/>
      <c r="D432" s="8"/>
      <c r="E432" s="8"/>
      <c r="F432" s="8"/>
      <c r="G432" s="8"/>
      <c r="H432" s="8"/>
      <c r="I432" s="8"/>
      <c r="J432" s="8"/>
    </row>
    <row r="433" customFormat="false" ht="15" hidden="false" customHeight="false" outlineLevel="0" collapsed="false">
      <c r="A433" s="8"/>
      <c r="B433" s="18"/>
      <c r="C433" s="8"/>
      <c r="D433" s="8"/>
      <c r="E433" s="8"/>
      <c r="F433" s="8"/>
      <c r="G433" s="8"/>
      <c r="H433" s="8"/>
      <c r="I433" s="8"/>
      <c r="J433" s="8"/>
    </row>
    <row r="434" customFormat="false" ht="15" hidden="false" customHeight="false" outlineLevel="0" collapsed="false">
      <c r="A434" s="8"/>
      <c r="B434" s="18"/>
      <c r="C434" s="8"/>
      <c r="D434" s="8"/>
      <c r="E434" s="8"/>
      <c r="F434" s="8"/>
      <c r="G434" s="8"/>
      <c r="H434" s="8"/>
      <c r="I434" s="8"/>
      <c r="J434" s="8"/>
    </row>
    <row r="435" customFormat="false" ht="15" hidden="false" customHeight="false" outlineLevel="0" collapsed="false">
      <c r="A435" s="8"/>
      <c r="B435" s="18"/>
      <c r="C435" s="8"/>
      <c r="D435" s="8"/>
      <c r="E435" s="8"/>
      <c r="F435" s="8"/>
      <c r="G435" s="8"/>
      <c r="H435" s="8"/>
      <c r="I435" s="8"/>
      <c r="J435" s="8"/>
    </row>
    <row r="436" customFormat="false" ht="15" hidden="false" customHeight="false" outlineLevel="0" collapsed="false">
      <c r="A436" s="8"/>
      <c r="B436" s="18"/>
      <c r="C436" s="8"/>
      <c r="D436" s="8"/>
      <c r="E436" s="8"/>
      <c r="F436" s="8"/>
      <c r="G436" s="8"/>
      <c r="H436" s="8"/>
      <c r="I436" s="8"/>
      <c r="J436" s="8"/>
    </row>
    <row r="437" customFormat="false" ht="15" hidden="false" customHeight="false" outlineLevel="0" collapsed="false">
      <c r="A437" s="8"/>
      <c r="B437" s="18"/>
      <c r="C437" s="8"/>
      <c r="D437" s="8"/>
      <c r="E437" s="8"/>
      <c r="F437" s="8"/>
      <c r="G437" s="8"/>
      <c r="H437" s="8"/>
      <c r="I437" s="8"/>
      <c r="J437" s="8"/>
    </row>
    <row r="438" customFormat="false" ht="15" hidden="false" customHeight="false" outlineLevel="0" collapsed="false">
      <c r="A438" s="8"/>
      <c r="B438" s="18"/>
      <c r="C438" s="8"/>
      <c r="D438" s="8"/>
      <c r="E438" s="8"/>
      <c r="F438" s="8"/>
      <c r="G438" s="8"/>
      <c r="H438" s="8"/>
      <c r="I438" s="8"/>
      <c r="J438" s="8"/>
    </row>
    <row r="439" customFormat="false" ht="15" hidden="false" customHeight="false" outlineLevel="0" collapsed="false">
      <c r="A439" s="8"/>
      <c r="B439" s="18"/>
      <c r="C439" s="8"/>
      <c r="D439" s="8"/>
      <c r="E439" s="8"/>
      <c r="F439" s="8"/>
      <c r="G439" s="8"/>
      <c r="H439" s="8"/>
      <c r="I439" s="8"/>
      <c r="J439" s="8"/>
    </row>
    <row r="440" customFormat="false" ht="15" hidden="false" customHeight="false" outlineLevel="0" collapsed="false">
      <c r="A440" s="8"/>
      <c r="B440" s="18"/>
      <c r="C440" s="8"/>
      <c r="D440" s="8"/>
      <c r="E440" s="8"/>
      <c r="F440" s="8"/>
      <c r="G440" s="8"/>
      <c r="H440" s="8"/>
      <c r="I440" s="8"/>
      <c r="J440" s="8"/>
    </row>
    <row r="441" customFormat="false" ht="15" hidden="false" customHeight="false" outlineLevel="0" collapsed="false">
      <c r="A441" s="8"/>
      <c r="B441" s="18"/>
      <c r="C441" s="8"/>
      <c r="D441" s="8"/>
      <c r="E441" s="8"/>
      <c r="F441" s="8"/>
      <c r="G441" s="8"/>
      <c r="H441" s="8"/>
      <c r="I441" s="8"/>
      <c r="J441" s="8"/>
    </row>
    <row r="442" customFormat="false" ht="15" hidden="false" customHeight="false" outlineLevel="0" collapsed="false">
      <c r="A442" s="8"/>
      <c r="B442" s="18"/>
      <c r="C442" s="8"/>
      <c r="D442" s="8"/>
      <c r="E442" s="8"/>
      <c r="F442" s="8"/>
      <c r="G442" s="8"/>
      <c r="H442" s="8"/>
      <c r="I442" s="8"/>
      <c r="J442" s="8"/>
    </row>
    <row r="443" customFormat="false" ht="15" hidden="false" customHeight="false" outlineLevel="0" collapsed="false">
      <c r="A443" s="8"/>
      <c r="B443" s="18"/>
      <c r="C443" s="8"/>
      <c r="D443" s="8"/>
      <c r="E443" s="8"/>
      <c r="F443" s="8"/>
      <c r="G443" s="8"/>
      <c r="H443" s="8"/>
      <c r="I443" s="8"/>
      <c r="J443" s="8"/>
    </row>
    <row r="444" customFormat="false" ht="15" hidden="false" customHeight="false" outlineLevel="0" collapsed="false">
      <c r="A444" s="8"/>
      <c r="B444" s="18"/>
      <c r="C444" s="8"/>
      <c r="D444" s="8"/>
      <c r="E444" s="8"/>
      <c r="F444" s="8"/>
      <c r="G444" s="8"/>
      <c r="H444" s="8"/>
      <c r="I444" s="8"/>
      <c r="J444" s="8"/>
    </row>
    <row r="445" customFormat="false" ht="15" hidden="false" customHeight="false" outlineLevel="0" collapsed="false">
      <c r="A445" s="8"/>
      <c r="B445" s="18"/>
      <c r="C445" s="8"/>
      <c r="D445" s="8"/>
      <c r="E445" s="8"/>
      <c r="F445" s="8"/>
      <c r="G445" s="8"/>
      <c r="H445" s="8"/>
      <c r="I445" s="8"/>
      <c r="J445" s="8"/>
    </row>
    <row r="446" customFormat="false" ht="15" hidden="false" customHeight="false" outlineLevel="0" collapsed="false">
      <c r="A446" s="8"/>
      <c r="B446" s="18"/>
      <c r="C446" s="8"/>
      <c r="D446" s="8"/>
      <c r="E446" s="8"/>
      <c r="F446" s="8"/>
      <c r="G446" s="8"/>
      <c r="H446" s="8"/>
      <c r="I446" s="8"/>
      <c r="J446" s="8"/>
    </row>
    <row r="447" customFormat="false" ht="15" hidden="false" customHeight="false" outlineLevel="0" collapsed="false">
      <c r="A447" s="8"/>
      <c r="B447" s="18"/>
      <c r="C447" s="8"/>
      <c r="D447" s="8"/>
      <c r="E447" s="8"/>
      <c r="F447" s="8"/>
      <c r="G447" s="8"/>
      <c r="H447" s="8"/>
      <c r="I447" s="8"/>
      <c r="J447" s="8"/>
    </row>
    <row r="448" customFormat="false" ht="15" hidden="false" customHeight="false" outlineLevel="0" collapsed="false">
      <c r="A448" s="8"/>
      <c r="B448" s="18"/>
      <c r="C448" s="8"/>
      <c r="D448" s="8"/>
      <c r="E448" s="8"/>
      <c r="F448" s="8"/>
      <c r="G448" s="8"/>
      <c r="H448" s="8"/>
      <c r="I448" s="8"/>
      <c r="J448" s="8"/>
    </row>
    <row r="449" customFormat="false" ht="15" hidden="false" customHeight="false" outlineLevel="0" collapsed="false">
      <c r="A449" s="8"/>
      <c r="B449" s="18"/>
      <c r="C449" s="8"/>
      <c r="D449" s="8"/>
      <c r="E449" s="8"/>
      <c r="F449" s="8"/>
      <c r="G449" s="8"/>
      <c r="H449" s="8"/>
      <c r="I449" s="8"/>
      <c r="J449" s="8"/>
    </row>
    <row r="450" customFormat="false" ht="15" hidden="false" customHeight="false" outlineLevel="0" collapsed="false">
      <c r="A450" s="8"/>
      <c r="B450" s="18"/>
      <c r="C450" s="8"/>
      <c r="D450" s="8"/>
      <c r="E450" s="8"/>
      <c r="F450" s="8"/>
      <c r="G450" s="8"/>
      <c r="H450" s="8"/>
      <c r="I450" s="8"/>
      <c r="J450" s="8"/>
    </row>
    <row r="451" customFormat="false" ht="15" hidden="false" customHeight="false" outlineLevel="0" collapsed="false">
      <c r="A451" s="8"/>
      <c r="B451" s="18"/>
      <c r="C451" s="8"/>
      <c r="D451" s="8"/>
      <c r="E451" s="8"/>
      <c r="F451" s="8"/>
      <c r="G451" s="8"/>
      <c r="H451" s="8"/>
      <c r="I451" s="8"/>
      <c r="J451" s="8"/>
    </row>
    <row r="452" customFormat="false" ht="15" hidden="false" customHeight="false" outlineLevel="0" collapsed="false">
      <c r="A452" s="8"/>
      <c r="B452" s="18"/>
      <c r="C452" s="8"/>
      <c r="D452" s="8"/>
      <c r="E452" s="8"/>
      <c r="F452" s="8"/>
      <c r="G452" s="8"/>
      <c r="H452" s="8"/>
      <c r="I452" s="8"/>
      <c r="J452" s="8"/>
    </row>
    <row r="453" customFormat="false" ht="15" hidden="false" customHeight="false" outlineLevel="0" collapsed="false">
      <c r="A453" s="8"/>
      <c r="B453" s="18"/>
      <c r="C453" s="8"/>
      <c r="D453" s="8"/>
      <c r="E453" s="8"/>
      <c r="F453" s="8"/>
      <c r="G453" s="8"/>
      <c r="H453" s="8"/>
      <c r="I453" s="8"/>
      <c r="J453" s="8"/>
    </row>
    <row r="454" customFormat="false" ht="15" hidden="false" customHeight="false" outlineLevel="0" collapsed="false">
      <c r="A454" s="8"/>
      <c r="B454" s="18"/>
      <c r="C454" s="8"/>
      <c r="D454" s="8"/>
      <c r="E454" s="8"/>
      <c r="F454" s="8"/>
      <c r="G454" s="8"/>
      <c r="H454" s="8"/>
      <c r="I454" s="8"/>
      <c r="J454" s="8"/>
    </row>
    <row r="455" customFormat="false" ht="15" hidden="false" customHeight="false" outlineLevel="0" collapsed="false">
      <c r="A455" s="8"/>
      <c r="B455" s="18"/>
      <c r="C455" s="8"/>
      <c r="D455" s="8"/>
      <c r="E455" s="8"/>
      <c r="F455" s="8"/>
      <c r="G455" s="8"/>
      <c r="H455" s="8"/>
      <c r="I455" s="8"/>
      <c r="J455" s="8"/>
    </row>
    <row r="456" customFormat="false" ht="15" hidden="false" customHeight="false" outlineLevel="0" collapsed="false">
      <c r="A456" s="8"/>
      <c r="B456" s="18"/>
      <c r="C456" s="8"/>
      <c r="D456" s="8"/>
      <c r="E456" s="8"/>
      <c r="F456" s="8"/>
      <c r="G456" s="8"/>
      <c r="H456" s="8"/>
      <c r="I456" s="8"/>
      <c r="J456" s="8"/>
    </row>
    <row r="457" customFormat="false" ht="15" hidden="false" customHeight="false" outlineLevel="0" collapsed="false">
      <c r="A457" s="8"/>
      <c r="B457" s="18"/>
      <c r="C457" s="8"/>
      <c r="D457" s="8"/>
      <c r="E457" s="8"/>
      <c r="F457" s="8"/>
      <c r="G457" s="8"/>
      <c r="H457" s="8"/>
      <c r="I457" s="8"/>
      <c r="J457" s="8"/>
    </row>
    <row r="458" customFormat="false" ht="15" hidden="false" customHeight="false" outlineLevel="0" collapsed="false">
      <c r="A458" s="8"/>
      <c r="B458" s="18"/>
      <c r="C458" s="8"/>
      <c r="D458" s="8"/>
      <c r="E458" s="8"/>
      <c r="F458" s="8"/>
      <c r="G458" s="8"/>
      <c r="H458" s="8"/>
      <c r="I458" s="8"/>
      <c r="J458" s="8"/>
    </row>
    <row r="459" customFormat="false" ht="15" hidden="false" customHeight="false" outlineLevel="0" collapsed="false">
      <c r="A459" s="8"/>
      <c r="B459" s="18"/>
      <c r="C459" s="8"/>
      <c r="D459" s="8"/>
      <c r="E459" s="8"/>
      <c r="F459" s="8"/>
      <c r="G459" s="8"/>
      <c r="H459" s="8"/>
      <c r="I459" s="8"/>
      <c r="J459" s="8"/>
    </row>
    <row r="460" customFormat="false" ht="15" hidden="false" customHeight="false" outlineLevel="0" collapsed="false">
      <c r="A460" s="8"/>
      <c r="B460" s="18"/>
      <c r="C460" s="8"/>
      <c r="D460" s="8"/>
      <c r="E460" s="8"/>
      <c r="F460" s="8"/>
      <c r="G460" s="8"/>
      <c r="H460" s="8"/>
      <c r="I460" s="8"/>
      <c r="J460" s="8"/>
    </row>
    <row r="461" customFormat="false" ht="15" hidden="false" customHeight="false" outlineLevel="0" collapsed="false">
      <c r="A461" s="8"/>
      <c r="B461" s="18"/>
      <c r="C461" s="8"/>
      <c r="D461" s="8"/>
      <c r="E461" s="8"/>
      <c r="F461" s="8"/>
      <c r="G461" s="8"/>
      <c r="H461" s="8"/>
      <c r="I461" s="8"/>
      <c r="J461" s="8"/>
    </row>
    <row r="462" customFormat="false" ht="15" hidden="false" customHeight="false" outlineLevel="0" collapsed="false">
      <c r="A462" s="8"/>
      <c r="B462" s="18"/>
      <c r="C462" s="8"/>
      <c r="D462" s="8"/>
      <c r="E462" s="8"/>
      <c r="F462" s="8"/>
      <c r="G462" s="8"/>
      <c r="H462" s="8"/>
      <c r="I462" s="8"/>
      <c r="J462" s="8"/>
    </row>
    <row r="463" customFormat="false" ht="15" hidden="false" customHeight="false" outlineLevel="0" collapsed="false">
      <c r="A463" s="8"/>
      <c r="B463" s="18"/>
      <c r="C463" s="8"/>
      <c r="D463" s="8"/>
      <c r="E463" s="8"/>
      <c r="F463" s="8"/>
      <c r="G463" s="8"/>
      <c r="H463" s="8"/>
      <c r="I463" s="8"/>
      <c r="J463" s="8"/>
    </row>
    <row r="464" customFormat="false" ht="15" hidden="false" customHeight="false" outlineLevel="0" collapsed="false">
      <c r="A464" s="8"/>
      <c r="B464" s="18"/>
      <c r="C464" s="8"/>
      <c r="D464" s="8"/>
      <c r="E464" s="8"/>
      <c r="F464" s="8"/>
      <c r="G464" s="8"/>
      <c r="H464" s="8"/>
      <c r="I464" s="8"/>
      <c r="J464" s="8"/>
    </row>
    <row r="465" customFormat="false" ht="15" hidden="false" customHeight="false" outlineLevel="0" collapsed="false">
      <c r="A465" s="8"/>
      <c r="B465" s="18"/>
      <c r="C465" s="8"/>
      <c r="D465" s="8"/>
      <c r="E465" s="8"/>
      <c r="F465" s="8"/>
      <c r="G465" s="8"/>
      <c r="H465" s="8"/>
      <c r="I465" s="8"/>
      <c r="J465" s="8"/>
    </row>
    <row r="466" customFormat="false" ht="15" hidden="false" customHeight="false" outlineLevel="0" collapsed="false">
      <c r="A466" s="8"/>
      <c r="B466" s="18"/>
      <c r="C466" s="8"/>
      <c r="D466" s="8"/>
      <c r="E466" s="8"/>
      <c r="F466" s="8"/>
      <c r="G466" s="8"/>
      <c r="H466" s="8"/>
      <c r="I466" s="8"/>
      <c r="J466" s="8"/>
    </row>
    <row r="467" customFormat="false" ht="15" hidden="false" customHeight="false" outlineLevel="0" collapsed="false">
      <c r="A467" s="8"/>
      <c r="B467" s="18"/>
      <c r="C467" s="8"/>
      <c r="D467" s="8"/>
      <c r="E467" s="8"/>
      <c r="F467" s="8"/>
      <c r="G467" s="8"/>
      <c r="H467" s="8"/>
      <c r="I467" s="8"/>
      <c r="J467" s="8"/>
    </row>
    <row r="468" customFormat="false" ht="15" hidden="false" customHeight="false" outlineLevel="0" collapsed="false">
      <c r="A468" s="8"/>
      <c r="B468" s="18"/>
      <c r="C468" s="8"/>
      <c r="D468" s="8"/>
      <c r="E468" s="8"/>
      <c r="F468" s="8"/>
      <c r="G468" s="8"/>
      <c r="H468" s="8"/>
      <c r="I468" s="8"/>
      <c r="J468" s="8"/>
    </row>
    <row r="469" customFormat="false" ht="15" hidden="false" customHeight="false" outlineLevel="0" collapsed="false">
      <c r="A469" s="8"/>
      <c r="B469" s="18"/>
      <c r="C469" s="8"/>
      <c r="D469" s="8"/>
      <c r="E469" s="8"/>
      <c r="F469" s="8"/>
      <c r="G469" s="8"/>
      <c r="H469" s="8"/>
      <c r="I469" s="8"/>
      <c r="J469" s="8"/>
    </row>
    <row r="470" customFormat="false" ht="15" hidden="false" customHeight="false" outlineLevel="0" collapsed="false">
      <c r="A470" s="8"/>
      <c r="B470" s="18"/>
      <c r="C470" s="8"/>
      <c r="D470" s="8"/>
      <c r="E470" s="8"/>
      <c r="F470" s="8"/>
      <c r="G470" s="8"/>
      <c r="H470" s="8"/>
      <c r="I470" s="8"/>
      <c r="J470" s="8"/>
    </row>
    <row r="471" customFormat="false" ht="15" hidden="false" customHeight="false" outlineLevel="0" collapsed="false">
      <c r="A471" s="8"/>
      <c r="B471" s="18"/>
      <c r="C471" s="8"/>
      <c r="D471" s="8"/>
      <c r="E471" s="8"/>
      <c r="F471" s="8"/>
      <c r="G471" s="8"/>
      <c r="H471" s="8"/>
      <c r="I471" s="8"/>
      <c r="J471" s="8"/>
    </row>
    <row r="472" customFormat="false" ht="15" hidden="false" customHeight="false" outlineLevel="0" collapsed="false">
      <c r="A472" s="8"/>
      <c r="B472" s="18"/>
      <c r="C472" s="8"/>
      <c r="D472" s="8"/>
      <c r="E472" s="8"/>
      <c r="F472" s="8"/>
      <c r="G472" s="8"/>
      <c r="H472" s="8"/>
      <c r="I472" s="8"/>
      <c r="J472" s="8"/>
    </row>
    <row r="473" customFormat="false" ht="15" hidden="false" customHeight="false" outlineLevel="0" collapsed="false">
      <c r="A473" s="8"/>
      <c r="B473" s="18"/>
      <c r="C473" s="8"/>
      <c r="D473" s="8"/>
      <c r="E473" s="8"/>
      <c r="F473" s="8"/>
      <c r="G473" s="8"/>
      <c r="H473" s="8"/>
      <c r="I473" s="8"/>
      <c r="J473" s="8"/>
    </row>
    <row r="474" customFormat="false" ht="15" hidden="false" customHeight="false" outlineLevel="0" collapsed="false">
      <c r="A474" s="8"/>
      <c r="B474" s="18"/>
      <c r="C474" s="8"/>
      <c r="D474" s="8"/>
      <c r="E474" s="8"/>
      <c r="F474" s="8"/>
      <c r="G474" s="8"/>
      <c r="H474" s="8"/>
      <c r="I474" s="8"/>
      <c r="J474" s="8"/>
    </row>
    <row r="475" customFormat="false" ht="15" hidden="false" customHeight="false" outlineLevel="0" collapsed="false">
      <c r="A475" s="8"/>
      <c r="B475" s="18"/>
      <c r="C475" s="8"/>
      <c r="D475" s="8"/>
      <c r="E475" s="8"/>
      <c r="F475" s="8"/>
      <c r="G475" s="8"/>
      <c r="H475" s="8"/>
      <c r="I475" s="8"/>
      <c r="J475" s="8"/>
    </row>
    <row r="476" customFormat="false" ht="15" hidden="false" customHeight="false" outlineLevel="0" collapsed="false">
      <c r="A476" s="8"/>
      <c r="B476" s="18"/>
      <c r="C476" s="8"/>
      <c r="D476" s="8"/>
      <c r="E476" s="8"/>
      <c r="F476" s="8"/>
      <c r="G476" s="8"/>
      <c r="H476" s="8"/>
      <c r="I476" s="8"/>
      <c r="J476" s="8"/>
    </row>
    <row r="477" customFormat="false" ht="15" hidden="false" customHeight="false" outlineLevel="0" collapsed="false">
      <c r="A477" s="8"/>
      <c r="B477" s="18"/>
      <c r="C477" s="8"/>
      <c r="D477" s="8"/>
      <c r="E477" s="8"/>
      <c r="F477" s="8"/>
      <c r="G477" s="8"/>
      <c r="H477" s="8"/>
      <c r="I477" s="8"/>
      <c r="J477" s="8"/>
    </row>
    <row r="478" customFormat="false" ht="15" hidden="false" customHeight="false" outlineLevel="0" collapsed="false">
      <c r="A478" s="8"/>
      <c r="B478" s="18"/>
      <c r="C478" s="8"/>
      <c r="D478" s="8"/>
      <c r="E478" s="8"/>
      <c r="F478" s="8"/>
      <c r="G478" s="8"/>
      <c r="H478" s="8"/>
      <c r="I478" s="8"/>
      <c r="J478" s="8"/>
    </row>
    <row r="479" customFormat="false" ht="15" hidden="false" customHeight="false" outlineLevel="0" collapsed="false">
      <c r="A479" s="8"/>
      <c r="B479" s="18"/>
      <c r="C479" s="8"/>
      <c r="D479" s="8"/>
      <c r="E479" s="8"/>
      <c r="F479" s="8"/>
      <c r="G479" s="8"/>
      <c r="H479" s="8"/>
      <c r="I479" s="8"/>
      <c r="J479" s="8"/>
    </row>
    <row r="480" customFormat="false" ht="15" hidden="false" customHeight="false" outlineLevel="0" collapsed="false">
      <c r="A480" s="8"/>
      <c r="B480" s="18"/>
      <c r="C480" s="8"/>
      <c r="D480" s="8"/>
      <c r="E480" s="8"/>
      <c r="F480" s="8"/>
      <c r="G480" s="8"/>
      <c r="H480" s="8"/>
      <c r="I480" s="8"/>
      <c r="J480" s="8"/>
    </row>
    <row r="481" customFormat="false" ht="15" hidden="false" customHeight="false" outlineLevel="0" collapsed="false">
      <c r="A481" s="8"/>
      <c r="B481" s="18"/>
      <c r="C481" s="8"/>
      <c r="D481" s="8"/>
      <c r="E481" s="8"/>
      <c r="F481" s="8"/>
      <c r="G481" s="8"/>
      <c r="H481" s="8"/>
      <c r="I481" s="8"/>
      <c r="J481" s="8"/>
    </row>
    <row r="482" customFormat="false" ht="15" hidden="false" customHeight="false" outlineLevel="0" collapsed="false">
      <c r="A482" s="8"/>
      <c r="B482" s="18"/>
      <c r="C482" s="8"/>
      <c r="D482" s="8"/>
      <c r="E482" s="8"/>
      <c r="F482" s="8"/>
      <c r="G482" s="8"/>
      <c r="H482" s="8"/>
      <c r="I482" s="8"/>
      <c r="J482" s="8"/>
    </row>
    <row r="483" customFormat="false" ht="15" hidden="false" customHeight="false" outlineLevel="0" collapsed="false">
      <c r="A483" s="8"/>
      <c r="B483" s="18"/>
      <c r="C483" s="8"/>
      <c r="D483" s="8"/>
      <c r="E483" s="8"/>
      <c r="F483" s="8"/>
      <c r="G483" s="8"/>
      <c r="H483" s="8"/>
      <c r="I483" s="8"/>
      <c r="J483" s="8"/>
    </row>
    <row r="484" customFormat="false" ht="15" hidden="false" customHeight="false" outlineLevel="0" collapsed="false">
      <c r="A484" s="8"/>
      <c r="B484" s="18"/>
      <c r="C484" s="8"/>
      <c r="D484" s="8"/>
      <c r="E484" s="8"/>
      <c r="F484" s="8"/>
      <c r="G484" s="8"/>
      <c r="H484" s="8"/>
      <c r="I484" s="8"/>
      <c r="J484" s="8"/>
    </row>
    <row r="485" customFormat="false" ht="15" hidden="false" customHeight="false" outlineLevel="0" collapsed="false">
      <c r="A485" s="8"/>
      <c r="B485" s="18"/>
      <c r="C485" s="8"/>
      <c r="D485" s="8"/>
      <c r="E485" s="8"/>
      <c r="F485" s="8"/>
      <c r="G485" s="8"/>
      <c r="H485" s="8"/>
      <c r="I485" s="8"/>
      <c r="J485" s="8"/>
    </row>
    <row r="486" customFormat="false" ht="15" hidden="false" customHeight="false" outlineLevel="0" collapsed="false">
      <c r="A486" s="8"/>
      <c r="B486" s="18"/>
      <c r="C486" s="8"/>
      <c r="D486" s="8"/>
      <c r="E486" s="8"/>
      <c r="F486" s="8"/>
      <c r="G486" s="8"/>
      <c r="H486" s="8"/>
      <c r="I486" s="8"/>
      <c r="J486" s="8"/>
    </row>
    <row r="487" customFormat="false" ht="15" hidden="false" customHeight="false" outlineLevel="0" collapsed="false">
      <c r="A487" s="8"/>
      <c r="B487" s="18"/>
      <c r="C487" s="8"/>
      <c r="D487" s="8"/>
      <c r="E487" s="8"/>
      <c r="F487" s="8"/>
      <c r="G487" s="8"/>
      <c r="H487" s="8"/>
      <c r="I487" s="8"/>
      <c r="J487" s="8"/>
    </row>
    <row r="488" customFormat="false" ht="15" hidden="false" customHeight="false" outlineLevel="0" collapsed="false">
      <c r="A488" s="8"/>
      <c r="B488" s="18"/>
      <c r="C488" s="8"/>
      <c r="D488" s="8"/>
      <c r="E488" s="8"/>
      <c r="F488" s="8"/>
      <c r="G488" s="8"/>
      <c r="H488" s="8"/>
      <c r="I488" s="8"/>
      <c r="J488" s="8"/>
    </row>
    <row r="489" customFormat="false" ht="15" hidden="false" customHeight="false" outlineLevel="0" collapsed="false">
      <c r="A489" s="8"/>
      <c r="B489" s="18"/>
      <c r="C489" s="8"/>
      <c r="D489" s="8"/>
      <c r="E489" s="8"/>
      <c r="F489" s="8"/>
      <c r="G489" s="8"/>
      <c r="H489" s="8"/>
      <c r="I489" s="8"/>
      <c r="J489" s="8"/>
    </row>
    <row r="490" customFormat="false" ht="15" hidden="false" customHeight="false" outlineLevel="0" collapsed="false">
      <c r="A490" s="8"/>
      <c r="B490" s="18"/>
      <c r="C490" s="8"/>
      <c r="D490" s="8"/>
      <c r="E490" s="8"/>
      <c r="F490" s="8"/>
      <c r="G490" s="8"/>
      <c r="H490" s="8"/>
      <c r="I490" s="8"/>
      <c r="J490" s="8"/>
    </row>
    <row r="491" customFormat="false" ht="15" hidden="false" customHeight="false" outlineLevel="0" collapsed="false">
      <c r="A491" s="8"/>
      <c r="B491" s="18"/>
      <c r="C491" s="8"/>
      <c r="D491" s="8"/>
      <c r="E491" s="8"/>
      <c r="F491" s="8"/>
      <c r="G491" s="8"/>
      <c r="H491" s="8"/>
      <c r="I491" s="8"/>
      <c r="J491" s="8"/>
    </row>
    <row r="492" customFormat="false" ht="15" hidden="false" customHeight="false" outlineLevel="0" collapsed="false">
      <c r="A492" s="8"/>
      <c r="B492" s="18"/>
      <c r="C492" s="8"/>
      <c r="D492" s="8"/>
      <c r="E492" s="8"/>
      <c r="F492" s="8"/>
      <c r="G492" s="8"/>
      <c r="H492" s="8"/>
      <c r="I492" s="8"/>
      <c r="J492" s="8"/>
    </row>
    <row r="493" customFormat="false" ht="15" hidden="false" customHeight="false" outlineLevel="0" collapsed="false">
      <c r="A493" s="8"/>
      <c r="B493" s="18"/>
      <c r="C493" s="8"/>
      <c r="D493" s="8"/>
      <c r="E493" s="8"/>
      <c r="F493" s="8"/>
      <c r="G493" s="8"/>
      <c r="H493" s="8"/>
      <c r="I493" s="8"/>
      <c r="J493" s="8"/>
    </row>
    <row r="494" customFormat="false" ht="15" hidden="false" customHeight="false" outlineLevel="0" collapsed="false">
      <c r="A494" s="8"/>
      <c r="B494" s="18"/>
      <c r="C494" s="8"/>
      <c r="D494" s="8"/>
      <c r="E494" s="8"/>
      <c r="F494" s="8"/>
      <c r="G494" s="8"/>
      <c r="H494" s="8"/>
      <c r="I494" s="8"/>
      <c r="J494" s="8"/>
    </row>
    <row r="495" customFormat="false" ht="15" hidden="false" customHeight="false" outlineLevel="0" collapsed="false">
      <c r="A495" s="8"/>
      <c r="B495" s="18"/>
      <c r="C495" s="8"/>
      <c r="D495" s="8"/>
      <c r="E495" s="8"/>
      <c r="F495" s="8"/>
      <c r="G495" s="8"/>
      <c r="H495" s="8"/>
      <c r="I495" s="8"/>
      <c r="J495" s="8"/>
    </row>
    <row r="496" customFormat="false" ht="15" hidden="false" customHeight="false" outlineLevel="0" collapsed="false">
      <c r="A496" s="8"/>
      <c r="B496" s="18"/>
      <c r="C496" s="8"/>
      <c r="D496" s="8"/>
      <c r="E496" s="8"/>
      <c r="F496" s="8"/>
      <c r="G496" s="8"/>
      <c r="H496" s="8"/>
      <c r="I496" s="8"/>
      <c r="J496" s="8"/>
    </row>
    <row r="497" customFormat="false" ht="15" hidden="false" customHeight="false" outlineLevel="0" collapsed="false">
      <c r="A497" s="8"/>
      <c r="B497" s="18"/>
      <c r="C497" s="8"/>
      <c r="D497" s="8"/>
      <c r="E497" s="8"/>
      <c r="F497" s="8"/>
      <c r="G497" s="8"/>
      <c r="H497" s="8"/>
      <c r="I497" s="8"/>
      <c r="J497" s="8"/>
    </row>
    <row r="498" customFormat="false" ht="15" hidden="false" customHeight="false" outlineLevel="0" collapsed="false">
      <c r="A498" s="8"/>
      <c r="B498" s="18"/>
      <c r="C498" s="8"/>
      <c r="D498" s="8"/>
      <c r="E498" s="8"/>
      <c r="F498" s="8"/>
      <c r="G498" s="8"/>
      <c r="H498" s="8"/>
      <c r="I498" s="8"/>
      <c r="J498" s="8"/>
    </row>
    <row r="499" customFormat="false" ht="15" hidden="false" customHeight="false" outlineLevel="0" collapsed="false">
      <c r="A499" s="8"/>
      <c r="B499" s="18"/>
      <c r="C499" s="8"/>
      <c r="D499" s="8"/>
      <c r="E499" s="8"/>
      <c r="F499" s="8"/>
      <c r="G499" s="8"/>
      <c r="H499" s="8"/>
      <c r="I499" s="8"/>
      <c r="J499" s="8"/>
    </row>
    <row r="500" customFormat="false" ht="15" hidden="false" customHeight="false" outlineLevel="0" collapsed="false">
      <c r="A500" s="8"/>
      <c r="B500" s="18"/>
      <c r="C500" s="8"/>
      <c r="D500" s="8"/>
      <c r="E500" s="8"/>
      <c r="F500" s="8"/>
      <c r="G500" s="8"/>
      <c r="H500" s="8"/>
      <c r="I500" s="8"/>
      <c r="J500" s="8"/>
    </row>
    <row r="501" customFormat="false" ht="15" hidden="false" customHeight="false" outlineLevel="0" collapsed="false">
      <c r="A501" s="8"/>
      <c r="B501" s="18"/>
      <c r="C501" s="8"/>
      <c r="D501" s="8"/>
      <c r="E501" s="8"/>
      <c r="F501" s="8"/>
      <c r="G501" s="8"/>
      <c r="H501" s="8"/>
      <c r="I501" s="8"/>
      <c r="J501" s="8"/>
    </row>
    <row r="502" customFormat="false" ht="15" hidden="false" customHeight="false" outlineLevel="0" collapsed="false">
      <c r="A502" s="8"/>
      <c r="B502" s="18"/>
      <c r="C502" s="8"/>
      <c r="D502" s="8"/>
      <c r="E502" s="8"/>
      <c r="F502" s="8"/>
      <c r="G502" s="8"/>
      <c r="H502" s="8"/>
      <c r="I502" s="8"/>
      <c r="J502" s="8"/>
    </row>
    <row r="503" customFormat="false" ht="15" hidden="false" customHeight="false" outlineLevel="0" collapsed="false">
      <c r="A503" s="8"/>
      <c r="B503" s="18"/>
      <c r="C503" s="8"/>
      <c r="D503" s="8"/>
      <c r="E503" s="8"/>
      <c r="F503" s="8"/>
      <c r="G503" s="8"/>
      <c r="H503" s="8"/>
      <c r="I503" s="8"/>
      <c r="J503" s="8"/>
    </row>
  </sheetData>
  <dataValidations count="1">
    <dataValidation allowBlank="true" errorStyle="stop" operator="between" showDropDown="false" showErrorMessage="false" showInputMessage="false" sqref="C5:C503" type="list">
      <formula1>"G1 ED305 live digital twin,G2 SCooP dataset &amp; paper,Shared SCooP testbed,Dual-Link Communication,Semantic Communication"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80"/>
    <col collapsed="false" customWidth="true" hidden="false" outlineLevel="0" max="9" min="5" style="0" width="26"/>
  </cols>
  <sheetData>
    <row r="1" customFormat="false" ht="17.35" hidden="false" customHeight="false" outlineLevel="0" collapsed="false">
      <c r="A1" s="1" t="s">
        <v>17</v>
      </c>
    </row>
    <row r="2" customFormat="false" ht="15" hidden="false" customHeight="false" outlineLevel="0" collapsed="false">
      <c r="A2" s="2" t="s">
        <v>707</v>
      </c>
    </row>
    <row r="3" customFormat="false" ht="30" hidden="false" customHeight="true" outlineLevel="0" collapsed="false">
      <c r="A3" s="11" t="s">
        <v>708</v>
      </c>
      <c r="B3" s="11" t="s">
        <v>59</v>
      </c>
      <c r="C3" s="11" t="s">
        <v>709</v>
      </c>
      <c r="E3" s="10" t="s">
        <v>87</v>
      </c>
      <c r="F3" s="10" t="s">
        <v>43</v>
      </c>
      <c r="G3" s="10" t="s">
        <v>572</v>
      </c>
      <c r="H3" s="10" t="s">
        <v>710</v>
      </c>
      <c r="I3" s="10" t="s">
        <v>711</v>
      </c>
    </row>
    <row r="4" customFormat="false" ht="15" hidden="false" customHeight="false" outlineLevel="0" collapsed="false">
      <c r="A4" s="8" t="s">
        <v>60</v>
      </c>
      <c r="B4" s="36" t="s">
        <v>638</v>
      </c>
      <c r="C4" s="8" t="s">
        <v>712</v>
      </c>
      <c r="E4" s="8" t="s">
        <v>44</v>
      </c>
      <c r="F4" s="8" t="s">
        <v>53</v>
      </c>
      <c r="G4" s="8" t="s">
        <v>74</v>
      </c>
      <c r="H4" s="8" t="s">
        <v>69</v>
      </c>
      <c r="I4" s="8" t="s">
        <v>78</v>
      </c>
    </row>
    <row r="5" customFormat="false" ht="15" hidden="false" customHeight="false" outlineLevel="0" collapsed="false">
      <c r="A5" s="8" t="s">
        <v>61</v>
      </c>
      <c r="B5" s="36" t="s">
        <v>638</v>
      </c>
      <c r="C5" s="8" t="s">
        <v>713</v>
      </c>
      <c r="E5" s="8" t="s">
        <v>45</v>
      </c>
      <c r="F5" s="8" t="s">
        <v>54</v>
      </c>
      <c r="G5" s="8" t="s">
        <v>75</v>
      </c>
      <c r="H5" s="8" t="s">
        <v>70</v>
      </c>
      <c r="I5" s="8" t="s">
        <v>79</v>
      </c>
    </row>
    <row r="6" customFormat="false" ht="15" hidden="false" customHeight="false" outlineLevel="0" collapsed="false">
      <c r="A6" s="8" t="s">
        <v>62</v>
      </c>
      <c r="B6" s="36" t="s">
        <v>638</v>
      </c>
      <c r="C6" s="8" t="s">
        <v>714</v>
      </c>
      <c r="E6" s="8" t="s">
        <v>46</v>
      </c>
      <c r="F6" s="8" t="s">
        <v>55</v>
      </c>
      <c r="G6" s="8" t="s">
        <v>76</v>
      </c>
      <c r="H6" s="8" t="s">
        <v>71</v>
      </c>
      <c r="I6" s="8" t="s">
        <v>80</v>
      </c>
    </row>
    <row r="7" customFormat="false" ht="15" hidden="false" customHeight="false" outlineLevel="0" collapsed="false">
      <c r="A7" s="8" t="s">
        <v>63</v>
      </c>
      <c r="B7" s="36" t="s">
        <v>638</v>
      </c>
      <c r="C7" s="8" t="s">
        <v>715</v>
      </c>
      <c r="E7" s="8" t="s">
        <v>47</v>
      </c>
      <c r="F7" s="8" t="s">
        <v>56</v>
      </c>
      <c r="H7" s="8" t="s">
        <v>72</v>
      </c>
      <c r="I7" s="8" t="s">
        <v>81</v>
      </c>
    </row>
    <row r="8" customFormat="false" ht="15" hidden="false" customHeight="false" outlineLevel="0" collapsed="false">
      <c r="A8" s="8" t="s">
        <v>64</v>
      </c>
      <c r="B8" s="36" t="s">
        <v>638</v>
      </c>
      <c r="C8" s="8" t="s">
        <v>716</v>
      </c>
      <c r="E8" s="8" t="s">
        <v>48</v>
      </c>
      <c r="F8" s="8" t="s">
        <v>57</v>
      </c>
    </row>
    <row r="9" customFormat="false" ht="15" hidden="false" customHeight="false" outlineLevel="0" collapsed="false">
      <c r="A9" s="8" t="s">
        <v>65</v>
      </c>
      <c r="B9" s="36" t="s">
        <v>638</v>
      </c>
      <c r="C9" s="8" t="s">
        <v>717</v>
      </c>
    </row>
    <row r="10" customFormat="false" ht="15" hidden="false" customHeight="false" outlineLevel="0" collapsed="false">
      <c r="A10" s="8" t="s">
        <v>66</v>
      </c>
      <c r="B10" s="36" t="s">
        <v>638</v>
      </c>
      <c r="C10" s="8" t="s">
        <v>718</v>
      </c>
    </row>
    <row r="11" customFormat="false" ht="15" hidden="false" customHeight="false" outlineLevel="0" collapsed="false">
      <c r="A11" s="8" t="s">
        <v>67</v>
      </c>
      <c r="B11" s="36" t="s">
        <v>638</v>
      </c>
      <c r="C11" s="8" t="s">
        <v>719</v>
      </c>
    </row>
    <row r="12" customFormat="false" ht="15" hidden="false" customHeight="false" outlineLevel="0" collapsed="false">
      <c r="A12" s="8" t="s">
        <v>68</v>
      </c>
      <c r="B12" s="36" t="s">
        <v>638</v>
      </c>
      <c r="C12" s="8" t="s">
        <v>720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2026-10-07T14:35:54Z</dcterms:created>
  <dc:creator>openpyxl</dc:creator>
  <dc:description/>
  <dc:language>en-US</dc:language>
  <cp:lastModifiedBy/>
  <dcterms:modified xsi:type="dcterms:W3CDTF">2026-10-07T14:35:56Z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