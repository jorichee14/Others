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Dashboard" sheetId="2" state="visible" r:id="rId4"/>
    <sheet name="View" sheetId="3" state="visible" r:id="rId5"/>
    <sheet name="Tasks" sheetId="4" state="visible" r:id="rId6"/>
    <sheet name="Gantt" sheetId="5" state="visible" r:id="rId7"/>
    <sheet name="Problems" sheetId="6" state="visible" r:id="rId8"/>
    <sheet name="Interfaces" sheetId="7" state="visible" r:id="rId9"/>
    <sheet name="Weekly Log" sheetId="8" state="visible" r:id="rId10"/>
    <sheet name="Runs" sheetId="9" state="visible" r:id="rId11"/>
    <sheet name="Lists" sheetId="10" state="visible" r:id="rId12"/>
  </sheets>
  <definedNames>
    <definedName function="false" hidden="false" localSheetId="4" name="_xlnm.Print_Titles" vbProcedure="false">Gantt!$4:$4</definedName>
    <definedName function="false" hidden="true" localSheetId="5" name="_xlnm._FilterDatabase" vbProcedure="false">Problems!$A$3:$M$203</definedName>
    <definedName function="false" hidden="true" localSheetId="3" name="_xlnm._FilterDatabase" vbProcedure="false">Tasks!$A$3:$P$403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3" authorId="0">
      <text>
        <r>
          <rPr>
            <sz val="10"/>
            <rFont val="Arial"/>
            <family val="2"/>
          </rPr>
          <t xml:space="preserve">End = Start + 7 x Weeks - 3 (Friday of the last week). Red = past and not Complete.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" authorId="0">
      <text>
        <r>
          <rPr>
            <sz val="10"/>
            <rFont val="Arial"/>
            <family val="2"/>
          </rPr>
          <t xml:space="preserve">Set to any Monday. Old tracker W1 = 22 Jun 2026.</t>
        </r>
      </text>
    </comment>
  </commentList>
</comments>
</file>

<file path=xl/sharedStrings.xml><?xml version="1.0" encoding="utf-8"?>
<sst xmlns="http://schemas.openxmlformats.org/spreadsheetml/2006/main" count="1504" uniqueCount="733">
  <si>
    <t xml:space="preserve">Project tracker: ED305 digital twin, SCooP, dual-link, semantic comm</t>
  </si>
  <si>
    <t xml:space="preserve">Built from Project_Tracker.xlsx; old tasks kept with their text, status and weeks.</t>
  </si>
  <si>
    <t xml:space="preserve">Sheets</t>
  </si>
  <si>
    <t xml:space="preserve">Tasks</t>
  </si>
  <si>
    <t xml:space="preserve">Every task, one row each. Edit freely, add rows anywhere inside the table. ID: a row whose ID has no '.' is a parent (shown bold).</t>
  </si>
  <si>
    <t xml:space="preserve">View</t>
  </si>
  <si>
    <t xml:space="preserve">Pick a goal, component, owner, person, status or a word in the yellow cells: only those tasks show, with their Gantt bars. Filters combine; 'All' = no filter.</t>
  </si>
  <si>
    <t xml:space="preserve">Gantt</t>
  </si>
  <si>
    <t xml:space="preserve">Automatic: bars come from Tasks Start + Weeks, coloured by Status. Change the Gantt start date in Gantt!C2. Nothing to edit by hand.</t>
  </si>
  <si>
    <t xml:space="preserve">Problems</t>
  </si>
  <si>
    <t xml:space="preserve">Anything that blocks work for more than a day. Link it to the task it blocks (Task ID) and set that task's Status to Blocked.</t>
  </si>
  <si>
    <t xml:space="preserve">Interfaces</t>
  </si>
  <si>
    <t xml:space="preserve">One row per hand-off between owners (arrows in the system diagram). Move State from Not defined -&gt; Defined -&gt; Implemented -&gt; Tested.</t>
  </si>
  <si>
    <t xml:space="preserve">Weekly Log</t>
  </si>
  <si>
    <t xml:space="preserve">Every Friday, one row per person: Done / Next / Blockers (problem IDs).</t>
  </si>
  <si>
    <t xml:space="preserve">Runs</t>
  </si>
  <si>
    <t xml:space="preserve">One row per pipeline run on the server: run ID, data, git commit, key numbers. The server writes the logs; this sheet indexes them.</t>
  </si>
  <si>
    <t xml:space="preserve">Dashboard</t>
  </si>
  <si>
    <t xml:space="preserve">Counts by goal, owner and status; overdue tasks; open problems; interface states. All formulas.</t>
  </si>
  <si>
    <t xml:space="preserve">Lists</t>
  </si>
  <si>
    <t xml:space="preserve">Owner names (fill these in) and the dropdown lists.</t>
  </si>
  <si>
    <t xml:space="preserve">What to edit</t>
  </si>
  <si>
    <t xml:space="preserve">Yellow cells</t>
  </si>
  <si>
    <t xml:space="preserve">Settings and owner names: Gantt!C2 (Gantt start), Lists!B (person per role).</t>
  </si>
  <si>
    <t xml:space="preserve">Tasks: Start, Weeks</t>
  </si>
  <si>
    <t xml:space="preserve">Start = Monday the task starts; Weeks = length. End is computed (Friday of the last week). Leave both empty if not scheduled.</t>
  </si>
  <si>
    <t xml:space="preserve">Grey italic columns</t>
  </si>
  <si>
    <t xml:space="preserve">Formulas (Person, End). Do not type over them. Tasks columns Q-R are hidden helpers for the View sheet.</t>
  </si>
  <si>
    <t xml:space="preserve">Assumptions</t>
  </si>
  <si>
    <t xml:space="preserve">Old weeks</t>
  </si>
  <si>
    <t xml:space="preserve">Old W1 = Mon 22 Jun 2026. Coloured week cells became Start + Weeks. Rows coloured red across all ten weeks were read as 'not scheduled' (note on each row).</t>
  </si>
  <si>
    <t xml:space="preserve">New plan</t>
  </si>
  <si>
    <t xml:space="preserve">New tasks start W17 = Mon 12 Oct 2026 (assumed start; shift Start dates as needed).</t>
  </si>
  <si>
    <t xml:space="preserve">Statuses</t>
  </si>
  <si>
    <t xml:space="preserve">Old statuses kept as they were; new tasks set from the state of the code (e.g. SCooP site 1 processed).</t>
  </si>
  <si>
    <t xml:space="preserve">Owners</t>
  </si>
  <si>
    <t xml:space="preserve">Owner = role. Put each person's name against the role in Lists; Tasks and Gantt show it.</t>
  </si>
  <si>
    <t xml:space="preserve">Google Sheets</t>
  </si>
  <si>
    <t xml:space="preserve">Open it</t>
  </si>
  <si>
    <t xml:space="preserve">Upload the .xlsx to Google Drive -&gt; open it -&gt; File &gt; Save as Google Sheets. Share the Google Sheet (Editor) with the team; use only that copy.</t>
  </si>
  <si>
    <t xml:space="preserve">Rule</t>
  </si>
  <si>
    <t xml:space="preserve">Nobody downloads, edits offline and re-uploads: that overwrites everyone else's changes. File &gt; Version history shows who changed what.</t>
  </si>
  <si>
    <t xml:space="preserve">Dropdown values</t>
  </si>
  <si>
    <t xml:space="preserve">Stored in each column's rule (Data &gt; Data validation). To add a status/role/goal: add it there; also add a new role to Lists so Person can be looked up.</t>
  </si>
  <si>
    <t xml:space="preserve">All numbers are formulas over Tasks, Problems and Interfaces.</t>
  </si>
  <si>
    <t xml:space="preserve">Goal</t>
  </si>
  <si>
    <t xml:space="preserve">Not Started</t>
  </si>
  <si>
    <t xml:space="preserve">In Progress</t>
  </si>
  <si>
    <t xml:space="preserve">Blocked</t>
  </si>
  <si>
    <t xml:space="preserve">Complete</t>
  </si>
  <si>
    <t xml:space="preserve">Partially Completed</t>
  </si>
  <si>
    <t xml:space="preserve">No status</t>
  </si>
  <si>
    <t xml:space="preserve">Total</t>
  </si>
  <si>
    <t xml:space="preserve">Overdue</t>
  </si>
  <si>
    <t xml:space="preserve">Not scheduled</t>
  </si>
  <si>
    <t xml:space="preserve">G1 ED305 live digital twin</t>
  </si>
  <si>
    <t xml:space="preserve">G2 SCooP dataset &amp; paper</t>
  </si>
  <si>
    <t xml:space="preserve">Shared SCooP testbed</t>
  </si>
  <si>
    <t xml:space="preserve">Dual-Link Communication</t>
  </si>
  <si>
    <t xml:space="preserve">Semantic Communication</t>
  </si>
  <si>
    <t xml:space="preserve">Owner (role)</t>
  </si>
  <si>
    <t xml:space="preserve">Person</t>
  </si>
  <si>
    <t xml:space="preserve">Sensors &amp; platform</t>
  </si>
  <si>
    <t xml:space="preserve">GS-SLAM</t>
  </si>
  <si>
    <t xml:space="preserve">Scene detection</t>
  </si>
  <si>
    <t xml:space="preserve">Isaac Sim</t>
  </si>
  <si>
    <t xml:space="preserve">Sionna RT</t>
  </si>
  <si>
    <t xml:space="preserve">SCooP dataset</t>
  </si>
  <si>
    <t xml:space="preserve">Dual-link comms</t>
  </si>
  <si>
    <t xml:space="preserve">Semantic comms</t>
  </si>
  <si>
    <t xml:space="preserve">All (integration)</t>
  </si>
  <si>
    <t xml:space="preserve">Open</t>
  </si>
  <si>
    <t xml:space="preserve">Investigating</t>
  </si>
  <si>
    <t xml:space="preserve">Resolved</t>
  </si>
  <si>
    <t xml:space="preserve">Won't fix</t>
  </si>
  <si>
    <t xml:space="preserve">Still open</t>
  </si>
  <si>
    <t xml:space="preserve">Blocker</t>
  </si>
  <si>
    <t xml:space="preserve">Major</t>
  </si>
  <si>
    <t xml:space="preserve">Minor</t>
  </si>
  <si>
    <t xml:space="preserve">Count</t>
  </si>
  <si>
    <t xml:space="preserve">Not defined</t>
  </si>
  <si>
    <t xml:space="preserve">Defined</t>
  </si>
  <si>
    <t xml:space="preserve">Implemented</t>
  </si>
  <si>
    <t xml:space="preserve">Tested</t>
  </si>
  <si>
    <t xml:space="preserve">Pick what to show in the yellow cells. Only matching tasks appear below, with their Gantt bars. 'All' = no filter.</t>
  </si>
  <si>
    <t xml:space="preserve">All</t>
  </si>
  <si>
    <t xml:space="preserve">Showing</t>
  </si>
  <si>
    <t xml:space="preserve">Component</t>
  </si>
  <si>
    <t xml:space="preserve">Reset: set every yellow cell to All and clear 'Task contains'.</t>
  </si>
  <si>
    <t xml:space="preserve">Status</t>
  </si>
  <si>
    <t xml:space="preserve">Task contains</t>
  </si>
  <si>
    <t xml:space="preserve">any word in the task name or detail, e.g. calibration</t>
  </si>
  <si>
    <t xml:space="preserve">Tasks row</t>
  </si>
  <si>
    <t xml:space="preserve">ID</t>
  </si>
  <si>
    <t xml:space="preserve">Task</t>
  </si>
  <si>
    <t xml:space="preserve">Owner</t>
  </si>
  <si>
    <t xml:space="preserve">Start</t>
  </si>
  <si>
    <t xml:space="preserve">End</t>
  </si>
  <si>
    <t xml:space="preserve">One row per task. Start + Weeks drive the Gantt sheet. Grey italic columns are formulas.</t>
  </si>
  <si>
    <t xml:space="preserve">Detail</t>
  </si>
  <si>
    <t xml:space="preserve">Weeks</t>
  </si>
  <si>
    <t xml:space="preserve">Depends on</t>
  </si>
  <si>
    <t xml:space="preserve">Done when</t>
  </si>
  <si>
    <t xml:space="preserve">Link</t>
  </si>
  <si>
    <t xml:space="preserve">Notes</t>
  </si>
  <si>
    <t xml:space="preserve">Old tracker ref</t>
  </si>
  <si>
    <t xml:space="preserve">In View (formula)</t>
  </si>
  <si>
    <t xml:space="preserve">View order (formula)</t>
  </si>
  <si>
    <t xml:space="preserve">TB-1</t>
  </si>
  <si>
    <t xml:space="preserve">Testbed</t>
  </si>
  <si>
    <t xml:space="preserve">Hardware inventory &amp; specs</t>
  </si>
  <si>
    <t xml:space="preserve">mobile_1, mobile_2, infra masts, sniffer: what is mounted where.</t>
  </si>
  <si>
    <t xml:space="preserve">Number of infra masts fixed; cascade radar and mobile_2 radar/Wi-Fi specs confirmed (paper sensors table complete)</t>
  </si>
  <si>
    <t xml:space="preserve">TB-2</t>
  </si>
  <si>
    <t xml:space="preserve">Sensor calibration (all units)</t>
  </si>
  <si>
    <t xml:space="preserve">Spatial and temporal calibration across all sensors; verify the TF chain (map -&gt; odom -&gt; zed_camera_center).</t>
  </si>
  <si>
    <t xml:space="preserve">Calibration table in the paper filled; residual per sensor pair recorded</t>
  </si>
  <si>
    <t xml:space="preserve">Dataset Collection 1</t>
  </si>
  <si>
    <t xml:space="preserve">TB-2.1</t>
  </si>
  <si>
    <t xml:space="preserve">Sensor Calibration (LiDAR-Camera, LiDAR-IMU, Camera-Radar, Intrinsics, Realsense-Zed, Mobile-Infra Extrinsics)</t>
  </si>
  <si>
    <t xml:space="preserve">Spatial calibration across all sensor pairs.</t>
  </si>
  <si>
    <t xml:space="preserve">Dataset Collection 1.1</t>
  </si>
  <si>
    <t xml:space="preserve">TB-2.2</t>
  </si>
  <si>
    <t xml:space="preserve">Calibration: LiDAR - Camera</t>
  </si>
  <si>
    <t xml:space="preserve">From the old tracker's Sheet1 calibration list.</t>
  </si>
  <si>
    <t xml:space="preserve">Status not recorded in the old file</t>
  </si>
  <si>
    <t xml:space="preserve">Old Sheet1 'calibration'</t>
  </si>
  <si>
    <t xml:space="preserve">TB-2.3</t>
  </si>
  <si>
    <t xml:space="preserve">Calibration: LiDAR - IMU</t>
  </si>
  <si>
    <t xml:space="preserve">TB-2.4</t>
  </si>
  <si>
    <t xml:space="preserve">Calibration: RealSense - ZED</t>
  </si>
  <si>
    <t xml:space="preserve">TB-2.5</t>
  </si>
  <si>
    <t xml:space="preserve">Calibration: ZED - Arducam</t>
  </si>
  <si>
    <t xml:space="preserve">TB-2.6</t>
  </si>
  <si>
    <t xml:space="preserve">Calibration: Radars - ZED</t>
  </si>
  <si>
    <t xml:space="preserve">TB-3</t>
  </si>
  <si>
    <t xml:space="preserve">Time sync &amp; TF chain</t>
  </si>
  <si>
    <t xml:space="preserve">Confirm TF chain resolves; sync clocks via UTC pivot.</t>
  </si>
  <si>
    <t xml:space="preserve">Sniffer NTP bias measured; NTP checked over &gt;= 3 passes; per-sensor transport latency measured; TF chain resolves</t>
  </si>
  <si>
    <t xml:space="preserve">Dataset Collection 1.2</t>
  </si>
  <si>
    <t xml:space="preserve">TB-4</t>
  </si>
  <si>
    <t xml:space="preserve">Wi-Fi &amp; comms logging</t>
  </si>
  <si>
    <t xml:space="preserve">AP ch149 VHT-80, wifi/status, iperf3, ping, chrony, Nexmon CSI.</t>
  </si>
  <si>
    <t xml:space="preserve">Pre-recording check passes on every node</t>
  </si>
  <si>
    <t xml:space="preserve">TB-5</t>
  </si>
  <si>
    <t xml:space="preserve">Recording tooling fixes</t>
  </si>
  <si>
    <t xml:space="preserve">Record mobile_2's on-board VSLAM; record mobile_2 depth/IMU/IR in survey mode.</t>
  </si>
  <si>
    <t xml:space="preserve">A test pass records every topic listed in record.yaml</t>
  </si>
  <si>
    <t xml:space="preserve">G2-DS-1</t>
  </si>
  <si>
    <t xml:space="preserve">Recording campaign</t>
  </si>
  <si>
    <t xml:space="preserve">All sites x pass types (mapping, survey, coop, contention). Site 1 (MIRC) recorded 2026-09-24.</t>
  </si>
  <si>
    <t xml:space="preserve">TB-2, TB-3, TB-5</t>
  </si>
  <si>
    <t xml:space="preserve">Sites 2 and 3 recorded, all four pass types per site</t>
  </si>
  <si>
    <t xml:space="preserve">Only Cameras and LiDAR mainly for calibration accuracy validation</t>
  </si>
  <si>
    <t xml:space="preserve">Dataset Collection 2 | tag Dataset #1</t>
  </si>
  <si>
    <t xml:space="preserve">G2-DS-1.1</t>
  </si>
  <si>
    <t xml:space="preserve">Indoor Trajectory Sessions</t>
  </si>
  <si>
    <t xml:space="preserve">Planned indoor routes and formations across both robots.</t>
  </si>
  <si>
    <t xml:space="preserve">2 different datasets → detect change (in validation)</t>
  </si>
  <si>
    <t xml:space="preserve">Dataset Collection 2.1</t>
  </si>
  <si>
    <t xml:space="preserve">G2-DS-1.2</t>
  </si>
  <si>
    <t xml:space="preserve">Outdoor Trajectory Sessions</t>
  </si>
  <si>
    <t xml:space="preserve">Planned outdoor routes, including GPS-denied test zones.</t>
  </si>
  <si>
    <t xml:space="preserve">Old tracker: red across W1-W10 (read as not scheduled)</t>
  </si>
  <si>
    <t xml:space="preserve">Dataset Collection 2.2</t>
  </si>
  <si>
    <t xml:space="preserve">G2-DS-1.3</t>
  </si>
  <si>
    <t xml:space="preserve">Record sites 2 and 3</t>
  </si>
  <si>
    <t xml:space="preserve">Mapping, survey, coop, contention passes per site.</t>
  </si>
  <si>
    <t xml:space="preserve">G2-DS-1.4</t>
  </si>
  <si>
    <t xml:space="preserve">Calibration rosbag</t>
  </si>
  <si>
    <t xml:space="preserve">Stop at several points where camera and LiDAR see the same scene (LiDAR, radar, ZED; Arducam; RealSense).</t>
  </si>
  <si>
    <t xml:space="preserve">Old Sheet1 'To record' 2</t>
  </si>
  <si>
    <t xml:space="preserve">G2-DS-1.5</t>
  </si>
  <si>
    <t xml:space="preserve">Short test recordings</t>
  </si>
  <si>
    <t xml:space="preserve">Distance from object, occlusion, object at image edge (LiDAR, radar, ZED; Arducam; RealSense).</t>
  </si>
  <si>
    <t xml:space="preserve">G2-DS-2</t>
  </si>
  <si>
    <t xml:space="preserve">Per-pass processing</t>
  </si>
  <si>
    <t xml:space="preserve">Decode Ouster, retime, GLIM, ZED SVO-&gt;bag, offline cuVSLAM for mobile_2, merge + check against record.yaml.</t>
  </si>
  <si>
    <t xml:space="preserve">Every recorded pass processed and merged; bag_check clean</t>
  </si>
  <si>
    <t xml:space="preserve">Done for the 2026-09-24 passes; rerun per new pass</t>
  </si>
  <si>
    <t xml:space="preserve">Dataset Collection 3 | tag Dataset #2</t>
  </si>
  <si>
    <t xml:space="preserve">G2-DS-2.1</t>
  </si>
  <si>
    <t xml:space="preserve">Merging Sensor Data</t>
  </si>
  <si>
    <t xml:space="preserve">Merge all recorded sensor data and transforms</t>
  </si>
  <si>
    <t xml:space="preserve">Dataset Collection 2.3</t>
  </si>
  <si>
    <t xml:space="preserve">G2-DS-2.2</t>
  </si>
  <si>
    <t xml:space="preserve">Timestamp Alignment Post-Processing</t>
  </si>
  <si>
    <t xml:space="preserve">Align all recorded streams to the UTC pivot reference.</t>
  </si>
  <si>
    <t xml:space="preserve">Dataset Collection 3.1</t>
  </si>
  <si>
    <t xml:space="preserve">G2-DS-3</t>
  </si>
  <si>
    <t xml:space="preserve">Reference maps &amp; board networks per site</t>
  </si>
  <si>
    <t xml:space="preserve">Map stages 01-02; ChArUco board network.</t>
  </si>
  <si>
    <t xml:space="preserve">Map + boards per site; wall/floor thickness reported</t>
  </si>
  <si>
    <t xml:space="preserve">Done for site 1 mapping_A (7.4 / 2.6 cm)</t>
  </si>
  <si>
    <t xml:space="preserve">G2-DS-3.1</t>
  </si>
  <si>
    <t xml:space="preserve">Localization and Mapping</t>
  </si>
  <si>
    <t xml:space="preserve">Pointcloud Mapping using LiDAR (LiDAR-SLAM) and Camera (V-SLAM)</t>
  </si>
  <si>
    <t xml:space="preserve">Dataset Collection 3.2</t>
  </si>
  <si>
    <t xml:space="preserve">G2-DS-3.2</t>
  </si>
  <si>
    <t xml:space="preserve">Mesh Conversion</t>
  </si>
  <si>
    <t xml:space="preserve">Converting pointcloud data to watertight mesh/cuboids</t>
  </si>
  <si>
    <t xml:space="preserve">Varying object resolution → zoom in, zoom out</t>
  </si>
  <si>
    <t xml:space="preserve">Dataset Collection 3.3</t>
  </si>
  <si>
    <t xml:space="preserve">G2-DS-4</t>
  </si>
  <si>
    <t xml:space="preserve">Reference poses (map stages 03-10)</t>
  </si>
  <si>
    <t xml:space="preserve">Boards init, reference trajectory (LiDAR ICP; depth_track/PGO for mobile_2), anchor, cut, cameras, TFs, cloud, poses.</t>
  </si>
  <si>
    <t xml:space="preserve">Every robot in every sequence has a reference trajectory</t>
  </si>
  <si>
    <t xml:space="preserve">Current: coop_2 mobile_2 track (P-001)</t>
  </si>
  <si>
    <t xml:space="preserve">G2-DS-5</t>
  </si>
  <si>
    <t xml:space="preserve">Ground-truth validation</t>
  </si>
  <si>
    <t xml:space="preserve">Control distances, held-out boards, cross-robot, cross-session.</t>
  </si>
  <si>
    <t xml:space="preserve">Paper GT table has no '--' cells</t>
  </si>
  <si>
    <t xml:space="preserve">G2-DS-6</t>
  </si>
  <si>
    <t xml:space="preserve">Annotations</t>
  </si>
  <si>
    <t xml:space="preserve">Boxes, per-point labels, masks; decide the keyframe rate. No pipeline code yet.</t>
  </si>
  <si>
    <t xml:space="preserve">Annotation set + statistics for every sequence</t>
  </si>
  <si>
    <t xml:space="preserve">Dataset Collection 3.4</t>
  </si>
  <si>
    <t xml:space="preserve">G2-DS-6.1</t>
  </si>
  <si>
    <t xml:space="preserve">Label QA (Coverage &amp; Class Balance)</t>
  </si>
  <si>
    <t xml:space="preserve">Spot-check annotation quality and scenario/class coverage.</t>
  </si>
  <si>
    <t xml:space="preserve">Dataset Collection 4.1</t>
  </si>
  <si>
    <t xml:space="preserve">G2-DS-7</t>
  </si>
  <si>
    <t xml:space="preserve">Collaboration geometry &amp; comm ground truth</t>
  </si>
  <si>
    <t xml:space="preserve">Overlap, visibility, beta, C, Fresnel clearance; comms tables; channel replay.</t>
  </si>
  <si>
    <t xml:space="preserve">G2-DS-4, TB-4</t>
  </si>
  <si>
    <t xml:space="preserve">Per-frame geometry + link files for every coop sequence</t>
  </si>
  <si>
    <t xml:space="preserve">G2-DS-8</t>
  </si>
  <si>
    <t xml:space="preserve">Release</t>
  </si>
  <si>
    <t xml:space="preserve">Raw MCAP layout, OPV2V-style extracted format, devkit, license/DOI/hosting.</t>
  </si>
  <si>
    <t xml:space="preserve">G2-DS-5, G2-DS-6, G2-DS-7</t>
  </si>
  <si>
    <t xml:space="preserve">Versioned release online with DOI; devkit examples run</t>
  </si>
  <si>
    <t xml:space="preserve">Dataset Collection 4 | tag Dataset #3</t>
  </si>
  <si>
    <t xml:space="preserve">G2-DS-8.1</t>
  </si>
  <si>
    <t xml:space="preserve">Dataset Packaging &amp; Documentation</t>
  </si>
  <si>
    <t xml:space="preserve">Assemble the final versioned dataset release.</t>
  </si>
  <si>
    <t xml:space="preserve">Dataset Collection 4.2</t>
  </si>
  <si>
    <t xml:space="preserve">G2-DS-8.2</t>
  </si>
  <si>
    <t xml:space="preserve">Devkit</t>
  </si>
  <si>
    <t xml:space="preserve">Readers, calib/clock API, projection, geometry, channel replay, evaluation.</t>
  </si>
  <si>
    <t xml:space="preserve">G2-DS-8.3</t>
  </si>
  <si>
    <t xml:space="preserve">License, DOI, hosting</t>
  </si>
  <si>
    <t xml:space="preserve">G2-BP-A</t>
  </si>
  <si>
    <t xml:space="preserve">SCooP paper &amp; benchmarks</t>
  </si>
  <si>
    <t xml:space="preserve">Ground-truth numbers (RESULTS_PLAN A0)</t>
  </si>
  <si>
    <t xml:space="preserve">Control distances, held-out board residuals, box-fit fraction, sniffer bias.</t>
  </si>
  <si>
    <t xml:space="preserve">G2-BP-B</t>
  </si>
  <si>
    <t xml:space="preserve">Inventory &amp; statistics tables (B)</t>
  </si>
  <si>
    <t xml:space="preserve">Sessions and sequence tables, annotation statistics.</t>
  </si>
  <si>
    <t xml:space="preserve">G2-BP-C</t>
  </si>
  <si>
    <t xml:space="preserve">Geometry validation (C)</t>
  </si>
  <si>
    <t xml:space="preserve">Clearance vs RSSI, co-visibility vs evidence.</t>
  </si>
  <si>
    <t xml:space="preserve">G2-BP-D</t>
  </si>
  <si>
    <t xml:space="preserve">T2 collaborative perception under 3 channels (D)</t>
  </si>
  <si>
    <t xml:space="preserve">Port the OpenCOOD harness; early, late, Where2comm minimum.</t>
  </si>
  <si>
    <t xml:space="preserve">G2-DS-6, G2-DS-7</t>
  </si>
  <si>
    <t xml:space="preserve">G2-BP-E</t>
  </si>
  <si>
    <t xml:space="preserve">T1 collaborative SLAM (E)</t>
  </si>
  <si>
    <t xml:space="preserve">Swarm-SLAM minimum; DiSCo, COVINS-G, Kimera/Hydra-Multi stretch.</t>
  </si>
  <si>
    <t xml:space="preserve">G2-BP-F</t>
  </si>
  <si>
    <t xml:space="preserve">Q2 regression (F)</t>
  </si>
  <si>
    <t xml:space="preserve">LightGBM, leave-one-site-out.</t>
  </si>
  <si>
    <t xml:space="preserve">G2-BP-D, G2-BP-C</t>
  </si>
  <si>
    <t xml:space="preserve">G2-BP-G</t>
  </si>
  <si>
    <t xml:space="preserve">Write-up (G)</t>
  </si>
  <si>
    <t xml:space="preserve">Replace 6 dummy-data figures, add 5 missing figures, results, abstract.</t>
  </si>
  <si>
    <t xml:space="preserve">G2-M1</t>
  </si>
  <si>
    <t xml:space="preserve">Milestone</t>
  </si>
  <si>
    <t xml:space="preserve">Paper submitted (IJRR)</t>
  </si>
  <si>
    <t xml:space="preserve">G2-BP-G, G2-DS-8</t>
  </si>
  <si>
    <t xml:space="preserve">G1-SP-1</t>
  </si>
  <si>
    <t xml:space="preserve">Sensor rig &amp; TF tree per robot</t>
  </si>
  <si>
    <t xml:space="preserve">RGB-D, IMU, wheel encoders, radio antenna; URDF/TF.</t>
  </si>
  <si>
    <t xml:space="preserve">G1-SP-2</t>
  </si>
  <si>
    <t xml:space="preserve">Odometry: front end + fusion filter</t>
  </si>
  <si>
    <t xml:space="preserve">Feature tracking + IMU + wheel ticks -&gt; pose prior T_k with covariance.</t>
  </si>
  <si>
    <t xml:space="preserve">TB-2, TB-3</t>
  </si>
  <si>
    <t xml:space="preserve">&gt;= 30 Hz pose prior with covariance; drift measured on a closed loop</t>
  </si>
  <si>
    <t xml:space="preserve">G1-SP-3</t>
  </si>
  <si>
    <t xml:space="preserve">ED305 camera calibration in the room frame</t>
  </si>
  <si>
    <t xml:space="preserve">Convert the ED305-cameras calibration into cameras.yaml; pose check against the red dot.</t>
  </si>
  <si>
    <t xml:space="preserve">configs/cameras.yaml from measurements; reprojection check passes</t>
  </si>
  <si>
    <t xml:space="preserve">Blocked by P-009</t>
  </si>
  <si>
    <t xml:space="preserve">G1-SP-4</t>
  </si>
  <si>
    <t xml:space="preserve">ED305 coverage &amp; camera placement</t>
  </si>
  <si>
    <t xml:space="preserve">coverage_map -&gt; measure mounts -&gt; optimize_cameras -&gt; re-aim -&gt; re-calibrate (WORKFLOW.md).</t>
  </si>
  <si>
    <t xml:space="preserve">No blind spots at k = 2 in the target volume</t>
  </si>
  <si>
    <t xml:space="preserve">ed305_digital_twin/WORKFLOW.md</t>
  </si>
  <si>
    <t xml:space="preserve">G1-SP-5</t>
  </si>
  <si>
    <t xml:space="preserve">Printed pan-tilt heads</t>
  </si>
  <si>
    <t xml:space="preserve">Check camera holes vs Basler drawing, print one, fit-check, then the flagged cameras.</t>
  </si>
  <si>
    <t xml:space="preserve">Flagged cameras on printed heads, set from moves.md readings</t>
  </si>
  <si>
    <t xml:space="preserve">ed305_digital_twin/hardware/pan_tilt</t>
  </si>
  <si>
    <t xml:space="preserve">G1-SP-6</t>
  </si>
  <si>
    <t xml:space="preserve">ED305 camera time sync</t>
  </si>
  <si>
    <t xml:space="preserve">PTP between the two camera hosts; measure offset with a common event.</t>
  </si>
  <si>
    <t xml:space="preserve">Measured offset between any two cameras &lt; 5 ms</t>
  </si>
  <si>
    <t xml:space="preserve">G1-GS-1</t>
  </si>
  <si>
    <t xml:space="preserve">Metric prior</t>
  </si>
  <si>
    <t xml:space="preserve">Back-project depth with K and the odometry pose into world points.</t>
  </si>
  <si>
    <t xml:space="preserve">G1-GS-2</t>
  </si>
  <si>
    <t xml:space="preserve">Tracking + keyframe gate</t>
  </si>
  <si>
    <t xml:space="preserve">Colour + depth residual pose solve; keyframe gate on overlap/motion.</t>
  </si>
  <si>
    <t xml:space="preserve">G1-GS-3</t>
  </si>
  <si>
    <t xml:space="preserve">Mapping + loop closure</t>
  </si>
  <si>
    <t xml:space="preserve">Densify, optimize, prune; local pose graph loop closure; keep moving objects out of the static map.</t>
  </si>
  <si>
    <t xml:space="preserve">Dynamic Digital Twin 1 | tag Dataset #2; Dataset #3</t>
  </si>
  <si>
    <t xml:space="preserve">G1-GS-3.1</t>
  </si>
  <si>
    <t xml:space="preserve">Dynamic-Object Filter (Pre-Registration)</t>
  </si>
  <si>
    <t xml:space="preserve">Strip moving objects out of the point cloud before registration.</t>
  </si>
  <si>
    <t xml:space="preserve">Dynamic Digital Twin 1.1</t>
  </si>
  <si>
    <t xml:space="preserve">G1-GS-3.2</t>
  </si>
  <si>
    <t xml:space="preserve">Static Point Cloud Registration</t>
  </si>
  <si>
    <t xml:space="preserve">Register the filtered static points into the base map.</t>
  </si>
  <si>
    <t xml:space="preserve">Dynamic Digital Twin 1.2</t>
  </si>
  <si>
    <t xml:space="preserve">G1-GS-4</t>
  </si>
  <si>
    <t xml:space="preserve">Real-time budget</t>
  </si>
  <si>
    <t xml:space="preserve">FPS and memory on the target machine.</t>
  </si>
  <si>
    <t xml:space="preserve">Tracking at camera rate; numbers in Runs</t>
  </si>
  <si>
    <t xml:space="preserve">G1-GS-5</t>
  </si>
  <si>
    <t xml:space="preserve">Map fusion (multi-robot)</t>
  </si>
  <si>
    <t xml:space="preserve">Inter-robot loop closure, alignment to the ED305 room frame, shared map store -&gt; global map G*.</t>
  </si>
  <si>
    <t xml:space="preserve">G1-GS-3, G1-SP-3</t>
  </si>
  <si>
    <t xml:space="preserve">G1-GS-6</t>
  </si>
  <si>
    <t xml:space="preserve">Evaluation</t>
  </si>
  <si>
    <t xml:space="preserve">ATE/RPE; rendered PSNR/SSIM and depth L1 on held-out views (SCooP sequences as test data).</t>
  </si>
  <si>
    <t xml:space="preserve">G1-GS-5, G2-DS-4</t>
  </si>
  <si>
    <t xml:space="preserve">G1-SD-1</t>
  </si>
  <si>
    <t xml:space="preserve">Object asset library</t>
  </si>
  <si>
    <t xml:space="preserve">USD assets of the lab's objects (chairs, tables, robots).</t>
  </si>
  <si>
    <t xml:space="preserve">G1-SD-2</t>
  </si>
  <si>
    <t xml:space="preserve">Object retrieval from G*</t>
  </si>
  <si>
    <t xml:space="preserve">Which library object, where (pose, point cloud); persistent instance IDs.</t>
  </si>
  <si>
    <t xml:space="preserve">G1-SD-1, G1-GS-5</t>
  </si>
  <si>
    <t xml:space="preserve">Split up the metric map into objects</t>
  </si>
  <si>
    <t xml:space="preserve">Dynamic Digital Twin 2 | tag Dataset #2; Dataset #3</t>
  </si>
  <si>
    <t xml:space="preserve">G1-SD-2.1</t>
  </si>
  <si>
    <t xml:space="preserve">Object Detection &amp; Instance Identification (RGB / RGBD / LiDAR / Radar)</t>
  </si>
  <si>
    <t xml:space="preserve">Detect and assign persistent instance IDs to every object on the map, reusing the detection/segmentation methods proven in the dataset pipeline (Dataset Task 9).</t>
  </si>
  <si>
    <t xml:space="preserve">Dynamic Digital Twin 2.1</t>
  </si>
  <si>
    <t xml:space="preserve">G1-SD-2.2</t>
  </si>
  <si>
    <t xml:space="preserve">Radar + Panoptic Fusion Tracking</t>
  </si>
  <si>
    <t xml:space="preserve">Combine radar motion data with segmentation labels for tracked objects.</t>
  </si>
  <si>
    <t xml:space="preserve">Dynamic Digital Twin 2.2</t>
  </si>
  <si>
    <t xml:space="preserve">G1-SD-3</t>
  </si>
  <si>
    <t xml:space="preserve">Decomposition: segments &amp; materials</t>
  </si>
  <si>
    <t xml:space="preserve">Segment the Gaussian map; material labels (needed by Sionna).</t>
  </si>
  <si>
    <t xml:space="preserve">G1-SD-4</t>
  </si>
  <si>
    <t xml:space="preserve">Change detection</t>
  </si>
  <si>
    <t xml:space="preserve">Twin's expected view vs live map, plus live targets from the ED305 cameras.</t>
  </si>
  <si>
    <t xml:space="preserve">G1-IS-5, G1-SD-2</t>
  </si>
  <si>
    <t xml:space="preserve">Dynamic Digital Twin 3 | tag Twin #1; Twin #2</t>
  </si>
  <si>
    <t xml:space="preserve">G1-SD-4.1</t>
  </si>
  <si>
    <t xml:space="preserve">Change Detection (Object Moved / Appeared / Disappeared)</t>
  </si>
  <si>
    <t xml:space="preserve">Compare current scene-graph state against the existing map to flag what changed.</t>
  </si>
  <si>
    <t xml:space="preserve">Dynamic Digital Twin 3.1</t>
  </si>
  <si>
    <t xml:space="preserve">G1-SD-5</t>
  </si>
  <si>
    <t xml:space="preserve">Maintenance with change history</t>
  </si>
  <si>
    <t xml:space="preserve">Prune, reuse; timestamped history instead of overwriting.</t>
  </si>
  <si>
    <t xml:space="preserve">G1-SD-5.1</t>
  </si>
  <si>
    <t xml:space="preserve">Scene Graph &amp; Map Update on Change (with Change History)</t>
  </si>
  <si>
    <t xml:space="preserve">Apply the detected change to both the map and scene graph, keeping a timestamped history rather than just the latest state.</t>
  </si>
  <si>
    <t xml:space="preserve">Dynamic Digital Twin 3.2</t>
  </si>
  <si>
    <t xml:space="preserve">G1-SD-6</t>
  </si>
  <si>
    <t xml:space="preserve">USD edits to Isaac</t>
  </si>
  <si>
    <t xml:space="preserve">Add / move / remove operations sent to the stage.</t>
  </si>
  <si>
    <t xml:space="preserve">G1-SD-4, G1-IS-6</t>
  </si>
  <si>
    <t xml:space="preserve">G1-SD-7</t>
  </si>
  <si>
    <t xml:space="preserve">Live targets from the ED305 cameras</t>
  </si>
  <si>
    <t xml:space="preserve">Multi-view detection of people/robots -&gt; positions in the room frame.</t>
  </si>
  <si>
    <t xml:space="preserve">G1-SP-3, G1-SP-6</t>
  </si>
  <si>
    <t xml:space="preserve">Targets at &gt;= 10 Hz in the room frame, error measured</t>
  </si>
  <si>
    <t xml:space="preserve">G1-IS-1</t>
  </si>
  <si>
    <t xml:space="preserve">ED305 USD stage in the room frame</t>
  </si>
  <si>
    <t xml:space="preserve">Static room model, units, frame = ED305 room frame.</t>
  </si>
  <si>
    <t xml:space="preserve">G1-IS-2</t>
  </si>
  <si>
    <t xml:space="preserve">Robot + antenna prims, live pose</t>
  </si>
  <si>
    <t xml:space="preserve">One per robot, world-frame pose every frame.</t>
  </si>
  <si>
    <t xml:space="preserve">G1-IS-3</t>
  </si>
  <si>
    <t xml:space="preserve">Gaussian layer</t>
  </si>
  <si>
    <t xml:space="preserve">Render G* splats (RTX).</t>
  </si>
  <si>
    <t xml:space="preserve">G1-IS-4</t>
  </si>
  <si>
    <t xml:space="preserve">Mesh layer</t>
  </si>
  <si>
    <t xml:space="preserve">Physics and radio materials.</t>
  </si>
  <si>
    <t xml:space="preserve">G1-IS-1, G1-SD-3</t>
  </si>
  <si>
    <t xml:space="preserve">G1-IS-5</t>
  </si>
  <si>
    <t xml:space="preserve">Expected-view render</t>
  </si>
  <si>
    <t xml:space="preserve">Render the twin from a robot/camera pose for change detection.</t>
  </si>
  <si>
    <t xml:space="preserve">G1-IS-6</t>
  </si>
  <si>
    <t xml:space="preserve">Apply live USD edits</t>
  </si>
  <si>
    <t xml:space="preserve">Add / move / remove within a latency budget.</t>
  </si>
  <si>
    <t xml:space="preserve">G1-IS-7</t>
  </si>
  <si>
    <t xml:space="preserve">Control commands to robots</t>
  </si>
  <si>
    <t xml:space="preserve">Twin -&gt; robot command path.</t>
  </si>
  <si>
    <t xml:space="preserve">G1-IS-8</t>
  </si>
  <si>
    <t xml:space="preserve">Export to Sionna</t>
  </si>
  <si>
    <t xml:space="preserve">Meshes, materials, all Tx/Rx poses.</t>
  </si>
  <si>
    <t xml:space="preserve">G1-SR-1</t>
  </si>
  <si>
    <t xml:space="preserve">Scene export USD -&gt; Mitsuba</t>
  </si>
  <si>
    <t xml:space="preserve">G1-SR-2</t>
  </si>
  <si>
    <t xml:space="preserve">Path solver, all Tx/Rx links</t>
  </si>
  <si>
    <t xml:space="preserve">G1-SR-3</t>
  </si>
  <si>
    <t xml:space="preserve">Channel output</t>
  </si>
  <si>
    <t xml:space="preserve">CIR per link, radio map.</t>
  </si>
  <si>
    <t xml:space="preserve">G1-SR-4</t>
  </si>
  <si>
    <t xml:space="preserve">Validate against measured channels</t>
  </si>
  <si>
    <t xml:space="preserve">Compare with SCooP CSI/RSSI logs.</t>
  </si>
  <si>
    <t xml:space="preserve">G1-SR-3, TB-4</t>
  </si>
  <si>
    <t xml:space="preserve">G1-M1</t>
  </si>
  <si>
    <t xml:space="preserve">M1 Offline map in Isaac</t>
  </si>
  <si>
    <t xml:space="preserve">One recording -&gt; GS map in the room frame -&gt; loaded in Isaac (static).</t>
  </si>
  <si>
    <t xml:space="preserve">G1-GS-3, G1-IS-3</t>
  </si>
  <si>
    <t xml:space="preserve">G1-M2</t>
  </si>
  <si>
    <t xml:space="preserve">M2 Live robot pose in Isaac</t>
  </si>
  <si>
    <t xml:space="preserve">One robot's live pose moves its prim; latency measured.</t>
  </si>
  <si>
    <t xml:space="preserve">G1-IS-2, G1-GS-2</t>
  </si>
  <si>
    <t xml:space="preserve">G1-M3</t>
  </si>
  <si>
    <t xml:space="preserve">M3 Change loop</t>
  </si>
  <si>
    <t xml:space="preserve">Move a chair -&gt; change detected -&gt; twin updated within the target time.</t>
  </si>
  <si>
    <t xml:space="preserve">G1-M4</t>
  </si>
  <si>
    <t xml:space="preserve">M4 Two robots, fused map</t>
  </si>
  <si>
    <t xml:space="preserve">Both robots live on G*.</t>
  </si>
  <si>
    <t xml:space="preserve">G1-M5</t>
  </si>
  <si>
    <t xml:space="preserve">M5 ED305 targets live in the twin</t>
  </si>
  <si>
    <t xml:space="preserve">People/robots from the room cameras appear live.</t>
  </si>
  <si>
    <t xml:space="preserve">G1-M6</t>
  </si>
  <si>
    <t xml:space="preserve">M6 Radio channels from the live twin</t>
  </si>
  <si>
    <t xml:space="preserve">Sionna channel per link from the live scene.</t>
  </si>
  <si>
    <t xml:space="preserve">DL-1</t>
  </si>
  <si>
    <t xml:space="preserve">Dual-link</t>
  </si>
  <si>
    <t xml:space="preserve">Define dual-link architecture</t>
  </si>
  <si>
    <t xml:space="preserve">Define the dual-link architecture (e.g. WiFi + WiFi) and QoS-tiered traffic-steering policy.</t>
  </si>
  <si>
    <t xml:space="preserve">Dual-Link 1 | tag -</t>
  </si>
  <si>
    <t xml:space="preserve">DL-1.1</t>
  </si>
  <si>
    <t xml:space="preserve">Link Pairing Selection (WiFi + WiFi)</t>
  </si>
  <si>
    <t xml:space="preserve">Confirm the two physical links actually used and steered between.</t>
  </si>
  <si>
    <t xml:space="preserve">Dual-Link 1.1</t>
  </si>
  <si>
    <t xml:space="preserve">DL-1.2</t>
  </si>
  <si>
    <t xml:space="preserve">QoS-Tiered Traffic-Steering Policy</t>
  </si>
  <si>
    <t xml:space="preserve">Which data classes (critical vs. map) route over which link.</t>
  </si>
  <si>
    <t xml:space="preserve">Dual-Link 1.2</t>
  </si>
  <si>
    <t xml:space="preserve">DL-2</t>
  </si>
  <si>
    <t xml:space="preserve">Build link monitor</t>
  </si>
  <si>
    <t xml:space="preserve">Build the link monitor: track PER/MTU, throughput/RTT, SNR and queue health on both links.</t>
  </si>
  <si>
    <t xml:space="preserve">Dual-Link 2</t>
  </si>
  <si>
    <t xml:space="preserve">DL-2.1</t>
  </si>
  <si>
    <t xml:space="preserve">PER / MTU Tracking</t>
  </si>
  <si>
    <t xml:space="preserve">Packet error rate and MTU behavior per link in real time.</t>
  </si>
  <si>
    <t xml:space="preserve">Dual-Link 2.1</t>
  </si>
  <si>
    <t xml:space="preserve">DL-2.2</t>
  </si>
  <si>
    <t xml:space="preserve">Throughput / RTT / Queue-Health Tracking</t>
  </si>
  <si>
    <t xml:space="preserve">Throughput, round-trip time, and queue/buffer health per link.</t>
  </si>
  <si>
    <t xml:space="preserve">Dual-Link 2.2</t>
  </si>
  <si>
    <t xml:space="preserve">DL-3</t>
  </si>
  <si>
    <t xml:space="preserve">Implement link compression</t>
  </si>
  <si>
    <t xml:space="preserve">Implement link-aware dynamic compression that reacts to link-monitor signals in real time.</t>
  </si>
  <si>
    <t xml:space="preserve">Dual-Link 3 | tag Link #2</t>
  </si>
  <si>
    <t xml:space="preserve">DL-3.1</t>
  </si>
  <si>
    <t xml:space="preserve">Compression Module (Link-Monitor Reactive)</t>
  </si>
  <si>
    <t xml:space="preserve">Wire PER/RTT/queue-health output into a live compression-rate decision.</t>
  </si>
  <si>
    <t xml:space="preserve">Dual-Link 3.1</t>
  </si>
  <si>
    <t xml:space="preserve">DL-3.2</t>
  </si>
  <si>
    <t xml:space="preserve">Compression Threshold Tuning</t>
  </si>
  <si>
    <t xml:space="preserve">Calibrate thresholds so compression triggers early enough to avoid loss.</t>
  </si>
  <si>
    <t xml:space="preserve">Dual-Link 3.2</t>
  </si>
  <si>
    <t xml:space="preserve">DL-4</t>
  </si>
  <si>
    <t xml:space="preserve">Validate Switching Strategies — WiFi1 + WiFi2</t>
  </si>
  <si>
    <t xml:space="preserve">Compare three approaches on the WiFi1+WiFi2 pair to determine which actually performs best before committing to one.</t>
  </si>
  <si>
    <t xml:space="preserve">Dual-Link 4 | tag Link #1;Link #2; Link #3;</t>
  </si>
  <si>
    <t xml:space="preserve">DL-4.1</t>
  </si>
  <si>
    <t xml:space="preserve">Single-Link Baseline</t>
  </si>
  <si>
    <t xml:space="preserve">Run all traffic over one WiFi link only — the no-switching baseline.</t>
  </si>
  <si>
    <t xml:space="preserve">Dual-Link 4.1</t>
  </si>
  <si>
    <t xml:space="preserve">DL-4.2</t>
  </si>
  <si>
    <t xml:space="preserve">Full Topic Switchover</t>
  </si>
  <si>
    <t xml:space="preserve">All topics move together to the other link on failover — coarse, all-or-nothing switching.</t>
  </si>
  <si>
    <t xml:space="preserve">Dual-Link 4.2</t>
  </si>
  <si>
    <t xml:space="preserve">DL-4.3</t>
  </si>
  <si>
    <t xml:space="preserve">True Dual-Link (QoS-Tiered Per-Topic)</t>
  </si>
  <si>
    <t xml:space="preserve">Both links used simultaneously, with topics routed individually per the QoS-tiered policy.</t>
  </si>
  <si>
    <t xml:space="preserve">Dual-Link 4.3</t>
  </si>
  <si>
    <t xml:space="preserve">DL-5</t>
  </si>
  <si>
    <t xml:space="preserve">Extend to WiFi + 5G</t>
  </si>
  <si>
    <t xml:space="preserve">Apply the validated switching approach to the WiFi + 5G link pair, then test real applications running over it.</t>
  </si>
  <si>
    <t xml:space="preserve">Dual-Link 5 | tag Link #4</t>
  </si>
  <si>
    <t xml:space="preserve">DL-5.1</t>
  </si>
  <si>
    <t xml:space="preserve">WiFi + 5G Link Pairing &amp; Switching Validation</t>
  </si>
  <si>
    <t xml:space="preserve">Repeat the switching-strategy comparison from Task 3 on the WiFi+5G pair specifically.</t>
  </si>
  <si>
    <t xml:space="preserve">Dual-Link 5.1</t>
  </si>
  <si>
    <t xml:space="preserve">DL-5.2</t>
  </si>
  <si>
    <t xml:space="preserve">Application-Level Testing on WiFi + 5G</t>
  </si>
  <si>
    <t xml:space="preserve">Run real application traffic over the validated WiFi+5G dual-link setup, not just synthetic link tests.</t>
  </si>
  <si>
    <t xml:space="preserve">Dual-Link 5.2</t>
  </si>
  <si>
    <t xml:space="preserve">DL-6</t>
  </si>
  <si>
    <t xml:space="preserve">Test failover &amp; reliability</t>
  </si>
  <si>
    <t xml:space="preserve">Test failover and reliability against availability/latency targets</t>
  </si>
  <si>
    <t xml:space="preserve">Dual-Link 6 | tag Link #5</t>
  </si>
  <si>
    <t xml:space="preserve">DL-6.1</t>
  </si>
  <si>
    <t xml:space="preserve">Failover Test Scenarios</t>
  </si>
  <si>
    <t xml:space="preserve">Force link drops and confirm failover behaves as expected.</t>
  </si>
  <si>
    <t xml:space="preserve">Dual-Link 6.1</t>
  </si>
  <si>
    <t xml:space="preserve">DL-6.2</t>
  </si>
  <si>
    <t xml:space="preserve">Availability / Latency Target Validation</t>
  </si>
  <si>
    <t xml:space="preserve">Confirm results meet the 99.7% availability / &lt;10 ms latency targets.</t>
  </si>
  <si>
    <t xml:space="preserve">Dual-Link 6.2</t>
  </si>
  <si>
    <t xml:space="preserve">DL-7</t>
  </si>
  <si>
    <t xml:space="preserve">Integrate with digital twin</t>
  </si>
  <si>
    <t xml:space="preserve">Integrate the predictive handover pipeline directly with the digital twin's object-tracking output.</t>
  </si>
  <si>
    <t xml:space="preserve">Dual-Link 7 | tag Twin #3; Link #6</t>
  </si>
  <si>
    <t xml:space="preserve">DL-7.1</t>
  </si>
  <si>
    <t xml:space="preserve">Predictive Handover &lt;-&gt; Twin Tracking Wiring</t>
  </si>
  <si>
    <t xml:space="preserve">Connect the handover module directly to live twin object-tracking data.</t>
  </si>
  <si>
    <t xml:space="preserve">Dual-Link 7.1</t>
  </si>
  <si>
    <t xml:space="preserve">DL-7.2</t>
  </si>
  <si>
    <t xml:space="preserve">End-to-End Integration Test</t>
  </si>
  <si>
    <t xml:space="preserve">Validate the full pipeline from twin prediction to link handover.</t>
  </si>
  <si>
    <t xml:space="preserve">Dual-Link 7.2</t>
  </si>
  <si>
    <t xml:space="preserve">SC-1</t>
  </si>
  <si>
    <t xml:space="preserve">Semantic comm</t>
  </si>
  <si>
    <t xml:space="preserve">Object Recognition (Camera Encoder/Decoder)</t>
  </si>
  <si>
    <t xml:space="preserve">Build and validate camera-only encode/decode for recognition first, before adding other modalities.</t>
  </si>
  <si>
    <t xml:space="preserve">Semantic Comm 1</t>
  </si>
  <si>
    <t xml:space="preserve">SC-1.1</t>
  </si>
  <si>
    <t xml:space="preserve">Encoder + Decoder</t>
  </si>
  <si>
    <t xml:space="preserve">Compress features, reconstruct, and recognize objects.</t>
  </si>
  <si>
    <t xml:space="preserve">Semantic Comm 1.1</t>
  </si>
  <si>
    <t xml:space="preserve">SC-1.2</t>
  </si>
  <si>
    <t xml:space="preserve">Accuracy Validation</t>
  </si>
  <si>
    <t xml:space="preserve">Confirm recognition holds up through compression.</t>
  </si>
  <si>
    <t xml:space="preserve">Semantic Comm 1.2</t>
  </si>
  <si>
    <t xml:space="preserve">SC-2</t>
  </si>
  <si>
    <t xml:space="preserve">Build Core Framework</t>
  </si>
  <si>
    <t xml:space="preserve">Baseline semantic comm framework plus a realistic channel model.</t>
  </si>
  <si>
    <t xml:space="preserve">Semantic Comm 2 | tag Sem #1</t>
  </si>
  <si>
    <t xml:space="preserve">SC-2.1</t>
  </si>
  <si>
    <t xml:space="preserve">Baseline 3-Stage Framework</t>
  </si>
  <si>
    <t xml:space="preserve">Local pre-training, evidential fusion, retransmission.</t>
  </si>
  <si>
    <t xml:space="preserve">Semantic Comm 2.1</t>
  </si>
  <si>
    <t xml:space="preserve">SC-2.2</t>
  </si>
  <si>
    <t xml:space="preserve">Realistic Channel Model</t>
  </si>
  <si>
    <t xml:space="preserve">Replace flat-fading/AWGN assumption, validate it.</t>
  </si>
  <si>
    <t xml:space="preserve">Semantic Comm 2.2</t>
  </si>
  <si>
    <t xml:space="preserve">SC-3</t>
  </si>
  <si>
    <t xml:space="preserve">Dynamic Bandwidth Management</t>
  </si>
  <si>
    <t xml:space="preserve">Network-aware allocation, physical limits, per-modality truncation, and outage-aware feedback.</t>
  </si>
  <si>
    <t xml:space="preserve">Semantic Comm 3 | tag Sem #2; Link #1</t>
  </si>
  <si>
    <t xml:space="preserve">SC-3.1</t>
  </si>
  <si>
    <t xml:space="preserve">Semantic Allocation</t>
  </si>
  <si>
    <t xml:space="preserve">Sense network state, decide feature budget live.</t>
  </si>
  <si>
    <t xml:space="preserve">Semantic Comm 3.1</t>
  </si>
  <si>
    <t xml:space="preserve">SC-3.2</t>
  </si>
  <si>
    <t xml:space="preserve">Physical Constraint Bounds</t>
  </si>
  <si>
    <t xml:space="preserve">Cap payload, enforce deadlines.</t>
  </si>
  <si>
    <t xml:space="preserve">Semantic Comm 3.2</t>
  </si>
  <si>
    <t xml:space="preserve">SC-3.3</t>
  </si>
  <si>
    <t xml:space="preserve">Per-Modality Truncation</t>
  </si>
  <si>
    <t xml:space="preserve">Each modality's feature size adapts independently.</t>
  </si>
  <si>
    <t xml:space="preserve">Semantic Comm 3.3</t>
  </si>
  <si>
    <t xml:space="preserve">SC-3.4</t>
  </si>
  <si>
    <t xml:space="preserve">Cost-Aware Feedback Loop</t>
  </si>
  <si>
    <t xml:space="preserve">Suppress retransmission requests during outages.</t>
  </si>
  <si>
    <t xml:space="preserve">Semantic Comm 3.4</t>
  </si>
  <si>
    <t xml:space="preserve">SC-4</t>
  </si>
  <si>
    <t xml:space="preserve">Multi-Task Transmission</t>
  </si>
  <si>
    <t xml:space="preserve">One representation serving SLAM, detection, and display.</t>
  </si>
  <si>
    <t xml:space="preserve">Semantic Comm 4 | tag Sem #3</t>
  </si>
  <si>
    <t xml:space="preserve">SC-5</t>
  </si>
  <si>
    <t xml:space="preserve">Train &amp; Evaluate on Dataset</t>
  </si>
  <si>
    <t xml:space="preserve">Train the full pipeline, measure accuracy vs. bandwidth.</t>
  </si>
  <si>
    <t xml:space="preserve">Semantic Comm 5 | tag Dataset #10; Sem #4</t>
  </si>
  <si>
    <t xml:space="preserve">SC-6</t>
  </si>
  <si>
    <t xml:space="preserve">Integrate with Dual-Link</t>
  </si>
  <si>
    <t xml:space="preserve">Wire in link signals for network-aware payload scaling.</t>
  </si>
  <si>
    <t xml:space="preserve">Semantic Comm 6 | tag Link #7; Sem #5</t>
  </si>
  <si>
    <t xml:space="preserve">Gantt starts (Monday):</t>
  </si>
  <si>
    <t xml:space="preserve">Today:</t>
  </si>
  <si>
    <t xml:space="preserve">Legend</t>
  </si>
  <si>
    <t xml:space="preserve">Today's week</t>
  </si>
  <si>
    <t xml:space="preserve">Red End date = overdue</t>
  </si>
  <si>
    <t xml:space="preserve">Log anything that blocks work for more than a day. Link the task it blocks.</t>
  </si>
  <si>
    <t xml:space="preserve">Date opened for seeded rows = when they were logged here (7 Oct 2026); found in the SCooP code/paper and this project's work.</t>
  </si>
  <si>
    <t xml:space="preserve">P-ID</t>
  </si>
  <si>
    <t xml:space="preserve">Opened</t>
  </si>
  <si>
    <t xml:space="preserve">Task ID</t>
  </si>
  <si>
    <t xml:space="preserve">Severity</t>
  </si>
  <si>
    <t xml:space="preserve">What happened</t>
  </si>
  <si>
    <t xml:space="preserve">Blocks / impact</t>
  </si>
  <si>
    <t xml:space="preserve">Root cause</t>
  </si>
  <si>
    <t xml:space="preserve">Fix / workaround</t>
  </si>
  <si>
    <t xml:space="preserve">Closed</t>
  </si>
  <si>
    <t xml:space="preserve">P-001</t>
  </si>
  <si>
    <t xml:space="preserve">coop_2: mobile_2's on-board VSLAM was not recorded; its camera has dropouts.</t>
  </si>
  <si>
    <t xml:space="preserve">mobile_2 reference track for coop_2</t>
  </si>
  <si>
    <t xml:space="preserve">On-board VSLAM topic not in the recording</t>
  </si>
  <si>
    <t xml:space="preserve">Offline cuVSLAM + depth tracking/PGO with board and LiDAR fixes; stages 05/07/08 off, boards and Arducam borrowed from survey_1</t>
  </si>
  <si>
    <t xml:space="preserve">P-002</t>
  </si>
  <si>
    <t xml:space="preserve">Survey mode: mobile_2 parked; its depth, IMU and IR not recorded, no trajectory.</t>
  </si>
  <si>
    <t xml:space="preserve">mobile_2 data in survey passes</t>
  </si>
  <si>
    <t xml:space="preserve">record.yaml survey profile</t>
  </si>
  <si>
    <t xml:space="preserve">Add the topics to the survey profile (TB-5)</t>
  </si>
  <si>
    <t xml:space="preserve">P-003</t>
  </si>
  <si>
    <t xml:space="preserve">ZED's own tracking drifts; infra-camera ChArUco extrinsics in map_zed carry that drift.</t>
  </si>
  <si>
    <t xml:space="preserve">Infra camera placement; map_zed</t>
  </si>
  <si>
    <t xml:space="preserve">ZED odometry not trusted</t>
  </si>
  <si>
    <t xml:space="preserve">map_zed placed at mobile_1's start, odom_zed dropped</t>
  </si>
  <si>
    <t xml:space="preserve">P-004</t>
  </si>
  <si>
    <t xml:space="preserve">Sniffer NTP asymmetry bias (up to 7.8 ms) not measured; NTP numbers from one pass only.</t>
  </si>
  <si>
    <t xml:space="preserve">Clock table in the paper; CSI timing</t>
  </si>
  <si>
    <t xml:space="preserve">P-005</t>
  </si>
  <si>
    <t xml:space="preserve">Seq B walls thicker than seq A (single-visit corridors).</t>
  </si>
  <si>
    <t xml:space="preserve">Map quality numbers</t>
  </si>
  <si>
    <t xml:space="preserve">Corridors visited once</t>
  </si>
  <si>
    <t xml:space="preserve">P-006</t>
  </si>
  <si>
    <t xml:space="preserve">Cascade radar spec and mobile_2 radar/Wi-Fi parts unconfirmed.</t>
  </si>
  <si>
    <t xml:space="preserve">Paper sensors table</t>
  </si>
  <si>
    <t xml:space="preserve">P-007</t>
  </si>
  <si>
    <t xml:space="preserve">CSI resolves relative speeds only up to about 1.2 m/s.</t>
  </si>
  <si>
    <t xml:space="preserve">Channel analysis at higher speeds</t>
  </si>
  <si>
    <t xml:space="preserve">CSI sample rate</t>
  </si>
  <si>
    <t xml:space="preserve">State as a limitation</t>
  </si>
  <si>
    <t xml:space="preserve">P-008</t>
  </si>
  <si>
    <t xml:space="preserve">RESULTS_PLAN.md cites old stage paths (03_anchor, 08_reference_traj -&gt; now 05_anchor, 04_reference_traj).</t>
  </si>
  <si>
    <t xml:space="preserve">Following the results plan</t>
  </si>
  <si>
    <t xml:space="preserve">Stages renumbered</t>
  </si>
  <si>
    <t xml:space="preserve">Update the paths</t>
  </si>
  <si>
    <t xml:space="preserve">P-009</t>
  </si>
  <si>
    <t xml:space="preserve">No access to the HCIS-Lab/ED305-cameras repo (calibration files).</t>
  </si>
  <si>
    <t xml:space="preserve">Camera calibration -&gt; coverage -&gt; placement</t>
  </si>
  <si>
    <t xml:space="preserve">Repo not shared with the GitHub app</t>
  </si>
  <si>
    <t xml:space="preserve">Share the calibration/ files or grant repo access</t>
  </si>
  <si>
    <t xml:space="preserve">P-010</t>
  </si>
  <si>
    <t xml:space="preserve">Each camera mount's range of movement is unknown.</t>
  </si>
  <si>
    <t xml:space="preserve">Camera placement optimization</t>
  </si>
  <si>
    <t xml:space="preserve">Not documented</t>
  </si>
  <si>
    <t xml:space="preserve">Assumed ranges for now; measure from video (measure_rotation.py) or fit printed pan-tilt heads</t>
  </si>
  <si>
    <t xml:space="preserve">One row per hand-off between owners (arrows in the system diagram). Fill format/rate/frame when agreed.</t>
  </si>
  <si>
    <t xml:space="preserve">I-ID</t>
  </si>
  <si>
    <t xml:space="preserve">From (component)</t>
  </si>
  <si>
    <t xml:space="preserve">To (component)</t>
  </si>
  <si>
    <t xml:space="preserve">What is passed</t>
  </si>
  <si>
    <t xml:space="preserve">Topic / format</t>
  </si>
  <si>
    <t xml:space="preserve">Rate</t>
  </si>
  <si>
    <t xml:space="preserve">Frame &amp; timestamps</t>
  </si>
  <si>
    <t xml:space="preserve">From owner</t>
  </si>
  <si>
    <t xml:space="preserve">To owner</t>
  </si>
  <si>
    <t xml:space="preserve">State</t>
  </si>
  <si>
    <t xml:space="preserve">I-01</t>
  </si>
  <si>
    <t xml:space="preserve">Sensors</t>
  </si>
  <si>
    <t xml:space="preserve">Odometry</t>
  </si>
  <si>
    <t xml:space="preserve">RGB-D, IMU, wheel ticks</t>
  </si>
  <si>
    <t xml:space="preserve">TBD</t>
  </si>
  <si>
    <t xml:space="preserve">I-02</t>
  </si>
  <si>
    <t xml:space="preserve">Metric prior / Tracking</t>
  </si>
  <si>
    <t xml:space="preserve">Pose prior T_k with covariance</t>
  </si>
  <si>
    <t xml:space="preserve">I-03</t>
  </si>
  <si>
    <t xml:space="preserve">Depth image + intrinsics K</t>
  </si>
  <si>
    <t xml:space="preserve">I-04</t>
  </si>
  <si>
    <t xml:space="preserve">Mobile robots (sensor rig)</t>
  </si>
  <si>
    <t xml:space="preserve">GS-SLAM front end</t>
  </si>
  <si>
    <t xml:space="preserve">Current frame: colour I_k, depth D_k</t>
  </si>
  <si>
    <t xml:space="preserve">I-05</t>
  </si>
  <si>
    <t xml:space="preserve">GS-SLAM tracking</t>
  </si>
  <si>
    <t xml:space="preserve">Isaac Sim robot prims</t>
  </si>
  <si>
    <t xml:space="preserve">Each robot's pose T_k (every frame)</t>
  </si>
  <si>
    <t xml:space="preserve">I-06</t>
  </si>
  <si>
    <t xml:space="preserve">GS-SLAM back end</t>
  </si>
  <si>
    <t xml:space="preserve">Map fusion</t>
  </si>
  <si>
    <t xml:space="preserve">Submaps / keyframes per robot</t>
  </si>
  <si>
    <t xml:space="preserve">I-07</t>
  </si>
  <si>
    <t xml:space="preserve">Scene update (object retrieval)</t>
  </si>
  <si>
    <t xml:space="preserve">Global map G*</t>
  </si>
  <si>
    <t xml:space="preserve">I-08</t>
  </si>
  <si>
    <t xml:space="preserve">Scene update (change detection)</t>
  </si>
  <si>
    <t xml:space="preserve">Expected view (render of the twin)</t>
  </si>
  <si>
    <t xml:space="preserve">I-09</t>
  </si>
  <si>
    <t xml:space="preserve">Scene update (maintenance)</t>
  </si>
  <si>
    <t xml:space="preserve">Isaac Sim USD stage</t>
  </si>
  <si>
    <t xml:space="preserve">USD edits: add, move, remove</t>
  </si>
  <si>
    <t xml:space="preserve">I-10</t>
  </si>
  <si>
    <t xml:space="preserve">Mobile robots</t>
  </si>
  <si>
    <t xml:space="preserve">Control commands</t>
  </si>
  <si>
    <t xml:space="preserve">I-11</t>
  </si>
  <si>
    <t xml:space="preserve">Meshes, materials, all Tx/Rx poses</t>
  </si>
  <si>
    <t xml:space="preserve">I-12</t>
  </si>
  <si>
    <t xml:space="preserve">ED305 cameras</t>
  </si>
  <si>
    <t xml:space="preserve">Scene update</t>
  </si>
  <si>
    <t xml:space="preserve">Live target positions (people, robots) in the room frame</t>
  </si>
  <si>
    <t xml:space="preserve">I-13</t>
  </si>
  <si>
    <t xml:space="preserve">Dual-link (handover)</t>
  </si>
  <si>
    <t xml:space="preserve">CIR per link, radio map</t>
  </si>
  <si>
    <t xml:space="preserve">I-14</t>
  </si>
  <si>
    <t xml:space="preserve">SCooP testbed logs</t>
  </si>
  <si>
    <t xml:space="preserve">Sionna RT validation</t>
  </si>
  <si>
    <t xml:space="preserve">Measured CSI / RSSI per link</t>
  </si>
  <si>
    <t xml:space="preserve">Every Friday, one row per person. Blockers = problem IDs from Problems. Row 4 is an example: overwrite it.</t>
  </si>
  <si>
    <t xml:space="preserve">Week (Monday)</t>
  </si>
  <si>
    <t xml:space="preserve">Done</t>
  </si>
  <si>
    <t xml:space="preserve">Next</t>
  </si>
  <si>
    <t xml:space="preserve">Blockers (P-IDs)</t>
  </si>
  <si>
    <t xml:space="preserve">(example)</t>
  </si>
  <si>
    <t xml:space="preserve">Coverage + placement tools; printed pan-tilt head design</t>
  </si>
  <si>
    <t xml:space="preserve">Get ED305 calibration files; print one head</t>
  </si>
  <si>
    <t xml:space="preserve">Example row</t>
  </si>
  <si>
    <t xml:space="preserve">One row per pipeline run on the server. The server keeps the logs/bags; this sheet points to them. Row 4 is an example.</t>
  </si>
  <si>
    <t xml:space="preserve">Run ID</t>
  </si>
  <si>
    <t xml:space="preserve">Date</t>
  </si>
  <si>
    <t xml:space="preserve">Data (pass / bag)</t>
  </si>
  <si>
    <t xml:space="preserve">Git commit</t>
  </si>
  <si>
    <t xml:space="preserve">Components</t>
  </si>
  <si>
    <t xml:space="preserve">Key numbers</t>
  </si>
  <si>
    <t xml:space="preserve">Result / notes</t>
  </si>
  <si>
    <t xml:space="preserve">Log location</t>
  </si>
  <si>
    <t xml:space="preserve">(example) R-0001</t>
  </si>
  <si>
    <t xml:space="preserve">20260924/coop_2</t>
  </si>
  <si>
    <t xml:space="preserve">(commit)</t>
  </si>
  <si>
    <t xml:space="preserve">map stages 03-04</t>
  </si>
  <si>
    <t xml:space="preserve">mobile_2 track: board residual ... cm</t>
  </si>
  <si>
    <t xml:space="preserve">Track fixed except camera dropouts</t>
  </si>
  <si>
    <t xml:space="preserve">server:/data/processed/20260924/coop_2</t>
  </si>
  <si>
    <t xml:space="preserve">Owner names and dropdown values.</t>
  </si>
  <si>
    <t xml:space="preserve">Role</t>
  </si>
  <si>
    <t xml:space="preserve">Owns</t>
  </si>
  <si>
    <t xml:space="preserve">Problem status</t>
  </si>
  <si>
    <t xml:space="preserve">Interface state</t>
  </si>
  <si>
    <t xml:space="preserve">Person (View filter)</t>
  </si>
  <si>
    <t xml:space="preserve">Robots, sensors, odometry, calibration, time sync, ED305 cameras, SCooP testbed</t>
  </si>
  <si>
    <t xml:space="preserve">Metric prior, GS-SLAM front/back end, map fusion</t>
  </si>
  <si>
    <t xml:space="preserve">Scene update: asset library, retrieval, decomposition, change detection, maintenance</t>
  </si>
  <si>
    <t xml:space="preserve">USD stage, robot prims, Gaussian/mesh layers, live edits, control, Sionna export</t>
  </si>
  <si>
    <t xml:space="preserve">Scene export, path solver, channel output</t>
  </si>
  <si>
    <t xml:space="preserve">SCooP recording campaign, reference poses, annotations, release, paper</t>
  </si>
  <si>
    <t xml:space="preserve">Dual-link communication workstream</t>
  </si>
  <si>
    <t xml:space="preserve">Semantic communication workstream</t>
  </si>
  <si>
    <t xml:space="preserve">Cross-owner integration milestones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</si>
</sst>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d\ mmm\ yy"/>
    <numFmt numFmtId="167" formatCode="d\ mmm\ yyyy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1F4E78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8"/>
      <color rgb="FFFFFFFF"/>
      <name val="Arial"/>
      <family val="0"/>
      <charset val="1"/>
    </font>
    <font>
      <sz val="8"/>
      <color rgb="FF808080"/>
      <name val="Arial"/>
      <family val="0"/>
      <charset val="1"/>
    </font>
    <font>
      <sz val="9"/>
      <name val="Arial"/>
      <family val="0"/>
      <charset val="1"/>
    </font>
    <font>
      <sz val="10"/>
      <name val="Arial"/>
      <family val="2"/>
    </font>
    <font>
      <b val="true"/>
      <sz val="9"/>
      <color rgb="FFC0000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sz val="10"/>
      <color rgb="FF0000FF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70AD47"/>
        <bgColor rgb="FF99CC00"/>
      </patternFill>
    </fill>
    <fill>
      <patternFill patternType="solid">
        <fgColor rgb="FFFFC000"/>
        <bgColor rgb="FFFF9900"/>
      </patternFill>
    </fill>
    <fill>
      <patternFill patternType="solid">
        <fgColor rgb="FFF4B183"/>
        <bgColor rgb="FFF4B6B6"/>
      </patternFill>
    </fill>
    <fill>
      <patternFill patternType="solid">
        <fgColor rgb="FFC00000"/>
        <bgColor rgb="FF800000"/>
      </patternFill>
    </fill>
    <fill>
      <patternFill patternType="solid">
        <fgColor rgb="FFA6A6A6"/>
        <bgColor rgb="FFBFBFBF"/>
      </patternFill>
    </fill>
    <fill>
      <patternFill patternType="solid">
        <fgColor rgb="FFF8CBAD"/>
        <bgColor rgb="FFF4B6B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hair">
        <color rgb="FFE0E0E0"/>
      </left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4" fillId="2" borderId="0" xfId="0" applyFont="true" applyBorder="false" applyAlignment="true" applyProtection="false">
      <alignment horizontal="center" vertical="bottom" textRotation="9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2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5">
    <dxf>
      <fill>
        <patternFill>
          <bgColor rgb="FF1F4E78"/>
        </patternFill>
      </fill>
    </dxf>
    <dxf>
      <fill>
        <patternFill>
          <bgColor rgb="FF70AD47"/>
        </patternFill>
      </fill>
    </dxf>
    <dxf>
      <fill>
        <patternFill>
          <bgColor rgb="FFFFC000"/>
        </patternFill>
      </fill>
    </dxf>
    <dxf>
      <fill>
        <patternFill>
          <bgColor rgb="FFF4B183"/>
        </patternFill>
      </fill>
    </dxf>
    <dxf>
      <fill>
        <patternFill>
          <bgColor rgb="FFC00000"/>
        </patternFill>
      </fill>
    </dxf>
    <dxf>
      <fill>
        <patternFill>
          <bgColor rgb="FFA6A6A6"/>
        </patternFill>
      </fill>
    </dxf>
    <dxf>
      <fill>
        <patternFill>
          <bgColor rgb="FFF8CBAD"/>
        </patternFill>
      </fill>
    </dxf>
    <dxf>
      <fill>
        <patternFill>
          <bgColor rgb="FFD9D9D9"/>
        </patternFill>
      </fill>
    </dxf>
    <dxf>
      <fill>
        <patternFill>
          <bgColor rgb="FFFFE699"/>
        </patternFill>
      </fill>
    </dxf>
    <dxf>
      <fill>
        <patternFill>
          <bgColor rgb="FFF4B6B6"/>
        </patternFill>
      </fill>
    </dxf>
    <dxf>
      <fill>
        <patternFill>
          <bgColor rgb="FFC6E0B4"/>
        </patternFill>
      </fill>
    </dxf>
    <dxf>
      <font>
        <b val="1"/>
        <color rgb="FFC00000"/>
      </font>
    </dxf>
    <dxf>
      <font>
        <b val="1"/>
      </font>
      <fill>
        <patternFill>
          <bgColor rgb="FFF2F2F2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4B6B6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ont>
        <color rgb="FF808080"/>
      </font>
    </dxf>
    <dxf>
      <fill>
        <patternFill>
          <bgColor rgb="FFBDD7E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4B183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0E0E0"/>
      <rgbColor rgb="FFC6E0B4"/>
      <rgbColor rgb="FFFFE699"/>
      <rgbColor rgb="FFD9D9D9"/>
      <rgbColor rgb="FFF4B6B6"/>
      <rgbColor rgb="FFCC99FF"/>
      <rgbColor rgb="FFF8CBAD"/>
      <rgbColor rgb="FF3366FF"/>
      <rgbColor rgb="FF33CCCC"/>
      <rgbColor rgb="FF99CC00"/>
      <rgbColor rgb="FFFFC000"/>
      <rgbColor rgb="FFFF9900"/>
      <rgbColor rgb="FFFF6600"/>
      <rgbColor rgb="FF59595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</row>
    <row r="5" customFormat="false" ht="15" hidden="false" customHeight="false" outlineLevel="0" collapsed="false">
      <c r="A5" s="5" t="s">
        <v>3</v>
      </c>
      <c r="B5" s="4" t="s">
        <v>4</v>
      </c>
    </row>
    <row r="6" customFormat="false" ht="23.85" hidden="false" customHeight="false" outlineLevel="0" collapsed="false">
      <c r="A6" s="5" t="s">
        <v>5</v>
      </c>
      <c r="B6" s="4" t="s">
        <v>6</v>
      </c>
    </row>
    <row r="7" customFormat="false" ht="15" hidden="false" customHeight="false" outlineLevel="0" collapsed="false">
      <c r="A7" s="5" t="s">
        <v>7</v>
      </c>
      <c r="B7" s="4" t="s">
        <v>8</v>
      </c>
    </row>
    <row r="8" customFormat="false" ht="15" hidden="false" customHeight="false" outlineLevel="0" collapsed="false">
      <c r="A8" s="5" t="s">
        <v>9</v>
      </c>
      <c r="B8" s="4" t="s">
        <v>10</v>
      </c>
    </row>
    <row r="9" customFormat="false" ht="23.85" hidden="false" customHeight="false" outlineLevel="0" collapsed="false">
      <c r="A9" s="5" t="s">
        <v>11</v>
      </c>
      <c r="B9" s="4" t="s">
        <v>12</v>
      </c>
    </row>
    <row r="10" customFormat="false" ht="15" hidden="false" customHeight="false" outlineLevel="0" collapsed="false">
      <c r="A10" s="5" t="s">
        <v>13</v>
      </c>
      <c r="B10" s="4" t="s">
        <v>14</v>
      </c>
    </row>
    <row r="11" customFormat="false" ht="15" hidden="false" customHeight="false" outlineLevel="0" collapsed="false">
      <c r="A11" s="5" t="s">
        <v>15</v>
      </c>
      <c r="B11" s="4" t="s">
        <v>16</v>
      </c>
    </row>
    <row r="12" customFormat="false" ht="15" hidden="false" customHeight="false" outlineLevel="0" collapsed="false">
      <c r="A12" s="5" t="s">
        <v>17</v>
      </c>
      <c r="B12" s="4" t="s">
        <v>18</v>
      </c>
    </row>
    <row r="13" customFormat="false" ht="15" hidden="false" customHeight="false" outlineLevel="0" collapsed="false">
      <c r="A13" s="5" t="s">
        <v>19</v>
      </c>
      <c r="B13" s="4" t="s">
        <v>20</v>
      </c>
    </row>
    <row r="14" customFormat="false" ht="15" hidden="false" customHeight="false" outlineLevel="0" collapsed="false">
      <c r="A14" s="6"/>
      <c r="B14" s="4"/>
    </row>
    <row r="15" customFormat="false" ht="15" hidden="false" customHeight="false" outlineLevel="0" collapsed="false">
      <c r="A15" s="3" t="s">
        <v>21</v>
      </c>
      <c r="B15" s="4"/>
    </row>
    <row r="16" customFormat="false" ht="15" hidden="false" customHeight="false" outlineLevel="0" collapsed="false">
      <c r="A16" s="5" t="s">
        <v>22</v>
      </c>
      <c r="B16" s="4" t="s">
        <v>23</v>
      </c>
    </row>
    <row r="17" customFormat="false" ht="15" hidden="false" customHeight="false" outlineLevel="0" collapsed="false">
      <c r="A17" s="5" t="s">
        <v>24</v>
      </c>
      <c r="B17" s="4" t="s">
        <v>25</v>
      </c>
    </row>
    <row r="18" customFormat="false" ht="15" hidden="false" customHeight="false" outlineLevel="0" collapsed="false">
      <c r="A18" s="5" t="s">
        <v>26</v>
      </c>
      <c r="B18" s="4" t="s">
        <v>27</v>
      </c>
    </row>
    <row r="19" customFormat="false" ht="15" hidden="false" customHeight="false" outlineLevel="0" collapsed="false">
      <c r="A19" s="6"/>
      <c r="B19" s="4"/>
    </row>
    <row r="20" customFormat="false" ht="15" hidden="false" customHeight="false" outlineLevel="0" collapsed="false">
      <c r="A20" s="3" t="s">
        <v>28</v>
      </c>
      <c r="B20" s="4"/>
    </row>
    <row r="21" customFormat="false" ht="23.85" hidden="false" customHeight="false" outlineLevel="0" collapsed="false">
      <c r="A21" s="5" t="s">
        <v>29</v>
      </c>
      <c r="B21" s="4" t="s">
        <v>30</v>
      </c>
    </row>
    <row r="22" customFormat="false" ht="15" hidden="false" customHeight="false" outlineLevel="0" collapsed="false">
      <c r="A22" s="5" t="s">
        <v>31</v>
      </c>
      <c r="B22" s="4" t="s">
        <v>32</v>
      </c>
    </row>
    <row r="23" customFormat="false" ht="15" hidden="false" customHeight="false" outlineLevel="0" collapsed="false">
      <c r="A23" s="5" t="s">
        <v>33</v>
      </c>
      <c r="B23" s="4" t="s">
        <v>34</v>
      </c>
    </row>
    <row r="24" customFormat="false" ht="15" hidden="false" customHeight="false" outlineLevel="0" collapsed="false">
      <c r="A24" s="5" t="s">
        <v>35</v>
      </c>
      <c r="B24" s="4" t="s">
        <v>36</v>
      </c>
    </row>
    <row r="25" customFormat="false" ht="15" hidden="false" customHeight="false" outlineLevel="0" collapsed="false">
      <c r="A25" s="6"/>
      <c r="B25" s="4"/>
    </row>
    <row r="26" customFormat="false" ht="15" hidden="false" customHeight="false" outlineLevel="0" collapsed="false">
      <c r="A26" s="3" t="s">
        <v>37</v>
      </c>
      <c r="B26" s="4"/>
    </row>
    <row r="27" customFormat="false" ht="23.85" hidden="false" customHeight="false" outlineLevel="0" collapsed="false">
      <c r="A27" s="5" t="s">
        <v>38</v>
      </c>
      <c r="B27" s="4" t="s">
        <v>39</v>
      </c>
    </row>
    <row r="28" customFormat="false" ht="23.85" hidden="false" customHeight="false" outlineLevel="0" collapsed="false">
      <c r="A28" s="5" t="s">
        <v>40</v>
      </c>
      <c r="B28" s="4" t="s">
        <v>41</v>
      </c>
    </row>
    <row r="29" customFormat="false" ht="23.85" hidden="false" customHeight="false" outlineLevel="0" collapsed="false">
      <c r="A29" s="5" t="s">
        <v>42</v>
      </c>
      <c r="B29" s="4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13" min="3" style="0" width="12"/>
  </cols>
  <sheetData>
    <row r="1" customFormat="false" ht="17.35" hidden="false" customHeight="false" outlineLevel="0" collapsed="false">
      <c r="A1" s="1" t="s">
        <v>17</v>
      </c>
    </row>
    <row r="2" customFormat="false" ht="15" hidden="false" customHeight="false" outlineLevel="0" collapsed="false">
      <c r="A2" s="2" t="s">
        <v>44</v>
      </c>
    </row>
    <row r="4" customFormat="false" ht="30" hidden="false" customHeight="true" outlineLevel="0" collapsed="false">
      <c r="A4" s="7" t="s">
        <v>45</v>
      </c>
      <c r="B4" s="7" t="s">
        <v>46</v>
      </c>
      <c r="C4" s="7" t="s">
        <v>47</v>
      </c>
      <c r="D4" s="7" t="s">
        <v>48</v>
      </c>
      <c r="E4" s="7" t="s">
        <v>49</v>
      </c>
      <c r="F4" s="7" t="s">
        <v>50</v>
      </c>
      <c r="G4" s="7" t="s">
        <v>51</v>
      </c>
      <c r="H4" s="7" t="s">
        <v>52</v>
      </c>
      <c r="I4" s="7" t="s">
        <v>53</v>
      </c>
      <c r="J4" s="7" t="s">
        <v>54</v>
      </c>
    </row>
    <row r="5" customFormat="false" ht="15" hidden="false" customHeight="false" outlineLevel="0" collapsed="false">
      <c r="A5" s="8" t="s">
        <v>55</v>
      </c>
      <c r="B5" s="8" t="n">
        <f aca="false">COUNTIFS(Tasks!$B$4:$B$403,$A5,Tasks!$H$4:$H$403,"Not Started")</f>
        <v>41</v>
      </c>
      <c r="C5" s="8" t="n">
        <f aca="false">COUNTIFS(Tasks!$B$4:$B$403,$A5,Tasks!$H$4:$H$403,"In Progress")</f>
        <v>1</v>
      </c>
      <c r="D5" s="8" t="n">
        <f aca="false">COUNTIFS(Tasks!$B$4:$B$403,$A5,Tasks!$H$4:$H$403,"Blocked")</f>
        <v>1</v>
      </c>
      <c r="E5" s="8" t="n">
        <f aca="false">COUNTIFS(Tasks!$B$4:$B$403,$A5,Tasks!$H$4:$H$403,"Complete")</f>
        <v>0</v>
      </c>
      <c r="F5" s="8" t="n">
        <f aca="false">COUNTIFS(Tasks!$B$4:$B$403,$A5,Tasks!$H$4:$H$403,"Partially Completed")</f>
        <v>0</v>
      </c>
      <c r="G5" s="8" t="n">
        <f aca="false">COUNTIFS(Tasks!$B$4:$B$403,$A5,Tasks!$H$4:$H$403,"")</f>
        <v>0</v>
      </c>
      <c r="H5" s="5" t="n">
        <f aca="false">SUM(B5:G5)</f>
        <v>43</v>
      </c>
      <c r="I5" s="9" t="n">
        <f aca="true">COUNTIFS(Tasks!$B$4:$B$403,$A5,Tasks!$K$4:$K$403,"&lt;"&amp;TODAY(),Tasks!$H$4:$H$403,"&lt;&gt;Complete")</f>
        <v>6</v>
      </c>
      <c r="J5" s="8" t="n">
        <f aca="false">COUNTIFS(Tasks!$B$4:$B$403,$A5,Tasks!$I$4:$I$403,"")</f>
        <v>0</v>
      </c>
    </row>
    <row r="6" customFormat="false" ht="15" hidden="false" customHeight="false" outlineLevel="0" collapsed="false">
      <c r="A6" s="8" t="s">
        <v>56</v>
      </c>
      <c r="B6" s="8" t="n">
        <f aca="false">COUNTIFS(Tasks!$B$4:$B$403,$A6,Tasks!$H$4:$H$403,"Not Started")</f>
        <v>21</v>
      </c>
      <c r="C6" s="8" t="n">
        <f aca="false">COUNTIFS(Tasks!$B$4:$B$403,$A6,Tasks!$H$4:$H$403,"In Progress")</f>
        <v>4</v>
      </c>
      <c r="D6" s="8" t="n">
        <f aca="false">COUNTIFS(Tasks!$B$4:$B$403,$A6,Tasks!$H$4:$H$403,"Blocked")</f>
        <v>0</v>
      </c>
      <c r="E6" s="8" t="n">
        <f aca="false">COUNTIFS(Tasks!$B$4:$B$403,$A6,Tasks!$H$4:$H$403,"Complete")</f>
        <v>0</v>
      </c>
      <c r="F6" s="8" t="n">
        <f aca="false">COUNTIFS(Tasks!$B$4:$B$403,$A6,Tasks!$H$4:$H$403,"Partially Completed")</f>
        <v>2</v>
      </c>
      <c r="G6" s="8" t="n">
        <f aca="false">COUNTIFS(Tasks!$B$4:$B$403,$A6,Tasks!$H$4:$H$403,"")</f>
        <v>2</v>
      </c>
      <c r="H6" s="5" t="n">
        <f aca="false">SUM(B6:G6)</f>
        <v>29</v>
      </c>
      <c r="I6" s="9" t="n">
        <f aca="true">COUNTIFS(Tasks!$B$4:$B$403,$A6,Tasks!$K$4:$K$403,"&lt;"&amp;TODAY(),Tasks!$H$4:$H$403,"&lt;&gt;Complete")</f>
        <v>5</v>
      </c>
      <c r="J6" s="8" t="n">
        <f aca="false">COUNTIFS(Tasks!$B$4:$B$403,$A6,Tasks!$I$4:$I$403,"")</f>
        <v>3</v>
      </c>
    </row>
    <row r="7" customFormat="false" ht="15" hidden="false" customHeight="false" outlineLevel="0" collapsed="false">
      <c r="A7" s="8" t="s">
        <v>57</v>
      </c>
      <c r="B7" s="8" t="n">
        <f aca="false">COUNTIFS(Tasks!$B$4:$B$403,$A7,Tasks!$H$4:$H$403,"Not Started")</f>
        <v>2</v>
      </c>
      <c r="C7" s="8" t="n">
        <f aca="false">COUNTIFS(Tasks!$B$4:$B$403,$A7,Tasks!$H$4:$H$403,"In Progress")</f>
        <v>4</v>
      </c>
      <c r="D7" s="8" t="n">
        <f aca="false">COUNTIFS(Tasks!$B$4:$B$403,$A7,Tasks!$H$4:$H$403,"Blocked")</f>
        <v>0</v>
      </c>
      <c r="E7" s="8" t="n">
        <f aca="false">COUNTIFS(Tasks!$B$4:$B$403,$A7,Tasks!$H$4:$H$403,"Complete")</f>
        <v>0</v>
      </c>
      <c r="F7" s="8" t="n">
        <f aca="false">COUNTIFS(Tasks!$B$4:$B$403,$A7,Tasks!$H$4:$H$403,"Partially Completed")</f>
        <v>0</v>
      </c>
      <c r="G7" s="8" t="n">
        <f aca="false">COUNTIFS(Tasks!$B$4:$B$403,$A7,Tasks!$H$4:$H$403,"")</f>
        <v>5</v>
      </c>
      <c r="H7" s="5" t="n">
        <f aca="false">SUM(B7:G7)</f>
        <v>11</v>
      </c>
      <c r="I7" s="9" t="n">
        <f aca="true">COUNTIFS(Tasks!$B$4:$B$403,$A7,Tasks!$K$4:$K$403,"&lt;"&amp;TODAY(),Tasks!$H$4:$H$403,"&lt;&gt;Complete")</f>
        <v>3</v>
      </c>
      <c r="J7" s="8" t="n">
        <f aca="false">COUNTIFS(Tasks!$B$4:$B$403,$A7,Tasks!$I$4:$I$403,"")</f>
        <v>5</v>
      </c>
    </row>
    <row r="8" customFormat="false" ht="15" hidden="false" customHeight="false" outlineLevel="0" collapsed="false">
      <c r="A8" s="8" t="s">
        <v>58</v>
      </c>
      <c r="B8" s="8" t="n">
        <f aca="false">COUNTIFS(Tasks!$B$4:$B$403,$A8,Tasks!$H$4:$H$403,"Not Started")</f>
        <v>13</v>
      </c>
      <c r="C8" s="8" t="n">
        <f aca="false">COUNTIFS(Tasks!$B$4:$B$403,$A8,Tasks!$H$4:$H$403,"In Progress")</f>
        <v>2</v>
      </c>
      <c r="D8" s="8" t="n">
        <f aca="false">COUNTIFS(Tasks!$B$4:$B$403,$A8,Tasks!$H$4:$H$403,"Blocked")</f>
        <v>0</v>
      </c>
      <c r="E8" s="8" t="n">
        <f aca="false">COUNTIFS(Tasks!$B$4:$B$403,$A8,Tasks!$H$4:$H$403,"Complete")</f>
        <v>0</v>
      </c>
      <c r="F8" s="8" t="n">
        <f aca="false">COUNTIFS(Tasks!$B$4:$B$403,$A8,Tasks!$H$4:$H$403,"Partially Completed")</f>
        <v>7</v>
      </c>
      <c r="G8" s="8" t="n">
        <f aca="false">COUNTIFS(Tasks!$B$4:$B$403,$A8,Tasks!$H$4:$H$403,"")</f>
        <v>0</v>
      </c>
      <c r="H8" s="5" t="n">
        <f aca="false">SUM(B8:G8)</f>
        <v>22</v>
      </c>
      <c r="I8" s="9" t="n">
        <f aca="true">COUNTIFS(Tasks!$B$4:$B$403,$A8,Tasks!$K$4:$K$403,"&lt;"&amp;TODAY(),Tasks!$H$4:$H$403,"&lt;&gt;Complete")</f>
        <v>22</v>
      </c>
      <c r="J8" s="8" t="n">
        <f aca="false">COUNTIFS(Tasks!$B$4:$B$403,$A8,Tasks!$I$4:$I$403,"")</f>
        <v>0</v>
      </c>
    </row>
    <row r="9" customFormat="false" ht="15" hidden="false" customHeight="false" outlineLevel="0" collapsed="false">
      <c r="A9" s="8" t="s">
        <v>59</v>
      </c>
      <c r="B9" s="8" t="n">
        <f aca="false">COUNTIFS(Tasks!$B$4:$B$403,$A9,Tasks!$H$4:$H$403,"Not Started")</f>
        <v>14</v>
      </c>
      <c r="C9" s="8" t="n">
        <f aca="false">COUNTIFS(Tasks!$B$4:$B$403,$A9,Tasks!$H$4:$H$403,"In Progress")</f>
        <v>0</v>
      </c>
      <c r="D9" s="8" t="n">
        <f aca="false">COUNTIFS(Tasks!$B$4:$B$403,$A9,Tasks!$H$4:$H$403,"Blocked")</f>
        <v>0</v>
      </c>
      <c r="E9" s="8" t="n">
        <f aca="false">COUNTIFS(Tasks!$B$4:$B$403,$A9,Tasks!$H$4:$H$403,"Complete")</f>
        <v>0</v>
      </c>
      <c r="F9" s="8" t="n">
        <f aca="false">COUNTIFS(Tasks!$B$4:$B$403,$A9,Tasks!$H$4:$H$403,"Partially Completed")</f>
        <v>0</v>
      </c>
      <c r="G9" s="8" t="n">
        <f aca="false">COUNTIFS(Tasks!$B$4:$B$403,$A9,Tasks!$H$4:$H$403,"")</f>
        <v>0</v>
      </c>
      <c r="H9" s="5" t="n">
        <f aca="false">SUM(B9:G9)</f>
        <v>14</v>
      </c>
      <c r="I9" s="9" t="n">
        <f aca="true">COUNTIFS(Tasks!$B$4:$B$403,$A9,Tasks!$K$4:$K$403,"&lt;"&amp;TODAY(),Tasks!$H$4:$H$403,"&lt;&gt;Complete")</f>
        <v>6</v>
      </c>
      <c r="J9" s="8" t="n">
        <f aca="false">COUNTIFS(Tasks!$B$4:$B$403,$A9,Tasks!$I$4:$I$403,"")</f>
        <v>8</v>
      </c>
    </row>
    <row r="10" customFormat="false" ht="15" hidden="false" customHeight="false" outlineLevel="0" collapsed="false">
      <c r="A10" s="5" t="s">
        <v>52</v>
      </c>
      <c r="B10" s="5" t="n">
        <f aca="false">SUM(B5:B9)</f>
        <v>91</v>
      </c>
      <c r="C10" s="5" t="n">
        <f aca="false">SUM(C5:C9)</f>
        <v>11</v>
      </c>
      <c r="D10" s="5" t="n">
        <f aca="false">SUM(D5:D9)</f>
        <v>1</v>
      </c>
      <c r="E10" s="5" t="n">
        <f aca="false">SUM(E5:E9)</f>
        <v>0</v>
      </c>
      <c r="F10" s="5" t="n">
        <f aca="false">SUM(F5:F9)</f>
        <v>9</v>
      </c>
      <c r="G10" s="5" t="n">
        <f aca="false">SUM(G5:G9)</f>
        <v>7</v>
      </c>
      <c r="H10" s="5" t="n">
        <f aca="false">SUM(H5:H9)</f>
        <v>119</v>
      </c>
      <c r="I10" s="5" t="n">
        <f aca="false">SUM(I5:I9)</f>
        <v>42</v>
      </c>
      <c r="J10" s="5" t="n">
        <f aca="false">SUM(J5:J9)</f>
        <v>16</v>
      </c>
    </row>
    <row r="13" customFormat="false" ht="30" hidden="false" customHeight="true" outlineLevel="0" collapsed="false">
      <c r="A13" s="7" t="s">
        <v>60</v>
      </c>
      <c r="B13" s="7" t="s">
        <v>61</v>
      </c>
      <c r="C13" s="7" t="s">
        <v>46</v>
      </c>
      <c r="D13" s="7" t="s">
        <v>47</v>
      </c>
      <c r="E13" s="7" t="s">
        <v>48</v>
      </c>
      <c r="F13" s="7" t="s">
        <v>49</v>
      </c>
      <c r="G13" s="7" t="s">
        <v>50</v>
      </c>
      <c r="H13" s="7" t="s">
        <v>51</v>
      </c>
      <c r="I13" s="7" t="s">
        <v>52</v>
      </c>
      <c r="J13" s="7" t="s">
        <v>53</v>
      </c>
      <c r="K13" s="7" t="s">
        <v>54</v>
      </c>
    </row>
    <row r="14" customFormat="false" ht="15" hidden="false" customHeight="false" outlineLevel="0" collapsed="false">
      <c r="A14" s="8" t="s">
        <v>62</v>
      </c>
      <c r="B14" s="2" t="str">
        <f aca="false">IFERROR(INDEX(Lists!$B$4:$B$12,MATCH($A14,Lists!$A$4:$A$12,0)),"")</f>
        <v>TBD</v>
      </c>
      <c r="C14" s="8" t="n">
        <f aca="false">COUNTIFS(Tasks!$F$4:$F$403,$A14,Tasks!$H$4:$H$403,"Not Started")</f>
        <v>6</v>
      </c>
      <c r="D14" s="8" t="n">
        <f aca="false">COUNTIFS(Tasks!$F$4:$F$403,$A14,Tasks!$H$4:$H$403,"In Progress")</f>
        <v>5</v>
      </c>
      <c r="E14" s="8" t="n">
        <f aca="false">COUNTIFS(Tasks!$F$4:$F$403,$A14,Tasks!$H$4:$H$403,"Blocked")</f>
        <v>1</v>
      </c>
      <c r="F14" s="8" t="n">
        <f aca="false">COUNTIFS(Tasks!$F$4:$F$403,$A14,Tasks!$H$4:$H$403,"Complete")</f>
        <v>0</v>
      </c>
      <c r="G14" s="8" t="n">
        <f aca="false">COUNTIFS(Tasks!$F$4:$F$403,$A14,Tasks!$H$4:$H$403,"Partially Completed")</f>
        <v>0</v>
      </c>
      <c r="H14" s="8" t="n">
        <f aca="false">COUNTIFS(Tasks!$F$4:$F$403,$A14,Tasks!$H$4:$H$403,"")</f>
        <v>5</v>
      </c>
      <c r="I14" s="5" t="n">
        <f aca="false">SUM(C14:H14)</f>
        <v>17</v>
      </c>
      <c r="J14" s="9" t="n">
        <f aca="true">COUNTIFS(Tasks!$F$4:$F$403,$A14,Tasks!$K$4:$K$403,"&lt;"&amp;TODAY(),Tasks!$H$4:$H$403,"&lt;&gt;Complete")</f>
        <v>3</v>
      </c>
      <c r="K14" s="8" t="n">
        <f aca="false">COUNTIFS(Tasks!$F$4:$F$403,$A14,Tasks!$I$4:$I$403,"")</f>
        <v>5</v>
      </c>
    </row>
    <row r="15" customFormat="false" ht="15" hidden="false" customHeight="false" outlineLevel="0" collapsed="false">
      <c r="A15" s="8" t="s">
        <v>63</v>
      </c>
      <c r="B15" s="2" t="str">
        <f aca="false">IFERROR(INDEX(Lists!$B$4:$B$12,MATCH($A15,Lists!$A$4:$A$12,0)),"")</f>
        <v>TBD</v>
      </c>
      <c r="C15" s="8" t="n">
        <f aca="false">COUNTIFS(Tasks!$F$4:$F$403,$A15,Tasks!$H$4:$H$403,"Not Started")</f>
        <v>8</v>
      </c>
      <c r="D15" s="8" t="n">
        <f aca="false">COUNTIFS(Tasks!$F$4:$F$403,$A15,Tasks!$H$4:$H$403,"In Progress")</f>
        <v>0</v>
      </c>
      <c r="E15" s="8" t="n">
        <f aca="false">COUNTIFS(Tasks!$F$4:$F$403,$A15,Tasks!$H$4:$H$403,"Blocked")</f>
        <v>0</v>
      </c>
      <c r="F15" s="8" t="n">
        <f aca="false">COUNTIFS(Tasks!$F$4:$F$403,$A15,Tasks!$H$4:$H$403,"Complete")</f>
        <v>0</v>
      </c>
      <c r="G15" s="8" t="n">
        <f aca="false">COUNTIFS(Tasks!$F$4:$F$403,$A15,Tasks!$H$4:$H$403,"Partially Completed")</f>
        <v>0</v>
      </c>
      <c r="H15" s="8" t="n">
        <f aca="false">COUNTIFS(Tasks!$F$4:$F$403,$A15,Tasks!$H$4:$H$403,"")</f>
        <v>0</v>
      </c>
      <c r="I15" s="5" t="n">
        <f aca="false">SUM(C15:H15)</f>
        <v>8</v>
      </c>
      <c r="J15" s="9" t="n">
        <f aca="true">COUNTIFS(Tasks!$F$4:$F$403,$A15,Tasks!$K$4:$K$403,"&lt;"&amp;TODAY(),Tasks!$H$4:$H$403,"&lt;&gt;Complete")</f>
        <v>2</v>
      </c>
      <c r="K15" s="8" t="n">
        <f aca="false">COUNTIFS(Tasks!$F$4:$F$403,$A15,Tasks!$I$4:$I$403,"")</f>
        <v>0</v>
      </c>
    </row>
    <row r="16" customFormat="false" ht="15" hidden="false" customHeight="false" outlineLevel="0" collapsed="false">
      <c r="A16" s="8" t="s">
        <v>64</v>
      </c>
      <c r="B16" s="2" t="str">
        <f aca="false">IFERROR(INDEX(Lists!$B$4:$B$12,MATCH($A16,Lists!$A$4:$A$12,0)),"")</f>
        <v>TBD</v>
      </c>
      <c r="C16" s="8" t="n">
        <f aca="false">COUNTIFS(Tasks!$F$4:$F$403,$A16,Tasks!$H$4:$H$403,"Not Started")</f>
        <v>11</v>
      </c>
      <c r="D16" s="8" t="n">
        <f aca="false">COUNTIFS(Tasks!$F$4:$F$403,$A16,Tasks!$H$4:$H$403,"In Progress")</f>
        <v>0</v>
      </c>
      <c r="E16" s="8" t="n">
        <f aca="false">COUNTIFS(Tasks!$F$4:$F$403,$A16,Tasks!$H$4:$H$403,"Blocked")</f>
        <v>0</v>
      </c>
      <c r="F16" s="8" t="n">
        <f aca="false">COUNTIFS(Tasks!$F$4:$F$403,$A16,Tasks!$H$4:$H$403,"Complete")</f>
        <v>0</v>
      </c>
      <c r="G16" s="8" t="n">
        <f aca="false">COUNTIFS(Tasks!$F$4:$F$403,$A16,Tasks!$H$4:$H$403,"Partially Completed")</f>
        <v>0</v>
      </c>
      <c r="H16" s="8" t="n">
        <f aca="false">COUNTIFS(Tasks!$F$4:$F$403,$A16,Tasks!$H$4:$H$403,"")</f>
        <v>0</v>
      </c>
      <c r="I16" s="5" t="n">
        <f aca="false">SUM(C16:H16)</f>
        <v>11</v>
      </c>
      <c r="J16" s="9" t="n">
        <f aca="true">COUNTIFS(Tasks!$F$4:$F$403,$A16,Tasks!$K$4:$K$403,"&lt;"&amp;TODAY(),Tasks!$H$4:$H$403,"&lt;&gt;Complete")</f>
        <v>4</v>
      </c>
      <c r="K16" s="8" t="n">
        <f aca="false">COUNTIFS(Tasks!$F$4:$F$403,$A16,Tasks!$I$4:$I$403,"")</f>
        <v>0</v>
      </c>
    </row>
    <row r="17" customFormat="false" ht="15" hidden="false" customHeight="false" outlineLevel="0" collapsed="false">
      <c r="A17" s="8" t="s">
        <v>65</v>
      </c>
      <c r="B17" s="2" t="str">
        <f aca="false">IFERROR(INDEX(Lists!$B$4:$B$12,MATCH($A17,Lists!$A$4:$A$12,0)),"")</f>
        <v>TBD</v>
      </c>
      <c r="C17" s="8" t="n">
        <f aca="false">COUNTIFS(Tasks!$F$4:$F$403,$A17,Tasks!$H$4:$H$403,"Not Started")</f>
        <v>8</v>
      </c>
      <c r="D17" s="8" t="n">
        <f aca="false">COUNTIFS(Tasks!$F$4:$F$403,$A17,Tasks!$H$4:$H$403,"In Progress")</f>
        <v>0</v>
      </c>
      <c r="E17" s="8" t="n">
        <f aca="false">COUNTIFS(Tasks!$F$4:$F$403,$A17,Tasks!$H$4:$H$403,"Blocked")</f>
        <v>0</v>
      </c>
      <c r="F17" s="8" t="n">
        <f aca="false">COUNTIFS(Tasks!$F$4:$F$403,$A17,Tasks!$H$4:$H$403,"Complete")</f>
        <v>0</v>
      </c>
      <c r="G17" s="8" t="n">
        <f aca="false">COUNTIFS(Tasks!$F$4:$F$403,$A17,Tasks!$H$4:$H$403,"Partially Completed")</f>
        <v>0</v>
      </c>
      <c r="H17" s="8" t="n">
        <f aca="false">COUNTIFS(Tasks!$F$4:$F$403,$A17,Tasks!$H$4:$H$403,"")</f>
        <v>0</v>
      </c>
      <c r="I17" s="5" t="n">
        <f aca="false">SUM(C17:H17)</f>
        <v>8</v>
      </c>
      <c r="J17" s="9" t="n">
        <f aca="true">COUNTIFS(Tasks!$F$4:$F$403,$A17,Tasks!$K$4:$K$403,"&lt;"&amp;TODAY(),Tasks!$H$4:$H$403,"&lt;&gt;Complete")</f>
        <v>0</v>
      </c>
      <c r="K17" s="8" t="n">
        <f aca="false">COUNTIFS(Tasks!$F$4:$F$403,$A17,Tasks!$I$4:$I$403,"")</f>
        <v>0</v>
      </c>
    </row>
    <row r="18" customFormat="false" ht="15" hidden="false" customHeight="false" outlineLevel="0" collapsed="false">
      <c r="A18" s="8" t="s">
        <v>66</v>
      </c>
      <c r="B18" s="2" t="str">
        <f aca="false">IFERROR(INDEX(Lists!$B$4:$B$12,MATCH($A18,Lists!$A$4:$A$12,0)),"")</f>
        <v>TBD</v>
      </c>
      <c r="C18" s="8" t="n">
        <f aca="false">COUNTIFS(Tasks!$F$4:$F$403,$A18,Tasks!$H$4:$H$403,"Not Started")</f>
        <v>4</v>
      </c>
      <c r="D18" s="8" t="n">
        <f aca="false">COUNTIFS(Tasks!$F$4:$F$403,$A18,Tasks!$H$4:$H$403,"In Progress")</f>
        <v>0</v>
      </c>
      <c r="E18" s="8" t="n">
        <f aca="false">COUNTIFS(Tasks!$F$4:$F$403,$A18,Tasks!$H$4:$H$403,"Blocked")</f>
        <v>0</v>
      </c>
      <c r="F18" s="8" t="n">
        <f aca="false">COUNTIFS(Tasks!$F$4:$F$403,$A18,Tasks!$H$4:$H$403,"Complete")</f>
        <v>0</v>
      </c>
      <c r="G18" s="8" t="n">
        <f aca="false">COUNTIFS(Tasks!$F$4:$F$403,$A18,Tasks!$H$4:$H$403,"Partially Completed")</f>
        <v>0</v>
      </c>
      <c r="H18" s="8" t="n">
        <f aca="false">COUNTIFS(Tasks!$F$4:$F$403,$A18,Tasks!$H$4:$H$403,"")</f>
        <v>0</v>
      </c>
      <c r="I18" s="5" t="n">
        <f aca="false">SUM(C18:H18)</f>
        <v>4</v>
      </c>
      <c r="J18" s="9" t="n">
        <f aca="true">COUNTIFS(Tasks!$F$4:$F$403,$A18,Tasks!$K$4:$K$403,"&lt;"&amp;TODAY(),Tasks!$H$4:$H$403,"&lt;&gt;Complete")</f>
        <v>0</v>
      </c>
      <c r="K18" s="8" t="n">
        <f aca="false">COUNTIFS(Tasks!$F$4:$F$403,$A18,Tasks!$I$4:$I$403,"")</f>
        <v>0</v>
      </c>
    </row>
    <row r="19" customFormat="false" ht="15" hidden="false" customHeight="false" outlineLevel="0" collapsed="false">
      <c r="A19" s="8" t="s">
        <v>67</v>
      </c>
      <c r="B19" s="2" t="str">
        <f aca="false">IFERROR(INDEX(Lists!$B$4:$B$12,MATCH($A19,Lists!$A$4:$A$12,0)),"")</f>
        <v>TBD</v>
      </c>
      <c r="C19" s="8" t="n">
        <f aca="false">COUNTIFS(Tasks!$F$4:$F$403,$A19,Tasks!$H$4:$H$403,"Not Started")</f>
        <v>21</v>
      </c>
      <c r="D19" s="8" t="n">
        <f aca="false">COUNTIFS(Tasks!$F$4:$F$403,$A19,Tasks!$H$4:$H$403,"In Progress")</f>
        <v>4</v>
      </c>
      <c r="E19" s="8" t="n">
        <f aca="false">COUNTIFS(Tasks!$F$4:$F$403,$A19,Tasks!$H$4:$H$403,"Blocked")</f>
        <v>0</v>
      </c>
      <c r="F19" s="8" t="n">
        <f aca="false">COUNTIFS(Tasks!$F$4:$F$403,$A19,Tasks!$H$4:$H$403,"Complete")</f>
        <v>0</v>
      </c>
      <c r="G19" s="8" t="n">
        <f aca="false">COUNTIFS(Tasks!$F$4:$F$403,$A19,Tasks!$H$4:$H$403,"Partially Completed")</f>
        <v>2</v>
      </c>
      <c r="H19" s="8" t="n">
        <f aca="false">COUNTIFS(Tasks!$F$4:$F$403,$A19,Tasks!$H$4:$H$403,"")</f>
        <v>2</v>
      </c>
      <c r="I19" s="5" t="n">
        <f aca="false">SUM(C19:H19)</f>
        <v>29</v>
      </c>
      <c r="J19" s="9" t="n">
        <f aca="true">COUNTIFS(Tasks!$F$4:$F$403,$A19,Tasks!$K$4:$K$403,"&lt;"&amp;TODAY(),Tasks!$H$4:$H$403,"&lt;&gt;Complete")</f>
        <v>5</v>
      </c>
      <c r="K19" s="8" t="n">
        <f aca="false">COUNTIFS(Tasks!$F$4:$F$403,$A19,Tasks!$I$4:$I$403,"")</f>
        <v>3</v>
      </c>
    </row>
    <row r="20" customFormat="false" ht="15" hidden="false" customHeight="false" outlineLevel="0" collapsed="false">
      <c r="A20" s="8" t="s">
        <v>68</v>
      </c>
      <c r="B20" s="2" t="str">
        <f aca="false">IFERROR(INDEX(Lists!$B$4:$B$12,MATCH($A20,Lists!$A$4:$A$12,0)),"")</f>
        <v>TBD</v>
      </c>
      <c r="C20" s="8" t="n">
        <f aca="false">COUNTIFS(Tasks!$F$4:$F$403,$A20,Tasks!$H$4:$H$403,"Not Started")</f>
        <v>13</v>
      </c>
      <c r="D20" s="8" t="n">
        <f aca="false">COUNTIFS(Tasks!$F$4:$F$403,$A20,Tasks!$H$4:$H$403,"In Progress")</f>
        <v>2</v>
      </c>
      <c r="E20" s="8" t="n">
        <f aca="false">COUNTIFS(Tasks!$F$4:$F$403,$A20,Tasks!$H$4:$H$403,"Blocked")</f>
        <v>0</v>
      </c>
      <c r="F20" s="8" t="n">
        <f aca="false">COUNTIFS(Tasks!$F$4:$F$403,$A20,Tasks!$H$4:$H$403,"Complete")</f>
        <v>0</v>
      </c>
      <c r="G20" s="8" t="n">
        <f aca="false">COUNTIFS(Tasks!$F$4:$F$403,$A20,Tasks!$H$4:$H$403,"Partially Completed")</f>
        <v>7</v>
      </c>
      <c r="H20" s="8" t="n">
        <f aca="false">COUNTIFS(Tasks!$F$4:$F$403,$A20,Tasks!$H$4:$H$403,"")</f>
        <v>0</v>
      </c>
      <c r="I20" s="5" t="n">
        <f aca="false">SUM(C20:H20)</f>
        <v>22</v>
      </c>
      <c r="J20" s="9" t="n">
        <f aca="true">COUNTIFS(Tasks!$F$4:$F$403,$A20,Tasks!$K$4:$K$403,"&lt;"&amp;TODAY(),Tasks!$H$4:$H$403,"&lt;&gt;Complete")</f>
        <v>22</v>
      </c>
      <c r="K20" s="8" t="n">
        <f aca="false">COUNTIFS(Tasks!$F$4:$F$403,$A20,Tasks!$I$4:$I$403,"")</f>
        <v>0</v>
      </c>
    </row>
    <row r="21" customFormat="false" ht="15" hidden="false" customHeight="false" outlineLevel="0" collapsed="false">
      <c r="A21" s="8" t="s">
        <v>69</v>
      </c>
      <c r="B21" s="2" t="str">
        <f aca="false">IFERROR(INDEX(Lists!$B$4:$B$12,MATCH($A21,Lists!$A$4:$A$12,0)),"")</f>
        <v>TBD</v>
      </c>
      <c r="C21" s="8" t="n">
        <f aca="false">COUNTIFS(Tasks!$F$4:$F$403,$A21,Tasks!$H$4:$H$403,"Not Started")</f>
        <v>14</v>
      </c>
      <c r="D21" s="8" t="n">
        <f aca="false">COUNTIFS(Tasks!$F$4:$F$403,$A21,Tasks!$H$4:$H$403,"In Progress")</f>
        <v>0</v>
      </c>
      <c r="E21" s="8" t="n">
        <f aca="false">COUNTIFS(Tasks!$F$4:$F$403,$A21,Tasks!$H$4:$H$403,"Blocked")</f>
        <v>0</v>
      </c>
      <c r="F21" s="8" t="n">
        <f aca="false">COUNTIFS(Tasks!$F$4:$F$403,$A21,Tasks!$H$4:$H$403,"Complete")</f>
        <v>0</v>
      </c>
      <c r="G21" s="8" t="n">
        <f aca="false">COUNTIFS(Tasks!$F$4:$F$403,$A21,Tasks!$H$4:$H$403,"Partially Completed")</f>
        <v>0</v>
      </c>
      <c r="H21" s="8" t="n">
        <f aca="false">COUNTIFS(Tasks!$F$4:$F$403,$A21,Tasks!$H$4:$H$403,"")</f>
        <v>0</v>
      </c>
      <c r="I21" s="5" t="n">
        <f aca="false">SUM(C21:H21)</f>
        <v>14</v>
      </c>
      <c r="J21" s="9" t="n">
        <f aca="true">COUNTIFS(Tasks!$F$4:$F$403,$A21,Tasks!$K$4:$K$403,"&lt;"&amp;TODAY(),Tasks!$H$4:$H$403,"&lt;&gt;Complete")</f>
        <v>6</v>
      </c>
      <c r="K21" s="8" t="n">
        <f aca="false">COUNTIFS(Tasks!$F$4:$F$403,$A21,Tasks!$I$4:$I$403,"")</f>
        <v>8</v>
      </c>
    </row>
    <row r="22" customFormat="false" ht="15" hidden="false" customHeight="false" outlineLevel="0" collapsed="false">
      <c r="A22" s="8" t="s">
        <v>70</v>
      </c>
      <c r="B22" s="2" t="str">
        <f aca="false">IFERROR(INDEX(Lists!$B$4:$B$12,MATCH($A22,Lists!$A$4:$A$12,0)),"")</f>
        <v>TBD</v>
      </c>
      <c r="C22" s="8" t="n">
        <f aca="false">COUNTIFS(Tasks!$F$4:$F$403,$A22,Tasks!$H$4:$H$403,"Not Started")</f>
        <v>6</v>
      </c>
      <c r="D22" s="8" t="n">
        <f aca="false">COUNTIFS(Tasks!$F$4:$F$403,$A22,Tasks!$H$4:$H$403,"In Progress")</f>
        <v>0</v>
      </c>
      <c r="E22" s="8" t="n">
        <f aca="false">COUNTIFS(Tasks!$F$4:$F$403,$A22,Tasks!$H$4:$H$403,"Blocked")</f>
        <v>0</v>
      </c>
      <c r="F22" s="8" t="n">
        <f aca="false">COUNTIFS(Tasks!$F$4:$F$403,$A22,Tasks!$H$4:$H$403,"Complete")</f>
        <v>0</v>
      </c>
      <c r="G22" s="8" t="n">
        <f aca="false">COUNTIFS(Tasks!$F$4:$F$403,$A22,Tasks!$H$4:$H$403,"Partially Completed")</f>
        <v>0</v>
      </c>
      <c r="H22" s="8" t="n">
        <f aca="false">COUNTIFS(Tasks!$F$4:$F$403,$A22,Tasks!$H$4:$H$403,"")</f>
        <v>0</v>
      </c>
      <c r="I22" s="5" t="n">
        <f aca="false">SUM(C22:H22)</f>
        <v>6</v>
      </c>
      <c r="J22" s="9" t="n">
        <f aca="true">COUNTIFS(Tasks!$F$4:$F$403,$A22,Tasks!$K$4:$K$403,"&lt;"&amp;TODAY(),Tasks!$H$4:$H$403,"&lt;&gt;Complete")</f>
        <v>0</v>
      </c>
      <c r="K22" s="8" t="n">
        <f aca="false">COUNTIFS(Tasks!$F$4:$F$403,$A22,Tasks!$I$4:$I$403,"")</f>
        <v>0</v>
      </c>
    </row>
    <row r="23" customFormat="false" ht="15" hidden="false" customHeight="false" outlineLevel="0" collapsed="false">
      <c r="A23" s="5" t="s">
        <v>52</v>
      </c>
      <c r="C23" s="5" t="n">
        <f aca="false">SUM(C14:C22)</f>
        <v>91</v>
      </c>
      <c r="D23" s="5" t="n">
        <f aca="false">SUM(D14:D22)</f>
        <v>11</v>
      </c>
      <c r="E23" s="5" t="n">
        <f aca="false">SUM(E14:E22)</f>
        <v>1</v>
      </c>
      <c r="F23" s="5" t="n">
        <f aca="false">SUM(F14:F22)</f>
        <v>0</v>
      </c>
      <c r="G23" s="5" t="n">
        <f aca="false">SUM(G14:G22)</f>
        <v>9</v>
      </c>
      <c r="H23" s="5" t="n">
        <f aca="false">SUM(H14:H22)</f>
        <v>7</v>
      </c>
      <c r="I23" s="5" t="n">
        <f aca="false">SUM(I14:I22)</f>
        <v>119</v>
      </c>
      <c r="J23" s="5" t="n">
        <f aca="false">SUM(J14:J22)</f>
        <v>42</v>
      </c>
      <c r="K23" s="5" t="n">
        <f aca="false">SUM(K14:K22)</f>
        <v>16</v>
      </c>
    </row>
    <row r="26" customFormat="false" ht="15" hidden="false" customHeight="false" outlineLevel="0" collapsed="false">
      <c r="A26" s="10" t="s">
        <v>9</v>
      </c>
      <c r="B26" s="10" t="s">
        <v>71</v>
      </c>
      <c r="C26" s="10" t="s">
        <v>72</v>
      </c>
      <c r="D26" s="10" t="s">
        <v>73</v>
      </c>
      <c r="E26" s="10" t="s">
        <v>74</v>
      </c>
      <c r="F26" s="10" t="s">
        <v>75</v>
      </c>
    </row>
    <row r="27" customFormat="false" ht="15" hidden="false" customHeight="false" outlineLevel="0" collapsed="false">
      <c r="A27" s="8" t="s">
        <v>76</v>
      </c>
      <c r="B27" s="8" t="n">
        <f aca="false">COUNTIFS(Problems!$F$4:$F$203,$A27,Problems!$G$4:$G$203,"Open")</f>
        <v>1</v>
      </c>
      <c r="C27" s="8" t="n">
        <f aca="false">COUNTIFS(Problems!$F$4:$F$203,$A27,Problems!$G$4:$G$203,"Investigating")</f>
        <v>0</v>
      </c>
      <c r="D27" s="8" t="n">
        <f aca="false">COUNTIFS(Problems!$F$4:$F$203,$A27,Problems!$G$4:$G$203,"Resolved")</f>
        <v>0</v>
      </c>
      <c r="E27" s="8" t="n">
        <f aca="false">COUNTIFS(Problems!$F$4:$F$203,$A27,Problems!$G$4:$G$203,"Won't fix")</f>
        <v>0</v>
      </c>
      <c r="F27" s="9" t="n">
        <f aca="false">B27+C27</f>
        <v>1</v>
      </c>
    </row>
    <row r="28" customFormat="false" ht="15" hidden="false" customHeight="false" outlineLevel="0" collapsed="false">
      <c r="A28" s="8" t="s">
        <v>77</v>
      </c>
      <c r="B28" s="8" t="n">
        <f aca="false">COUNTIFS(Problems!$F$4:$F$203,$A28,Problems!$G$4:$G$203,"Open")</f>
        <v>2</v>
      </c>
      <c r="C28" s="8" t="n">
        <f aca="false">COUNTIFS(Problems!$F$4:$F$203,$A28,Problems!$G$4:$G$203,"Investigating")</f>
        <v>3</v>
      </c>
      <c r="D28" s="8" t="n">
        <f aca="false">COUNTIFS(Problems!$F$4:$F$203,$A28,Problems!$G$4:$G$203,"Resolved")</f>
        <v>0</v>
      </c>
      <c r="E28" s="8" t="n">
        <f aca="false">COUNTIFS(Problems!$F$4:$F$203,$A28,Problems!$G$4:$G$203,"Won't fix")</f>
        <v>0</v>
      </c>
      <c r="F28" s="9" t="n">
        <f aca="false">B28+C28</f>
        <v>5</v>
      </c>
    </row>
    <row r="29" customFormat="false" ht="15" hidden="false" customHeight="false" outlineLevel="0" collapsed="false">
      <c r="A29" s="8" t="s">
        <v>78</v>
      </c>
      <c r="B29" s="8" t="n">
        <f aca="false">COUNTIFS(Problems!$F$4:$F$203,$A29,Problems!$G$4:$G$203,"Open")</f>
        <v>4</v>
      </c>
      <c r="C29" s="8" t="n">
        <f aca="false">COUNTIFS(Problems!$F$4:$F$203,$A29,Problems!$G$4:$G$203,"Investigating")</f>
        <v>0</v>
      </c>
      <c r="D29" s="8" t="n">
        <f aca="false">COUNTIFS(Problems!$F$4:$F$203,$A29,Problems!$G$4:$G$203,"Resolved")</f>
        <v>0</v>
      </c>
      <c r="E29" s="8" t="n">
        <f aca="false">COUNTIFS(Problems!$F$4:$F$203,$A29,Problems!$G$4:$G$203,"Won't fix")</f>
        <v>0</v>
      </c>
      <c r="F29" s="9" t="n">
        <f aca="false">B29+C29</f>
        <v>4</v>
      </c>
    </row>
    <row r="32" customFormat="false" ht="15" hidden="false" customHeight="false" outlineLevel="0" collapsed="false">
      <c r="A32" s="10" t="s">
        <v>11</v>
      </c>
      <c r="B32" s="10" t="s">
        <v>79</v>
      </c>
    </row>
    <row r="33" customFormat="false" ht="15" hidden="false" customHeight="false" outlineLevel="0" collapsed="false">
      <c r="A33" s="8" t="s">
        <v>80</v>
      </c>
      <c r="B33" s="8" t="n">
        <f aca="false">COUNTIF(Interfaces!$J$4:$J$103,$A33)</f>
        <v>14</v>
      </c>
    </row>
    <row r="34" customFormat="false" ht="15" hidden="false" customHeight="false" outlineLevel="0" collapsed="false">
      <c r="A34" s="8" t="s">
        <v>81</v>
      </c>
      <c r="B34" s="8" t="n">
        <f aca="false">COUNTIF(Interfaces!$J$4:$J$103,$A34)</f>
        <v>0</v>
      </c>
    </row>
    <row r="35" customFormat="false" ht="15" hidden="false" customHeight="false" outlineLevel="0" collapsed="false">
      <c r="A35" s="8" t="s">
        <v>82</v>
      </c>
      <c r="B35" s="8" t="n">
        <f aca="false">COUNTIF(Interfaces!$J$4:$J$103,$A35)</f>
        <v>0</v>
      </c>
    </row>
    <row r="36" customFormat="false" ht="15" hidden="false" customHeight="false" outlineLevel="0" collapsed="false">
      <c r="A36" s="8" t="s">
        <v>83</v>
      </c>
      <c r="B36" s="8" t="n">
        <f aca="false">COUNTIF(Interfaces!$J$4:$J$103,$A36)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Y4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1" topLeftCell="H12" activePane="bottomRight" state="frozen"/>
      <selection pane="topLeft" activeCell="A1" activeCellId="0" sqref="A1"/>
      <selection pane="topRight" activeCell="H1" activeCellId="0" sqref="H1"/>
      <selection pane="bottomLeft" activeCell="A12" activeCellId="0" sqref="A1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tru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40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7" min="6" style="0" width="9"/>
    <col collapsed="false" customWidth="true" hidden="false" outlineLevel="0" max="51" min="8" style="0" width="3.61"/>
  </cols>
  <sheetData>
    <row r="1" customFormat="false" ht="17.35" hidden="false" customHeight="false" outlineLevel="0" collapsed="false">
      <c r="B1" s="1" t="s">
        <v>5</v>
      </c>
    </row>
    <row r="2" customFormat="false" ht="15" hidden="false" customHeight="false" outlineLevel="0" collapsed="false">
      <c r="B2" s="2" t="s">
        <v>84</v>
      </c>
    </row>
    <row r="4" customFormat="false" ht="15" hidden="false" customHeight="false" outlineLevel="0" collapsed="false">
      <c r="B4" s="5" t="s">
        <v>45</v>
      </c>
      <c r="C4" s="11" t="s">
        <v>85</v>
      </c>
      <c r="E4" s="5" t="s">
        <v>86</v>
      </c>
      <c r="F4" s="3" t="str">
        <f aca="false">COUNTIF(Tasks!$Q$4:$Q$403,1)&amp;" of "&amp;COUNTIF(Tasks!$A$4:$A$403,"?*")&amp;" tasks"</f>
        <v>119 of 119 tasks</v>
      </c>
    </row>
    <row r="5" customFormat="false" ht="15" hidden="false" customHeight="false" outlineLevel="0" collapsed="false">
      <c r="B5" s="5" t="s">
        <v>87</v>
      </c>
      <c r="C5" s="11" t="s">
        <v>85</v>
      </c>
      <c r="E5" s="12" t="s">
        <v>88</v>
      </c>
    </row>
    <row r="6" customFormat="false" ht="15" hidden="false" customHeight="false" outlineLevel="0" collapsed="false">
      <c r="B6" s="5" t="s">
        <v>60</v>
      </c>
      <c r="C6" s="11" t="s">
        <v>85</v>
      </c>
    </row>
    <row r="7" customFormat="false" ht="15" hidden="false" customHeight="false" outlineLevel="0" collapsed="false">
      <c r="B7" s="5" t="s">
        <v>61</v>
      </c>
      <c r="C7" s="11" t="s">
        <v>85</v>
      </c>
    </row>
    <row r="8" customFormat="false" ht="15" hidden="false" customHeight="false" outlineLevel="0" collapsed="false">
      <c r="B8" s="5" t="s">
        <v>89</v>
      </c>
      <c r="C8" s="11" t="s">
        <v>85</v>
      </c>
    </row>
    <row r="9" customFormat="false" ht="15" hidden="false" customHeight="false" outlineLevel="0" collapsed="false">
      <c r="B9" s="5" t="s">
        <v>90</v>
      </c>
      <c r="C9" s="11"/>
      <c r="D9" s="12" t="s">
        <v>91</v>
      </c>
    </row>
    <row r="11" customFormat="false" ht="42" hidden="false" customHeight="true" outlineLevel="0" collapsed="false">
      <c r="A11" s="13" t="s">
        <v>92</v>
      </c>
      <c r="B11" s="13" t="s">
        <v>93</v>
      </c>
      <c r="C11" s="13" t="s">
        <v>94</v>
      </c>
      <c r="D11" s="13" t="s">
        <v>95</v>
      </c>
      <c r="E11" s="13" t="s">
        <v>89</v>
      </c>
      <c r="F11" s="13" t="s">
        <v>96</v>
      </c>
      <c r="G11" s="13" t="s">
        <v>97</v>
      </c>
      <c r="H11" s="14" t="n">
        <f aca="false">Gantt!$C$2+7*0</f>
        <v>46195</v>
      </c>
      <c r="I11" s="14" t="n">
        <f aca="false">Gantt!$C$2+7*1</f>
        <v>46202</v>
      </c>
      <c r="J11" s="14" t="n">
        <f aca="false">Gantt!$C$2+7*2</f>
        <v>46209</v>
      </c>
      <c r="K11" s="14" t="n">
        <f aca="false">Gantt!$C$2+7*3</f>
        <v>46216</v>
      </c>
      <c r="L11" s="14" t="n">
        <f aca="false">Gantt!$C$2+7*4</f>
        <v>46223</v>
      </c>
      <c r="M11" s="14" t="n">
        <f aca="false">Gantt!$C$2+7*5</f>
        <v>46230</v>
      </c>
      <c r="N11" s="14" t="n">
        <f aca="false">Gantt!$C$2+7*6</f>
        <v>46237</v>
      </c>
      <c r="O11" s="14" t="n">
        <f aca="false">Gantt!$C$2+7*7</f>
        <v>46244</v>
      </c>
      <c r="P11" s="14" t="n">
        <f aca="false">Gantt!$C$2+7*8</f>
        <v>46251</v>
      </c>
      <c r="Q11" s="14" t="n">
        <f aca="false">Gantt!$C$2+7*9</f>
        <v>46258</v>
      </c>
      <c r="R11" s="14" t="n">
        <f aca="false">Gantt!$C$2+7*10</f>
        <v>46265</v>
      </c>
      <c r="S11" s="14" t="n">
        <f aca="false">Gantt!$C$2+7*11</f>
        <v>46272</v>
      </c>
      <c r="T11" s="14" t="n">
        <f aca="false">Gantt!$C$2+7*12</f>
        <v>46279</v>
      </c>
      <c r="U11" s="14" t="n">
        <f aca="false">Gantt!$C$2+7*13</f>
        <v>46286</v>
      </c>
      <c r="V11" s="14" t="n">
        <f aca="false">Gantt!$C$2+7*14</f>
        <v>46293</v>
      </c>
      <c r="W11" s="14" t="n">
        <f aca="false">Gantt!$C$2+7*15</f>
        <v>46300</v>
      </c>
      <c r="X11" s="14" t="n">
        <f aca="false">Gantt!$C$2+7*16</f>
        <v>46307</v>
      </c>
      <c r="Y11" s="14" t="n">
        <f aca="false">Gantt!$C$2+7*17</f>
        <v>46314</v>
      </c>
      <c r="Z11" s="14" t="n">
        <f aca="false">Gantt!$C$2+7*18</f>
        <v>46321</v>
      </c>
      <c r="AA11" s="14" t="n">
        <f aca="false">Gantt!$C$2+7*19</f>
        <v>46328</v>
      </c>
      <c r="AB11" s="14" t="n">
        <f aca="false">Gantt!$C$2+7*20</f>
        <v>46335</v>
      </c>
      <c r="AC11" s="14" t="n">
        <f aca="false">Gantt!$C$2+7*21</f>
        <v>46342</v>
      </c>
      <c r="AD11" s="14" t="n">
        <f aca="false">Gantt!$C$2+7*22</f>
        <v>46349</v>
      </c>
      <c r="AE11" s="14" t="n">
        <f aca="false">Gantt!$C$2+7*23</f>
        <v>46356</v>
      </c>
      <c r="AF11" s="14" t="n">
        <f aca="false">Gantt!$C$2+7*24</f>
        <v>46363</v>
      </c>
      <c r="AG11" s="14" t="n">
        <f aca="false">Gantt!$C$2+7*25</f>
        <v>46370</v>
      </c>
      <c r="AH11" s="14" t="n">
        <f aca="false">Gantt!$C$2+7*26</f>
        <v>46377</v>
      </c>
      <c r="AI11" s="14" t="n">
        <f aca="false">Gantt!$C$2+7*27</f>
        <v>46384</v>
      </c>
      <c r="AJ11" s="14" t="n">
        <f aca="false">Gantt!$C$2+7*28</f>
        <v>46391</v>
      </c>
      <c r="AK11" s="14" t="n">
        <f aca="false">Gantt!$C$2+7*29</f>
        <v>46398</v>
      </c>
      <c r="AL11" s="14" t="n">
        <f aca="false">Gantt!$C$2+7*30</f>
        <v>46405</v>
      </c>
      <c r="AM11" s="14" t="n">
        <f aca="false">Gantt!$C$2+7*31</f>
        <v>46412</v>
      </c>
      <c r="AN11" s="14" t="n">
        <f aca="false">Gantt!$C$2+7*32</f>
        <v>46419</v>
      </c>
      <c r="AO11" s="14" t="n">
        <f aca="false">Gantt!$C$2+7*33</f>
        <v>46426</v>
      </c>
      <c r="AP11" s="14" t="n">
        <f aca="false">Gantt!$C$2+7*34</f>
        <v>46433</v>
      </c>
      <c r="AQ11" s="14" t="n">
        <f aca="false">Gantt!$C$2+7*35</f>
        <v>46440</v>
      </c>
      <c r="AR11" s="14" t="n">
        <f aca="false">Gantt!$C$2+7*36</f>
        <v>46447</v>
      </c>
      <c r="AS11" s="14" t="n">
        <f aca="false">Gantt!$C$2+7*37</f>
        <v>46454</v>
      </c>
      <c r="AT11" s="14" t="n">
        <f aca="false">Gantt!$C$2+7*38</f>
        <v>46461</v>
      </c>
      <c r="AU11" s="14" t="n">
        <f aca="false">Gantt!$C$2+7*39</f>
        <v>46468</v>
      </c>
      <c r="AV11" s="14" t="n">
        <f aca="false">Gantt!$C$2+7*40</f>
        <v>46475</v>
      </c>
      <c r="AW11" s="14" t="n">
        <f aca="false">Gantt!$C$2+7*41</f>
        <v>46482</v>
      </c>
      <c r="AX11" s="14" t="n">
        <f aca="false">Gantt!$C$2+7*42</f>
        <v>46489</v>
      </c>
      <c r="AY11" s="14" t="n">
        <f aca="false">Gantt!$C$2+7*43</f>
        <v>46496</v>
      </c>
    </row>
    <row r="12" customFormat="false" ht="15" hidden="false" customHeight="false" outlineLevel="0" collapsed="false">
      <c r="A12" s="15" t="n">
        <f aca="false">IFERROR(MATCH(ROW()-11,Tasks!$R$4:$R$403,0)+3,"")</f>
        <v>4</v>
      </c>
      <c r="B12" s="16" t="str">
        <f aca="false">IF($A12="","",INDEX(Tasks!$A:$A,$A12))</f>
        <v>TB-1</v>
      </c>
      <c r="C12" s="16" t="str">
        <f aca="false">IF($A12="","",IF(ISERROR(FIND(".",INDEX(Tasks!$A:$A,$A12))),"","   ")&amp;INDEX(Tasks!$D:$D,$A12))</f>
        <v>Hardware inventory &amp; specs</v>
      </c>
      <c r="D12" s="16" t="str">
        <f aca="false">IF($A12="","",IF(OR(INDEX(Tasks!$G:$G,$A12)="",INDEX(Tasks!$G:$G,$A12)="TBD"),INDEX(Tasks!$F:$F,$A12),INDEX(Tasks!$G:$G,$A12)))</f>
        <v>Sensors &amp; platform</v>
      </c>
      <c r="E12" s="16" t="str">
        <f aca="false">IF($A12="","",IF(INDEX(Tasks!$H:$H,$A12)="","",INDEX(Tasks!$H:$H,$A12)))</f>
        <v>Not Started</v>
      </c>
      <c r="F12" s="17" t="n">
        <f aca="false">IF($A12="","",IF(INDEX(Tasks!$I:$I,$A12)="","",INDEX(Tasks!$I:$I,$A12)))</f>
        <v>46307</v>
      </c>
      <c r="G12" s="17" t="n">
        <f aca="false">IF($A12="","",IF(INDEX(Tasks!$K:$K,$A12)="","",INDEX(Tasks!$K:$K,$A12)))</f>
        <v>46318</v>
      </c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</row>
    <row r="13" customFormat="false" ht="15" hidden="false" customHeight="false" outlineLevel="0" collapsed="false">
      <c r="A13" s="15" t="n">
        <f aca="false">IFERROR(MATCH(ROW()-11,Tasks!$R$4:$R$403,0)+3,"")</f>
        <v>5</v>
      </c>
      <c r="B13" s="16" t="str">
        <f aca="false">IF($A13="","",INDEX(Tasks!$A:$A,$A13))</f>
        <v>TB-2</v>
      </c>
      <c r="C13" s="16" t="str">
        <f aca="false">IF($A13="","",IF(ISERROR(FIND(".",INDEX(Tasks!$A:$A,$A13))),"","   ")&amp;INDEX(Tasks!$D:$D,$A13))</f>
        <v>Sensor calibration (all units)</v>
      </c>
      <c r="D13" s="16" t="str">
        <f aca="false">IF($A13="","",IF(OR(INDEX(Tasks!$G:$G,$A13)="",INDEX(Tasks!$G:$G,$A13)="TBD"),INDEX(Tasks!$F:$F,$A13),INDEX(Tasks!$G:$G,$A13)))</f>
        <v>Sensors &amp; platform</v>
      </c>
      <c r="E13" s="16" t="str">
        <f aca="false">IF($A13="","",IF(INDEX(Tasks!$H:$H,$A13)="","",INDEX(Tasks!$H:$H,$A13)))</f>
        <v>In Progress</v>
      </c>
      <c r="F13" s="17" t="n">
        <f aca="false">IF($A13="","",IF(INDEX(Tasks!$I:$I,$A13)="","",INDEX(Tasks!$I:$I,$A13)))</f>
        <v>46195</v>
      </c>
      <c r="G13" s="17" t="n">
        <f aca="false">IF($A13="","",IF(INDEX(Tasks!$K:$K,$A13)="","",INDEX(Tasks!$K:$K,$A13)))</f>
        <v>46206</v>
      </c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/>
      <c r="AO13" s="18"/>
      <c r="AP13" s="18"/>
      <c r="AQ13" s="18"/>
      <c r="AR13" s="18"/>
      <c r="AS13" s="18"/>
      <c r="AT13" s="18"/>
      <c r="AU13" s="18"/>
      <c r="AV13" s="18"/>
      <c r="AW13" s="18"/>
      <c r="AX13" s="18"/>
      <c r="AY13" s="18"/>
    </row>
    <row r="14" customFormat="false" ht="15" hidden="false" customHeight="false" outlineLevel="0" collapsed="false">
      <c r="A14" s="15" t="n">
        <f aca="false">IFERROR(MATCH(ROW()-11,Tasks!$R$4:$R$403,0)+3,"")</f>
        <v>6</v>
      </c>
      <c r="B14" s="16" t="str">
        <f aca="false">IF($A14="","",INDEX(Tasks!$A:$A,$A14))</f>
        <v>TB-2.1</v>
      </c>
      <c r="C14" s="16" t="str">
        <f aca="false">IF($A14="","",IF(ISERROR(FIND(".",INDEX(Tasks!$A:$A,$A14))),"","   ")&amp;INDEX(Tasks!$D:$D,$A14))</f>
        <v>   Sensor Calibration (LiDAR-Camera, LiDAR-IMU, Camera-Radar, Intrinsics, Realsense-Zed, Mobile-Infra Extrinsics)</v>
      </c>
      <c r="D14" s="16" t="str">
        <f aca="false">IF($A14="","",IF(OR(INDEX(Tasks!$G:$G,$A14)="",INDEX(Tasks!$G:$G,$A14)="TBD"),INDEX(Tasks!$F:$F,$A14),INDEX(Tasks!$G:$G,$A14)))</f>
        <v>Sensors &amp; platform</v>
      </c>
      <c r="E14" s="16" t="str">
        <f aca="false">IF($A14="","",IF(INDEX(Tasks!$H:$H,$A14)="","",INDEX(Tasks!$H:$H,$A14)))</f>
        <v>In Progress</v>
      </c>
      <c r="F14" s="17" t="n">
        <f aca="false">IF($A14="","",IF(INDEX(Tasks!$I:$I,$A14)="","",INDEX(Tasks!$I:$I,$A14)))</f>
        <v>46195</v>
      </c>
      <c r="G14" s="17" t="n">
        <f aca="false">IF($A14="","",IF(INDEX(Tasks!$K:$K,$A14)="","",INDEX(Tasks!$K:$K,$A14)))</f>
        <v>46206</v>
      </c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AO14" s="18"/>
      <c r="AP14" s="18"/>
      <c r="AQ14" s="18"/>
      <c r="AR14" s="18"/>
      <c r="AS14" s="18"/>
      <c r="AT14" s="18"/>
      <c r="AU14" s="18"/>
      <c r="AV14" s="18"/>
      <c r="AW14" s="18"/>
      <c r="AX14" s="18"/>
      <c r="AY14" s="18"/>
    </row>
    <row r="15" customFormat="false" ht="15" hidden="false" customHeight="false" outlineLevel="0" collapsed="false">
      <c r="A15" s="15" t="n">
        <f aca="false">IFERROR(MATCH(ROW()-11,Tasks!$R$4:$R$403,0)+3,"")</f>
        <v>7</v>
      </c>
      <c r="B15" s="16" t="str">
        <f aca="false">IF($A15="","",INDEX(Tasks!$A:$A,$A15))</f>
        <v>TB-2.2</v>
      </c>
      <c r="C15" s="16" t="str">
        <f aca="false">IF($A15="","",IF(ISERROR(FIND(".",INDEX(Tasks!$A:$A,$A15))),"","   ")&amp;INDEX(Tasks!$D:$D,$A15))</f>
        <v>   Calibration: LiDAR - Camera</v>
      </c>
      <c r="D15" s="16" t="str">
        <f aca="false">IF($A15="","",IF(OR(INDEX(Tasks!$G:$G,$A15)="",INDEX(Tasks!$G:$G,$A15)="TBD"),INDEX(Tasks!$F:$F,$A15),INDEX(Tasks!$G:$G,$A15)))</f>
        <v>Sensors &amp; platform</v>
      </c>
      <c r="E15" s="16" t="str">
        <f aca="false">IF($A15="","",IF(INDEX(Tasks!$H:$H,$A15)="","",INDEX(Tasks!$H:$H,$A15)))</f>
        <v/>
      </c>
      <c r="F15" s="17" t="str">
        <f aca="false">IF($A15="","",IF(INDEX(Tasks!$I:$I,$A15)="","",INDEX(Tasks!$I:$I,$A15)))</f>
        <v/>
      </c>
      <c r="G15" s="17" t="str">
        <f aca="false">IF($A15="","",IF(INDEX(Tasks!$K:$K,$A15)="","",INDEX(Tasks!$K:$K,$A15)))</f>
        <v/>
      </c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  <c r="AN15" s="18"/>
      <c r="AO15" s="18"/>
      <c r="AP15" s="18"/>
      <c r="AQ15" s="18"/>
      <c r="AR15" s="18"/>
      <c r="AS15" s="18"/>
      <c r="AT15" s="18"/>
      <c r="AU15" s="18"/>
      <c r="AV15" s="18"/>
      <c r="AW15" s="18"/>
      <c r="AX15" s="18"/>
      <c r="AY15" s="18"/>
    </row>
    <row r="16" customFormat="false" ht="15" hidden="false" customHeight="false" outlineLevel="0" collapsed="false">
      <c r="A16" s="15" t="n">
        <f aca="false">IFERROR(MATCH(ROW()-11,Tasks!$R$4:$R$403,0)+3,"")</f>
        <v>8</v>
      </c>
      <c r="B16" s="16" t="str">
        <f aca="false">IF($A16="","",INDEX(Tasks!$A:$A,$A16))</f>
        <v>TB-2.3</v>
      </c>
      <c r="C16" s="16" t="str">
        <f aca="false">IF($A16="","",IF(ISERROR(FIND(".",INDEX(Tasks!$A:$A,$A16))),"","   ")&amp;INDEX(Tasks!$D:$D,$A16))</f>
        <v>   Calibration: LiDAR - IMU</v>
      </c>
      <c r="D16" s="16" t="str">
        <f aca="false">IF($A16="","",IF(OR(INDEX(Tasks!$G:$G,$A16)="",INDEX(Tasks!$G:$G,$A16)="TBD"),INDEX(Tasks!$F:$F,$A16),INDEX(Tasks!$G:$G,$A16)))</f>
        <v>Sensors &amp; platform</v>
      </c>
      <c r="E16" s="16" t="str">
        <f aca="false">IF($A16="","",IF(INDEX(Tasks!$H:$H,$A16)="","",INDEX(Tasks!$H:$H,$A16)))</f>
        <v/>
      </c>
      <c r="F16" s="17" t="str">
        <f aca="false">IF($A16="","",IF(INDEX(Tasks!$I:$I,$A16)="","",INDEX(Tasks!$I:$I,$A16)))</f>
        <v/>
      </c>
      <c r="G16" s="17" t="str">
        <f aca="false">IF($A16="","",IF(INDEX(Tasks!$K:$K,$A16)="","",INDEX(Tasks!$K:$K,$A16)))</f>
        <v/>
      </c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  <c r="AN16" s="18"/>
      <c r="AO16" s="18"/>
      <c r="AP16" s="18"/>
      <c r="AQ16" s="18"/>
      <c r="AR16" s="18"/>
      <c r="AS16" s="18"/>
      <c r="AT16" s="18"/>
      <c r="AU16" s="18"/>
      <c r="AV16" s="18"/>
      <c r="AW16" s="18"/>
      <c r="AX16" s="18"/>
      <c r="AY16" s="18"/>
    </row>
    <row r="17" customFormat="false" ht="15" hidden="false" customHeight="false" outlineLevel="0" collapsed="false">
      <c r="A17" s="15" t="n">
        <f aca="false">IFERROR(MATCH(ROW()-11,Tasks!$R$4:$R$403,0)+3,"")</f>
        <v>9</v>
      </c>
      <c r="B17" s="16" t="str">
        <f aca="false">IF($A17="","",INDEX(Tasks!$A:$A,$A17))</f>
        <v>TB-2.4</v>
      </c>
      <c r="C17" s="16" t="str">
        <f aca="false">IF($A17="","",IF(ISERROR(FIND(".",INDEX(Tasks!$A:$A,$A17))),"","   ")&amp;INDEX(Tasks!$D:$D,$A17))</f>
        <v>   Calibration: RealSense - ZED</v>
      </c>
      <c r="D17" s="16" t="str">
        <f aca="false">IF($A17="","",IF(OR(INDEX(Tasks!$G:$G,$A17)="",INDEX(Tasks!$G:$G,$A17)="TBD"),INDEX(Tasks!$F:$F,$A17),INDEX(Tasks!$G:$G,$A17)))</f>
        <v>Sensors &amp; platform</v>
      </c>
      <c r="E17" s="16" t="str">
        <f aca="false">IF($A17="","",IF(INDEX(Tasks!$H:$H,$A17)="","",INDEX(Tasks!$H:$H,$A17)))</f>
        <v/>
      </c>
      <c r="F17" s="17" t="str">
        <f aca="false">IF($A17="","",IF(INDEX(Tasks!$I:$I,$A17)="","",INDEX(Tasks!$I:$I,$A17)))</f>
        <v/>
      </c>
      <c r="G17" s="17" t="str">
        <f aca="false">IF($A17="","",IF(INDEX(Tasks!$K:$K,$A17)="","",INDEX(Tasks!$K:$K,$A17)))</f>
        <v/>
      </c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  <c r="AN17" s="18"/>
      <c r="AO17" s="18"/>
      <c r="AP17" s="18"/>
      <c r="AQ17" s="18"/>
      <c r="AR17" s="18"/>
      <c r="AS17" s="18"/>
      <c r="AT17" s="18"/>
      <c r="AU17" s="18"/>
      <c r="AV17" s="18"/>
      <c r="AW17" s="18"/>
      <c r="AX17" s="18"/>
      <c r="AY17" s="18"/>
    </row>
    <row r="18" customFormat="false" ht="15" hidden="false" customHeight="false" outlineLevel="0" collapsed="false">
      <c r="A18" s="15" t="n">
        <f aca="false">IFERROR(MATCH(ROW()-11,Tasks!$R$4:$R$403,0)+3,"")</f>
        <v>10</v>
      </c>
      <c r="B18" s="16" t="str">
        <f aca="false">IF($A18="","",INDEX(Tasks!$A:$A,$A18))</f>
        <v>TB-2.5</v>
      </c>
      <c r="C18" s="16" t="str">
        <f aca="false">IF($A18="","",IF(ISERROR(FIND(".",INDEX(Tasks!$A:$A,$A18))),"","   ")&amp;INDEX(Tasks!$D:$D,$A18))</f>
        <v>   Calibration: ZED - Arducam</v>
      </c>
      <c r="D18" s="16" t="str">
        <f aca="false">IF($A18="","",IF(OR(INDEX(Tasks!$G:$G,$A18)="",INDEX(Tasks!$G:$G,$A18)="TBD"),INDEX(Tasks!$F:$F,$A18),INDEX(Tasks!$G:$G,$A18)))</f>
        <v>Sensors &amp; platform</v>
      </c>
      <c r="E18" s="16" t="str">
        <f aca="false">IF($A18="","",IF(INDEX(Tasks!$H:$H,$A18)="","",INDEX(Tasks!$H:$H,$A18)))</f>
        <v/>
      </c>
      <c r="F18" s="17" t="str">
        <f aca="false">IF($A18="","",IF(INDEX(Tasks!$I:$I,$A18)="","",INDEX(Tasks!$I:$I,$A18)))</f>
        <v/>
      </c>
      <c r="G18" s="17" t="str">
        <f aca="false">IF($A18="","",IF(INDEX(Tasks!$K:$K,$A18)="","",INDEX(Tasks!$K:$K,$A18)))</f>
        <v/>
      </c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/>
      <c r="AT18" s="18"/>
      <c r="AU18" s="18"/>
      <c r="AV18" s="18"/>
      <c r="AW18" s="18"/>
      <c r="AX18" s="18"/>
      <c r="AY18" s="18"/>
    </row>
    <row r="19" customFormat="false" ht="15" hidden="false" customHeight="false" outlineLevel="0" collapsed="false">
      <c r="A19" s="15" t="n">
        <f aca="false">IFERROR(MATCH(ROW()-11,Tasks!$R$4:$R$403,0)+3,"")</f>
        <v>11</v>
      </c>
      <c r="B19" s="16" t="str">
        <f aca="false">IF($A19="","",INDEX(Tasks!$A:$A,$A19))</f>
        <v>TB-2.6</v>
      </c>
      <c r="C19" s="16" t="str">
        <f aca="false">IF($A19="","",IF(ISERROR(FIND(".",INDEX(Tasks!$A:$A,$A19))),"","   ")&amp;INDEX(Tasks!$D:$D,$A19))</f>
        <v>   Calibration: Radars - ZED</v>
      </c>
      <c r="D19" s="16" t="str">
        <f aca="false">IF($A19="","",IF(OR(INDEX(Tasks!$G:$G,$A19)="",INDEX(Tasks!$G:$G,$A19)="TBD"),INDEX(Tasks!$F:$F,$A19),INDEX(Tasks!$G:$G,$A19)))</f>
        <v>Sensors &amp; platform</v>
      </c>
      <c r="E19" s="16" t="str">
        <f aca="false">IF($A19="","",IF(INDEX(Tasks!$H:$H,$A19)="","",INDEX(Tasks!$H:$H,$A19)))</f>
        <v/>
      </c>
      <c r="F19" s="17" t="str">
        <f aca="false">IF($A19="","",IF(INDEX(Tasks!$I:$I,$A19)="","",INDEX(Tasks!$I:$I,$A19)))</f>
        <v/>
      </c>
      <c r="G19" s="17" t="str">
        <f aca="false">IF($A19="","",IF(INDEX(Tasks!$K:$K,$A19)="","",INDEX(Tasks!$K:$K,$A19)))</f>
        <v/>
      </c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/>
      <c r="AT19" s="18"/>
      <c r="AU19" s="18"/>
      <c r="AV19" s="18"/>
      <c r="AW19" s="18"/>
      <c r="AX19" s="18"/>
      <c r="AY19" s="18"/>
    </row>
    <row r="20" customFormat="false" ht="15" hidden="false" customHeight="false" outlineLevel="0" collapsed="false">
      <c r="A20" s="15" t="n">
        <f aca="false">IFERROR(MATCH(ROW()-11,Tasks!$R$4:$R$403,0)+3,"")</f>
        <v>12</v>
      </c>
      <c r="B20" s="16" t="str">
        <f aca="false">IF($A20="","",INDEX(Tasks!$A:$A,$A20))</f>
        <v>TB-3</v>
      </c>
      <c r="C20" s="16" t="str">
        <f aca="false">IF($A20="","",IF(ISERROR(FIND(".",INDEX(Tasks!$A:$A,$A20))),"","   ")&amp;INDEX(Tasks!$D:$D,$A20))</f>
        <v>Time sync &amp; TF chain</v>
      </c>
      <c r="D20" s="16" t="str">
        <f aca="false">IF($A20="","",IF(OR(INDEX(Tasks!$G:$G,$A20)="",INDEX(Tasks!$G:$G,$A20)="TBD"),INDEX(Tasks!$F:$F,$A20),INDEX(Tasks!$G:$G,$A20)))</f>
        <v>Sensors &amp; platform</v>
      </c>
      <c r="E20" s="16" t="str">
        <f aca="false">IF($A20="","",IF(INDEX(Tasks!$H:$H,$A20)="","",INDEX(Tasks!$H:$H,$A20)))</f>
        <v>In Progress</v>
      </c>
      <c r="F20" s="17" t="n">
        <f aca="false">IF($A20="","",IF(INDEX(Tasks!$I:$I,$A20)="","",INDEX(Tasks!$I:$I,$A20)))</f>
        <v>46202</v>
      </c>
      <c r="G20" s="17" t="n">
        <f aca="false">IF($A20="","",IF(INDEX(Tasks!$K:$K,$A20)="","",INDEX(Tasks!$K:$K,$A20)))</f>
        <v>46206</v>
      </c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/>
      <c r="AT20" s="18"/>
      <c r="AU20" s="18"/>
      <c r="AV20" s="18"/>
      <c r="AW20" s="18"/>
      <c r="AX20" s="18"/>
      <c r="AY20" s="18"/>
    </row>
    <row r="21" customFormat="false" ht="15" hidden="false" customHeight="false" outlineLevel="0" collapsed="false">
      <c r="A21" s="15" t="n">
        <f aca="false">IFERROR(MATCH(ROW()-11,Tasks!$R$4:$R$403,0)+3,"")</f>
        <v>13</v>
      </c>
      <c r="B21" s="16" t="str">
        <f aca="false">IF($A21="","",INDEX(Tasks!$A:$A,$A21))</f>
        <v>TB-4</v>
      </c>
      <c r="C21" s="16" t="str">
        <f aca="false">IF($A21="","",IF(ISERROR(FIND(".",INDEX(Tasks!$A:$A,$A21))),"","   ")&amp;INDEX(Tasks!$D:$D,$A21))</f>
        <v>Wi-Fi &amp; comms logging</v>
      </c>
      <c r="D21" s="16" t="str">
        <f aca="false">IF($A21="","",IF(OR(INDEX(Tasks!$G:$G,$A21)="",INDEX(Tasks!$G:$G,$A21)="TBD"),INDEX(Tasks!$F:$F,$A21),INDEX(Tasks!$G:$G,$A21)))</f>
        <v>Sensors &amp; platform</v>
      </c>
      <c r="E21" s="16" t="str">
        <f aca="false">IF($A21="","",IF(INDEX(Tasks!$H:$H,$A21)="","",INDEX(Tasks!$H:$H,$A21)))</f>
        <v>In Progress</v>
      </c>
      <c r="F21" s="17" t="n">
        <f aca="false">IF($A21="","",IF(INDEX(Tasks!$I:$I,$A21)="","",INDEX(Tasks!$I:$I,$A21)))</f>
        <v>46307</v>
      </c>
      <c r="G21" s="17" t="n">
        <f aca="false">IF($A21="","",IF(INDEX(Tasks!$K:$K,$A21)="","",INDEX(Tasks!$K:$K,$A21)))</f>
        <v>46318</v>
      </c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8"/>
      <c r="AT21" s="18"/>
      <c r="AU21" s="18"/>
      <c r="AV21" s="18"/>
      <c r="AW21" s="18"/>
      <c r="AX21" s="18"/>
      <c r="AY21" s="18"/>
    </row>
    <row r="22" customFormat="false" ht="15" hidden="false" customHeight="false" outlineLevel="0" collapsed="false">
      <c r="A22" s="15" t="n">
        <f aca="false">IFERROR(MATCH(ROW()-11,Tasks!$R$4:$R$403,0)+3,"")</f>
        <v>14</v>
      </c>
      <c r="B22" s="16" t="str">
        <f aca="false">IF($A22="","",INDEX(Tasks!$A:$A,$A22))</f>
        <v>TB-5</v>
      </c>
      <c r="C22" s="16" t="str">
        <f aca="false">IF($A22="","",IF(ISERROR(FIND(".",INDEX(Tasks!$A:$A,$A22))),"","   ")&amp;INDEX(Tasks!$D:$D,$A22))</f>
        <v>Recording tooling fixes</v>
      </c>
      <c r="D22" s="16" t="str">
        <f aca="false">IF($A22="","",IF(OR(INDEX(Tasks!$G:$G,$A22)="",INDEX(Tasks!$G:$G,$A22)="TBD"),INDEX(Tasks!$F:$F,$A22),INDEX(Tasks!$G:$G,$A22)))</f>
        <v>Sensors &amp; platform</v>
      </c>
      <c r="E22" s="16" t="str">
        <f aca="false">IF($A22="","",IF(INDEX(Tasks!$H:$H,$A22)="","",INDEX(Tasks!$H:$H,$A22)))</f>
        <v>Not Started</v>
      </c>
      <c r="F22" s="17" t="n">
        <f aca="false">IF($A22="","",IF(INDEX(Tasks!$I:$I,$A22)="","",INDEX(Tasks!$I:$I,$A22)))</f>
        <v>46307</v>
      </c>
      <c r="G22" s="17" t="n">
        <f aca="false">IF($A22="","",IF(INDEX(Tasks!$K:$K,$A22)="","",INDEX(Tasks!$K:$K,$A22)))</f>
        <v>46318</v>
      </c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8"/>
      <c r="AS22" s="18"/>
      <c r="AT22" s="18"/>
      <c r="AU22" s="18"/>
      <c r="AV22" s="18"/>
      <c r="AW22" s="18"/>
      <c r="AX22" s="18"/>
      <c r="AY22" s="18"/>
    </row>
    <row r="23" customFormat="false" ht="15" hidden="false" customHeight="false" outlineLevel="0" collapsed="false">
      <c r="A23" s="15" t="n">
        <f aca="false">IFERROR(MATCH(ROW()-11,Tasks!$R$4:$R$403,0)+3,"")</f>
        <v>15</v>
      </c>
      <c r="B23" s="16" t="str">
        <f aca="false">IF($A23="","",INDEX(Tasks!$A:$A,$A23))</f>
        <v>G2-DS-1</v>
      </c>
      <c r="C23" s="16" t="str">
        <f aca="false">IF($A23="","",IF(ISERROR(FIND(".",INDEX(Tasks!$A:$A,$A23))),"","   ")&amp;INDEX(Tasks!$D:$D,$A23))</f>
        <v>Recording campaign</v>
      </c>
      <c r="D23" s="16" t="str">
        <f aca="false">IF($A23="","",IF(OR(INDEX(Tasks!$G:$G,$A23)="",INDEX(Tasks!$G:$G,$A23)="TBD"),INDEX(Tasks!$F:$F,$A23),INDEX(Tasks!$G:$G,$A23)))</f>
        <v>SCooP dataset</v>
      </c>
      <c r="E23" s="16" t="str">
        <f aca="false">IF($A23="","",IF(INDEX(Tasks!$H:$H,$A23)="","",INDEX(Tasks!$H:$H,$A23)))</f>
        <v>Partially Completed</v>
      </c>
      <c r="F23" s="17" t="n">
        <f aca="false">IF($A23="","",IF(INDEX(Tasks!$I:$I,$A23)="","",INDEX(Tasks!$I:$I,$A23)))</f>
        <v>46314</v>
      </c>
      <c r="G23" s="17" t="n">
        <f aca="false">IF($A23="","",IF(INDEX(Tasks!$K:$K,$A23)="","",INDEX(Tasks!$K:$K,$A23)))</f>
        <v>46353</v>
      </c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  <c r="AN23" s="18"/>
      <c r="AO23" s="18"/>
      <c r="AP23" s="18"/>
      <c r="AQ23" s="18"/>
      <c r="AR23" s="18"/>
      <c r="AS23" s="18"/>
      <c r="AT23" s="18"/>
      <c r="AU23" s="18"/>
      <c r="AV23" s="18"/>
      <c r="AW23" s="18"/>
      <c r="AX23" s="18"/>
      <c r="AY23" s="18"/>
    </row>
    <row r="24" customFormat="false" ht="15" hidden="false" customHeight="false" outlineLevel="0" collapsed="false">
      <c r="A24" s="15" t="n">
        <f aca="false">IFERROR(MATCH(ROW()-11,Tasks!$R$4:$R$403,0)+3,"")</f>
        <v>16</v>
      </c>
      <c r="B24" s="16" t="str">
        <f aca="false">IF($A24="","",INDEX(Tasks!$A:$A,$A24))</f>
        <v>G2-DS-1.1</v>
      </c>
      <c r="C24" s="16" t="str">
        <f aca="false">IF($A24="","",IF(ISERROR(FIND(".",INDEX(Tasks!$A:$A,$A24))),"","   ")&amp;INDEX(Tasks!$D:$D,$A24))</f>
        <v>   Indoor Trajectory Sessions</v>
      </c>
      <c r="D24" s="16" t="str">
        <f aca="false">IF($A24="","",IF(OR(INDEX(Tasks!$G:$G,$A24)="",INDEX(Tasks!$G:$G,$A24)="TBD"),INDEX(Tasks!$F:$F,$A24),INDEX(Tasks!$G:$G,$A24)))</f>
        <v>SCooP dataset</v>
      </c>
      <c r="E24" s="16" t="str">
        <f aca="false">IF($A24="","",IF(INDEX(Tasks!$H:$H,$A24)="","",INDEX(Tasks!$H:$H,$A24)))</f>
        <v>Partially Completed</v>
      </c>
      <c r="F24" s="17" t="n">
        <f aca="false">IF($A24="","",IF(INDEX(Tasks!$I:$I,$A24)="","",INDEX(Tasks!$I:$I,$A24)))</f>
        <v>46202</v>
      </c>
      <c r="G24" s="17" t="n">
        <f aca="false">IF($A24="","",IF(INDEX(Tasks!$K:$K,$A24)="","",INDEX(Tasks!$K:$K,$A24)))</f>
        <v>46206</v>
      </c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  <c r="AN24" s="18"/>
      <c r="AO24" s="18"/>
      <c r="AP24" s="18"/>
      <c r="AQ24" s="18"/>
      <c r="AR24" s="18"/>
      <c r="AS24" s="18"/>
      <c r="AT24" s="18"/>
      <c r="AU24" s="18"/>
      <c r="AV24" s="18"/>
      <c r="AW24" s="18"/>
      <c r="AX24" s="18"/>
      <c r="AY24" s="18"/>
    </row>
    <row r="25" customFormat="false" ht="15" hidden="false" customHeight="false" outlineLevel="0" collapsed="false">
      <c r="A25" s="15" t="n">
        <f aca="false">IFERROR(MATCH(ROW()-11,Tasks!$R$4:$R$403,0)+3,"")</f>
        <v>17</v>
      </c>
      <c r="B25" s="16" t="str">
        <f aca="false">IF($A25="","",INDEX(Tasks!$A:$A,$A25))</f>
        <v>G2-DS-1.2</v>
      </c>
      <c r="C25" s="16" t="str">
        <f aca="false">IF($A25="","",IF(ISERROR(FIND(".",INDEX(Tasks!$A:$A,$A25))),"","   ")&amp;INDEX(Tasks!$D:$D,$A25))</f>
        <v>   Outdoor Trajectory Sessions</v>
      </c>
      <c r="D25" s="16" t="str">
        <f aca="false">IF($A25="","",IF(OR(INDEX(Tasks!$G:$G,$A25)="",INDEX(Tasks!$G:$G,$A25)="TBD"),INDEX(Tasks!$F:$F,$A25),INDEX(Tasks!$G:$G,$A25)))</f>
        <v>SCooP dataset</v>
      </c>
      <c r="E25" s="16" t="str">
        <f aca="false">IF($A25="","",IF(INDEX(Tasks!$H:$H,$A25)="","",INDEX(Tasks!$H:$H,$A25)))</f>
        <v>Not Started</v>
      </c>
      <c r="F25" s="17" t="str">
        <f aca="false">IF($A25="","",IF(INDEX(Tasks!$I:$I,$A25)="","",INDEX(Tasks!$I:$I,$A25)))</f>
        <v/>
      </c>
      <c r="G25" s="17" t="str">
        <f aca="false">IF($A25="","",IF(INDEX(Tasks!$K:$K,$A25)="","",INDEX(Tasks!$K:$K,$A25)))</f>
        <v/>
      </c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18"/>
      <c r="AO25" s="18"/>
      <c r="AP25" s="18"/>
      <c r="AQ25" s="18"/>
      <c r="AR25" s="18"/>
      <c r="AS25" s="18"/>
      <c r="AT25" s="18"/>
      <c r="AU25" s="18"/>
      <c r="AV25" s="18"/>
      <c r="AW25" s="18"/>
      <c r="AX25" s="18"/>
      <c r="AY25" s="18"/>
    </row>
    <row r="26" customFormat="false" ht="15" hidden="false" customHeight="false" outlineLevel="0" collapsed="false">
      <c r="A26" s="15" t="n">
        <f aca="false">IFERROR(MATCH(ROW()-11,Tasks!$R$4:$R$403,0)+3,"")</f>
        <v>18</v>
      </c>
      <c r="B26" s="16" t="str">
        <f aca="false">IF($A26="","",INDEX(Tasks!$A:$A,$A26))</f>
        <v>G2-DS-1.3</v>
      </c>
      <c r="C26" s="16" t="str">
        <f aca="false">IF($A26="","",IF(ISERROR(FIND(".",INDEX(Tasks!$A:$A,$A26))),"","   ")&amp;INDEX(Tasks!$D:$D,$A26))</f>
        <v>   Record sites 2 and 3</v>
      </c>
      <c r="D26" s="16" t="str">
        <f aca="false">IF($A26="","",IF(OR(INDEX(Tasks!$G:$G,$A26)="",INDEX(Tasks!$G:$G,$A26)="TBD"),INDEX(Tasks!$F:$F,$A26),INDEX(Tasks!$G:$G,$A26)))</f>
        <v>SCooP dataset</v>
      </c>
      <c r="E26" s="16" t="str">
        <f aca="false">IF($A26="","",IF(INDEX(Tasks!$H:$H,$A26)="","",INDEX(Tasks!$H:$H,$A26)))</f>
        <v>Not Started</v>
      </c>
      <c r="F26" s="17" t="n">
        <f aca="false">IF($A26="","",IF(INDEX(Tasks!$I:$I,$A26)="","",INDEX(Tasks!$I:$I,$A26)))</f>
        <v>46321</v>
      </c>
      <c r="G26" s="17" t="n">
        <f aca="false">IF($A26="","",IF(INDEX(Tasks!$K:$K,$A26)="","",INDEX(Tasks!$K:$K,$A26)))</f>
        <v>46346</v>
      </c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8"/>
      <c r="AT26" s="18"/>
      <c r="AU26" s="18"/>
      <c r="AV26" s="18"/>
      <c r="AW26" s="18"/>
      <c r="AX26" s="18"/>
      <c r="AY26" s="18"/>
    </row>
    <row r="27" customFormat="false" ht="15" hidden="false" customHeight="false" outlineLevel="0" collapsed="false">
      <c r="A27" s="15" t="n">
        <f aca="false">IFERROR(MATCH(ROW()-11,Tasks!$R$4:$R$403,0)+3,"")</f>
        <v>19</v>
      </c>
      <c r="B27" s="16" t="str">
        <f aca="false">IF($A27="","",INDEX(Tasks!$A:$A,$A27))</f>
        <v>G2-DS-1.4</v>
      </c>
      <c r="C27" s="16" t="str">
        <f aca="false">IF($A27="","",IF(ISERROR(FIND(".",INDEX(Tasks!$A:$A,$A27))),"","   ")&amp;INDEX(Tasks!$D:$D,$A27))</f>
        <v>   Calibration rosbag</v>
      </c>
      <c r="D27" s="16" t="str">
        <f aca="false">IF($A27="","",IF(OR(INDEX(Tasks!$G:$G,$A27)="",INDEX(Tasks!$G:$G,$A27)="TBD"),INDEX(Tasks!$F:$F,$A27),INDEX(Tasks!$G:$G,$A27)))</f>
        <v>SCooP dataset</v>
      </c>
      <c r="E27" s="16" t="str">
        <f aca="false">IF($A27="","",IF(INDEX(Tasks!$H:$H,$A27)="","",INDEX(Tasks!$H:$H,$A27)))</f>
        <v/>
      </c>
      <c r="F27" s="17" t="n">
        <f aca="false">IF($A27="","",IF(INDEX(Tasks!$I:$I,$A27)="","",INDEX(Tasks!$I:$I,$A27)))</f>
        <v>46314</v>
      </c>
      <c r="G27" s="17" t="n">
        <f aca="false">IF($A27="","",IF(INDEX(Tasks!$K:$K,$A27)="","",INDEX(Tasks!$K:$K,$A27)))</f>
        <v>46318</v>
      </c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  <c r="AN27" s="18"/>
      <c r="AO27" s="18"/>
      <c r="AP27" s="18"/>
      <c r="AQ27" s="18"/>
      <c r="AR27" s="18"/>
      <c r="AS27" s="18"/>
      <c r="AT27" s="18"/>
      <c r="AU27" s="18"/>
      <c r="AV27" s="18"/>
      <c r="AW27" s="18"/>
      <c r="AX27" s="18"/>
      <c r="AY27" s="18"/>
    </row>
    <row r="28" customFormat="false" ht="15" hidden="false" customHeight="false" outlineLevel="0" collapsed="false">
      <c r="A28" s="15" t="n">
        <f aca="false">IFERROR(MATCH(ROW()-11,Tasks!$R$4:$R$403,0)+3,"")</f>
        <v>20</v>
      </c>
      <c r="B28" s="16" t="str">
        <f aca="false">IF($A28="","",INDEX(Tasks!$A:$A,$A28))</f>
        <v>G2-DS-1.5</v>
      </c>
      <c r="C28" s="16" t="str">
        <f aca="false">IF($A28="","",IF(ISERROR(FIND(".",INDEX(Tasks!$A:$A,$A28))),"","   ")&amp;INDEX(Tasks!$D:$D,$A28))</f>
        <v>   Short test recordings</v>
      </c>
      <c r="D28" s="16" t="str">
        <f aca="false">IF($A28="","",IF(OR(INDEX(Tasks!$G:$G,$A28)="",INDEX(Tasks!$G:$G,$A28)="TBD"),INDEX(Tasks!$F:$F,$A28),INDEX(Tasks!$G:$G,$A28)))</f>
        <v>SCooP dataset</v>
      </c>
      <c r="E28" s="16" t="str">
        <f aca="false">IF($A28="","",IF(INDEX(Tasks!$H:$H,$A28)="","",INDEX(Tasks!$H:$H,$A28)))</f>
        <v/>
      </c>
      <c r="F28" s="17" t="n">
        <f aca="false">IF($A28="","",IF(INDEX(Tasks!$I:$I,$A28)="","",INDEX(Tasks!$I:$I,$A28)))</f>
        <v>46314</v>
      </c>
      <c r="G28" s="17" t="n">
        <f aca="false">IF($A28="","",IF(INDEX(Tasks!$K:$K,$A28)="","",INDEX(Tasks!$K:$K,$A28)))</f>
        <v>46318</v>
      </c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  <c r="AN28" s="18"/>
      <c r="AO28" s="18"/>
      <c r="AP28" s="18"/>
      <c r="AQ28" s="18"/>
      <c r="AR28" s="18"/>
      <c r="AS28" s="18"/>
      <c r="AT28" s="18"/>
      <c r="AU28" s="18"/>
      <c r="AV28" s="18"/>
      <c r="AW28" s="18"/>
      <c r="AX28" s="18"/>
      <c r="AY28" s="18"/>
    </row>
    <row r="29" customFormat="false" ht="15" hidden="false" customHeight="false" outlineLevel="0" collapsed="false">
      <c r="A29" s="15" t="n">
        <f aca="false">IFERROR(MATCH(ROW()-11,Tasks!$R$4:$R$403,0)+3,"")</f>
        <v>21</v>
      </c>
      <c r="B29" s="16" t="str">
        <f aca="false">IF($A29="","",INDEX(Tasks!$A:$A,$A29))</f>
        <v>G2-DS-2</v>
      </c>
      <c r="C29" s="16" t="str">
        <f aca="false">IF($A29="","",IF(ISERROR(FIND(".",INDEX(Tasks!$A:$A,$A29))),"","   ")&amp;INDEX(Tasks!$D:$D,$A29))</f>
        <v>Per-pass processing</v>
      </c>
      <c r="D29" s="16" t="str">
        <f aca="false">IF($A29="","",IF(OR(INDEX(Tasks!$G:$G,$A29)="",INDEX(Tasks!$G:$G,$A29)="TBD"),INDEX(Tasks!$F:$F,$A29),INDEX(Tasks!$G:$G,$A29)))</f>
        <v>SCooP dataset</v>
      </c>
      <c r="E29" s="16" t="str">
        <f aca="false">IF($A29="","",IF(INDEX(Tasks!$H:$H,$A29)="","",INDEX(Tasks!$H:$H,$A29)))</f>
        <v>In Progress</v>
      </c>
      <c r="F29" s="17" t="n">
        <f aca="false">IF($A29="","",IF(INDEX(Tasks!$I:$I,$A29)="","",INDEX(Tasks!$I:$I,$A29)))</f>
        <v>46307</v>
      </c>
      <c r="G29" s="17" t="n">
        <f aca="false">IF($A29="","",IF(INDEX(Tasks!$K:$K,$A29)="","",INDEX(Tasks!$K:$K,$A29)))</f>
        <v>46374</v>
      </c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  <c r="AN29" s="18"/>
      <c r="AO29" s="18"/>
      <c r="AP29" s="18"/>
      <c r="AQ29" s="18"/>
      <c r="AR29" s="18"/>
      <c r="AS29" s="18"/>
      <c r="AT29" s="18"/>
      <c r="AU29" s="18"/>
      <c r="AV29" s="18"/>
      <c r="AW29" s="18"/>
      <c r="AX29" s="18"/>
      <c r="AY29" s="18"/>
    </row>
    <row r="30" customFormat="false" ht="15" hidden="false" customHeight="false" outlineLevel="0" collapsed="false">
      <c r="A30" s="15" t="n">
        <f aca="false">IFERROR(MATCH(ROW()-11,Tasks!$R$4:$R$403,0)+3,"")</f>
        <v>22</v>
      </c>
      <c r="B30" s="16" t="str">
        <f aca="false">IF($A30="","",INDEX(Tasks!$A:$A,$A30))</f>
        <v>G2-DS-2.1</v>
      </c>
      <c r="C30" s="16" t="str">
        <f aca="false">IF($A30="","",IF(ISERROR(FIND(".",INDEX(Tasks!$A:$A,$A30))),"","   ")&amp;INDEX(Tasks!$D:$D,$A30))</f>
        <v>   Merging Sensor Data</v>
      </c>
      <c r="D30" s="16" t="str">
        <f aca="false">IF($A30="","",IF(OR(INDEX(Tasks!$G:$G,$A30)="",INDEX(Tasks!$G:$G,$A30)="TBD"),INDEX(Tasks!$F:$F,$A30),INDEX(Tasks!$G:$G,$A30)))</f>
        <v>SCooP dataset</v>
      </c>
      <c r="E30" s="16" t="str">
        <f aca="false">IF($A30="","",IF(INDEX(Tasks!$H:$H,$A30)="","",INDEX(Tasks!$H:$H,$A30)))</f>
        <v>In Progress</v>
      </c>
      <c r="F30" s="17" t="n">
        <f aca="false">IF($A30="","",IF(INDEX(Tasks!$I:$I,$A30)="","",INDEX(Tasks!$I:$I,$A30)))</f>
        <v>46202</v>
      </c>
      <c r="G30" s="17" t="n">
        <f aca="false">IF($A30="","",IF(INDEX(Tasks!$K:$K,$A30)="","",INDEX(Tasks!$K:$K,$A30)))</f>
        <v>46206</v>
      </c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8"/>
      <c r="AN30" s="18"/>
      <c r="AO30" s="18"/>
      <c r="AP30" s="18"/>
      <c r="AQ30" s="18"/>
      <c r="AR30" s="18"/>
      <c r="AS30" s="18"/>
      <c r="AT30" s="18"/>
      <c r="AU30" s="18"/>
      <c r="AV30" s="18"/>
      <c r="AW30" s="18"/>
      <c r="AX30" s="18"/>
      <c r="AY30" s="18"/>
    </row>
    <row r="31" customFormat="false" ht="15" hidden="false" customHeight="false" outlineLevel="0" collapsed="false">
      <c r="A31" s="15" t="n">
        <f aca="false">IFERROR(MATCH(ROW()-11,Tasks!$R$4:$R$403,0)+3,"")</f>
        <v>23</v>
      </c>
      <c r="B31" s="16" t="str">
        <f aca="false">IF($A31="","",INDEX(Tasks!$A:$A,$A31))</f>
        <v>G2-DS-2.2</v>
      </c>
      <c r="C31" s="16" t="str">
        <f aca="false">IF($A31="","",IF(ISERROR(FIND(".",INDEX(Tasks!$A:$A,$A31))),"","   ")&amp;INDEX(Tasks!$D:$D,$A31))</f>
        <v>   Timestamp Alignment Post-Processing</v>
      </c>
      <c r="D31" s="16" t="str">
        <f aca="false">IF($A31="","",IF(OR(INDEX(Tasks!$G:$G,$A31)="",INDEX(Tasks!$G:$G,$A31)="TBD"),INDEX(Tasks!$F:$F,$A31),INDEX(Tasks!$G:$G,$A31)))</f>
        <v>SCooP dataset</v>
      </c>
      <c r="E31" s="16" t="str">
        <f aca="false">IF($A31="","",IF(INDEX(Tasks!$H:$H,$A31)="","",INDEX(Tasks!$H:$H,$A31)))</f>
        <v>Not Started</v>
      </c>
      <c r="F31" s="17" t="n">
        <f aca="false">IF($A31="","",IF(INDEX(Tasks!$I:$I,$A31)="","",INDEX(Tasks!$I:$I,$A31)))</f>
        <v>46202</v>
      </c>
      <c r="G31" s="17" t="n">
        <f aca="false">IF($A31="","",IF(INDEX(Tasks!$K:$K,$A31)="","",INDEX(Tasks!$K:$K,$A31)))</f>
        <v>46206</v>
      </c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AL31" s="18"/>
      <c r="AM31" s="18"/>
      <c r="AN31" s="18"/>
      <c r="AO31" s="18"/>
      <c r="AP31" s="18"/>
      <c r="AQ31" s="18"/>
      <c r="AR31" s="18"/>
      <c r="AS31" s="18"/>
      <c r="AT31" s="18"/>
      <c r="AU31" s="18"/>
      <c r="AV31" s="18"/>
      <c r="AW31" s="18"/>
      <c r="AX31" s="18"/>
      <c r="AY31" s="18"/>
    </row>
    <row r="32" customFormat="false" ht="15" hidden="false" customHeight="false" outlineLevel="0" collapsed="false">
      <c r="A32" s="15" t="n">
        <f aca="false">IFERROR(MATCH(ROW()-11,Tasks!$R$4:$R$403,0)+3,"")</f>
        <v>24</v>
      </c>
      <c r="B32" s="16" t="str">
        <f aca="false">IF($A32="","",INDEX(Tasks!$A:$A,$A32))</f>
        <v>G2-DS-3</v>
      </c>
      <c r="C32" s="16" t="str">
        <f aca="false">IF($A32="","",IF(ISERROR(FIND(".",INDEX(Tasks!$A:$A,$A32))),"","   ")&amp;INDEX(Tasks!$D:$D,$A32))</f>
        <v>Reference maps &amp; board networks per site</v>
      </c>
      <c r="D32" s="16" t="str">
        <f aca="false">IF($A32="","",IF(OR(INDEX(Tasks!$G:$G,$A32)="",INDEX(Tasks!$G:$G,$A32)="TBD"),INDEX(Tasks!$F:$F,$A32),INDEX(Tasks!$G:$G,$A32)))</f>
        <v>SCooP dataset</v>
      </c>
      <c r="E32" s="16" t="str">
        <f aca="false">IF($A32="","",IF(INDEX(Tasks!$H:$H,$A32)="","",INDEX(Tasks!$H:$H,$A32)))</f>
        <v>In Progress</v>
      </c>
      <c r="F32" s="17" t="n">
        <f aca="false">IF($A32="","",IF(INDEX(Tasks!$I:$I,$A32)="","",INDEX(Tasks!$I:$I,$A32)))</f>
        <v>46307</v>
      </c>
      <c r="G32" s="17" t="n">
        <f aca="false">IF($A32="","",IF(INDEX(Tasks!$K:$K,$A32)="","",INDEX(Tasks!$K:$K,$A32)))</f>
        <v>46360</v>
      </c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  <c r="AN32" s="18"/>
      <c r="AO32" s="18"/>
      <c r="AP32" s="18"/>
      <c r="AQ32" s="18"/>
      <c r="AR32" s="18"/>
      <c r="AS32" s="18"/>
      <c r="AT32" s="18"/>
      <c r="AU32" s="18"/>
      <c r="AV32" s="18"/>
      <c r="AW32" s="18"/>
      <c r="AX32" s="18"/>
      <c r="AY32" s="18"/>
    </row>
    <row r="33" customFormat="false" ht="15" hidden="false" customHeight="false" outlineLevel="0" collapsed="false">
      <c r="A33" s="15" t="n">
        <f aca="false">IFERROR(MATCH(ROW()-11,Tasks!$R$4:$R$403,0)+3,"")</f>
        <v>25</v>
      </c>
      <c r="B33" s="16" t="str">
        <f aca="false">IF($A33="","",INDEX(Tasks!$A:$A,$A33))</f>
        <v>G2-DS-3.1</v>
      </c>
      <c r="C33" s="16" t="str">
        <f aca="false">IF($A33="","",IF(ISERROR(FIND(".",INDEX(Tasks!$A:$A,$A33))),"","   ")&amp;INDEX(Tasks!$D:$D,$A33))</f>
        <v>   Localization and Mapping</v>
      </c>
      <c r="D33" s="16" t="str">
        <f aca="false">IF($A33="","",IF(OR(INDEX(Tasks!$G:$G,$A33)="",INDEX(Tasks!$G:$G,$A33)="TBD"),INDEX(Tasks!$F:$F,$A33),INDEX(Tasks!$G:$G,$A33)))</f>
        <v>SCooP dataset</v>
      </c>
      <c r="E33" s="16" t="str">
        <f aca="false">IF($A33="","",IF(INDEX(Tasks!$H:$H,$A33)="","",INDEX(Tasks!$H:$H,$A33)))</f>
        <v>Not Started</v>
      </c>
      <c r="F33" s="17" t="n">
        <f aca="false">IF($A33="","",IF(INDEX(Tasks!$I:$I,$A33)="","",INDEX(Tasks!$I:$I,$A33)))</f>
        <v>46202</v>
      </c>
      <c r="G33" s="17" t="n">
        <f aca="false">IF($A33="","",IF(INDEX(Tasks!$K:$K,$A33)="","",INDEX(Tasks!$K:$K,$A33)))</f>
        <v>46206</v>
      </c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  <c r="AN33" s="18"/>
      <c r="AO33" s="18"/>
      <c r="AP33" s="18"/>
      <c r="AQ33" s="18"/>
      <c r="AR33" s="18"/>
      <c r="AS33" s="18"/>
      <c r="AT33" s="18"/>
      <c r="AU33" s="18"/>
      <c r="AV33" s="18"/>
      <c r="AW33" s="18"/>
      <c r="AX33" s="18"/>
      <c r="AY33" s="18"/>
    </row>
    <row r="34" customFormat="false" ht="15" hidden="false" customHeight="false" outlineLevel="0" collapsed="false">
      <c r="A34" s="15" t="n">
        <f aca="false">IFERROR(MATCH(ROW()-11,Tasks!$R$4:$R$403,0)+3,"")</f>
        <v>26</v>
      </c>
      <c r="B34" s="16" t="str">
        <f aca="false">IF($A34="","",INDEX(Tasks!$A:$A,$A34))</f>
        <v>G2-DS-3.2</v>
      </c>
      <c r="C34" s="16" t="str">
        <f aca="false">IF($A34="","",IF(ISERROR(FIND(".",INDEX(Tasks!$A:$A,$A34))),"","   ")&amp;INDEX(Tasks!$D:$D,$A34))</f>
        <v>   Mesh Conversion</v>
      </c>
      <c r="D34" s="16" t="str">
        <f aca="false">IF($A34="","",IF(OR(INDEX(Tasks!$G:$G,$A34)="",INDEX(Tasks!$G:$G,$A34)="TBD"),INDEX(Tasks!$F:$F,$A34),INDEX(Tasks!$G:$G,$A34)))</f>
        <v>SCooP dataset</v>
      </c>
      <c r="E34" s="16" t="str">
        <f aca="false">IF($A34="","",IF(INDEX(Tasks!$H:$H,$A34)="","",INDEX(Tasks!$H:$H,$A34)))</f>
        <v>Not Started</v>
      </c>
      <c r="F34" s="17" t="n">
        <f aca="false">IF($A34="","",IF(INDEX(Tasks!$I:$I,$A34)="","",INDEX(Tasks!$I:$I,$A34)))</f>
        <v>46209</v>
      </c>
      <c r="G34" s="17" t="n">
        <f aca="false">IF($A34="","",IF(INDEX(Tasks!$K:$K,$A34)="","",INDEX(Tasks!$K:$K,$A34)))</f>
        <v>46220</v>
      </c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8"/>
      <c r="AW34" s="18"/>
      <c r="AX34" s="18"/>
      <c r="AY34" s="18"/>
    </row>
    <row r="35" customFormat="false" ht="15" hidden="false" customHeight="false" outlineLevel="0" collapsed="false">
      <c r="A35" s="15" t="n">
        <f aca="false">IFERROR(MATCH(ROW()-11,Tasks!$R$4:$R$403,0)+3,"")</f>
        <v>27</v>
      </c>
      <c r="B35" s="16" t="str">
        <f aca="false">IF($A35="","",INDEX(Tasks!$A:$A,$A35))</f>
        <v>G2-DS-4</v>
      </c>
      <c r="C35" s="16" t="str">
        <f aca="false">IF($A35="","",IF(ISERROR(FIND(".",INDEX(Tasks!$A:$A,$A35))),"","   ")&amp;INDEX(Tasks!$D:$D,$A35))</f>
        <v>Reference poses (map stages 03-10)</v>
      </c>
      <c r="D35" s="16" t="str">
        <f aca="false">IF($A35="","",IF(OR(INDEX(Tasks!$G:$G,$A35)="",INDEX(Tasks!$G:$G,$A35)="TBD"),INDEX(Tasks!$F:$F,$A35),INDEX(Tasks!$G:$G,$A35)))</f>
        <v>SCooP dataset</v>
      </c>
      <c r="E35" s="16" t="str">
        <f aca="false">IF($A35="","",IF(INDEX(Tasks!$H:$H,$A35)="","",INDEX(Tasks!$H:$H,$A35)))</f>
        <v>In Progress</v>
      </c>
      <c r="F35" s="17" t="n">
        <f aca="false">IF($A35="","",IF(INDEX(Tasks!$I:$I,$A35)="","",INDEX(Tasks!$I:$I,$A35)))</f>
        <v>46307</v>
      </c>
      <c r="G35" s="17" t="n">
        <f aca="false">IF($A35="","",IF(INDEX(Tasks!$K:$K,$A35)="","",INDEX(Tasks!$K:$K,$A35)))</f>
        <v>46346</v>
      </c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  <c r="AO35" s="18"/>
      <c r="AP35" s="18"/>
      <c r="AQ35" s="18"/>
      <c r="AR35" s="18"/>
      <c r="AS35" s="18"/>
      <c r="AT35" s="18"/>
      <c r="AU35" s="18"/>
      <c r="AV35" s="18"/>
      <c r="AW35" s="18"/>
      <c r="AX35" s="18"/>
      <c r="AY35" s="18"/>
    </row>
    <row r="36" customFormat="false" ht="15" hidden="false" customHeight="false" outlineLevel="0" collapsed="false">
      <c r="A36" s="15" t="n">
        <f aca="false">IFERROR(MATCH(ROW()-11,Tasks!$R$4:$R$403,0)+3,"")</f>
        <v>28</v>
      </c>
      <c r="B36" s="16" t="str">
        <f aca="false">IF($A36="","",INDEX(Tasks!$A:$A,$A36))</f>
        <v>G2-DS-5</v>
      </c>
      <c r="C36" s="16" t="str">
        <f aca="false">IF($A36="","",IF(ISERROR(FIND(".",INDEX(Tasks!$A:$A,$A36))),"","   ")&amp;INDEX(Tasks!$D:$D,$A36))</f>
        <v>Ground-truth validation</v>
      </c>
      <c r="D36" s="16" t="str">
        <f aca="false">IF($A36="","",IF(OR(INDEX(Tasks!$G:$G,$A36)="",INDEX(Tasks!$G:$G,$A36)="TBD"),INDEX(Tasks!$F:$F,$A36),INDEX(Tasks!$G:$G,$A36)))</f>
        <v>SCooP dataset</v>
      </c>
      <c r="E36" s="16" t="str">
        <f aca="false">IF($A36="","",IF(INDEX(Tasks!$H:$H,$A36)="","",INDEX(Tasks!$H:$H,$A36)))</f>
        <v>Not Started</v>
      </c>
      <c r="F36" s="17" t="n">
        <f aca="false">IF($A36="","",IF(INDEX(Tasks!$I:$I,$A36)="","",INDEX(Tasks!$I:$I,$A36)))</f>
        <v>46342</v>
      </c>
      <c r="G36" s="17" t="n">
        <f aca="false">IF($A36="","",IF(INDEX(Tasks!$K:$K,$A36)="","",INDEX(Tasks!$K:$K,$A36)))</f>
        <v>46360</v>
      </c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  <c r="AQ36" s="18"/>
      <c r="AR36" s="18"/>
      <c r="AS36" s="18"/>
      <c r="AT36" s="18"/>
      <c r="AU36" s="18"/>
      <c r="AV36" s="18"/>
      <c r="AW36" s="18"/>
      <c r="AX36" s="18"/>
      <c r="AY36" s="18"/>
    </row>
    <row r="37" customFormat="false" ht="15" hidden="false" customHeight="false" outlineLevel="0" collapsed="false">
      <c r="A37" s="15" t="n">
        <f aca="false">IFERROR(MATCH(ROW()-11,Tasks!$R$4:$R$403,0)+3,"")</f>
        <v>29</v>
      </c>
      <c r="B37" s="16" t="str">
        <f aca="false">IF($A37="","",INDEX(Tasks!$A:$A,$A37))</f>
        <v>G2-DS-6</v>
      </c>
      <c r="C37" s="16" t="str">
        <f aca="false">IF($A37="","",IF(ISERROR(FIND(".",INDEX(Tasks!$A:$A,$A37))),"","   ")&amp;INDEX(Tasks!$D:$D,$A37))</f>
        <v>Annotations</v>
      </c>
      <c r="D37" s="16" t="str">
        <f aca="false">IF($A37="","",IF(OR(INDEX(Tasks!$G:$G,$A37)="",INDEX(Tasks!$G:$G,$A37)="TBD"),INDEX(Tasks!$F:$F,$A37),INDEX(Tasks!$G:$G,$A37)))</f>
        <v>SCooP dataset</v>
      </c>
      <c r="E37" s="16" t="str">
        <f aca="false">IF($A37="","",IF(INDEX(Tasks!$H:$H,$A37)="","",INDEX(Tasks!$H:$H,$A37)))</f>
        <v>Not Started</v>
      </c>
      <c r="F37" s="17" t="n">
        <f aca="false">IF($A37="","",IF(INDEX(Tasks!$I:$I,$A37)="","",INDEX(Tasks!$I:$I,$A37)))</f>
        <v>46335</v>
      </c>
      <c r="G37" s="17" t="n">
        <f aca="false">IF($A37="","",IF(INDEX(Tasks!$K:$K,$A37)="","",INDEX(Tasks!$K:$K,$A37)))</f>
        <v>46381</v>
      </c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  <c r="AP37" s="18"/>
      <c r="AQ37" s="18"/>
      <c r="AR37" s="18"/>
      <c r="AS37" s="18"/>
      <c r="AT37" s="18"/>
      <c r="AU37" s="18"/>
      <c r="AV37" s="18"/>
      <c r="AW37" s="18"/>
      <c r="AX37" s="18"/>
      <c r="AY37" s="18"/>
    </row>
    <row r="38" customFormat="false" ht="15" hidden="false" customHeight="false" outlineLevel="0" collapsed="false">
      <c r="A38" s="15" t="n">
        <f aca="false">IFERROR(MATCH(ROW()-11,Tasks!$R$4:$R$403,0)+3,"")</f>
        <v>30</v>
      </c>
      <c r="B38" s="16" t="str">
        <f aca="false">IF($A38="","",INDEX(Tasks!$A:$A,$A38))</f>
        <v>G2-DS-6.1</v>
      </c>
      <c r="C38" s="16" t="str">
        <f aca="false">IF($A38="","",IF(ISERROR(FIND(".",INDEX(Tasks!$A:$A,$A38))),"","   ")&amp;INDEX(Tasks!$D:$D,$A38))</f>
        <v>   Label QA (Coverage &amp; Class Balance)</v>
      </c>
      <c r="D38" s="16" t="str">
        <f aca="false">IF($A38="","",IF(OR(INDEX(Tasks!$G:$G,$A38)="",INDEX(Tasks!$G:$G,$A38)="TBD"),INDEX(Tasks!$F:$F,$A38),INDEX(Tasks!$G:$G,$A38)))</f>
        <v>SCooP dataset</v>
      </c>
      <c r="E38" s="16" t="str">
        <f aca="false">IF($A38="","",IF(INDEX(Tasks!$H:$H,$A38)="","",INDEX(Tasks!$H:$H,$A38)))</f>
        <v>Not Started</v>
      </c>
      <c r="F38" s="17" t="str">
        <f aca="false">IF($A38="","",IF(INDEX(Tasks!$I:$I,$A38)="","",INDEX(Tasks!$I:$I,$A38)))</f>
        <v/>
      </c>
      <c r="G38" s="17" t="str">
        <f aca="false">IF($A38="","",IF(INDEX(Tasks!$K:$K,$A38)="","",INDEX(Tasks!$K:$K,$A38)))</f>
        <v/>
      </c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  <c r="AV38" s="18"/>
      <c r="AW38" s="18"/>
      <c r="AX38" s="18"/>
      <c r="AY38" s="18"/>
    </row>
    <row r="39" customFormat="false" ht="15" hidden="false" customHeight="false" outlineLevel="0" collapsed="false">
      <c r="A39" s="15" t="n">
        <f aca="false">IFERROR(MATCH(ROW()-11,Tasks!$R$4:$R$403,0)+3,"")</f>
        <v>31</v>
      </c>
      <c r="B39" s="16" t="str">
        <f aca="false">IF($A39="","",INDEX(Tasks!$A:$A,$A39))</f>
        <v>G2-DS-7</v>
      </c>
      <c r="C39" s="16" t="str">
        <f aca="false">IF($A39="","",IF(ISERROR(FIND(".",INDEX(Tasks!$A:$A,$A39))),"","   ")&amp;INDEX(Tasks!$D:$D,$A39))</f>
        <v>Collaboration geometry &amp; comm ground truth</v>
      </c>
      <c r="D39" s="16" t="str">
        <f aca="false">IF($A39="","",IF(OR(INDEX(Tasks!$G:$G,$A39)="",INDEX(Tasks!$G:$G,$A39)="TBD"),INDEX(Tasks!$F:$F,$A39),INDEX(Tasks!$G:$G,$A39)))</f>
        <v>SCooP dataset</v>
      </c>
      <c r="E39" s="16" t="str">
        <f aca="false">IF($A39="","",IF(INDEX(Tasks!$H:$H,$A39)="","",INDEX(Tasks!$H:$H,$A39)))</f>
        <v>Not Started</v>
      </c>
      <c r="F39" s="17" t="n">
        <f aca="false">IF($A39="","",IF(INDEX(Tasks!$I:$I,$A39)="","",INDEX(Tasks!$I:$I,$A39)))</f>
        <v>46349</v>
      </c>
      <c r="G39" s="17" t="n">
        <f aca="false">IF($A39="","",IF(INDEX(Tasks!$K:$K,$A39)="","",INDEX(Tasks!$K:$K,$A39)))</f>
        <v>46381</v>
      </c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AL39" s="18"/>
      <c r="AM39" s="18"/>
      <c r="AN39" s="18"/>
      <c r="AO39" s="18"/>
      <c r="AP39" s="18"/>
      <c r="AQ39" s="18"/>
      <c r="AR39" s="18"/>
      <c r="AS39" s="18"/>
      <c r="AT39" s="18"/>
      <c r="AU39" s="18"/>
      <c r="AV39" s="18"/>
      <c r="AW39" s="18"/>
      <c r="AX39" s="18"/>
      <c r="AY39" s="18"/>
    </row>
    <row r="40" customFormat="false" ht="15" hidden="false" customHeight="false" outlineLevel="0" collapsed="false">
      <c r="A40" s="15" t="n">
        <f aca="false">IFERROR(MATCH(ROW()-11,Tasks!$R$4:$R$403,0)+3,"")</f>
        <v>32</v>
      </c>
      <c r="B40" s="16" t="str">
        <f aca="false">IF($A40="","",INDEX(Tasks!$A:$A,$A40))</f>
        <v>G2-DS-8</v>
      </c>
      <c r="C40" s="16" t="str">
        <f aca="false">IF($A40="","",IF(ISERROR(FIND(".",INDEX(Tasks!$A:$A,$A40))),"","   ")&amp;INDEX(Tasks!$D:$D,$A40))</f>
        <v>Release</v>
      </c>
      <c r="D40" s="16" t="str">
        <f aca="false">IF($A40="","",IF(OR(INDEX(Tasks!$G:$G,$A40)="",INDEX(Tasks!$G:$G,$A40)="TBD"),INDEX(Tasks!$F:$F,$A40),INDEX(Tasks!$G:$G,$A40)))</f>
        <v>SCooP dataset</v>
      </c>
      <c r="E40" s="16" t="str">
        <f aca="false">IF($A40="","",IF(INDEX(Tasks!$H:$H,$A40)="","",INDEX(Tasks!$H:$H,$A40)))</f>
        <v>Not Started</v>
      </c>
      <c r="F40" s="17" t="n">
        <f aca="false">IF($A40="","",IF(INDEX(Tasks!$I:$I,$A40)="","",INDEX(Tasks!$I:$I,$A40)))</f>
        <v>46384</v>
      </c>
      <c r="G40" s="17" t="n">
        <f aca="false">IF($A40="","",IF(INDEX(Tasks!$K:$K,$A40)="","",INDEX(Tasks!$K:$K,$A40)))</f>
        <v>46416</v>
      </c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  <c r="AT40" s="18"/>
      <c r="AU40" s="18"/>
      <c r="AV40" s="18"/>
      <c r="AW40" s="18"/>
      <c r="AX40" s="18"/>
      <c r="AY40" s="18"/>
    </row>
    <row r="41" customFormat="false" ht="15" hidden="false" customHeight="false" outlineLevel="0" collapsed="false">
      <c r="A41" s="15" t="n">
        <f aca="false">IFERROR(MATCH(ROW()-11,Tasks!$R$4:$R$403,0)+3,"")</f>
        <v>33</v>
      </c>
      <c r="B41" s="16" t="str">
        <f aca="false">IF($A41="","",INDEX(Tasks!$A:$A,$A41))</f>
        <v>G2-DS-8.1</v>
      </c>
      <c r="C41" s="16" t="str">
        <f aca="false">IF($A41="","",IF(ISERROR(FIND(".",INDEX(Tasks!$A:$A,$A41))),"","   ")&amp;INDEX(Tasks!$D:$D,$A41))</f>
        <v>   Dataset Packaging &amp; Documentation</v>
      </c>
      <c r="D41" s="16" t="str">
        <f aca="false">IF($A41="","",IF(OR(INDEX(Tasks!$G:$G,$A41)="",INDEX(Tasks!$G:$G,$A41)="TBD"),INDEX(Tasks!$F:$F,$A41),INDEX(Tasks!$G:$G,$A41)))</f>
        <v>SCooP dataset</v>
      </c>
      <c r="E41" s="16" t="str">
        <f aca="false">IF($A41="","",IF(INDEX(Tasks!$H:$H,$A41)="","",INDEX(Tasks!$H:$H,$A41)))</f>
        <v>Not Started</v>
      </c>
      <c r="F41" s="17" t="str">
        <f aca="false">IF($A41="","",IF(INDEX(Tasks!$I:$I,$A41)="","",INDEX(Tasks!$I:$I,$A41)))</f>
        <v/>
      </c>
      <c r="G41" s="17" t="str">
        <f aca="false">IF($A41="","",IF(INDEX(Tasks!$K:$K,$A41)="","",INDEX(Tasks!$K:$K,$A41)))</f>
        <v/>
      </c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  <c r="AP41" s="18"/>
      <c r="AQ41" s="18"/>
      <c r="AR41" s="18"/>
      <c r="AS41" s="18"/>
      <c r="AT41" s="18"/>
      <c r="AU41" s="18"/>
      <c r="AV41" s="18"/>
      <c r="AW41" s="18"/>
      <c r="AX41" s="18"/>
      <c r="AY41" s="18"/>
    </row>
    <row r="42" customFormat="false" ht="15" hidden="false" customHeight="false" outlineLevel="0" collapsed="false">
      <c r="A42" s="15" t="n">
        <f aca="false">IFERROR(MATCH(ROW()-11,Tasks!$R$4:$R$403,0)+3,"")</f>
        <v>34</v>
      </c>
      <c r="B42" s="16" t="str">
        <f aca="false">IF($A42="","",INDEX(Tasks!$A:$A,$A42))</f>
        <v>G2-DS-8.2</v>
      </c>
      <c r="C42" s="16" t="str">
        <f aca="false">IF($A42="","",IF(ISERROR(FIND(".",INDEX(Tasks!$A:$A,$A42))),"","   ")&amp;INDEX(Tasks!$D:$D,$A42))</f>
        <v>   Devkit</v>
      </c>
      <c r="D42" s="16" t="str">
        <f aca="false">IF($A42="","",IF(OR(INDEX(Tasks!$G:$G,$A42)="",INDEX(Tasks!$G:$G,$A42)="TBD"),INDEX(Tasks!$F:$F,$A42),INDEX(Tasks!$G:$G,$A42)))</f>
        <v>SCooP dataset</v>
      </c>
      <c r="E42" s="16" t="str">
        <f aca="false">IF($A42="","",IF(INDEX(Tasks!$H:$H,$A42)="","",INDEX(Tasks!$H:$H,$A42)))</f>
        <v>Not Started</v>
      </c>
      <c r="F42" s="17" t="n">
        <f aca="false">IF($A42="","",IF(INDEX(Tasks!$I:$I,$A42)="","",INDEX(Tasks!$I:$I,$A42)))</f>
        <v>46384</v>
      </c>
      <c r="G42" s="17" t="n">
        <f aca="false">IF($A42="","",IF(INDEX(Tasks!$K:$K,$A42)="","",INDEX(Tasks!$K:$K,$A42)))</f>
        <v>46409</v>
      </c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  <c r="AP42" s="18"/>
      <c r="AQ42" s="18"/>
      <c r="AR42" s="18"/>
      <c r="AS42" s="18"/>
      <c r="AT42" s="18"/>
      <c r="AU42" s="18"/>
      <c r="AV42" s="18"/>
      <c r="AW42" s="18"/>
      <c r="AX42" s="18"/>
      <c r="AY42" s="18"/>
    </row>
    <row r="43" customFormat="false" ht="15" hidden="false" customHeight="false" outlineLevel="0" collapsed="false">
      <c r="A43" s="15" t="n">
        <f aca="false">IFERROR(MATCH(ROW()-11,Tasks!$R$4:$R$403,0)+3,"")</f>
        <v>35</v>
      </c>
      <c r="B43" s="16" t="str">
        <f aca="false">IF($A43="","",INDEX(Tasks!$A:$A,$A43))</f>
        <v>G2-DS-8.3</v>
      </c>
      <c r="C43" s="16" t="str">
        <f aca="false">IF($A43="","",IF(ISERROR(FIND(".",INDEX(Tasks!$A:$A,$A43))),"","   ")&amp;INDEX(Tasks!$D:$D,$A43))</f>
        <v>   License, DOI, hosting</v>
      </c>
      <c r="D43" s="16" t="str">
        <f aca="false">IF($A43="","",IF(OR(INDEX(Tasks!$G:$G,$A43)="",INDEX(Tasks!$G:$G,$A43)="TBD"),INDEX(Tasks!$F:$F,$A43),INDEX(Tasks!$G:$G,$A43)))</f>
        <v>SCooP dataset</v>
      </c>
      <c r="E43" s="16" t="str">
        <f aca="false">IF($A43="","",IF(INDEX(Tasks!$H:$H,$A43)="","",INDEX(Tasks!$H:$H,$A43)))</f>
        <v>Not Started</v>
      </c>
      <c r="F43" s="17" t="n">
        <f aca="false">IF($A43="","",IF(INDEX(Tasks!$I:$I,$A43)="","",INDEX(Tasks!$I:$I,$A43)))</f>
        <v>46398</v>
      </c>
      <c r="G43" s="17" t="n">
        <f aca="false">IF($A43="","",IF(INDEX(Tasks!$K:$K,$A43)="","",INDEX(Tasks!$K:$K,$A43)))</f>
        <v>46409</v>
      </c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18"/>
      <c r="AT43" s="18"/>
      <c r="AU43" s="18"/>
      <c r="AV43" s="18"/>
      <c r="AW43" s="18"/>
      <c r="AX43" s="18"/>
      <c r="AY43" s="18"/>
    </row>
    <row r="44" customFormat="false" ht="15" hidden="false" customHeight="false" outlineLevel="0" collapsed="false">
      <c r="A44" s="15" t="n">
        <f aca="false">IFERROR(MATCH(ROW()-11,Tasks!$R$4:$R$403,0)+3,"")</f>
        <v>36</v>
      </c>
      <c r="B44" s="16" t="str">
        <f aca="false">IF($A44="","",INDEX(Tasks!$A:$A,$A44))</f>
        <v>G2-BP-A</v>
      </c>
      <c r="C44" s="16" t="str">
        <f aca="false">IF($A44="","",IF(ISERROR(FIND(".",INDEX(Tasks!$A:$A,$A44))),"","   ")&amp;INDEX(Tasks!$D:$D,$A44))</f>
        <v>Ground-truth numbers (RESULTS_PLAN A0)</v>
      </c>
      <c r="D44" s="16" t="str">
        <f aca="false">IF($A44="","",IF(OR(INDEX(Tasks!$G:$G,$A44)="",INDEX(Tasks!$G:$G,$A44)="TBD"),INDEX(Tasks!$F:$F,$A44),INDEX(Tasks!$G:$G,$A44)))</f>
        <v>SCooP dataset</v>
      </c>
      <c r="E44" s="16" t="str">
        <f aca="false">IF($A44="","",IF(INDEX(Tasks!$H:$H,$A44)="","",INDEX(Tasks!$H:$H,$A44)))</f>
        <v>Not Started</v>
      </c>
      <c r="F44" s="17" t="n">
        <f aca="false">IF($A44="","",IF(INDEX(Tasks!$I:$I,$A44)="","",INDEX(Tasks!$I:$I,$A44)))</f>
        <v>46314</v>
      </c>
      <c r="G44" s="17" t="n">
        <f aca="false">IF($A44="","",IF(INDEX(Tasks!$K:$K,$A44)="","",INDEX(Tasks!$K:$K,$A44)))</f>
        <v>46332</v>
      </c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  <c r="AT44" s="18"/>
      <c r="AU44" s="18"/>
      <c r="AV44" s="18"/>
      <c r="AW44" s="18"/>
      <c r="AX44" s="18"/>
      <c r="AY44" s="18"/>
    </row>
    <row r="45" customFormat="false" ht="15" hidden="false" customHeight="false" outlineLevel="0" collapsed="false">
      <c r="A45" s="15" t="n">
        <f aca="false">IFERROR(MATCH(ROW()-11,Tasks!$R$4:$R$403,0)+3,"")</f>
        <v>37</v>
      </c>
      <c r="B45" s="16" t="str">
        <f aca="false">IF($A45="","",INDEX(Tasks!$A:$A,$A45))</f>
        <v>G2-BP-B</v>
      </c>
      <c r="C45" s="16" t="str">
        <f aca="false">IF($A45="","",IF(ISERROR(FIND(".",INDEX(Tasks!$A:$A,$A45))),"","   ")&amp;INDEX(Tasks!$D:$D,$A45))</f>
        <v>Inventory &amp; statistics tables (B)</v>
      </c>
      <c r="D45" s="16" t="str">
        <f aca="false">IF($A45="","",IF(OR(INDEX(Tasks!$G:$G,$A45)="",INDEX(Tasks!$G:$G,$A45)="TBD"),INDEX(Tasks!$F:$F,$A45),INDEX(Tasks!$G:$G,$A45)))</f>
        <v>SCooP dataset</v>
      </c>
      <c r="E45" s="16" t="str">
        <f aca="false">IF($A45="","",IF(INDEX(Tasks!$H:$H,$A45)="","",INDEX(Tasks!$H:$H,$A45)))</f>
        <v>Not Started</v>
      </c>
      <c r="F45" s="17" t="n">
        <f aca="false">IF($A45="","",IF(INDEX(Tasks!$I:$I,$A45)="","",INDEX(Tasks!$I:$I,$A45)))</f>
        <v>46342</v>
      </c>
      <c r="G45" s="17" t="n">
        <f aca="false">IF($A45="","",IF(INDEX(Tasks!$K:$K,$A45)="","",INDEX(Tasks!$K:$K,$A45)))</f>
        <v>46360</v>
      </c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  <c r="AT45" s="18"/>
      <c r="AU45" s="18"/>
      <c r="AV45" s="18"/>
      <c r="AW45" s="18"/>
      <c r="AX45" s="18"/>
      <c r="AY45" s="18"/>
    </row>
    <row r="46" customFormat="false" ht="15" hidden="false" customHeight="false" outlineLevel="0" collapsed="false">
      <c r="A46" s="15" t="n">
        <f aca="false">IFERROR(MATCH(ROW()-11,Tasks!$R$4:$R$403,0)+3,"")</f>
        <v>38</v>
      </c>
      <c r="B46" s="16" t="str">
        <f aca="false">IF($A46="","",INDEX(Tasks!$A:$A,$A46))</f>
        <v>G2-BP-C</v>
      </c>
      <c r="C46" s="16" t="str">
        <f aca="false">IF($A46="","",IF(ISERROR(FIND(".",INDEX(Tasks!$A:$A,$A46))),"","   ")&amp;INDEX(Tasks!$D:$D,$A46))</f>
        <v>Geometry validation (C)</v>
      </c>
      <c r="D46" s="16" t="str">
        <f aca="false">IF($A46="","",IF(OR(INDEX(Tasks!$G:$G,$A46)="",INDEX(Tasks!$G:$G,$A46)="TBD"),INDEX(Tasks!$F:$F,$A46),INDEX(Tasks!$G:$G,$A46)))</f>
        <v>SCooP dataset</v>
      </c>
      <c r="E46" s="16" t="str">
        <f aca="false">IF($A46="","",IF(INDEX(Tasks!$H:$H,$A46)="","",INDEX(Tasks!$H:$H,$A46)))</f>
        <v>Not Started</v>
      </c>
      <c r="F46" s="17" t="n">
        <f aca="false">IF($A46="","",IF(INDEX(Tasks!$I:$I,$A46)="","",INDEX(Tasks!$I:$I,$A46)))</f>
        <v>46363</v>
      </c>
      <c r="G46" s="17" t="n">
        <f aca="false">IF($A46="","",IF(INDEX(Tasks!$K:$K,$A46)="","",INDEX(Tasks!$K:$K,$A46)))</f>
        <v>46381</v>
      </c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  <c r="AN46" s="18"/>
      <c r="AO46" s="18"/>
      <c r="AP46" s="18"/>
      <c r="AQ46" s="18"/>
      <c r="AR46" s="18"/>
      <c r="AS46" s="18"/>
      <c r="AT46" s="18"/>
      <c r="AU46" s="18"/>
      <c r="AV46" s="18"/>
      <c r="AW46" s="18"/>
      <c r="AX46" s="18"/>
      <c r="AY46" s="18"/>
    </row>
    <row r="47" customFormat="false" ht="15" hidden="false" customHeight="false" outlineLevel="0" collapsed="false">
      <c r="A47" s="15" t="n">
        <f aca="false">IFERROR(MATCH(ROW()-11,Tasks!$R$4:$R$403,0)+3,"")</f>
        <v>39</v>
      </c>
      <c r="B47" s="16" t="str">
        <f aca="false">IF($A47="","",INDEX(Tasks!$A:$A,$A47))</f>
        <v>G2-BP-D</v>
      </c>
      <c r="C47" s="16" t="str">
        <f aca="false">IF($A47="","",IF(ISERROR(FIND(".",INDEX(Tasks!$A:$A,$A47))),"","   ")&amp;INDEX(Tasks!$D:$D,$A47))</f>
        <v>T2 collaborative perception under 3 channels (D)</v>
      </c>
      <c r="D47" s="16" t="str">
        <f aca="false">IF($A47="","",IF(OR(INDEX(Tasks!$G:$G,$A47)="",INDEX(Tasks!$G:$G,$A47)="TBD"),INDEX(Tasks!$F:$F,$A47),INDEX(Tasks!$G:$G,$A47)))</f>
        <v>SCooP dataset</v>
      </c>
      <c r="E47" s="16" t="str">
        <f aca="false">IF($A47="","",IF(INDEX(Tasks!$H:$H,$A47)="","",INDEX(Tasks!$H:$H,$A47)))</f>
        <v>Not Started</v>
      </c>
      <c r="F47" s="17" t="n">
        <f aca="false">IF($A47="","",IF(INDEX(Tasks!$I:$I,$A47)="","",INDEX(Tasks!$I:$I,$A47)))</f>
        <v>46363</v>
      </c>
      <c r="G47" s="17" t="n">
        <f aca="false">IF($A47="","",IF(INDEX(Tasks!$K:$K,$A47)="","",INDEX(Tasks!$K:$K,$A47)))</f>
        <v>46395</v>
      </c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  <c r="AP47" s="18"/>
      <c r="AQ47" s="18"/>
      <c r="AR47" s="18"/>
      <c r="AS47" s="18"/>
      <c r="AT47" s="18"/>
      <c r="AU47" s="18"/>
      <c r="AV47" s="18"/>
      <c r="AW47" s="18"/>
      <c r="AX47" s="18"/>
      <c r="AY47" s="18"/>
    </row>
    <row r="48" customFormat="false" ht="15" hidden="false" customHeight="false" outlineLevel="0" collapsed="false">
      <c r="A48" s="15" t="n">
        <f aca="false">IFERROR(MATCH(ROW()-11,Tasks!$R$4:$R$403,0)+3,"")</f>
        <v>40</v>
      </c>
      <c r="B48" s="16" t="str">
        <f aca="false">IF($A48="","",INDEX(Tasks!$A:$A,$A48))</f>
        <v>G2-BP-E</v>
      </c>
      <c r="C48" s="16" t="str">
        <f aca="false">IF($A48="","",IF(ISERROR(FIND(".",INDEX(Tasks!$A:$A,$A48))),"","   ")&amp;INDEX(Tasks!$D:$D,$A48))</f>
        <v>T1 collaborative SLAM (E)</v>
      </c>
      <c r="D48" s="16" t="str">
        <f aca="false">IF($A48="","",IF(OR(INDEX(Tasks!$G:$G,$A48)="",INDEX(Tasks!$G:$G,$A48)="TBD"),INDEX(Tasks!$F:$F,$A48),INDEX(Tasks!$G:$G,$A48)))</f>
        <v>SCooP dataset</v>
      </c>
      <c r="E48" s="16" t="str">
        <f aca="false">IF($A48="","",IF(INDEX(Tasks!$H:$H,$A48)="","",INDEX(Tasks!$H:$H,$A48)))</f>
        <v>Not Started</v>
      </c>
      <c r="F48" s="17" t="n">
        <f aca="false">IF($A48="","",IF(INDEX(Tasks!$I:$I,$A48)="","",INDEX(Tasks!$I:$I,$A48)))</f>
        <v>46363</v>
      </c>
      <c r="G48" s="17" t="n">
        <f aca="false">IF($A48="","",IF(INDEX(Tasks!$K:$K,$A48)="","",INDEX(Tasks!$K:$K,$A48)))</f>
        <v>46395</v>
      </c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AL48" s="18"/>
      <c r="AM48" s="18"/>
      <c r="AN48" s="18"/>
      <c r="AO48" s="18"/>
      <c r="AP48" s="18"/>
      <c r="AQ48" s="18"/>
      <c r="AR48" s="18"/>
      <c r="AS48" s="18"/>
      <c r="AT48" s="18"/>
      <c r="AU48" s="18"/>
      <c r="AV48" s="18"/>
      <c r="AW48" s="18"/>
      <c r="AX48" s="18"/>
      <c r="AY48" s="18"/>
    </row>
    <row r="49" customFormat="false" ht="15" hidden="false" customHeight="false" outlineLevel="0" collapsed="false">
      <c r="A49" s="15" t="n">
        <f aca="false">IFERROR(MATCH(ROW()-11,Tasks!$R$4:$R$403,0)+3,"")</f>
        <v>41</v>
      </c>
      <c r="B49" s="16" t="str">
        <f aca="false">IF($A49="","",INDEX(Tasks!$A:$A,$A49))</f>
        <v>G2-BP-F</v>
      </c>
      <c r="C49" s="16" t="str">
        <f aca="false">IF($A49="","",IF(ISERROR(FIND(".",INDEX(Tasks!$A:$A,$A49))),"","   ")&amp;INDEX(Tasks!$D:$D,$A49))</f>
        <v>Q2 regression (F)</v>
      </c>
      <c r="D49" s="16" t="str">
        <f aca="false">IF($A49="","",IF(OR(INDEX(Tasks!$G:$G,$A49)="",INDEX(Tasks!$G:$G,$A49)="TBD"),INDEX(Tasks!$F:$F,$A49),INDEX(Tasks!$G:$G,$A49)))</f>
        <v>SCooP dataset</v>
      </c>
      <c r="E49" s="16" t="str">
        <f aca="false">IF($A49="","",IF(INDEX(Tasks!$H:$H,$A49)="","",INDEX(Tasks!$H:$H,$A49)))</f>
        <v>Not Started</v>
      </c>
      <c r="F49" s="17" t="n">
        <f aca="false">IF($A49="","",IF(INDEX(Tasks!$I:$I,$A49)="","",INDEX(Tasks!$I:$I,$A49)))</f>
        <v>46398</v>
      </c>
      <c r="G49" s="17" t="n">
        <f aca="false">IF($A49="","",IF(INDEX(Tasks!$K:$K,$A49)="","",INDEX(Tasks!$K:$K,$A49)))</f>
        <v>46409</v>
      </c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AL49" s="18"/>
      <c r="AM49" s="18"/>
      <c r="AN49" s="18"/>
      <c r="AO49" s="18"/>
      <c r="AP49" s="18"/>
      <c r="AQ49" s="18"/>
      <c r="AR49" s="18"/>
      <c r="AS49" s="18"/>
      <c r="AT49" s="18"/>
      <c r="AU49" s="18"/>
      <c r="AV49" s="18"/>
      <c r="AW49" s="18"/>
      <c r="AX49" s="18"/>
      <c r="AY49" s="18"/>
    </row>
    <row r="50" customFormat="false" ht="15" hidden="false" customHeight="false" outlineLevel="0" collapsed="false">
      <c r="A50" s="15" t="n">
        <f aca="false">IFERROR(MATCH(ROW()-11,Tasks!$R$4:$R$403,0)+3,"")</f>
        <v>42</v>
      </c>
      <c r="B50" s="16" t="str">
        <f aca="false">IF($A50="","",INDEX(Tasks!$A:$A,$A50))</f>
        <v>G2-BP-G</v>
      </c>
      <c r="C50" s="16" t="str">
        <f aca="false">IF($A50="","",IF(ISERROR(FIND(".",INDEX(Tasks!$A:$A,$A50))),"","   ")&amp;INDEX(Tasks!$D:$D,$A50))</f>
        <v>Write-up (G)</v>
      </c>
      <c r="D50" s="16" t="str">
        <f aca="false">IF($A50="","",IF(OR(INDEX(Tasks!$G:$G,$A50)="",INDEX(Tasks!$G:$G,$A50)="TBD"),INDEX(Tasks!$F:$F,$A50),INDEX(Tasks!$G:$G,$A50)))</f>
        <v>SCooP dataset</v>
      </c>
      <c r="E50" s="16" t="str">
        <f aca="false">IF($A50="","",IF(INDEX(Tasks!$H:$H,$A50)="","",INDEX(Tasks!$H:$H,$A50)))</f>
        <v>Not Started</v>
      </c>
      <c r="F50" s="17" t="n">
        <f aca="false">IF($A50="","",IF(INDEX(Tasks!$I:$I,$A50)="","",INDEX(Tasks!$I:$I,$A50)))</f>
        <v>46398</v>
      </c>
      <c r="G50" s="17" t="n">
        <f aca="false">IF($A50="","",IF(INDEX(Tasks!$K:$K,$A50)="","",INDEX(Tasks!$K:$K,$A50)))</f>
        <v>46423</v>
      </c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AL50" s="18"/>
      <c r="AM50" s="18"/>
      <c r="AN50" s="18"/>
      <c r="AO50" s="18"/>
      <c r="AP50" s="18"/>
      <c r="AQ50" s="18"/>
      <c r="AR50" s="18"/>
      <c r="AS50" s="18"/>
      <c r="AT50" s="18"/>
      <c r="AU50" s="18"/>
      <c r="AV50" s="18"/>
      <c r="AW50" s="18"/>
      <c r="AX50" s="18"/>
      <c r="AY50" s="18"/>
    </row>
    <row r="51" customFormat="false" ht="15" hidden="false" customHeight="false" outlineLevel="0" collapsed="false">
      <c r="A51" s="15" t="n">
        <f aca="false">IFERROR(MATCH(ROW()-11,Tasks!$R$4:$R$403,0)+3,"")</f>
        <v>43</v>
      </c>
      <c r="B51" s="16" t="str">
        <f aca="false">IF($A51="","",INDEX(Tasks!$A:$A,$A51))</f>
        <v>G2-M1</v>
      </c>
      <c r="C51" s="16" t="str">
        <f aca="false">IF($A51="","",IF(ISERROR(FIND(".",INDEX(Tasks!$A:$A,$A51))),"","   ")&amp;INDEX(Tasks!$D:$D,$A51))</f>
        <v>Paper submitted (IJRR)</v>
      </c>
      <c r="D51" s="16" t="str">
        <f aca="false">IF($A51="","",IF(OR(INDEX(Tasks!$G:$G,$A51)="",INDEX(Tasks!$G:$G,$A51)="TBD"),INDEX(Tasks!$F:$F,$A51),INDEX(Tasks!$G:$G,$A51)))</f>
        <v>SCooP dataset</v>
      </c>
      <c r="E51" s="16" t="str">
        <f aca="false">IF($A51="","",IF(INDEX(Tasks!$H:$H,$A51)="","",INDEX(Tasks!$H:$H,$A51)))</f>
        <v>Not Started</v>
      </c>
      <c r="F51" s="17" t="n">
        <f aca="false">IF($A51="","",IF(INDEX(Tasks!$I:$I,$A51)="","",INDEX(Tasks!$I:$I,$A51)))</f>
        <v>46426</v>
      </c>
      <c r="G51" s="17" t="n">
        <f aca="false">IF($A51="","",IF(INDEX(Tasks!$K:$K,$A51)="","",INDEX(Tasks!$K:$K,$A51)))</f>
        <v>46430</v>
      </c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  <c r="AT51" s="18"/>
      <c r="AU51" s="18"/>
      <c r="AV51" s="18"/>
      <c r="AW51" s="18"/>
      <c r="AX51" s="18"/>
      <c r="AY51" s="18"/>
    </row>
    <row r="52" customFormat="false" ht="15" hidden="false" customHeight="false" outlineLevel="0" collapsed="false">
      <c r="A52" s="15" t="n">
        <f aca="false">IFERROR(MATCH(ROW()-11,Tasks!$R$4:$R$403,0)+3,"")</f>
        <v>44</v>
      </c>
      <c r="B52" s="16" t="str">
        <f aca="false">IF($A52="","",INDEX(Tasks!$A:$A,$A52))</f>
        <v>G1-SP-1</v>
      </c>
      <c r="C52" s="16" t="str">
        <f aca="false">IF($A52="","",IF(ISERROR(FIND(".",INDEX(Tasks!$A:$A,$A52))),"","   ")&amp;INDEX(Tasks!$D:$D,$A52))</f>
        <v>Sensor rig &amp; TF tree per robot</v>
      </c>
      <c r="D52" s="16" t="str">
        <f aca="false">IF($A52="","",IF(OR(INDEX(Tasks!$G:$G,$A52)="",INDEX(Tasks!$G:$G,$A52)="TBD"),INDEX(Tasks!$F:$F,$A52),INDEX(Tasks!$G:$G,$A52)))</f>
        <v>Sensors &amp; platform</v>
      </c>
      <c r="E52" s="16" t="str">
        <f aca="false">IF($A52="","",IF(INDEX(Tasks!$H:$H,$A52)="","",INDEX(Tasks!$H:$H,$A52)))</f>
        <v>Not Started</v>
      </c>
      <c r="F52" s="17" t="n">
        <f aca="false">IF($A52="","",IF(INDEX(Tasks!$I:$I,$A52)="","",INDEX(Tasks!$I:$I,$A52)))</f>
        <v>46307</v>
      </c>
      <c r="G52" s="17" t="n">
        <f aca="false">IF($A52="","",IF(INDEX(Tasks!$K:$K,$A52)="","",INDEX(Tasks!$K:$K,$A52)))</f>
        <v>46318</v>
      </c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  <c r="AT52" s="18"/>
      <c r="AU52" s="18"/>
      <c r="AV52" s="18"/>
      <c r="AW52" s="18"/>
      <c r="AX52" s="18"/>
      <c r="AY52" s="18"/>
    </row>
    <row r="53" customFormat="false" ht="15" hidden="false" customHeight="false" outlineLevel="0" collapsed="false">
      <c r="A53" s="15" t="n">
        <f aca="false">IFERROR(MATCH(ROW()-11,Tasks!$R$4:$R$403,0)+3,"")</f>
        <v>45</v>
      </c>
      <c r="B53" s="16" t="str">
        <f aca="false">IF($A53="","",INDEX(Tasks!$A:$A,$A53))</f>
        <v>G1-SP-2</v>
      </c>
      <c r="C53" s="16" t="str">
        <f aca="false">IF($A53="","",IF(ISERROR(FIND(".",INDEX(Tasks!$A:$A,$A53))),"","   ")&amp;INDEX(Tasks!$D:$D,$A53))</f>
        <v>Odometry: front end + fusion filter</v>
      </c>
      <c r="D53" s="16" t="str">
        <f aca="false">IF($A53="","",IF(OR(INDEX(Tasks!$G:$G,$A53)="",INDEX(Tasks!$G:$G,$A53)="TBD"),INDEX(Tasks!$F:$F,$A53),INDEX(Tasks!$G:$G,$A53)))</f>
        <v>Sensors &amp; platform</v>
      </c>
      <c r="E53" s="16" t="str">
        <f aca="false">IF($A53="","",IF(INDEX(Tasks!$H:$H,$A53)="","",INDEX(Tasks!$H:$H,$A53)))</f>
        <v>Not Started</v>
      </c>
      <c r="F53" s="17" t="n">
        <f aca="false">IF($A53="","",IF(INDEX(Tasks!$I:$I,$A53)="","",INDEX(Tasks!$I:$I,$A53)))</f>
        <v>46314</v>
      </c>
      <c r="G53" s="17" t="n">
        <f aca="false">IF($A53="","",IF(INDEX(Tasks!$K:$K,$A53)="","",INDEX(Tasks!$K:$K,$A53)))</f>
        <v>46339</v>
      </c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  <c r="AT53" s="18"/>
      <c r="AU53" s="18"/>
      <c r="AV53" s="18"/>
      <c r="AW53" s="18"/>
      <c r="AX53" s="18"/>
      <c r="AY53" s="18"/>
    </row>
    <row r="54" customFormat="false" ht="15" hidden="false" customHeight="false" outlineLevel="0" collapsed="false">
      <c r="A54" s="15" t="n">
        <f aca="false">IFERROR(MATCH(ROW()-11,Tasks!$R$4:$R$403,0)+3,"")</f>
        <v>46</v>
      </c>
      <c r="B54" s="16" t="str">
        <f aca="false">IF($A54="","",INDEX(Tasks!$A:$A,$A54))</f>
        <v>G1-SP-3</v>
      </c>
      <c r="C54" s="16" t="str">
        <f aca="false">IF($A54="","",IF(ISERROR(FIND(".",INDEX(Tasks!$A:$A,$A54))),"","   ")&amp;INDEX(Tasks!$D:$D,$A54))</f>
        <v>ED305 camera calibration in the room frame</v>
      </c>
      <c r="D54" s="16" t="str">
        <f aca="false">IF($A54="","",IF(OR(INDEX(Tasks!$G:$G,$A54)="",INDEX(Tasks!$G:$G,$A54)="TBD"),INDEX(Tasks!$F:$F,$A54),INDEX(Tasks!$G:$G,$A54)))</f>
        <v>Sensors &amp; platform</v>
      </c>
      <c r="E54" s="16" t="str">
        <f aca="false">IF($A54="","",IF(INDEX(Tasks!$H:$H,$A54)="","",INDEX(Tasks!$H:$H,$A54)))</f>
        <v>Blocked</v>
      </c>
      <c r="F54" s="17" t="n">
        <f aca="false">IF($A54="","",IF(INDEX(Tasks!$I:$I,$A54)="","",INDEX(Tasks!$I:$I,$A54)))</f>
        <v>46307</v>
      </c>
      <c r="G54" s="17" t="n">
        <f aca="false">IF($A54="","",IF(INDEX(Tasks!$K:$K,$A54)="","",INDEX(Tasks!$K:$K,$A54)))</f>
        <v>46318</v>
      </c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  <c r="AT54" s="18"/>
      <c r="AU54" s="18"/>
      <c r="AV54" s="18"/>
      <c r="AW54" s="18"/>
      <c r="AX54" s="18"/>
      <c r="AY54" s="18"/>
    </row>
    <row r="55" customFormat="false" ht="15" hidden="false" customHeight="false" outlineLevel="0" collapsed="false">
      <c r="A55" s="15" t="n">
        <f aca="false">IFERROR(MATCH(ROW()-11,Tasks!$R$4:$R$403,0)+3,"")</f>
        <v>47</v>
      </c>
      <c r="B55" s="16" t="str">
        <f aca="false">IF($A55="","",INDEX(Tasks!$A:$A,$A55))</f>
        <v>G1-SP-4</v>
      </c>
      <c r="C55" s="16" t="str">
        <f aca="false">IF($A55="","",IF(ISERROR(FIND(".",INDEX(Tasks!$A:$A,$A55))),"","   ")&amp;INDEX(Tasks!$D:$D,$A55))</f>
        <v>ED305 coverage &amp; camera placement</v>
      </c>
      <c r="D55" s="16" t="str">
        <f aca="false">IF($A55="","",IF(OR(INDEX(Tasks!$G:$G,$A55)="",INDEX(Tasks!$G:$G,$A55)="TBD"),INDEX(Tasks!$F:$F,$A55),INDEX(Tasks!$G:$G,$A55)))</f>
        <v>Sensors &amp; platform</v>
      </c>
      <c r="E55" s="16" t="str">
        <f aca="false">IF($A55="","",IF(INDEX(Tasks!$H:$H,$A55)="","",INDEX(Tasks!$H:$H,$A55)))</f>
        <v>In Progress</v>
      </c>
      <c r="F55" s="17" t="n">
        <f aca="false">IF($A55="","",IF(INDEX(Tasks!$I:$I,$A55)="","",INDEX(Tasks!$I:$I,$A55)))</f>
        <v>46321</v>
      </c>
      <c r="G55" s="17" t="n">
        <f aca="false">IF($A55="","",IF(INDEX(Tasks!$K:$K,$A55)="","",INDEX(Tasks!$K:$K,$A55)))</f>
        <v>46339</v>
      </c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18"/>
      <c r="AT55" s="18"/>
      <c r="AU55" s="18"/>
      <c r="AV55" s="18"/>
      <c r="AW55" s="18"/>
      <c r="AX55" s="18"/>
      <c r="AY55" s="18"/>
    </row>
    <row r="56" customFormat="false" ht="15" hidden="false" customHeight="false" outlineLevel="0" collapsed="false">
      <c r="A56" s="15" t="n">
        <f aca="false">IFERROR(MATCH(ROW()-11,Tasks!$R$4:$R$403,0)+3,"")</f>
        <v>48</v>
      </c>
      <c r="B56" s="16" t="str">
        <f aca="false">IF($A56="","",INDEX(Tasks!$A:$A,$A56))</f>
        <v>G1-SP-5</v>
      </c>
      <c r="C56" s="16" t="str">
        <f aca="false">IF($A56="","",IF(ISERROR(FIND(".",INDEX(Tasks!$A:$A,$A56))),"","   ")&amp;INDEX(Tasks!$D:$D,$A56))</f>
        <v>Printed pan-tilt heads</v>
      </c>
      <c r="D56" s="16" t="str">
        <f aca="false">IF($A56="","",IF(OR(INDEX(Tasks!$G:$G,$A56)="",INDEX(Tasks!$G:$G,$A56)="TBD"),INDEX(Tasks!$F:$F,$A56),INDEX(Tasks!$G:$G,$A56)))</f>
        <v>Sensors &amp; platform</v>
      </c>
      <c r="E56" s="16" t="str">
        <f aca="false">IF($A56="","",IF(INDEX(Tasks!$H:$H,$A56)="","",INDEX(Tasks!$H:$H,$A56)))</f>
        <v>Not Started</v>
      </c>
      <c r="F56" s="17" t="n">
        <f aca="false">IF($A56="","",IF(INDEX(Tasks!$I:$I,$A56)="","",INDEX(Tasks!$I:$I,$A56)))</f>
        <v>46314</v>
      </c>
      <c r="G56" s="17" t="n">
        <f aca="false">IF($A56="","",IF(INDEX(Tasks!$K:$K,$A56)="","",INDEX(Tasks!$K:$K,$A56)))</f>
        <v>46332</v>
      </c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AL56" s="18"/>
      <c r="AM56" s="18"/>
      <c r="AN56" s="18"/>
      <c r="AO56" s="18"/>
      <c r="AP56" s="18"/>
      <c r="AQ56" s="18"/>
      <c r="AR56" s="18"/>
      <c r="AS56" s="18"/>
      <c r="AT56" s="18"/>
      <c r="AU56" s="18"/>
      <c r="AV56" s="18"/>
      <c r="AW56" s="18"/>
      <c r="AX56" s="18"/>
      <c r="AY56" s="18"/>
    </row>
    <row r="57" customFormat="false" ht="15" hidden="false" customHeight="false" outlineLevel="0" collapsed="false">
      <c r="A57" s="15" t="n">
        <f aca="false">IFERROR(MATCH(ROW()-11,Tasks!$R$4:$R$403,0)+3,"")</f>
        <v>49</v>
      </c>
      <c r="B57" s="16" t="str">
        <f aca="false">IF($A57="","",INDEX(Tasks!$A:$A,$A57))</f>
        <v>G1-SP-6</v>
      </c>
      <c r="C57" s="16" t="str">
        <f aca="false">IF($A57="","",IF(ISERROR(FIND(".",INDEX(Tasks!$A:$A,$A57))),"","   ")&amp;INDEX(Tasks!$D:$D,$A57))</f>
        <v>ED305 camera time sync</v>
      </c>
      <c r="D57" s="16" t="str">
        <f aca="false">IF($A57="","",IF(OR(INDEX(Tasks!$G:$G,$A57)="",INDEX(Tasks!$G:$G,$A57)="TBD"),INDEX(Tasks!$F:$F,$A57),INDEX(Tasks!$G:$G,$A57)))</f>
        <v>Sensors &amp; platform</v>
      </c>
      <c r="E57" s="16" t="str">
        <f aca="false">IF($A57="","",IF(INDEX(Tasks!$H:$H,$A57)="","",INDEX(Tasks!$H:$H,$A57)))</f>
        <v>Not Started</v>
      </c>
      <c r="F57" s="17" t="n">
        <f aca="false">IF($A57="","",IF(INDEX(Tasks!$I:$I,$A57)="","",INDEX(Tasks!$I:$I,$A57)))</f>
        <v>46321</v>
      </c>
      <c r="G57" s="17" t="n">
        <f aca="false">IF($A57="","",IF(INDEX(Tasks!$K:$K,$A57)="","",INDEX(Tasks!$K:$K,$A57)))</f>
        <v>46332</v>
      </c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  <c r="AT57" s="18"/>
      <c r="AU57" s="18"/>
      <c r="AV57" s="18"/>
      <c r="AW57" s="18"/>
      <c r="AX57" s="18"/>
      <c r="AY57" s="18"/>
    </row>
    <row r="58" customFormat="false" ht="15" hidden="false" customHeight="false" outlineLevel="0" collapsed="false">
      <c r="A58" s="15" t="n">
        <f aca="false">IFERROR(MATCH(ROW()-11,Tasks!$R$4:$R$403,0)+3,"")</f>
        <v>50</v>
      </c>
      <c r="B58" s="16" t="str">
        <f aca="false">IF($A58="","",INDEX(Tasks!$A:$A,$A58))</f>
        <v>G1-GS-1</v>
      </c>
      <c r="C58" s="16" t="str">
        <f aca="false">IF($A58="","",IF(ISERROR(FIND(".",INDEX(Tasks!$A:$A,$A58))),"","   ")&amp;INDEX(Tasks!$D:$D,$A58))</f>
        <v>Metric prior</v>
      </c>
      <c r="D58" s="16" t="str">
        <f aca="false">IF($A58="","",IF(OR(INDEX(Tasks!$G:$G,$A58)="",INDEX(Tasks!$G:$G,$A58)="TBD"),INDEX(Tasks!$F:$F,$A58),INDEX(Tasks!$G:$G,$A58)))</f>
        <v>GS-SLAM</v>
      </c>
      <c r="E58" s="16" t="str">
        <f aca="false">IF($A58="","",IF(INDEX(Tasks!$H:$H,$A58)="","",INDEX(Tasks!$H:$H,$A58)))</f>
        <v>Not Started</v>
      </c>
      <c r="F58" s="17" t="n">
        <f aca="false">IF($A58="","",IF(INDEX(Tasks!$I:$I,$A58)="","",INDEX(Tasks!$I:$I,$A58)))</f>
        <v>46307</v>
      </c>
      <c r="G58" s="17" t="n">
        <f aca="false">IF($A58="","",IF(INDEX(Tasks!$K:$K,$A58)="","",INDEX(Tasks!$K:$K,$A58)))</f>
        <v>46318</v>
      </c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  <c r="AT58" s="18"/>
      <c r="AU58" s="18"/>
      <c r="AV58" s="18"/>
      <c r="AW58" s="18"/>
      <c r="AX58" s="18"/>
      <c r="AY58" s="18"/>
    </row>
    <row r="59" customFormat="false" ht="15" hidden="false" customHeight="false" outlineLevel="0" collapsed="false">
      <c r="A59" s="15" t="n">
        <f aca="false">IFERROR(MATCH(ROW()-11,Tasks!$R$4:$R$403,0)+3,"")</f>
        <v>51</v>
      </c>
      <c r="B59" s="16" t="str">
        <f aca="false">IF($A59="","",INDEX(Tasks!$A:$A,$A59))</f>
        <v>G1-GS-2</v>
      </c>
      <c r="C59" s="16" t="str">
        <f aca="false">IF($A59="","",IF(ISERROR(FIND(".",INDEX(Tasks!$A:$A,$A59))),"","   ")&amp;INDEX(Tasks!$D:$D,$A59))</f>
        <v>Tracking + keyframe gate</v>
      </c>
      <c r="D59" s="16" t="str">
        <f aca="false">IF($A59="","",IF(OR(INDEX(Tasks!$G:$G,$A59)="",INDEX(Tasks!$G:$G,$A59)="TBD"),INDEX(Tasks!$F:$F,$A59),INDEX(Tasks!$G:$G,$A59)))</f>
        <v>GS-SLAM</v>
      </c>
      <c r="E59" s="16" t="str">
        <f aca="false">IF($A59="","",IF(INDEX(Tasks!$H:$H,$A59)="","",INDEX(Tasks!$H:$H,$A59)))</f>
        <v>Not Started</v>
      </c>
      <c r="F59" s="17" t="n">
        <f aca="false">IF($A59="","",IF(INDEX(Tasks!$I:$I,$A59)="","",INDEX(Tasks!$I:$I,$A59)))</f>
        <v>46314</v>
      </c>
      <c r="G59" s="17" t="n">
        <f aca="false">IF($A59="","",IF(INDEX(Tasks!$K:$K,$A59)="","",INDEX(Tasks!$K:$K,$A59)))</f>
        <v>46339</v>
      </c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  <c r="AT59" s="18"/>
      <c r="AU59" s="18"/>
      <c r="AV59" s="18"/>
      <c r="AW59" s="18"/>
      <c r="AX59" s="18"/>
      <c r="AY59" s="18"/>
    </row>
    <row r="60" customFormat="false" ht="15" hidden="false" customHeight="false" outlineLevel="0" collapsed="false">
      <c r="A60" s="15" t="n">
        <f aca="false">IFERROR(MATCH(ROW()-11,Tasks!$R$4:$R$403,0)+3,"")</f>
        <v>52</v>
      </c>
      <c r="B60" s="16" t="str">
        <f aca="false">IF($A60="","",INDEX(Tasks!$A:$A,$A60))</f>
        <v>G1-GS-3</v>
      </c>
      <c r="C60" s="16" t="str">
        <f aca="false">IF($A60="","",IF(ISERROR(FIND(".",INDEX(Tasks!$A:$A,$A60))),"","   ")&amp;INDEX(Tasks!$D:$D,$A60))</f>
        <v>Mapping + loop closure</v>
      </c>
      <c r="D60" s="16" t="str">
        <f aca="false">IF($A60="","",IF(OR(INDEX(Tasks!$G:$G,$A60)="",INDEX(Tasks!$G:$G,$A60)="TBD"),INDEX(Tasks!$F:$F,$A60),INDEX(Tasks!$G:$G,$A60)))</f>
        <v>GS-SLAM</v>
      </c>
      <c r="E60" s="16" t="str">
        <f aca="false">IF($A60="","",IF(INDEX(Tasks!$H:$H,$A60)="","",INDEX(Tasks!$H:$H,$A60)))</f>
        <v>Not Started</v>
      </c>
      <c r="F60" s="17" t="n">
        <f aca="false">IF($A60="","",IF(INDEX(Tasks!$I:$I,$A60)="","",INDEX(Tasks!$I:$I,$A60)))</f>
        <v>46328</v>
      </c>
      <c r="G60" s="17" t="n">
        <f aca="false">IF($A60="","",IF(INDEX(Tasks!$K:$K,$A60)="","",INDEX(Tasks!$K:$K,$A60)))</f>
        <v>46353</v>
      </c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8"/>
      <c r="AS60" s="18"/>
      <c r="AT60" s="18"/>
      <c r="AU60" s="18"/>
      <c r="AV60" s="18"/>
      <c r="AW60" s="18"/>
      <c r="AX60" s="18"/>
      <c r="AY60" s="18"/>
    </row>
    <row r="61" customFormat="false" ht="15" hidden="false" customHeight="false" outlineLevel="0" collapsed="false">
      <c r="A61" s="15" t="n">
        <f aca="false">IFERROR(MATCH(ROW()-11,Tasks!$R$4:$R$403,0)+3,"")</f>
        <v>53</v>
      </c>
      <c r="B61" s="16" t="str">
        <f aca="false">IF($A61="","",INDEX(Tasks!$A:$A,$A61))</f>
        <v>G1-GS-3.1</v>
      </c>
      <c r="C61" s="16" t="str">
        <f aca="false">IF($A61="","",IF(ISERROR(FIND(".",INDEX(Tasks!$A:$A,$A61))),"","   ")&amp;INDEX(Tasks!$D:$D,$A61))</f>
        <v>   Dynamic-Object Filter (Pre-Registration)</v>
      </c>
      <c r="D61" s="16" t="str">
        <f aca="false">IF($A61="","",IF(OR(INDEX(Tasks!$G:$G,$A61)="",INDEX(Tasks!$G:$G,$A61)="TBD"),INDEX(Tasks!$F:$F,$A61),INDEX(Tasks!$G:$G,$A61)))</f>
        <v>GS-SLAM</v>
      </c>
      <c r="E61" s="16" t="str">
        <f aca="false">IF($A61="","",IF(INDEX(Tasks!$H:$H,$A61)="","",INDEX(Tasks!$H:$H,$A61)))</f>
        <v>Not Started</v>
      </c>
      <c r="F61" s="17" t="n">
        <f aca="false">IF($A61="","",IF(INDEX(Tasks!$I:$I,$A61)="","",INDEX(Tasks!$I:$I,$A61)))</f>
        <v>46202</v>
      </c>
      <c r="G61" s="17" t="n">
        <f aca="false">IF($A61="","",IF(INDEX(Tasks!$K:$K,$A61)="","",INDEX(Tasks!$K:$K,$A61)))</f>
        <v>46206</v>
      </c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8"/>
      <c r="AS61" s="18"/>
      <c r="AT61" s="18"/>
      <c r="AU61" s="18"/>
      <c r="AV61" s="18"/>
      <c r="AW61" s="18"/>
      <c r="AX61" s="18"/>
      <c r="AY61" s="18"/>
    </row>
    <row r="62" customFormat="false" ht="15" hidden="false" customHeight="false" outlineLevel="0" collapsed="false">
      <c r="A62" s="15" t="n">
        <f aca="false">IFERROR(MATCH(ROW()-11,Tasks!$R$4:$R$403,0)+3,"")</f>
        <v>54</v>
      </c>
      <c r="B62" s="16" t="str">
        <f aca="false">IF($A62="","",INDEX(Tasks!$A:$A,$A62))</f>
        <v>G1-GS-3.2</v>
      </c>
      <c r="C62" s="16" t="str">
        <f aca="false">IF($A62="","",IF(ISERROR(FIND(".",INDEX(Tasks!$A:$A,$A62))),"","   ")&amp;INDEX(Tasks!$D:$D,$A62))</f>
        <v>   Static Point Cloud Registration</v>
      </c>
      <c r="D62" s="16" t="str">
        <f aca="false">IF($A62="","",IF(OR(INDEX(Tasks!$G:$G,$A62)="",INDEX(Tasks!$G:$G,$A62)="TBD"),INDEX(Tasks!$F:$F,$A62),INDEX(Tasks!$G:$G,$A62)))</f>
        <v>GS-SLAM</v>
      </c>
      <c r="E62" s="16" t="str">
        <f aca="false">IF($A62="","",IF(INDEX(Tasks!$H:$H,$A62)="","",INDEX(Tasks!$H:$H,$A62)))</f>
        <v>Not Started</v>
      </c>
      <c r="F62" s="17" t="n">
        <f aca="false">IF($A62="","",IF(INDEX(Tasks!$I:$I,$A62)="","",INDEX(Tasks!$I:$I,$A62)))</f>
        <v>46202</v>
      </c>
      <c r="G62" s="17" t="n">
        <f aca="false">IF($A62="","",IF(INDEX(Tasks!$K:$K,$A62)="","",INDEX(Tasks!$K:$K,$A62)))</f>
        <v>46206</v>
      </c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AL62" s="18"/>
      <c r="AM62" s="18"/>
      <c r="AN62" s="18"/>
      <c r="AO62" s="18"/>
      <c r="AP62" s="18"/>
      <c r="AQ62" s="18"/>
      <c r="AR62" s="18"/>
      <c r="AS62" s="18"/>
      <c r="AT62" s="18"/>
      <c r="AU62" s="18"/>
      <c r="AV62" s="18"/>
      <c r="AW62" s="18"/>
      <c r="AX62" s="18"/>
      <c r="AY62" s="18"/>
    </row>
    <row r="63" customFormat="false" ht="15" hidden="false" customHeight="false" outlineLevel="0" collapsed="false">
      <c r="A63" s="15" t="n">
        <f aca="false">IFERROR(MATCH(ROW()-11,Tasks!$R$4:$R$403,0)+3,"")</f>
        <v>55</v>
      </c>
      <c r="B63" s="16" t="str">
        <f aca="false">IF($A63="","",INDEX(Tasks!$A:$A,$A63))</f>
        <v>G1-GS-4</v>
      </c>
      <c r="C63" s="16" t="str">
        <f aca="false">IF($A63="","",IF(ISERROR(FIND(".",INDEX(Tasks!$A:$A,$A63))),"","   ")&amp;INDEX(Tasks!$D:$D,$A63))</f>
        <v>Real-time budget</v>
      </c>
      <c r="D63" s="16" t="str">
        <f aca="false">IF($A63="","",IF(OR(INDEX(Tasks!$G:$G,$A63)="",INDEX(Tasks!$G:$G,$A63)="TBD"),INDEX(Tasks!$F:$F,$A63),INDEX(Tasks!$G:$G,$A63)))</f>
        <v>GS-SLAM</v>
      </c>
      <c r="E63" s="16" t="str">
        <f aca="false">IF($A63="","",IF(INDEX(Tasks!$H:$H,$A63)="","",INDEX(Tasks!$H:$H,$A63)))</f>
        <v>Not Started</v>
      </c>
      <c r="F63" s="17" t="n">
        <f aca="false">IF($A63="","",IF(INDEX(Tasks!$I:$I,$A63)="","",INDEX(Tasks!$I:$I,$A63)))</f>
        <v>46349</v>
      </c>
      <c r="G63" s="17" t="n">
        <f aca="false">IF($A63="","",IF(INDEX(Tasks!$K:$K,$A63)="","",INDEX(Tasks!$K:$K,$A63)))</f>
        <v>46360</v>
      </c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  <c r="AL63" s="18"/>
      <c r="AM63" s="18"/>
      <c r="AN63" s="18"/>
      <c r="AO63" s="18"/>
      <c r="AP63" s="18"/>
      <c r="AQ63" s="18"/>
      <c r="AR63" s="18"/>
      <c r="AS63" s="18"/>
      <c r="AT63" s="18"/>
      <c r="AU63" s="18"/>
      <c r="AV63" s="18"/>
      <c r="AW63" s="18"/>
      <c r="AX63" s="18"/>
      <c r="AY63" s="18"/>
    </row>
    <row r="64" customFormat="false" ht="15" hidden="false" customHeight="false" outlineLevel="0" collapsed="false">
      <c r="A64" s="15" t="n">
        <f aca="false">IFERROR(MATCH(ROW()-11,Tasks!$R$4:$R$403,0)+3,"")</f>
        <v>56</v>
      </c>
      <c r="B64" s="16" t="str">
        <f aca="false">IF($A64="","",INDEX(Tasks!$A:$A,$A64))</f>
        <v>G1-GS-5</v>
      </c>
      <c r="C64" s="16" t="str">
        <f aca="false">IF($A64="","",IF(ISERROR(FIND(".",INDEX(Tasks!$A:$A,$A64))),"","   ")&amp;INDEX(Tasks!$D:$D,$A64))</f>
        <v>Map fusion (multi-robot)</v>
      </c>
      <c r="D64" s="16" t="str">
        <f aca="false">IF($A64="","",IF(OR(INDEX(Tasks!$G:$G,$A64)="",INDEX(Tasks!$G:$G,$A64)="TBD"),INDEX(Tasks!$F:$F,$A64),INDEX(Tasks!$G:$G,$A64)))</f>
        <v>GS-SLAM</v>
      </c>
      <c r="E64" s="16" t="str">
        <f aca="false">IF($A64="","",IF(INDEX(Tasks!$H:$H,$A64)="","",INDEX(Tasks!$H:$H,$A64)))</f>
        <v>Not Started</v>
      </c>
      <c r="F64" s="17" t="n">
        <f aca="false">IF($A64="","",IF(INDEX(Tasks!$I:$I,$A64)="","",INDEX(Tasks!$I:$I,$A64)))</f>
        <v>46356</v>
      </c>
      <c r="G64" s="17" t="n">
        <f aca="false">IF($A64="","",IF(INDEX(Tasks!$K:$K,$A64)="","",INDEX(Tasks!$K:$K,$A64)))</f>
        <v>46381</v>
      </c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AL64" s="18"/>
      <c r="AM64" s="18"/>
      <c r="AN64" s="18"/>
      <c r="AO64" s="18"/>
      <c r="AP64" s="18"/>
      <c r="AQ64" s="18"/>
      <c r="AR64" s="18"/>
      <c r="AS64" s="18"/>
      <c r="AT64" s="18"/>
      <c r="AU64" s="18"/>
      <c r="AV64" s="18"/>
      <c r="AW64" s="18"/>
      <c r="AX64" s="18"/>
      <c r="AY64" s="18"/>
    </row>
    <row r="65" customFormat="false" ht="15" hidden="false" customHeight="false" outlineLevel="0" collapsed="false">
      <c r="A65" s="15" t="n">
        <f aca="false">IFERROR(MATCH(ROW()-11,Tasks!$R$4:$R$403,0)+3,"")</f>
        <v>57</v>
      </c>
      <c r="B65" s="16" t="str">
        <f aca="false">IF($A65="","",INDEX(Tasks!$A:$A,$A65))</f>
        <v>G1-GS-6</v>
      </c>
      <c r="C65" s="16" t="str">
        <f aca="false">IF($A65="","",IF(ISERROR(FIND(".",INDEX(Tasks!$A:$A,$A65))),"","   ")&amp;INDEX(Tasks!$D:$D,$A65))</f>
        <v>Evaluation</v>
      </c>
      <c r="D65" s="16" t="str">
        <f aca="false">IF($A65="","",IF(OR(INDEX(Tasks!$G:$G,$A65)="",INDEX(Tasks!$G:$G,$A65)="TBD"),INDEX(Tasks!$F:$F,$A65),INDEX(Tasks!$G:$G,$A65)))</f>
        <v>GS-SLAM</v>
      </c>
      <c r="E65" s="16" t="str">
        <f aca="false">IF($A65="","",IF(INDEX(Tasks!$H:$H,$A65)="","",INDEX(Tasks!$H:$H,$A65)))</f>
        <v>Not Started</v>
      </c>
      <c r="F65" s="17" t="n">
        <f aca="false">IF($A65="","",IF(INDEX(Tasks!$I:$I,$A65)="","",INDEX(Tasks!$I:$I,$A65)))</f>
        <v>46377</v>
      </c>
      <c r="G65" s="17" t="n">
        <f aca="false">IF($A65="","",IF(INDEX(Tasks!$K:$K,$A65)="","",INDEX(Tasks!$K:$K,$A65)))</f>
        <v>46388</v>
      </c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  <c r="AT65" s="18"/>
      <c r="AU65" s="18"/>
      <c r="AV65" s="18"/>
      <c r="AW65" s="18"/>
      <c r="AX65" s="18"/>
      <c r="AY65" s="18"/>
    </row>
    <row r="66" customFormat="false" ht="15" hidden="false" customHeight="false" outlineLevel="0" collapsed="false">
      <c r="A66" s="15" t="n">
        <f aca="false">IFERROR(MATCH(ROW()-11,Tasks!$R$4:$R$403,0)+3,"")</f>
        <v>58</v>
      </c>
      <c r="B66" s="16" t="str">
        <f aca="false">IF($A66="","",INDEX(Tasks!$A:$A,$A66))</f>
        <v>G1-SD-1</v>
      </c>
      <c r="C66" s="16" t="str">
        <f aca="false">IF($A66="","",IF(ISERROR(FIND(".",INDEX(Tasks!$A:$A,$A66))),"","   ")&amp;INDEX(Tasks!$D:$D,$A66))</f>
        <v>Object asset library</v>
      </c>
      <c r="D66" s="16" t="str">
        <f aca="false">IF($A66="","",IF(OR(INDEX(Tasks!$G:$G,$A66)="",INDEX(Tasks!$G:$G,$A66)="TBD"),INDEX(Tasks!$F:$F,$A66),INDEX(Tasks!$G:$G,$A66)))</f>
        <v>Scene detection</v>
      </c>
      <c r="E66" s="16" t="str">
        <f aca="false">IF($A66="","",IF(INDEX(Tasks!$H:$H,$A66)="","",INDEX(Tasks!$H:$H,$A66)))</f>
        <v>Not Started</v>
      </c>
      <c r="F66" s="17" t="n">
        <f aca="false">IF($A66="","",IF(INDEX(Tasks!$I:$I,$A66)="","",INDEX(Tasks!$I:$I,$A66)))</f>
        <v>46307</v>
      </c>
      <c r="G66" s="17" t="n">
        <f aca="false">IF($A66="","",IF(INDEX(Tasks!$K:$K,$A66)="","",INDEX(Tasks!$K:$K,$A66)))</f>
        <v>46325</v>
      </c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  <c r="AS66" s="18"/>
      <c r="AT66" s="18"/>
      <c r="AU66" s="18"/>
      <c r="AV66" s="18"/>
      <c r="AW66" s="18"/>
      <c r="AX66" s="18"/>
      <c r="AY66" s="18"/>
    </row>
    <row r="67" customFormat="false" ht="15" hidden="false" customHeight="false" outlineLevel="0" collapsed="false">
      <c r="A67" s="15" t="n">
        <f aca="false">IFERROR(MATCH(ROW()-11,Tasks!$R$4:$R$403,0)+3,"")</f>
        <v>59</v>
      </c>
      <c r="B67" s="16" t="str">
        <f aca="false">IF($A67="","",INDEX(Tasks!$A:$A,$A67))</f>
        <v>G1-SD-2</v>
      </c>
      <c r="C67" s="16" t="str">
        <f aca="false">IF($A67="","",IF(ISERROR(FIND(".",INDEX(Tasks!$A:$A,$A67))),"","   ")&amp;INDEX(Tasks!$D:$D,$A67))</f>
        <v>Object retrieval from G*</v>
      </c>
      <c r="D67" s="16" t="str">
        <f aca="false">IF($A67="","",IF(OR(INDEX(Tasks!$G:$G,$A67)="",INDEX(Tasks!$G:$G,$A67)="TBD"),INDEX(Tasks!$F:$F,$A67),INDEX(Tasks!$G:$G,$A67)))</f>
        <v>Scene detection</v>
      </c>
      <c r="E67" s="16" t="str">
        <f aca="false">IF($A67="","",IF(INDEX(Tasks!$H:$H,$A67)="","",INDEX(Tasks!$H:$H,$A67)))</f>
        <v>Not Started</v>
      </c>
      <c r="F67" s="17" t="n">
        <f aca="false">IF($A67="","",IF(INDEX(Tasks!$I:$I,$A67)="","",INDEX(Tasks!$I:$I,$A67)))</f>
        <v>46328</v>
      </c>
      <c r="G67" s="17" t="n">
        <f aca="false">IF($A67="","",IF(INDEX(Tasks!$K:$K,$A67)="","",INDEX(Tasks!$K:$K,$A67)))</f>
        <v>46353</v>
      </c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  <c r="AT67" s="18"/>
      <c r="AU67" s="18"/>
      <c r="AV67" s="18"/>
      <c r="AW67" s="18"/>
      <c r="AX67" s="18"/>
      <c r="AY67" s="18"/>
    </row>
    <row r="68" customFormat="false" ht="15" hidden="false" customHeight="false" outlineLevel="0" collapsed="false">
      <c r="A68" s="15" t="n">
        <f aca="false">IFERROR(MATCH(ROW()-11,Tasks!$R$4:$R$403,0)+3,"")</f>
        <v>60</v>
      </c>
      <c r="B68" s="16" t="str">
        <f aca="false">IF($A68="","",INDEX(Tasks!$A:$A,$A68))</f>
        <v>G1-SD-2.1</v>
      </c>
      <c r="C68" s="16" t="str">
        <f aca="false">IF($A68="","",IF(ISERROR(FIND(".",INDEX(Tasks!$A:$A,$A68))),"","   ")&amp;INDEX(Tasks!$D:$D,$A68))</f>
        <v>   Object Detection &amp; Instance Identification (RGB / RGBD / LiDAR / Radar)</v>
      </c>
      <c r="D68" s="16" t="str">
        <f aca="false">IF($A68="","",IF(OR(INDEX(Tasks!$G:$G,$A68)="",INDEX(Tasks!$G:$G,$A68)="TBD"),INDEX(Tasks!$F:$F,$A68),INDEX(Tasks!$G:$G,$A68)))</f>
        <v>Scene detection</v>
      </c>
      <c r="E68" s="16" t="str">
        <f aca="false">IF($A68="","",IF(INDEX(Tasks!$H:$H,$A68)="","",INDEX(Tasks!$H:$H,$A68)))</f>
        <v>Not Started</v>
      </c>
      <c r="F68" s="17" t="n">
        <f aca="false">IF($A68="","",IF(INDEX(Tasks!$I:$I,$A68)="","",INDEX(Tasks!$I:$I,$A68)))</f>
        <v>46209</v>
      </c>
      <c r="G68" s="17" t="n">
        <f aca="false">IF($A68="","",IF(INDEX(Tasks!$K:$K,$A68)="","",INDEX(Tasks!$K:$K,$A68)))</f>
        <v>46220</v>
      </c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  <c r="AT68" s="18"/>
      <c r="AU68" s="18"/>
      <c r="AV68" s="18"/>
      <c r="AW68" s="18"/>
      <c r="AX68" s="18"/>
      <c r="AY68" s="18"/>
    </row>
    <row r="69" customFormat="false" ht="15" hidden="false" customHeight="false" outlineLevel="0" collapsed="false">
      <c r="A69" s="15" t="n">
        <f aca="false">IFERROR(MATCH(ROW()-11,Tasks!$R$4:$R$403,0)+3,"")</f>
        <v>61</v>
      </c>
      <c r="B69" s="16" t="str">
        <f aca="false">IF($A69="","",INDEX(Tasks!$A:$A,$A69))</f>
        <v>G1-SD-2.2</v>
      </c>
      <c r="C69" s="16" t="str">
        <f aca="false">IF($A69="","",IF(ISERROR(FIND(".",INDEX(Tasks!$A:$A,$A69))),"","   ")&amp;INDEX(Tasks!$D:$D,$A69))</f>
        <v>   Radar + Panoptic Fusion Tracking</v>
      </c>
      <c r="D69" s="16" t="str">
        <f aca="false">IF($A69="","",IF(OR(INDEX(Tasks!$G:$G,$A69)="",INDEX(Tasks!$G:$G,$A69)="TBD"),INDEX(Tasks!$F:$F,$A69),INDEX(Tasks!$G:$G,$A69)))</f>
        <v>Scene detection</v>
      </c>
      <c r="E69" s="16" t="str">
        <f aca="false">IF($A69="","",IF(INDEX(Tasks!$H:$H,$A69)="","",INDEX(Tasks!$H:$H,$A69)))</f>
        <v>Not Started</v>
      </c>
      <c r="F69" s="17" t="n">
        <f aca="false">IF($A69="","",IF(INDEX(Tasks!$I:$I,$A69)="","",INDEX(Tasks!$I:$I,$A69)))</f>
        <v>46209</v>
      </c>
      <c r="G69" s="17" t="n">
        <f aca="false">IF($A69="","",IF(INDEX(Tasks!$K:$K,$A69)="","",INDEX(Tasks!$K:$K,$A69)))</f>
        <v>46220</v>
      </c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AL69" s="18"/>
      <c r="AM69" s="18"/>
      <c r="AN69" s="18"/>
      <c r="AO69" s="18"/>
      <c r="AP69" s="18"/>
      <c r="AQ69" s="18"/>
      <c r="AR69" s="18"/>
      <c r="AS69" s="18"/>
      <c r="AT69" s="18"/>
      <c r="AU69" s="18"/>
      <c r="AV69" s="18"/>
      <c r="AW69" s="18"/>
      <c r="AX69" s="18"/>
      <c r="AY69" s="18"/>
    </row>
    <row r="70" customFormat="false" ht="15" hidden="false" customHeight="false" outlineLevel="0" collapsed="false">
      <c r="A70" s="15" t="n">
        <f aca="false">IFERROR(MATCH(ROW()-11,Tasks!$R$4:$R$403,0)+3,"")</f>
        <v>62</v>
      </c>
      <c r="B70" s="16" t="str">
        <f aca="false">IF($A70="","",INDEX(Tasks!$A:$A,$A70))</f>
        <v>G1-SD-3</v>
      </c>
      <c r="C70" s="16" t="str">
        <f aca="false">IF($A70="","",IF(ISERROR(FIND(".",INDEX(Tasks!$A:$A,$A70))),"","   ")&amp;INDEX(Tasks!$D:$D,$A70))</f>
        <v>Decomposition: segments &amp; materials</v>
      </c>
      <c r="D70" s="16" t="str">
        <f aca="false">IF($A70="","",IF(OR(INDEX(Tasks!$G:$G,$A70)="",INDEX(Tasks!$G:$G,$A70)="TBD"),INDEX(Tasks!$F:$F,$A70),INDEX(Tasks!$G:$G,$A70)))</f>
        <v>Scene detection</v>
      </c>
      <c r="E70" s="16" t="str">
        <f aca="false">IF($A70="","",IF(INDEX(Tasks!$H:$H,$A70)="","",INDEX(Tasks!$H:$H,$A70)))</f>
        <v>Not Started</v>
      </c>
      <c r="F70" s="17" t="n">
        <f aca="false">IF($A70="","",IF(INDEX(Tasks!$I:$I,$A70)="","",INDEX(Tasks!$I:$I,$A70)))</f>
        <v>46335</v>
      </c>
      <c r="G70" s="17" t="n">
        <f aca="false">IF($A70="","",IF(INDEX(Tasks!$K:$K,$A70)="","",INDEX(Tasks!$K:$K,$A70)))</f>
        <v>46360</v>
      </c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AL70" s="18"/>
      <c r="AM70" s="18"/>
      <c r="AN70" s="18"/>
      <c r="AO70" s="18"/>
      <c r="AP70" s="18"/>
      <c r="AQ70" s="18"/>
      <c r="AR70" s="18"/>
      <c r="AS70" s="18"/>
      <c r="AT70" s="18"/>
      <c r="AU70" s="18"/>
      <c r="AV70" s="18"/>
      <c r="AW70" s="18"/>
      <c r="AX70" s="18"/>
      <c r="AY70" s="18"/>
    </row>
    <row r="71" customFormat="false" ht="15" hidden="false" customHeight="false" outlineLevel="0" collapsed="false">
      <c r="A71" s="15" t="n">
        <f aca="false">IFERROR(MATCH(ROW()-11,Tasks!$R$4:$R$403,0)+3,"")</f>
        <v>63</v>
      </c>
      <c r="B71" s="16" t="str">
        <f aca="false">IF($A71="","",INDEX(Tasks!$A:$A,$A71))</f>
        <v>G1-SD-4</v>
      </c>
      <c r="C71" s="16" t="str">
        <f aca="false">IF($A71="","",IF(ISERROR(FIND(".",INDEX(Tasks!$A:$A,$A71))),"","   ")&amp;INDEX(Tasks!$D:$D,$A71))</f>
        <v>Change detection</v>
      </c>
      <c r="D71" s="16" t="str">
        <f aca="false">IF($A71="","",IF(OR(INDEX(Tasks!$G:$G,$A71)="",INDEX(Tasks!$G:$G,$A71)="TBD"),INDEX(Tasks!$F:$F,$A71),INDEX(Tasks!$G:$G,$A71)))</f>
        <v>Scene detection</v>
      </c>
      <c r="E71" s="16" t="str">
        <f aca="false">IF($A71="","",IF(INDEX(Tasks!$H:$H,$A71)="","",INDEX(Tasks!$H:$H,$A71)))</f>
        <v>Not Started</v>
      </c>
      <c r="F71" s="17" t="n">
        <f aca="false">IF($A71="","",IF(INDEX(Tasks!$I:$I,$A71)="","",INDEX(Tasks!$I:$I,$A71)))</f>
        <v>46356</v>
      </c>
      <c r="G71" s="17" t="n">
        <f aca="false">IF($A71="","",IF(INDEX(Tasks!$K:$K,$A71)="","",INDEX(Tasks!$K:$K,$A71)))</f>
        <v>46381</v>
      </c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  <c r="AT71" s="18"/>
      <c r="AU71" s="18"/>
      <c r="AV71" s="18"/>
      <c r="AW71" s="18"/>
      <c r="AX71" s="18"/>
      <c r="AY71" s="18"/>
    </row>
    <row r="72" customFormat="false" ht="15" hidden="false" customHeight="false" outlineLevel="0" collapsed="false">
      <c r="A72" s="15" t="n">
        <f aca="false">IFERROR(MATCH(ROW()-11,Tasks!$R$4:$R$403,0)+3,"")</f>
        <v>64</v>
      </c>
      <c r="B72" s="16" t="str">
        <f aca="false">IF($A72="","",INDEX(Tasks!$A:$A,$A72))</f>
        <v>G1-SD-4.1</v>
      </c>
      <c r="C72" s="16" t="str">
        <f aca="false">IF($A72="","",IF(ISERROR(FIND(".",INDEX(Tasks!$A:$A,$A72))),"","   ")&amp;INDEX(Tasks!$D:$D,$A72))</f>
        <v>   Change Detection (Object Moved / Appeared / Disappeared)</v>
      </c>
      <c r="D72" s="16" t="str">
        <f aca="false">IF($A72="","",IF(OR(INDEX(Tasks!$G:$G,$A72)="",INDEX(Tasks!$G:$G,$A72)="TBD"),INDEX(Tasks!$F:$F,$A72),INDEX(Tasks!$G:$G,$A72)))</f>
        <v>Scene detection</v>
      </c>
      <c r="E72" s="16" t="str">
        <f aca="false">IF($A72="","",IF(INDEX(Tasks!$H:$H,$A72)="","",INDEX(Tasks!$H:$H,$A72)))</f>
        <v>Not Started</v>
      </c>
      <c r="F72" s="17" t="n">
        <f aca="false">IF($A72="","",IF(INDEX(Tasks!$I:$I,$A72)="","",INDEX(Tasks!$I:$I,$A72)))</f>
        <v>46223</v>
      </c>
      <c r="G72" s="17" t="n">
        <f aca="false">IF($A72="","",IF(INDEX(Tasks!$K:$K,$A72)="","",INDEX(Tasks!$K:$K,$A72)))</f>
        <v>46227</v>
      </c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  <c r="AT72" s="18"/>
      <c r="AU72" s="18"/>
      <c r="AV72" s="18"/>
      <c r="AW72" s="18"/>
      <c r="AX72" s="18"/>
      <c r="AY72" s="18"/>
    </row>
    <row r="73" customFormat="false" ht="15" hidden="false" customHeight="false" outlineLevel="0" collapsed="false">
      <c r="A73" s="15" t="n">
        <f aca="false">IFERROR(MATCH(ROW()-11,Tasks!$R$4:$R$403,0)+3,"")</f>
        <v>65</v>
      </c>
      <c r="B73" s="16" t="str">
        <f aca="false">IF($A73="","",INDEX(Tasks!$A:$A,$A73))</f>
        <v>G1-SD-5</v>
      </c>
      <c r="C73" s="16" t="str">
        <f aca="false">IF($A73="","",IF(ISERROR(FIND(".",INDEX(Tasks!$A:$A,$A73))),"","   ")&amp;INDEX(Tasks!$D:$D,$A73))</f>
        <v>Maintenance with change history</v>
      </c>
      <c r="D73" s="16" t="str">
        <f aca="false">IF($A73="","",IF(OR(INDEX(Tasks!$G:$G,$A73)="",INDEX(Tasks!$G:$G,$A73)="TBD"),INDEX(Tasks!$F:$F,$A73),INDEX(Tasks!$G:$G,$A73)))</f>
        <v>Scene detection</v>
      </c>
      <c r="E73" s="16" t="str">
        <f aca="false">IF($A73="","",IF(INDEX(Tasks!$H:$H,$A73)="","",INDEX(Tasks!$H:$H,$A73)))</f>
        <v>Not Started</v>
      </c>
      <c r="F73" s="17" t="n">
        <f aca="false">IF($A73="","",IF(INDEX(Tasks!$I:$I,$A73)="","",INDEX(Tasks!$I:$I,$A73)))</f>
        <v>46370</v>
      </c>
      <c r="G73" s="17" t="n">
        <f aca="false">IF($A73="","",IF(INDEX(Tasks!$K:$K,$A73)="","",INDEX(Tasks!$K:$K,$A73)))</f>
        <v>46388</v>
      </c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  <c r="AT73" s="18"/>
      <c r="AU73" s="18"/>
      <c r="AV73" s="18"/>
      <c r="AW73" s="18"/>
      <c r="AX73" s="18"/>
      <c r="AY73" s="18"/>
    </row>
    <row r="74" customFormat="false" ht="15" hidden="false" customHeight="false" outlineLevel="0" collapsed="false">
      <c r="A74" s="15" t="n">
        <f aca="false">IFERROR(MATCH(ROW()-11,Tasks!$R$4:$R$403,0)+3,"")</f>
        <v>66</v>
      </c>
      <c r="B74" s="16" t="str">
        <f aca="false">IF($A74="","",INDEX(Tasks!$A:$A,$A74))</f>
        <v>G1-SD-5.1</v>
      </c>
      <c r="C74" s="16" t="str">
        <f aca="false">IF($A74="","",IF(ISERROR(FIND(".",INDEX(Tasks!$A:$A,$A74))),"","   ")&amp;INDEX(Tasks!$D:$D,$A74))</f>
        <v>   Scene Graph &amp; Map Update on Change (with Change History)</v>
      </c>
      <c r="D74" s="16" t="str">
        <f aca="false">IF($A74="","",IF(OR(INDEX(Tasks!$G:$G,$A74)="",INDEX(Tasks!$G:$G,$A74)="TBD"),INDEX(Tasks!$F:$F,$A74),INDEX(Tasks!$G:$G,$A74)))</f>
        <v>Scene detection</v>
      </c>
      <c r="E74" s="16" t="str">
        <f aca="false">IF($A74="","",IF(INDEX(Tasks!$H:$H,$A74)="","",INDEX(Tasks!$H:$H,$A74)))</f>
        <v>Not Started</v>
      </c>
      <c r="F74" s="17" t="n">
        <f aca="false">IF($A74="","",IF(INDEX(Tasks!$I:$I,$A74)="","",INDEX(Tasks!$I:$I,$A74)))</f>
        <v>46223</v>
      </c>
      <c r="G74" s="17" t="n">
        <f aca="false">IF($A74="","",IF(INDEX(Tasks!$K:$K,$A74)="","",INDEX(Tasks!$K:$K,$A74)))</f>
        <v>46234</v>
      </c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  <c r="AT74" s="18"/>
      <c r="AU74" s="18"/>
      <c r="AV74" s="18"/>
      <c r="AW74" s="18"/>
      <c r="AX74" s="18"/>
      <c r="AY74" s="18"/>
    </row>
    <row r="75" customFormat="false" ht="15" hidden="false" customHeight="false" outlineLevel="0" collapsed="false">
      <c r="A75" s="15" t="n">
        <f aca="false">IFERROR(MATCH(ROW()-11,Tasks!$R$4:$R$403,0)+3,"")</f>
        <v>67</v>
      </c>
      <c r="B75" s="16" t="str">
        <f aca="false">IF($A75="","",INDEX(Tasks!$A:$A,$A75))</f>
        <v>G1-SD-6</v>
      </c>
      <c r="C75" s="16" t="str">
        <f aca="false">IF($A75="","",IF(ISERROR(FIND(".",INDEX(Tasks!$A:$A,$A75))),"","   ")&amp;INDEX(Tasks!$D:$D,$A75))</f>
        <v>USD edits to Isaac</v>
      </c>
      <c r="D75" s="16" t="str">
        <f aca="false">IF($A75="","",IF(OR(INDEX(Tasks!$G:$G,$A75)="",INDEX(Tasks!$G:$G,$A75)="TBD"),INDEX(Tasks!$F:$F,$A75),INDEX(Tasks!$G:$G,$A75)))</f>
        <v>Scene detection</v>
      </c>
      <c r="E75" s="16" t="str">
        <f aca="false">IF($A75="","",IF(INDEX(Tasks!$H:$H,$A75)="","",INDEX(Tasks!$H:$H,$A75)))</f>
        <v>Not Started</v>
      </c>
      <c r="F75" s="17" t="n">
        <f aca="false">IF($A75="","",IF(INDEX(Tasks!$I:$I,$A75)="","",INDEX(Tasks!$I:$I,$A75)))</f>
        <v>46370</v>
      </c>
      <c r="G75" s="17" t="n">
        <f aca="false">IF($A75="","",IF(INDEX(Tasks!$K:$K,$A75)="","",INDEX(Tasks!$K:$K,$A75)))</f>
        <v>46388</v>
      </c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  <c r="AU75" s="18"/>
      <c r="AV75" s="18"/>
      <c r="AW75" s="18"/>
      <c r="AX75" s="18"/>
      <c r="AY75" s="18"/>
    </row>
    <row r="76" customFormat="false" ht="15" hidden="false" customHeight="false" outlineLevel="0" collapsed="false">
      <c r="A76" s="15" t="n">
        <f aca="false">IFERROR(MATCH(ROW()-11,Tasks!$R$4:$R$403,0)+3,"")</f>
        <v>68</v>
      </c>
      <c r="B76" s="16" t="str">
        <f aca="false">IF($A76="","",INDEX(Tasks!$A:$A,$A76))</f>
        <v>G1-SD-7</v>
      </c>
      <c r="C76" s="16" t="str">
        <f aca="false">IF($A76="","",IF(ISERROR(FIND(".",INDEX(Tasks!$A:$A,$A76))),"","   ")&amp;INDEX(Tasks!$D:$D,$A76))</f>
        <v>Live targets from the ED305 cameras</v>
      </c>
      <c r="D76" s="16" t="str">
        <f aca="false">IF($A76="","",IF(OR(INDEX(Tasks!$G:$G,$A76)="",INDEX(Tasks!$G:$G,$A76)="TBD"),INDEX(Tasks!$F:$F,$A76),INDEX(Tasks!$G:$G,$A76)))</f>
        <v>Scene detection</v>
      </c>
      <c r="E76" s="16" t="str">
        <f aca="false">IF($A76="","",IF(INDEX(Tasks!$H:$H,$A76)="","",INDEX(Tasks!$H:$H,$A76)))</f>
        <v>Not Started</v>
      </c>
      <c r="F76" s="17" t="n">
        <f aca="false">IF($A76="","",IF(INDEX(Tasks!$I:$I,$A76)="","",INDEX(Tasks!$I:$I,$A76)))</f>
        <v>46349</v>
      </c>
      <c r="G76" s="17" t="n">
        <f aca="false">IF($A76="","",IF(INDEX(Tasks!$K:$K,$A76)="","",INDEX(Tasks!$K:$K,$A76)))</f>
        <v>46374</v>
      </c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  <c r="AU76" s="18"/>
      <c r="AV76" s="18"/>
      <c r="AW76" s="18"/>
      <c r="AX76" s="18"/>
      <c r="AY76" s="18"/>
    </row>
    <row r="77" customFormat="false" ht="15" hidden="false" customHeight="false" outlineLevel="0" collapsed="false">
      <c r="A77" s="15" t="n">
        <f aca="false">IFERROR(MATCH(ROW()-11,Tasks!$R$4:$R$403,0)+3,"")</f>
        <v>69</v>
      </c>
      <c r="B77" s="16" t="str">
        <f aca="false">IF($A77="","",INDEX(Tasks!$A:$A,$A77))</f>
        <v>G1-IS-1</v>
      </c>
      <c r="C77" s="16" t="str">
        <f aca="false">IF($A77="","",IF(ISERROR(FIND(".",INDEX(Tasks!$A:$A,$A77))),"","   ")&amp;INDEX(Tasks!$D:$D,$A77))</f>
        <v>ED305 USD stage in the room frame</v>
      </c>
      <c r="D77" s="16" t="str">
        <f aca="false">IF($A77="","",IF(OR(INDEX(Tasks!$G:$G,$A77)="",INDEX(Tasks!$G:$G,$A77)="TBD"),INDEX(Tasks!$F:$F,$A77),INDEX(Tasks!$G:$G,$A77)))</f>
        <v>Isaac Sim</v>
      </c>
      <c r="E77" s="16" t="str">
        <f aca="false">IF($A77="","",IF(INDEX(Tasks!$H:$H,$A77)="","",INDEX(Tasks!$H:$H,$A77)))</f>
        <v>Not Started</v>
      </c>
      <c r="F77" s="17" t="n">
        <f aca="false">IF($A77="","",IF(INDEX(Tasks!$I:$I,$A77)="","",INDEX(Tasks!$I:$I,$A77)))</f>
        <v>46307</v>
      </c>
      <c r="G77" s="17" t="n">
        <f aca="false">IF($A77="","",IF(INDEX(Tasks!$K:$K,$A77)="","",INDEX(Tasks!$K:$K,$A77)))</f>
        <v>46325</v>
      </c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  <c r="AU77" s="18"/>
      <c r="AV77" s="18"/>
      <c r="AW77" s="18"/>
      <c r="AX77" s="18"/>
      <c r="AY77" s="18"/>
    </row>
    <row r="78" customFormat="false" ht="15" hidden="false" customHeight="false" outlineLevel="0" collapsed="false">
      <c r="A78" s="15" t="n">
        <f aca="false">IFERROR(MATCH(ROW()-11,Tasks!$R$4:$R$403,0)+3,"")</f>
        <v>70</v>
      </c>
      <c r="B78" s="16" t="str">
        <f aca="false">IF($A78="","",INDEX(Tasks!$A:$A,$A78))</f>
        <v>G1-IS-2</v>
      </c>
      <c r="C78" s="16" t="str">
        <f aca="false">IF($A78="","",IF(ISERROR(FIND(".",INDEX(Tasks!$A:$A,$A78))),"","   ")&amp;INDEX(Tasks!$D:$D,$A78))</f>
        <v>Robot + antenna prims, live pose</v>
      </c>
      <c r="D78" s="16" t="str">
        <f aca="false">IF($A78="","",IF(OR(INDEX(Tasks!$G:$G,$A78)="",INDEX(Tasks!$G:$G,$A78)="TBD"),INDEX(Tasks!$F:$F,$A78),INDEX(Tasks!$G:$G,$A78)))</f>
        <v>Isaac Sim</v>
      </c>
      <c r="E78" s="16" t="str">
        <f aca="false">IF($A78="","",IF(INDEX(Tasks!$H:$H,$A78)="","",INDEX(Tasks!$H:$H,$A78)))</f>
        <v>Not Started</v>
      </c>
      <c r="F78" s="17" t="n">
        <f aca="false">IF($A78="","",IF(INDEX(Tasks!$I:$I,$A78)="","",INDEX(Tasks!$I:$I,$A78)))</f>
        <v>46321</v>
      </c>
      <c r="G78" s="17" t="n">
        <f aca="false">IF($A78="","",IF(INDEX(Tasks!$K:$K,$A78)="","",INDEX(Tasks!$K:$K,$A78)))</f>
        <v>46339</v>
      </c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  <c r="AU78" s="18"/>
      <c r="AV78" s="18"/>
      <c r="AW78" s="18"/>
      <c r="AX78" s="18"/>
      <c r="AY78" s="18"/>
    </row>
    <row r="79" customFormat="false" ht="15" hidden="false" customHeight="false" outlineLevel="0" collapsed="false">
      <c r="A79" s="15" t="n">
        <f aca="false">IFERROR(MATCH(ROW()-11,Tasks!$R$4:$R$403,0)+3,"")</f>
        <v>71</v>
      </c>
      <c r="B79" s="16" t="str">
        <f aca="false">IF($A79="","",INDEX(Tasks!$A:$A,$A79))</f>
        <v>G1-IS-3</v>
      </c>
      <c r="C79" s="16" t="str">
        <f aca="false">IF($A79="","",IF(ISERROR(FIND(".",INDEX(Tasks!$A:$A,$A79))),"","   ")&amp;INDEX(Tasks!$D:$D,$A79))</f>
        <v>Gaussian layer</v>
      </c>
      <c r="D79" s="16" t="str">
        <f aca="false">IF($A79="","",IF(OR(INDEX(Tasks!$G:$G,$A79)="",INDEX(Tasks!$G:$G,$A79)="TBD"),INDEX(Tasks!$F:$F,$A79),INDEX(Tasks!$G:$G,$A79)))</f>
        <v>Isaac Sim</v>
      </c>
      <c r="E79" s="16" t="str">
        <f aca="false">IF($A79="","",IF(INDEX(Tasks!$H:$H,$A79)="","",INDEX(Tasks!$H:$H,$A79)))</f>
        <v>Not Started</v>
      </c>
      <c r="F79" s="17" t="n">
        <f aca="false">IF($A79="","",IF(INDEX(Tasks!$I:$I,$A79)="","",INDEX(Tasks!$I:$I,$A79)))</f>
        <v>46335</v>
      </c>
      <c r="G79" s="17" t="n">
        <f aca="false">IF($A79="","",IF(INDEX(Tasks!$K:$K,$A79)="","",INDEX(Tasks!$K:$K,$A79)))</f>
        <v>46353</v>
      </c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  <c r="AU79" s="18"/>
      <c r="AV79" s="18"/>
      <c r="AW79" s="18"/>
      <c r="AX79" s="18"/>
      <c r="AY79" s="18"/>
    </row>
    <row r="80" customFormat="false" ht="15" hidden="false" customHeight="false" outlineLevel="0" collapsed="false">
      <c r="A80" s="15" t="n">
        <f aca="false">IFERROR(MATCH(ROW()-11,Tasks!$R$4:$R$403,0)+3,"")</f>
        <v>72</v>
      </c>
      <c r="B80" s="16" t="str">
        <f aca="false">IF($A80="","",INDEX(Tasks!$A:$A,$A80))</f>
        <v>G1-IS-4</v>
      </c>
      <c r="C80" s="16" t="str">
        <f aca="false">IF($A80="","",IF(ISERROR(FIND(".",INDEX(Tasks!$A:$A,$A80))),"","   ")&amp;INDEX(Tasks!$D:$D,$A80))</f>
        <v>Mesh layer</v>
      </c>
      <c r="D80" s="16" t="str">
        <f aca="false">IF($A80="","",IF(OR(INDEX(Tasks!$G:$G,$A80)="",INDEX(Tasks!$G:$G,$A80)="TBD"),INDEX(Tasks!$F:$F,$A80),INDEX(Tasks!$G:$G,$A80)))</f>
        <v>Isaac Sim</v>
      </c>
      <c r="E80" s="16" t="str">
        <f aca="false">IF($A80="","",IF(INDEX(Tasks!$H:$H,$A80)="","",INDEX(Tasks!$H:$H,$A80)))</f>
        <v>Not Started</v>
      </c>
      <c r="F80" s="17" t="n">
        <f aca="false">IF($A80="","",IF(INDEX(Tasks!$I:$I,$A80)="","",INDEX(Tasks!$I:$I,$A80)))</f>
        <v>46328</v>
      </c>
      <c r="G80" s="17" t="n">
        <f aca="false">IF($A80="","",IF(INDEX(Tasks!$K:$K,$A80)="","",INDEX(Tasks!$K:$K,$A80)))</f>
        <v>46346</v>
      </c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  <c r="AU80" s="18"/>
      <c r="AV80" s="18"/>
      <c r="AW80" s="18"/>
      <c r="AX80" s="18"/>
      <c r="AY80" s="18"/>
    </row>
    <row r="81" customFormat="false" ht="15" hidden="false" customHeight="false" outlineLevel="0" collapsed="false">
      <c r="A81" s="15" t="n">
        <f aca="false">IFERROR(MATCH(ROW()-11,Tasks!$R$4:$R$403,0)+3,"")</f>
        <v>73</v>
      </c>
      <c r="B81" s="16" t="str">
        <f aca="false">IF($A81="","",INDEX(Tasks!$A:$A,$A81))</f>
        <v>G1-IS-5</v>
      </c>
      <c r="C81" s="16" t="str">
        <f aca="false">IF($A81="","",IF(ISERROR(FIND(".",INDEX(Tasks!$A:$A,$A81))),"","   ")&amp;INDEX(Tasks!$D:$D,$A81))</f>
        <v>Expected-view render</v>
      </c>
      <c r="D81" s="16" t="str">
        <f aca="false">IF($A81="","",IF(OR(INDEX(Tasks!$G:$G,$A81)="",INDEX(Tasks!$G:$G,$A81)="TBD"),INDEX(Tasks!$F:$F,$A81),INDEX(Tasks!$G:$G,$A81)))</f>
        <v>Isaac Sim</v>
      </c>
      <c r="E81" s="16" t="str">
        <f aca="false">IF($A81="","",IF(INDEX(Tasks!$H:$H,$A81)="","",INDEX(Tasks!$H:$H,$A81)))</f>
        <v>Not Started</v>
      </c>
      <c r="F81" s="17" t="n">
        <f aca="false">IF($A81="","",IF(INDEX(Tasks!$I:$I,$A81)="","",INDEX(Tasks!$I:$I,$A81)))</f>
        <v>46349</v>
      </c>
      <c r="G81" s="17" t="n">
        <f aca="false">IF($A81="","",IF(INDEX(Tasks!$K:$K,$A81)="","",INDEX(Tasks!$K:$K,$A81)))</f>
        <v>46367</v>
      </c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  <c r="AU81" s="18"/>
      <c r="AV81" s="18"/>
      <c r="AW81" s="18"/>
      <c r="AX81" s="18"/>
      <c r="AY81" s="18"/>
    </row>
    <row r="82" customFormat="false" ht="15" hidden="false" customHeight="false" outlineLevel="0" collapsed="false">
      <c r="A82" s="15" t="n">
        <f aca="false">IFERROR(MATCH(ROW()-11,Tasks!$R$4:$R$403,0)+3,"")</f>
        <v>74</v>
      </c>
      <c r="B82" s="16" t="str">
        <f aca="false">IF($A82="","",INDEX(Tasks!$A:$A,$A82))</f>
        <v>G1-IS-6</v>
      </c>
      <c r="C82" s="16" t="str">
        <f aca="false">IF($A82="","",IF(ISERROR(FIND(".",INDEX(Tasks!$A:$A,$A82))),"","   ")&amp;INDEX(Tasks!$D:$D,$A82))</f>
        <v>Apply live USD edits</v>
      </c>
      <c r="D82" s="16" t="str">
        <f aca="false">IF($A82="","",IF(OR(INDEX(Tasks!$G:$G,$A82)="",INDEX(Tasks!$G:$G,$A82)="TBD"),INDEX(Tasks!$F:$F,$A82),INDEX(Tasks!$G:$G,$A82)))</f>
        <v>Isaac Sim</v>
      </c>
      <c r="E82" s="16" t="str">
        <f aca="false">IF($A82="","",IF(INDEX(Tasks!$H:$H,$A82)="","",INDEX(Tasks!$H:$H,$A82)))</f>
        <v>Not Started</v>
      </c>
      <c r="F82" s="17" t="n">
        <f aca="false">IF($A82="","",IF(INDEX(Tasks!$I:$I,$A82)="","",INDEX(Tasks!$I:$I,$A82)))</f>
        <v>46370</v>
      </c>
      <c r="G82" s="17" t="n">
        <f aca="false">IF($A82="","",IF(INDEX(Tasks!$K:$K,$A82)="","",INDEX(Tasks!$K:$K,$A82)))</f>
        <v>46388</v>
      </c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  <c r="AU82" s="18"/>
      <c r="AV82" s="18"/>
      <c r="AW82" s="18"/>
      <c r="AX82" s="18"/>
      <c r="AY82" s="18"/>
    </row>
    <row r="83" customFormat="false" ht="15" hidden="false" customHeight="false" outlineLevel="0" collapsed="false">
      <c r="A83" s="15" t="n">
        <f aca="false">IFERROR(MATCH(ROW()-11,Tasks!$R$4:$R$403,0)+3,"")</f>
        <v>75</v>
      </c>
      <c r="B83" s="16" t="str">
        <f aca="false">IF($A83="","",INDEX(Tasks!$A:$A,$A83))</f>
        <v>G1-IS-7</v>
      </c>
      <c r="C83" s="16" t="str">
        <f aca="false">IF($A83="","",IF(ISERROR(FIND(".",INDEX(Tasks!$A:$A,$A83))),"","   ")&amp;INDEX(Tasks!$D:$D,$A83))</f>
        <v>Control commands to robots</v>
      </c>
      <c r="D83" s="16" t="str">
        <f aca="false">IF($A83="","",IF(OR(INDEX(Tasks!$G:$G,$A83)="",INDEX(Tasks!$G:$G,$A83)="TBD"),INDEX(Tasks!$F:$F,$A83),INDEX(Tasks!$G:$G,$A83)))</f>
        <v>Isaac Sim</v>
      </c>
      <c r="E83" s="16" t="str">
        <f aca="false">IF($A83="","",IF(INDEX(Tasks!$H:$H,$A83)="","",INDEX(Tasks!$H:$H,$A83)))</f>
        <v>Not Started</v>
      </c>
      <c r="F83" s="17" t="n">
        <f aca="false">IF($A83="","",IF(INDEX(Tasks!$I:$I,$A83)="","",INDEX(Tasks!$I:$I,$A83)))</f>
        <v>46391</v>
      </c>
      <c r="G83" s="17" t="n">
        <f aca="false">IF($A83="","",IF(INDEX(Tasks!$K:$K,$A83)="","",INDEX(Tasks!$K:$K,$A83)))</f>
        <v>46402</v>
      </c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  <c r="AU83" s="18"/>
      <c r="AV83" s="18"/>
      <c r="AW83" s="18"/>
      <c r="AX83" s="18"/>
      <c r="AY83" s="18"/>
    </row>
    <row r="84" customFormat="false" ht="15" hidden="false" customHeight="false" outlineLevel="0" collapsed="false">
      <c r="A84" s="15" t="n">
        <f aca="false">IFERROR(MATCH(ROW()-11,Tasks!$R$4:$R$403,0)+3,"")</f>
        <v>76</v>
      </c>
      <c r="B84" s="16" t="str">
        <f aca="false">IF($A84="","",INDEX(Tasks!$A:$A,$A84))</f>
        <v>G1-IS-8</v>
      </c>
      <c r="C84" s="16" t="str">
        <f aca="false">IF($A84="","",IF(ISERROR(FIND(".",INDEX(Tasks!$A:$A,$A84))),"","   ")&amp;INDEX(Tasks!$D:$D,$A84))</f>
        <v>Export to Sionna</v>
      </c>
      <c r="D84" s="16" t="str">
        <f aca="false">IF($A84="","",IF(OR(INDEX(Tasks!$G:$G,$A84)="",INDEX(Tasks!$G:$G,$A84)="TBD"),INDEX(Tasks!$F:$F,$A84),INDEX(Tasks!$G:$G,$A84)))</f>
        <v>Isaac Sim</v>
      </c>
      <c r="E84" s="16" t="str">
        <f aca="false">IF($A84="","",IF(INDEX(Tasks!$H:$H,$A84)="","",INDEX(Tasks!$H:$H,$A84)))</f>
        <v>Not Started</v>
      </c>
      <c r="F84" s="17" t="n">
        <f aca="false">IF($A84="","",IF(INDEX(Tasks!$I:$I,$A84)="","",INDEX(Tasks!$I:$I,$A84)))</f>
        <v>46356</v>
      </c>
      <c r="G84" s="17" t="n">
        <f aca="false">IF($A84="","",IF(INDEX(Tasks!$K:$K,$A84)="","",INDEX(Tasks!$K:$K,$A84)))</f>
        <v>46367</v>
      </c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  <c r="AU84" s="18"/>
      <c r="AV84" s="18"/>
      <c r="AW84" s="18"/>
      <c r="AX84" s="18"/>
      <c r="AY84" s="18"/>
    </row>
    <row r="85" customFormat="false" ht="15" hidden="false" customHeight="false" outlineLevel="0" collapsed="false">
      <c r="A85" s="15" t="n">
        <f aca="false">IFERROR(MATCH(ROW()-11,Tasks!$R$4:$R$403,0)+3,"")</f>
        <v>77</v>
      </c>
      <c r="B85" s="16" t="str">
        <f aca="false">IF($A85="","",INDEX(Tasks!$A:$A,$A85))</f>
        <v>G1-SR-1</v>
      </c>
      <c r="C85" s="16" t="str">
        <f aca="false">IF($A85="","",IF(ISERROR(FIND(".",INDEX(Tasks!$A:$A,$A85))),"","   ")&amp;INDEX(Tasks!$D:$D,$A85))</f>
        <v>Scene export USD -&gt; Mitsuba</v>
      </c>
      <c r="D85" s="16" t="str">
        <f aca="false">IF($A85="","",IF(OR(INDEX(Tasks!$G:$G,$A85)="",INDEX(Tasks!$G:$G,$A85)="TBD"),INDEX(Tasks!$F:$F,$A85),INDEX(Tasks!$G:$G,$A85)))</f>
        <v>Sionna RT</v>
      </c>
      <c r="E85" s="16" t="str">
        <f aca="false">IF($A85="","",IF(INDEX(Tasks!$H:$H,$A85)="","",INDEX(Tasks!$H:$H,$A85)))</f>
        <v>Not Started</v>
      </c>
      <c r="F85" s="17" t="n">
        <f aca="false">IF($A85="","",IF(INDEX(Tasks!$I:$I,$A85)="","",INDEX(Tasks!$I:$I,$A85)))</f>
        <v>46363</v>
      </c>
      <c r="G85" s="17" t="n">
        <f aca="false">IF($A85="","",IF(INDEX(Tasks!$K:$K,$A85)="","",INDEX(Tasks!$K:$K,$A85)))</f>
        <v>46374</v>
      </c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  <c r="AT85" s="18"/>
      <c r="AU85" s="18"/>
      <c r="AV85" s="18"/>
      <c r="AW85" s="18"/>
      <c r="AX85" s="18"/>
      <c r="AY85" s="18"/>
    </row>
    <row r="86" customFormat="false" ht="15" hidden="false" customHeight="false" outlineLevel="0" collapsed="false">
      <c r="A86" s="15" t="n">
        <f aca="false">IFERROR(MATCH(ROW()-11,Tasks!$R$4:$R$403,0)+3,"")</f>
        <v>78</v>
      </c>
      <c r="B86" s="16" t="str">
        <f aca="false">IF($A86="","",INDEX(Tasks!$A:$A,$A86))</f>
        <v>G1-SR-2</v>
      </c>
      <c r="C86" s="16" t="str">
        <f aca="false">IF($A86="","",IF(ISERROR(FIND(".",INDEX(Tasks!$A:$A,$A86))),"","   ")&amp;INDEX(Tasks!$D:$D,$A86))</f>
        <v>Path solver, all Tx/Rx links</v>
      </c>
      <c r="D86" s="16" t="str">
        <f aca="false">IF($A86="","",IF(OR(INDEX(Tasks!$G:$G,$A86)="",INDEX(Tasks!$G:$G,$A86)="TBD"),INDEX(Tasks!$F:$F,$A86),INDEX(Tasks!$G:$G,$A86)))</f>
        <v>Sionna RT</v>
      </c>
      <c r="E86" s="16" t="str">
        <f aca="false">IF($A86="","",IF(INDEX(Tasks!$H:$H,$A86)="","",INDEX(Tasks!$H:$H,$A86)))</f>
        <v>Not Started</v>
      </c>
      <c r="F86" s="17" t="n">
        <f aca="false">IF($A86="","",IF(INDEX(Tasks!$I:$I,$A86)="","",INDEX(Tasks!$I:$I,$A86)))</f>
        <v>46370</v>
      </c>
      <c r="G86" s="17" t="n">
        <f aca="false">IF($A86="","",IF(INDEX(Tasks!$K:$K,$A86)="","",INDEX(Tasks!$K:$K,$A86)))</f>
        <v>46388</v>
      </c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  <c r="AT86" s="18"/>
      <c r="AU86" s="18"/>
      <c r="AV86" s="18"/>
      <c r="AW86" s="18"/>
      <c r="AX86" s="18"/>
      <c r="AY86" s="18"/>
    </row>
    <row r="87" customFormat="false" ht="15" hidden="false" customHeight="false" outlineLevel="0" collapsed="false">
      <c r="A87" s="15" t="n">
        <f aca="false">IFERROR(MATCH(ROW()-11,Tasks!$R$4:$R$403,0)+3,"")</f>
        <v>79</v>
      </c>
      <c r="B87" s="16" t="str">
        <f aca="false">IF($A87="","",INDEX(Tasks!$A:$A,$A87))</f>
        <v>G1-SR-3</v>
      </c>
      <c r="C87" s="16" t="str">
        <f aca="false">IF($A87="","",IF(ISERROR(FIND(".",INDEX(Tasks!$A:$A,$A87))),"","   ")&amp;INDEX(Tasks!$D:$D,$A87))</f>
        <v>Channel output</v>
      </c>
      <c r="D87" s="16" t="str">
        <f aca="false">IF($A87="","",IF(OR(INDEX(Tasks!$G:$G,$A87)="",INDEX(Tasks!$G:$G,$A87)="TBD"),INDEX(Tasks!$F:$F,$A87),INDEX(Tasks!$G:$G,$A87)))</f>
        <v>Sionna RT</v>
      </c>
      <c r="E87" s="16" t="str">
        <f aca="false">IF($A87="","",IF(INDEX(Tasks!$H:$H,$A87)="","",INDEX(Tasks!$H:$H,$A87)))</f>
        <v>Not Started</v>
      </c>
      <c r="F87" s="17" t="n">
        <f aca="false">IF($A87="","",IF(INDEX(Tasks!$I:$I,$A87)="","",INDEX(Tasks!$I:$I,$A87)))</f>
        <v>46384</v>
      </c>
      <c r="G87" s="17" t="n">
        <f aca="false">IF($A87="","",IF(INDEX(Tasks!$K:$K,$A87)="","",INDEX(Tasks!$K:$K,$A87)))</f>
        <v>46395</v>
      </c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  <c r="AT87" s="18"/>
      <c r="AU87" s="18"/>
      <c r="AV87" s="18"/>
      <c r="AW87" s="18"/>
      <c r="AX87" s="18"/>
      <c r="AY87" s="18"/>
    </row>
    <row r="88" customFormat="false" ht="15" hidden="false" customHeight="false" outlineLevel="0" collapsed="false">
      <c r="A88" s="15" t="n">
        <f aca="false">IFERROR(MATCH(ROW()-11,Tasks!$R$4:$R$403,0)+3,"")</f>
        <v>80</v>
      </c>
      <c r="B88" s="16" t="str">
        <f aca="false">IF($A88="","",INDEX(Tasks!$A:$A,$A88))</f>
        <v>G1-SR-4</v>
      </c>
      <c r="C88" s="16" t="str">
        <f aca="false">IF($A88="","",IF(ISERROR(FIND(".",INDEX(Tasks!$A:$A,$A88))),"","   ")&amp;INDEX(Tasks!$D:$D,$A88))</f>
        <v>Validate against measured channels</v>
      </c>
      <c r="D88" s="16" t="str">
        <f aca="false">IF($A88="","",IF(OR(INDEX(Tasks!$G:$G,$A88)="",INDEX(Tasks!$G:$G,$A88)="TBD"),INDEX(Tasks!$F:$F,$A88),INDEX(Tasks!$G:$G,$A88)))</f>
        <v>Sionna RT</v>
      </c>
      <c r="E88" s="16" t="str">
        <f aca="false">IF($A88="","",IF(INDEX(Tasks!$H:$H,$A88)="","",INDEX(Tasks!$H:$H,$A88)))</f>
        <v>Not Started</v>
      </c>
      <c r="F88" s="17" t="n">
        <f aca="false">IF($A88="","",IF(INDEX(Tasks!$I:$I,$A88)="","",INDEX(Tasks!$I:$I,$A88)))</f>
        <v>46391</v>
      </c>
      <c r="G88" s="17" t="n">
        <f aca="false">IF($A88="","",IF(INDEX(Tasks!$K:$K,$A88)="","",INDEX(Tasks!$K:$K,$A88)))</f>
        <v>46409</v>
      </c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  <c r="AT88" s="18"/>
      <c r="AU88" s="18"/>
      <c r="AV88" s="18"/>
      <c r="AW88" s="18"/>
      <c r="AX88" s="18"/>
      <c r="AY88" s="18"/>
    </row>
    <row r="89" customFormat="false" ht="15" hidden="false" customHeight="false" outlineLevel="0" collapsed="false">
      <c r="A89" s="15" t="n">
        <f aca="false">IFERROR(MATCH(ROW()-11,Tasks!$R$4:$R$403,0)+3,"")</f>
        <v>81</v>
      </c>
      <c r="B89" s="16" t="str">
        <f aca="false">IF($A89="","",INDEX(Tasks!$A:$A,$A89))</f>
        <v>G1-M1</v>
      </c>
      <c r="C89" s="16" t="str">
        <f aca="false">IF($A89="","",IF(ISERROR(FIND(".",INDEX(Tasks!$A:$A,$A89))),"","   ")&amp;INDEX(Tasks!$D:$D,$A89))</f>
        <v>M1 Offline map in Isaac</v>
      </c>
      <c r="D89" s="16" t="str">
        <f aca="false">IF($A89="","",IF(OR(INDEX(Tasks!$G:$G,$A89)="",INDEX(Tasks!$G:$G,$A89)="TBD"),INDEX(Tasks!$F:$F,$A89),INDEX(Tasks!$G:$G,$A89)))</f>
        <v>All (integration)</v>
      </c>
      <c r="E89" s="16" t="str">
        <f aca="false">IF($A89="","",IF(INDEX(Tasks!$H:$H,$A89)="","",INDEX(Tasks!$H:$H,$A89)))</f>
        <v>Not Started</v>
      </c>
      <c r="F89" s="17" t="n">
        <f aca="false">IF($A89="","",IF(INDEX(Tasks!$I:$I,$A89)="","",INDEX(Tasks!$I:$I,$A89)))</f>
        <v>46349</v>
      </c>
      <c r="G89" s="17" t="n">
        <f aca="false">IF($A89="","",IF(INDEX(Tasks!$K:$K,$A89)="","",INDEX(Tasks!$K:$K,$A89)))</f>
        <v>46353</v>
      </c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  <c r="AT89" s="18"/>
      <c r="AU89" s="18"/>
      <c r="AV89" s="18"/>
      <c r="AW89" s="18"/>
      <c r="AX89" s="18"/>
      <c r="AY89" s="18"/>
    </row>
    <row r="90" customFormat="false" ht="15" hidden="false" customHeight="false" outlineLevel="0" collapsed="false">
      <c r="A90" s="15" t="n">
        <f aca="false">IFERROR(MATCH(ROW()-11,Tasks!$R$4:$R$403,0)+3,"")</f>
        <v>82</v>
      </c>
      <c r="B90" s="16" t="str">
        <f aca="false">IF($A90="","",INDEX(Tasks!$A:$A,$A90))</f>
        <v>G1-M2</v>
      </c>
      <c r="C90" s="16" t="str">
        <f aca="false">IF($A90="","",IF(ISERROR(FIND(".",INDEX(Tasks!$A:$A,$A90))),"","   ")&amp;INDEX(Tasks!$D:$D,$A90))</f>
        <v>M2 Live robot pose in Isaac</v>
      </c>
      <c r="D90" s="16" t="str">
        <f aca="false">IF($A90="","",IF(OR(INDEX(Tasks!$G:$G,$A90)="",INDEX(Tasks!$G:$G,$A90)="TBD"),INDEX(Tasks!$F:$F,$A90),INDEX(Tasks!$G:$G,$A90)))</f>
        <v>All (integration)</v>
      </c>
      <c r="E90" s="16" t="str">
        <f aca="false">IF($A90="","",IF(INDEX(Tasks!$H:$H,$A90)="","",INDEX(Tasks!$H:$H,$A90)))</f>
        <v>Not Started</v>
      </c>
      <c r="F90" s="17" t="n">
        <f aca="false">IF($A90="","",IF(INDEX(Tasks!$I:$I,$A90)="","",INDEX(Tasks!$I:$I,$A90)))</f>
        <v>46363</v>
      </c>
      <c r="G90" s="17" t="n">
        <f aca="false">IF($A90="","",IF(INDEX(Tasks!$K:$K,$A90)="","",INDEX(Tasks!$K:$K,$A90)))</f>
        <v>46367</v>
      </c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AL90" s="18"/>
      <c r="AM90" s="18"/>
      <c r="AN90" s="18"/>
      <c r="AO90" s="18"/>
      <c r="AP90" s="18"/>
      <c r="AQ90" s="18"/>
      <c r="AR90" s="18"/>
      <c r="AS90" s="18"/>
      <c r="AT90" s="18"/>
      <c r="AU90" s="18"/>
      <c r="AV90" s="18"/>
      <c r="AW90" s="18"/>
      <c r="AX90" s="18"/>
      <c r="AY90" s="18"/>
    </row>
    <row r="91" customFormat="false" ht="15" hidden="false" customHeight="false" outlineLevel="0" collapsed="false">
      <c r="A91" s="15" t="n">
        <f aca="false">IFERROR(MATCH(ROW()-11,Tasks!$R$4:$R$403,0)+3,"")</f>
        <v>83</v>
      </c>
      <c r="B91" s="16" t="str">
        <f aca="false">IF($A91="","",INDEX(Tasks!$A:$A,$A91))</f>
        <v>G1-M3</v>
      </c>
      <c r="C91" s="16" t="str">
        <f aca="false">IF($A91="","",IF(ISERROR(FIND(".",INDEX(Tasks!$A:$A,$A91))),"","   ")&amp;INDEX(Tasks!$D:$D,$A91))</f>
        <v>M3 Change loop</v>
      </c>
      <c r="D91" s="16" t="str">
        <f aca="false">IF($A91="","",IF(OR(INDEX(Tasks!$G:$G,$A91)="",INDEX(Tasks!$G:$G,$A91)="TBD"),INDEX(Tasks!$F:$F,$A91),INDEX(Tasks!$G:$G,$A91)))</f>
        <v>All (integration)</v>
      </c>
      <c r="E91" s="16" t="str">
        <f aca="false">IF($A91="","",IF(INDEX(Tasks!$H:$H,$A91)="","",INDEX(Tasks!$H:$H,$A91)))</f>
        <v>Not Started</v>
      </c>
      <c r="F91" s="17" t="n">
        <f aca="false">IF($A91="","",IF(INDEX(Tasks!$I:$I,$A91)="","",INDEX(Tasks!$I:$I,$A91)))</f>
        <v>46391</v>
      </c>
      <c r="G91" s="17" t="n">
        <f aca="false">IF($A91="","",IF(INDEX(Tasks!$K:$K,$A91)="","",INDEX(Tasks!$K:$K,$A91)))</f>
        <v>46395</v>
      </c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AL91" s="18"/>
      <c r="AM91" s="18"/>
      <c r="AN91" s="18"/>
      <c r="AO91" s="18"/>
      <c r="AP91" s="18"/>
      <c r="AQ91" s="18"/>
      <c r="AR91" s="18"/>
      <c r="AS91" s="18"/>
      <c r="AT91" s="18"/>
      <c r="AU91" s="18"/>
      <c r="AV91" s="18"/>
      <c r="AW91" s="18"/>
      <c r="AX91" s="18"/>
      <c r="AY91" s="18"/>
    </row>
    <row r="92" customFormat="false" ht="15" hidden="false" customHeight="false" outlineLevel="0" collapsed="false">
      <c r="A92" s="15" t="n">
        <f aca="false">IFERROR(MATCH(ROW()-11,Tasks!$R$4:$R$403,0)+3,"")</f>
        <v>84</v>
      </c>
      <c r="B92" s="16" t="str">
        <f aca="false">IF($A92="","",INDEX(Tasks!$A:$A,$A92))</f>
        <v>G1-M4</v>
      </c>
      <c r="C92" s="16" t="str">
        <f aca="false">IF($A92="","",IF(ISERROR(FIND(".",INDEX(Tasks!$A:$A,$A92))),"","   ")&amp;INDEX(Tasks!$D:$D,$A92))</f>
        <v>M4 Two robots, fused map</v>
      </c>
      <c r="D92" s="16" t="str">
        <f aca="false">IF($A92="","",IF(OR(INDEX(Tasks!$G:$G,$A92)="",INDEX(Tasks!$G:$G,$A92)="TBD"),INDEX(Tasks!$F:$F,$A92),INDEX(Tasks!$G:$G,$A92)))</f>
        <v>All (integration)</v>
      </c>
      <c r="E92" s="16" t="str">
        <f aca="false">IF($A92="","",IF(INDEX(Tasks!$H:$H,$A92)="","",INDEX(Tasks!$H:$H,$A92)))</f>
        <v>Not Started</v>
      </c>
      <c r="F92" s="17" t="n">
        <f aca="false">IF($A92="","",IF(INDEX(Tasks!$I:$I,$A92)="","",INDEX(Tasks!$I:$I,$A92)))</f>
        <v>46391</v>
      </c>
      <c r="G92" s="17" t="n">
        <f aca="false">IF($A92="","",IF(INDEX(Tasks!$K:$K,$A92)="","",INDEX(Tasks!$K:$K,$A92)))</f>
        <v>46395</v>
      </c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  <c r="AT92" s="18"/>
      <c r="AU92" s="18"/>
      <c r="AV92" s="18"/>
      <c r="AW92" s="18"/>
      <c r="AX92" s="18"/>
      <c r="AY92" s="18"/>
    </row>
    <row r="93" customFormat="false" ht="15" hidden="false" customHeight="false" outlineLevel="0" collapsed="false">
      <c r="A93" s="15" t="n">
        <f aca="false">IFERROR(MATCH(ROW()-11,Tasks!$R$4:$R$403,0)+3,"")</f>
        <v>85</v>
      </c>
      <c r="B93" s="16" t="str">
        <f aca="false">IF($A93="","",INDEX(Tasks!$A:$A,$A93))</f>
        <v>G1-M5</v>
      </c>
      <c r="C93" s="16" t="str">
        <f aca="false">IF($A93="","",IF(ISERROR(FIND(".",INDEX(Tasks!$A:$A,$A93))),"","   ")&amp;INDEX(Tasks!$D:$D,$A93))</f>
        <v>M5 ED305 targets live in the twin</v>
      </c>
      <c r="D93" s="16" t="str">
        <f aca="false">IF($A93="","",IF(OR(INDEX(Tasks!$G:$G,$A93)="",INDEX(Tasks!$G:$G,$A93)="TBD"),INDEX(Tasks!$F:$F,$A93),INDEX(Tasks!$G:$G,$A93)))</f>
        <v>All (integration)</v>
      </c>
      <c r="E93" s="16" t="str">
        <f aca="false">IF($A93="","",IF(INDEX(Tasks!$H:$H,$A93)="","",INDEX(Tasks!$H:$H,$A93)))</f>
        <v>Not Started</v>
      </c>
      <c r="F93" s="17" t="n">
        <f aca="false">IF($A93="","",IF(INDEX(Tasks!$I:$I,$A93)="","",INDEX(Tasks!$I:$I,$A93)))</f>
        <v>46398</v>
      </c>
      <c r="G93" s="17" t="n">
        <f aca="false">IF($A93="","",IF(INDEX(Tasks!$K:$K,$A93)="","",INDEX(Tasks!$K:$K,$A93)))</f>
        <v>46402</v>
      </c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  <c r="AT93" s="18"/>
      <c r="AU93" s="18"/>
      <c r="AV93" s="18"/>
      <c r="AW93" s="18"/>
      <c r="AX93" s="18"/>
      <c r="AY93" s="18"/>
    </row>
    <row r="94" customFormat="false" ht="15" hidden="false" customHeight="false" outlineLevel="0" collapsed="false">
      <c r="A94" s="15" t="n">
        <f aca="false">IFERROR(MATCH(ROW()-11,Tasks!$R$4:$R$403,0)+3,"")</f>
        <v>86</v>
      </c>
      <c r="B94" s="16" t="str">
        <f aca="false">IF($A94="","",INDEX(Tasks!$A:$A,$A94))</f>
        <v>G1-M6</v>
      </c>
      <c r="C94" s="16" t="str">
        <f aca="false">IF($A94="","",IF(ISERROR(FIND(".",INDEX(Tasks!$A:$A,$A94))),"","   ")&amp;INDEX(Tasks!$D:$D,$A94))</f>
        <v>M6 Radio channels from the live twin</v>
      </c>
      <c r="D94" s="16" t="str">
        <f aca="false">IF($A94="","",IF(OR(INDEX(Tasks!$G:$G,$A94)="",INDEX(Tasks!$G:$G,$A94)="TBD"),INDEX(Tasks!$F:$F,$A94),INDEX(Tasks!$G:$G,$A94)))</f>
        <v>All (integration)</v>
      </c>
      <c r="E94" s="16" t="str">
        <f aca="false">IF($A94="","",IF(INDEX(Tasks!$H:$H,$A94)="","",INDEX(Tasks!$H:$H,$A94)))</f>
        <v>Not Started</v>
      </c>
      <c r="F94" s="17" t="n">
        <f aca="false">IF($A94="","",IF(INDEX(Tasks!$I:$I,$A94)="","",INDEX(Tasks!$I:$I,$A94)))</f>
        <v>46405</v>
      </c>
      <c r="G94" s="17" t="n">
        <f aca="false">IF($A94="","",IF(INDEX(Tasks!$K:$K,$A94)="","",INDEX(Tasks!$K:$K,$A94)))</f>
        <v>46409</v>
      </c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  <c r="AT94" s="18"/>
      <c r="AU94" s="18"/>
      <c r="AV94" s="18"/>
      <c r="AW94" s="18"/>
      <c r="AX94" s="18"/>
      <c r="AY94" s="18"/>
    </row>
    <row r="95" customFormat="false" ht="15" hidden="false" customHeight="false" outlineLevel="0" collapsed="false">
      <c r="A95" s="15" t="n">
        <f aca="false">IFERROR(MATCH(ROW()-11,Tasks!$R$4:$R$403,0)+3,"")</f>
        <v>87</v>
      </c>
      <c r="B95" s="16" t="str">
        <f aca="false">IF($A95="","",INDEX(Tasks!$A:$A,$A95))</f>
        <v>DL-1</v>
      </c>
      <c r="C95" s="16" t="str">
        <f aca="false">IF($A95="","",IF(ISERROR(FIND(".",INDEX(Tasks!$A:$A,$A95))),"","   ")&amp;INDEX(Tasks!$D:$D,$A95))</f>
        <v>Define dual-link architecture</v>
      </c>
      <c r="D95" s="16" t="str">
        <f aca="false">IF($A95="","",IF(OR(INDEX(Tasks!$G:$G,$A95)="",INDEX(Tasks!$G:$G,$A95)="TBD"),INDEX(Tasks!$F:$F,$A95),INDEX(Tasks!$G:$G,$A95)))</f>
        <v>Dual-link comms</v>
      </c>
      <c r="E95" s="16" t="str">
        <f aca="false">IF($A95="","",IF(INDEX(Tasks!$H:$H,$A95)="","",INDEX(Tasks!$H:$H,$A95)))</f>
        <v>Partially Completed</v>
      </c>
      <c r="F95" s="17" t="n">
        <f aca="false">IF($A95="","",IF(INDEX(Tasks!$I:$I,$A95)="","",INDEX(Tasks!$I:$I,$A95)))</f>
        <v>46195</v>
      </c>
      <c r="G95" s="17" t="n">
        <f aca="false">IF($A95="","",IF(INDEX(Tasks!$K:$K,$A95)="","",INDEX(Tasks!$K:$K,$A95)))</f>
        <v>46199</v>
      </c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  <c r="AT95" s="18"/>
      <c r="AU95" s="18"/>
      <c r="AV95" s="18"/>
      <c r="AW95" s="18"/>
      <c r="AX95" s="18"/>
      <c r="AY95" s="18"/>
    </row>
    <row r="96" customFormat="false" ht="15" hidden="false" customHeight="false" outlineLevel="0" collapsed="false">
      <c r="A96" s="15" t="n">
        <f aca="false">IFERROR(MATCH(ROW()-11,Tasks!$R$4:$R$403,0)+3,"")</f>
        <v>88</v>
      </c>
      <c r="B96" s="16" t="str">
        <f aca="false">IF($A96="","",INDEX(Tasks!$A:$A,$A96))</f>
        <v>DL-1.1</v>
      </c>
      <c r="C96" s="16" t="str">
        <f aca="false">IF($A96="","",IF(ISERROR(FIND(".",INDEX(Tasks!$A:$A,$A96))),"","   ")&amp;INDEX(Tasks!$D:$D,$A96))</f>
        <v>   Link Pairing Selection (WiFi + WiFi)</v>
      </c>
      <c r="D96" s="16" t="str">
        <f aca="false">IF($A96="","",IF(OR(INDEX(Tasks!$G:$G,$A96)="",INDEX(Tasks!$G:$G,$A96)="TBD"),INDEX(Tasks!$F:$F,$A96),INDEX(Tasks!$G:$G,$A96)))</f>
        <v>Dual-link comms</v>
      </c>
      <c r="E96" s="16" t="str">
        <f aca="false">IF($A96="","",IF(INDEX(Tasks!$H:$H,$A96)="","",INDEX(Tasks!$H:$H,$A96)))</f>
        <v>Partially Completed</v>
      </c>
      <c r="F96" s="17" t="n">
        <f aca="false">IF($A96="","",IF(INDEX(Tasks!$I:$I,$A96)="","",INDEX(Tasks!$I:$I,$A96)))</f>
        <v>46195</v>
      </c>
      <c r="G96" s="17" t="n">
        <f aca="false">IF($A96="","",IF(INDEX(Tasks!$K:$K,$A96)="","",INDEX(Tasks!$K:$K,$A96)))</f>
        <v>46199</v>
      </c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  <c r="AT96" s="18"/>
      <c r="AU96" s="18"/>
      <c r="AV96" s="18"/>
      <c r="AW96" s="18"/>
      <c r="AX96" s="18"/>
      <c r="AY96" s="18"/>
    </row>
    <row r="97" customFormat="false" ht="15" hidden="false" customHeight="false" outlineLevel="0" collapsed="false">
      <c r="A97" s="15" t="n">
        <f aca="false">IFERROR(MATCH(ROW()-11,Tasks!$R$4:$R$403,0)+3,"")</f>
        <v>89</v>
      </c>
      <c r="B97" s="16" t="str">
        <f aca="false">IF($A97="","",INDEX(Tasks!$A:$A,$A97))</f>
        <v>DL-1.2</v>
      </c>
      <c r="C97" s="16" t="str">
        <f aca="false">IF($A97="","",IF(ISERROR(FIND(".",INDEX(Tasks!$A:$A,$A97))),"","   ")&amp;INDEX(Tasks!$D:$D,$A97))</f>
        <v>   QoS-Tiered Traffic-Steering Policy</v>
      </c>
      <c r="D97" s="16" t="str">
        <f aca="false">IF($A97="","",IF(OR(INDEX(Tasks!$G:$G,$A97)="",INDEX(Tasks!$G:$G,$A97)="TBD"),INDEX(Tasks!$F:$F,$A97),INDEX(Tasks!$G:$G,$A97)))</f>
        <v>Dual-link comms</v>
      </c>
      <c r="E97" s="16" t="str">
        <f aca="false">IF($A97="","",IF(INDEX(Tasks!$H:$H,$A97)="","",INDEX(Tasks!$H:$H,$A97)))</f>
        <v>Partially Completed</v>
      </c>
      <c r="F97" s="17" t="n">
        <f aca="false">IF($A97="","",IF(INDEX(Tasks!$I:$I,$A97)="","",INDEX(Tasks!$I:$I,$A97)))</f>
        <v>46195</v>
      </c>
      <c r="G97" s="17" t="n">
        <f aca="false">IF($A97="","",IF(INDEX(Tasks!$K:$K,$A97)="","",INDEX(Tasks!$K:$K,$A97)))</f>
        <v>46199</v>
      </c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  <c r="AT97" s="18"/>
      <c r="AU97" s="18"/>
      <c r="AV97" s="18"/>
      <c r="AW97" s="18"/>
      <c r="AX97" s="18"/>
      <c r="AY97" s="18"/>
    </row>
    <row r="98" customFormat="false" ht="15" hidden="false" customHeight="false" outlineLevel="0" collapsed="false">
      <c r="A98" s="15" t="n">
        <f aca="false">IFERROR(MATCH(ROW()-11,Tasks!$R$4:$R$403,0)+3,"")</f>
        <v>90</v>
      </c>
      <c r="B98" s="16" t="str">
        <f aca="false">IF($A98="","",INDEX(Tasks!$A:$A,$A98))</f>
        <v>DL-2</v>
      </c>
      <c r="C98" s="16" t="str">
        <f aca="false">IF($A98="","",IF(ISERROR(FIND(".",INDEX(Tasks!$A:$A,$A98))),"","   ")&amp;INDEX(Tasks!$D:$D,$A98))</f>
        <v>Build link monitor</v>
      </c>
      <c r="D98" s="16" t="str">
        <f aca="false">IF($A98="","",IF(OR(INDEX(Tasks!$G:$G,$A98)="",INDEX(Tasks!$G:$G,$A98)="TBD"),INDEX(Tasks!$F:$F,$A98),INDEX(Tasks!$G:$G,$A98)))</f>
        <v>Dual-link comms</v>
      </c>
      <c r="E98" s="16" t="str">
        <f aca="false">IF($A98="","",IF(INDEX(Tasks!$H:$H,$A98)="","",INDEX(Tasks!$H:$H,$A98)))</f>
        <v>Partially Completed</v>
      </c>
      <c r="F98" s="17" t="n">
        <f aca="false">IF($A98="","",IF(INDEX(Tasks!$I:$I,$A98)="","",INDEX(Tasks!$I:$I,$A98)))</f>
        <v>46195</v>
      </c>
      <c r="G98" s="17" t="n">
        <f aca="false">IF($A98="","",IF(INDEX(Tasks!$K:$K,$A98)="","",INDEX(Tasks!$K:$K,$A98)))</f>
        <v>46199</v>
      </c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  <c r="AT98" s="18"/>
      <c r="AU98" s="18"/>
      <c r="AV98" s="18"/>
      <c r="AW98" s="18"/>
      <c r="AX98" s="18"/>
      <c r="AY98" s="18"/>
    </row>
    <row r="99" customFormat="false" ht="15" hidden="false" customHeight="false" outlineLevel="0" collapsed="false">
      <c r="A99" s="15" t="n">
        <f aca="false">IFERROR(MATCH(ROW()-11,Tasks!$R$4:$R$403,0)+3,"")</f>
        <v>91</v>
      </c>
      <c r="B99" s="16" t="str">
        <f aca="false">IF($A99="","",INDEX(Tasks!$A:$A,$A99))</f>
        <v>DL-2.1</v>
      </c>
      <c r="C99" s="16" t="str">
        <f aca="false">IF($A99="","",IF(ISERROR(FIND(".",INDEX(Tasks!$A:$A,$A99))),"","   ")&amp;INDEX(Tasks!$D:$D,$A99))</f>
        <v>   PER / MTU Tracking</v>
      </c>
      <c r="D99" s="16" t="str">
        <f aca="false">IF($A99="","",IF(OR(INDEX(Tasks!$G:$G,$A99)="",INDEX(Tasks!$G:$G,$A99)="TBD"),INDEX(Tasks!$F:$F,$A99),INDEX(Tasks!$G:$G,$A99)))</f>
        <v>Dual-link comms</v>
      </c>
      <c r="E99" s="16" t="str">
        <f aca="false">IF($A99="","",IF(INDEX(Tasks!$H:$H,$A99)="","",INDEX(Tasks!$H:$H,$A99)))</f>
        <v>Partially Completed</v>
      </c>
      <c r="F99" s="17" t="n">
        <f aca="false">IF($A99="","",IF(INDEX(Tasks!$I:$I,$A99)="","",INDEX(Tasks!$I:$I,$A99)))</f>
        <v>46195</v>
      </c>
      <c r="G99" s="17" t="n">
        <f aca="false">IF($A99="","",IF(INDEX(Tasks!$K:$K,$A99)="","",INDEX(Tasks!$K:$K,$A99)))</f>
        <v>46199</v>
      </c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  <c r="AT99" s="18"/>
      <c r="AU99" s="18"/>
      <c r="AV99" s="18"/>
      <c r="AW99" s="18"/>
      <c r="AX99" s="18"/>
      <c r="AY99" s="18"/>
    </row>
    <row r="100" customFormat="false" ht="15" hidden="false" customHeight="false" outlineLevel="0" collapsed="false">
      <c r="A100" s="15" t="n">
        <f aca="false">IFERROR(MATCH(ROW()-11,Tasks!$R$4:$R$403,0)+3,"")</f>
        <v>92</v>
      </c>
      <c r="B100" s="16" t="str">
        <f aca="false">IF($A100="","",INDEX(Tasks!$A:$A,$A100))</f>
        <v>DL-2.2</v>
      </c>
      <c r="C100" s="16" t="str">
        <f aca="false">IF($A100="","",IF(ISERROR(FIND(".",INDEX(Tasks!$A:$A,$A100))),"","   ")&amp;INDEX(Tasks!$D:$D,$A100))</f>
        <v>   Throughput / RTT / Queue-Health Tracking</v>
      </c>
      <c r="D100" s="16" t="str">
        <f aca="false">IF($A100="","",IF(OR(INDEX(Tasks!$G:$G,$A100)="",INDEX(Tasks!$G:$G,$A100)="TBD"),INDEX(Tasks!$F:$F,$A100),INDEX(Tasks!$G:$G,$A100)))</f>
        <v>Dual-link comms</v>
      </c>
      <c r="E100" s="16" t="str">
        <f aca="false">IF($A100="","",IF(INDEX(Tasks!$H:$H,$A100)="","",INDEX(Tasks!$H:$H,$A100)))</f>
        <v>Partially Completed</v>
      </c>
      <c r="F100" s="17" t="n">
        <f aca="false">IF($A100="","",IF(INDEX(Tasks!$I:$I,$A100)="","",INDEX(Tasks!$I:$I,$A100)))</f>
        <v>46195</v>
      </c>
      <c r="G100" s="17" t="n">
        <f aca="false">IF($A100="","",IF(INDEX(Tasks!$K:$K,$A100)="","",INDEX(Tasks!$K:$K,$A100)))</f>
        <v>46199</v>
      </c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  <c r="AT100" s="18"/>
      <c r="AU100" s="18"/>
      <c r="AV100" s="18"/>
      <c r="AW100" s="18"/>
      <c r="AX100" s="18"/>
      <c r="AY100" s="18"/>
    </row>
    <row r="101" customFormat="false" ht="15" hidden="false" customHeight="false" outlineLevel="0" collapsed="false">
      <c r="A101" s="15" t="n">
        <f aca="false">IFERROR(MATCH(ROW()-11,Tasks!$R$4:$R$403,0)+3,"")</f>
        <v>93</v>
      </c>
      <c r="B101" s="16" t="str">
        <f aca="false">IF($A101="","",INDEX(Tasks!$A:$A,$A101))</f>
        <v>DL-3</v>
      </c>
      <c r="C101" s="16" t="str">
        <f aca="false">IF($A101="","",IF(ISERROR(FIND(".",INDEX(Tasks!$A:$A,$A101))),"","   ")&amp;INDEX(Tasks!$D:$D,$A101))</f>
        <v>Implement link compression</v>
      </c>
      <c r="D101" s="16" t="str">
        <f aca="false">IF($A101="","",IF(OR(INDEX(Tasks!$G:$G,$A101)="",INDEX(Tasks!$G:$G,$A101)="TBD"),INDEX(Tasks!$F:$F,$A101),INDEX(Tasks!$G:$G,$A101)))</f>
        <v>Dual-link comms</v>
      </c>
      <c r="E101" s="16" t="str">
        <f aca="false">IF($A101="","",IF(INDEX(Tasks!$H:$H,$A101)="","",INDEX(Tasks!$H:$H,$A101)))</f>
        <v>In Progress</v>
      </c>
      <c r="F101" s="17" t="n">
        <f aca="false">IF($A101="","",IF(INDEX(Tasks!$I:$I,$A101)="","",INDEX(Tasks!$I:$I,$A101)))</f>
        <v>46195</v>
      </c>
      <c r="G101" s="17" t="n">
        <f aca="false">IF($A101="","",IF(INDEX(Tasks!$K:$K,$A101)="","",INDEX(Tasks!$K:$K,$A101)))</f>
        <v>46199</v>
      </c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  <c r="AT101" s="18"/>
      <c r="AU101" s="18"/>
      <c r="AV101" s="18"/>
      <c r="AW101" s="18"/>
      <c r="AX101" s="18"/>
      <c r="AY101" s="18"/>
    </row>
    <row r="102" customFormat="false" ht="15" hidden="false" customHeight="false" outlineLevel="0" collapsed="false">
      <c r="A102" s="15" t="n">
        <f aca="false">IFERROR(MATCH(ROW()-11,Tasks!$R$4:$R$403,0)+3,"")</f>
        <v>94</v>
      </c>
      <c r="B102" s="16" t="str">
        <f aca="false">IF($A102="","",INDEX(Tasks!$A:$A,$A102))</f>
        <v>DL-3.1</v>
      </c>
      <c r="C102" s="16" t="str">
        <f aca="false">IF($A102="","",IF(ISERROR(FIND(".",INDEX(Tasks!$A:$A,$A102))),"","   ")&amp;INDEX(Tasks!$D:$D,$A102))</f>
        <v>   Compression Module (Link-Monitor Reactive)</v>
      </c>
      <c r="D102" s="16" t="str">
        <f aca="false">IF($A102="","",IF(OR(INDEX(Tasks!$G:$G,$A102)="",INDEX(Tasks!$G:$G,$A102)="TBD"),INDEX(Tasks!$F:$F,$A102),INDEX(Tasks!$G:$G,$A102)))</f>
        <v>Dual-link comms</v>
      </c>
      <c r="E102" s="16" t="str">
        <f aca="false">IF($A102="","",IF(INDEX(Tasks!$H:$H,$A102)="","",INDEX(Tasks!$H:$H,$A102)))</f>
        <v>Partially Completed</v>
      </c>
      <c r="F102" s="17" t="n">
        <f aca="false">IF($A102="","",IF(INDEX(Tasks!$I:$I,$A102)="","",INDEX(Tasks!$I:$I,$A102)))</f>
        <v>46195</v>
      </c>
      <c r="G102" s="17" t="n">
        <f aca="false">IF($A102="","",IF(INDEX(Tasks!$K:$K,$A102)="","",INDEX(Tasks!$K:$K,$A102)))</f>
        <v>46199</v>
      </c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  <c r="AT102" s="18"/>
      <c r="AU102" s="18"/>
      <c r="AV102" s="18"/>
      <c r="AW102" s="18"/>
      <c r="AX102" s="18"/>
      <c r="AY102" s="18"/>
    </row>
    <row r="103" customFormat="false" ht="15" hidden="false" customHeight="false" outlineLevel="0" collapsed="false">
      <c r="A103" s="15" t="n">
        <f aca="false">IFERROR(MATCH(ROW()-11,Tasks!$R$4:$R$403,0)+3,"")</f>
        <v>95</v>
      </c>
      <c r="B103" s="16" t="str">
        <f aca="false">IF($A103="","",INDEX(Tasks!$A:$A,$A103))</f>
        <v>DL-3.2</v>
      </c>
      <c r="C103" s="16" t="str">
        <f aca="false">IF($A103="","",IF(ISERROR(FIND(".",INDEX(Tasks!$A:$A,$A103))),"","   ")&amp;INDEX(Tasks!$D:$D,$A103))</f>
        <v>   Compression Threshold Tuning</v>
      </c>
      <c r="D103" s="16" t="str">
        <f aca="false">IF($A103="","",IF(OR(INDEX(Tasks!$G:$G,$A103)="",INDEX(Tasks!$G:$G,$A103)="TBD"),INDEX(Tasks!$F:$F,$A103),INDEX(Tasks!$G:$G,$A103)))</f>
        <v>Dual-link comms</v>
      </c>
      <c r="E103" s="16" t="str">
        <f aca="false">IF($A103="","",IF(INDEX(Tasks!$H:$H,$A103)="","",INDEX(Tasks!$H:$H,$A103)))</f>
        <v>In Progress</v>
      </c>
      <c r="F103" s="17" t="n">
        <f aca="false">IF($A103="","",IF(INDEX(Tasks!$I:$I,$A103)="","",INDEX(Tasks!$I:$I,$A103)))</f>
        <v>46195</v>
      </c>
      <c r="G103" s="17" t="n">
        <f aca="false">IF($A103="","",IF(INDEX(Tasks!$K:$K,$A103)="","",INDEX(Tasks!$K:$K,$A103)))</f>
        <v>46199</v>
      </c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  <c r="AT103" s="18"/>
      <c r="AU103" s="18"/>
      <c r="AV103" s="18"/>
      <c r="AW103" s="18"/>
      <c r="AX103" s="18"/>
      <c r="AY103" s="18"/>
    </row>
    <row r="104" customFormat="false" ht="15" hidden="false" customHeight="false" outlineLevel="0" collapsed="false">
      <c r="A104" s="15" t="n">
        <f aca="false">IFERROR(MATCH(ROW()-11,Tasks!$R$4:$R$403,0)+3,"")</f>
        <v>96</v>
      </c>
      <c r="B104" s="16" t="str">
        <f aca="false">IF($A104="","",INDEX(Tasks!$A:$A,$A104))</f>
        <v>DL-4</v>
      </c>
      <c r="C104" s="16" t="str">
        <f aca="false">IF($A104="","",IF(ISERROR(FIND(".",INDEX(Tasks!$A:$A,$A104))),"","   ")&amp;INDEX(Tasks!$D:$D,$A104))</f>
        <v>Validate Switching Strategies — WiFi1 + WiFi2</v>
      </c>
      <c r="D104" s="16" t="str">
        <f aca="false">IF($A104="","",IF(OR(INDEX(Tasks!$G:$G,$A104)="",INDEX(Tasks!$G:$G,$A104)="TBD"),INDEX(Tasks!$F:$F,$A104),INDEX(Tasks!$G:$G,$A104)))</f>
        <v>Dual-link comms</v>
      </c>
      <c r="E104" s="16" t="str">
        <f aca="false">IF($A104="","",IF(INDEX(Tasks!$H:$H,$A104)="","",INDEX(Tasks!$H:$H,$A104)))</f>
        <v>Not Started</v>
      </c>
      <c r="F104" s="17" t="n">
        <f aca="false">IF($A104="","",IF(INDEX(Tasks!$I:$I,$A104)="","",INDEX(Tasks!$I:$I,$A104)))</f>
        <v>46195</v>
      </c>
      <c r="G104" s="17" t="n">
        <f aca="false">IF($A104="","",IF(INDEX(Tasks!$K:$K,$A104)="","",INDEX(Tasks!$K:$K,$A104)))</f>
        <v>46199</v>
      </c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  <c r="AM104" s="18"/>
      <c r="AN104" s="18"/>
      <c r="AO104" s="18"/>
      <c r="AP104" s="18"/>
      <c r="AQ104" s="18"/>
      <c r="AR104" s="18"/>
      <c r="AS104" s="18"/>
      <c r="AT104" s="18"/>
      <c r="AU104" s="18"/>
      <c r="AV104" s="18"/>
      <c r="AW104" s="18"/>
      <c r="AX104" s="18"/>
      <c r="AY104" s="18"/>
    </row>
    <row r="105" customFormat="false" ht="15" hidden="false" customHeight="false" outlineLevel="0" collapsed="false">
      <c r="A105" s="15" t="n">
        <f aca="false">IFERROR(MATCH(ROW()-11,Tasks!$R$4:$R$403,0)+3,"")</f>
        <v>97</v>
      </c>
      <c r="B105" s="16" t="str">
        <f aca="false">IF($A105="","",INDEX(Tasks!$A:$A,$A105))</f>
        <v>DL-4.1</v>
      </c>
      <c r="C105" s="16" t="str">
        <f aca="false">IF($A105="","",IF(ISERROR(FIND(".",INDEX(Tasks!$A:$A,$A105))),"","   ")&amp;INDEX(Tasks!$D:$D,$A105))</f>
        <v>   Single-Link Baseline</v>
      </c>
      <c r="D105" s="16" t="str">
        <f aca="false">IF($A105="","",IF(OR(INDEX(Tasks!$G:$G,$A105)="",INDEX(Tasks!$G:$G,$A105)="TBD"),INDEX(Tasks!$F:$F,$A105),INDEX(Tasks!$G:$G,$A105)))</f>
        <v>Dual-link comms</v>
      </c>
      <c r="E105" s="16" t="str">
        <f aca="false">IF($A105="","",IF(INDEX(Tasks!$H:$H,$A105)="","",INDEX(Tasks!$H:$H,$A105)))</f>
        <v>Not Started</v>
      </c>
      <c r="F105" s="17" t="n">
        <f aca="false">IF($A105="","",IF(INDEX(Tasks!$I:$I,$A105)="","",INDEX(Tasks!$I:$I,$A105)))</f>
        <v>46195</v>
      </c>
      <c r="G105" s="17" t="n">
        <f aca="false">IF($A105="","",IF(INDEX(Tasks!$K:$K,$A105)="","",INDEX(Tasks!$K:$K,$A105)))</f>
        <v>46199</v>
      </c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8"/>
      <c r="AM105" s="18"/>
      <c r="AN105" s="18"/>
      <c r="AO105" s="18"/>
      <c r="AP105" s="18"/>
      <c r="AQ105" s="18"/>
      <c r="AR105" s="18"/>
      <c r="AS105" s="18"/>
      <c r="AT105" s="18"/>
      <c r="AU105" s="18"/>
      <c r="AV105" s="18"/>
      <c r="AW105" s="18"/>
      <c r="AX105" s="18"/>
      <c r="AY105" s="18"/>
    </row>
    <row r="106" customFormat="false" ht="15" hidden="false" customHeight="false" outlineLevel="0" collapsed="false">
      <c r="A106" s="15" t="n">
        <f aca="false">IFERROR(MATCH(ROW()-11,Tasks!$R$4:$R$403,0)+3,"")</f>
        <v>98</v>
      </c>
      <c r="B106" s="16" t="str">
        <f aca="false">IF($A106="","",INDEX(Tasks!$A:$A,$A106))</f>
        <v>DL-4.2</v>
      </c>
      <c r="C106" s="16" t="str">
        <f aca="false">IF($A106="","",IF(ISERROR(FIND(".",INDEX(Tasks!$A:$A,$A106))),"","   ")&amp;INDEX(Tasks!$D:$D,$A106))</f>
        <v>   Full Topic Switchover</v>
      </c>
      <c r="D106" s="16" t="str">
        <f aca="false">IF($A106="","",IF(OR(INDEX(Tasks!$G:$G,$A106)="",INDEX(Tasks!$G:$G,$A106)="TBD"),INDEX(Tasks!$F:$F,$A106),INDEX(Tasks!$G:$G,$A106)))</f>
        <v>Dual-link comms</v>
      </c>
      <c r="E106" s="16" t="str">
        <f aca="false">IF($A106="","",IF(INDEX(Tasks!$H:$H,$A106)="","",INDEX(Tasks!$H:$H,$A106)))</f>
        <v>Not Started</v>
      </c>
      <c r="F106" s="17" t="n">
        <f aca="false">IF($A106="","",IF(INDEX(Tasks!$I:$I,$A106)="","",INDEX(Tasks!$I:$I,$A106)))</f>
        <v>46195</v>
      </c>
      <c r="G106" s="17" t="n">
        <f aca="false">IF($A106="","",IF(INDEX(Tasks!$K:$K,$A106)="","",INDEX(Tasks!$K:$K,$A106)))</f>
        <v>46199</v>
      </c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18"/>
      <c r="AO106" s="18"/>
      <c r="AP106" s="18"/>
      <c r="AQ106" s="18"/>
      <c r="AR106" s="18"/>
      <c r="AS106" s="18"/>
      <c r="AT106" s="18"/>
      <c r="AU106" s="18"/>
      <c r="AV106" s="18"/>
      <c r="AW106" s="18"/>
      <c r="AX106" s="18"/>
      <c r="AY106" s="18"/>
    </row>
    <row r="107" customFormat="false" ht="15" hidden="false" customHeight="false" outlineLevel="0" collapsed="false">
      <c r="A107" s="15" t="n">
        <f aca="false">IFERROR(MATCH(ROW()-11,Tasks!$R$4:$R$403,0)+3,"")</f>
        <v>99</v>
      </c>
      <c r="B107" s="16" t="str">
        <f aca="false">IF($A107="","",INDEX(Tasks!$A:$A,$A107))</f>
        <v>DL-4.3</v>
      </c>
      <c r="C107" s="16" t="str">
        <f aca="false">IF($A107="","",IF(ISERROR(FIND(".",INDEX(Tasks!$A:$A,$A107))),"","   ")&amp;INDEX(Tasks!$D:$D,$A107))</f>
        <v>   True Dual-Link (QoS-Tiered Per-Topic)</v>
      </c>
      <c r="D107" s="16" t="str">
        <f aca="false">IF($A107="","",IF(OR(INDEX(Tasks!$G:$G,$A107)="",INDEX(Tasks!$G:$G,$A107)="TBD"),INDEX(Tasks!$F:$F,$A107),INDEX(Tasks!$G:$G,$A107)))</f>
        <v>Dual-link comms</v>
      </c>
      <c r="E107" s="16" t="str">
        <f aca="false">IF($A107="","",IF(INDEX(Tasks!$H:$H,$A107)="","",INDEX(Tasks!$H:$H,$A107)))</f>
        <v>Not Started</v>
      </c>
      <c r="F107" s="17" t="n">
        <f aca="false">IF($A107="","",IF(INDEX(Tasks!$I:$I,$A107)="","",INDEX(Tasks!$I:$I,$A107)))</f>
        <v>46202</v>
      </c>
      <c r="G107" s="17" t="n">
        <f aca="false">IF($A107="","",IF(INDEX(Tasks!$K:$K,$A107)="","",INDEX(Tasks!$K:$K,$A107)))</f>
        <v>46206</v>
      </c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/>
      <c r="AT107" s="18"/>
      <c r="AU107" s="18"/>
      <c r="AV107" s="18"/>
      <c r="AW107" s="18"/>
      <c r="AX107" s="18"/>
      <c r="AY107" s="18"/>
    </row>
    <row r="108" customFormat="false" ht="15" hidden="false" customHeight="false" outlineLevel="0" collapsed="false">
      <c r="A108" s="15" t="n">
        <f aca="false">IFERROR(MATCH(ROW()-11,Tasks!$R$4:$R$403,0)+3,"")</f>
        <v>100</v>
      </c>
      <c r="B108" s="16" t="str">
        <f aca="false">IF($A108="","",INDEX(Tasks!$A:$A,$A108))</f>
        <v>DL-5</v>
      </c>
      <c r="C108" s="16" t="str">
        <f aca="false">IF($A108="","",IF(ISERROR(FIND(".",INDEX(Tasks!$A:$A,$A108))),"","   ")&amp;INDEX(Tasks!$D:$D,$A108))</f>
        <v>Extend to WiFi + 5G</v>
      </c>
      <c r="D108" s="16" t="str">
        <f aca="false">IF($A108="","",IF(OR(INDEX(Tasks!$G:$G,$A108)="",INDEX(Tasks!$G:$G,$A108)="TBD"),INDEX(Tasks!$F:$F,$A108),INDEX(Tasks!$G:$G,$A108)))</f>
        <v>Dual-link comms</v>
      </c>
      <c r="E108" s="16" t="str">
        <f aca="false">IF($A108="","",IF(INDEX(Tasks!$H:$H,$A108)="","",INDEX(Tasks!$H:$H,$A108)))</f>
        <v>Not Started</v>
      </c>
      <c r="F108" s="17" t="n">
        <f aca="false">IF($A108="","",IF(INDEX(Tasks!$I:$I,$A108)="","",INDEX(Tasks!$I:$I,$A108)))</f>
        <v>46202</v>
      </c>
      <c r="G108" s="17" t="n">
        <f aca="false">IF($A108="","",IF(INDEX(Tasks!$K:$K,$A108)="","",INDEX(Tasks!$K:$K,$A108)))</f>
        <v>46213</v>
      </c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  <c r="AT108" s="18"/>
      <c r="AU108" s="18"/>
      <c r="AV108" s="18"/>
      <c r="AW108" s="18"/>
      <c r="AX108" s="18"/>
      <c r="AY108" s="18"/>
    </row>
    <row r="109" customFormat="false" ht="15" hidden="false" customHeight="false" outlineLevel="0" collapsed="false">
      <c r="A109" s="15" t="n">
        <f aca="false">IFERROR(MATCH(ROW()-11,Tasks!$R$4:$R$403,0)+3,"")</f>
        <v>101</v>
      </c>
      <c r="B109" s="16" t="str">
        <f aca="false">IF($A109="","",INDEX(Tasks!$A:$A,$A109))</f>
        <v>DL-5.1</v>
      </c>
      <c r="C109" s="16" t="str">
        <f aca="false">IF($A109="","",IF(ISERROR(FIND(".",INDEX(Tasks!$A:$A,$A109))),"","   ")&amp;INDEX(Tasks!$D:$D,$A109))</f>
        <v>   WiFi + 5G Link Pairing &amp; Switching Validation</v>
      </c>
      <c r="D109" s="16" t="str">
        <f aca="false">IF($A109="","",IF(OR(INDEX(Tasks!$G:$G,$A109)="",INDEX(Tasks!$G:$G,$A109)="TBD"),INDEX(Tasks!$F:$F,$A109),INDEX(Tasks!$G:$G,$A109)))</f>
        <v>Dual-link comms</v>
      </c>
      <c r="E109" s="16" t="str">
        <f aca="false">IF($A109="","",IF(INDEX(Tasks!$H:$H,$A109)="","",INDEX(Tasks!$H:$H,$A109)))</f>
        <v>Not Started</v>
      </c>
      <c r="F109" s="17" t="n">
        <f aca="false">IF($A109="","",IF(INDEX(Tasks!$I:$I,$A109)="","",INDEX(Tasks!$I:$I,$A109)))</f>
        <v>46202</v>
      </c>
      <c r="G109" s="17" t="n">
        <f aca="false">IF($A109="","",IF(INDEX(Tasks!$K:$K,$A109)="","",INDEX(Tasks!$K:$K,$A109)))</f>
        <v>46206</v>
      </c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/>
      <c r="AT109" s="18"/>
      <c r="AU109" s="18"/>
      <c r="AV109" s="18"/>
      <c r="AW109" s="18"/>
      <c r="AX109" s="18"/>
      <c r="AY109" s="18"/>
    </row>
    <row r="110" customFormat="false" ht="15" hidden="false" customHeight="false" outlineLevel="0" collapsed="false">
      <c r="A110" s="15" t="n">
        <f aca="false">IFERROR(MATCH(ROW()-11,Tasks!$R$4:$R$403,0)+3,"")</f>
        <v>102</v>
      </c>
      <c r="B110" s="16" t="str">
        <f aca="false">IF($A110="","",INDEX(Tasks!$A:$A,$A110))</f>
        <v>DL-5.2</v>
      </c>
      <c r="C110" s="16" t="str">
        <f aca="false">IF($A110="","",IF(ISERROR(FIND(".",INDEX(Tasks!$A:$A,$A110))),"","   ")&amp;INDEX(Tasks!$D:$D,$A110))</f>
        <v>   Application-Level Testing on WiFi + 5G</v>
      </c>
      <c r="D110" s="16" t="str">
        <f aca="false">IF($A110="","",IF(OR(INDEX(Tasks!$G:$G,$A110)="",INDEX(Tasks!$G:$G,$A110)="TBD"),INDEX(Tasks!$F:$F,$A110),INDEX(Tasks!$G:$G,$A110)))</f>
        <v>Dual-link comms</v>
      </c>
      <c r="E110" s="16" t="str">
        <f aca="false">IF($A110="","",IF(INDEX(Tasks!$H:$H,$A110)="","",INDEX(Tasks!$H:$H,$A110)))</f>
        <v>Not Started</v>
      </c>
      <c r="F110" s="17" t="n">
        <f aca="false">IF($A110="","",IF(INDEX(Tasks!$I:$I,$A110)="","",INDEX(Tasks!$I:$I,$A110)))</f>
        <v>46209</v>
      </c>
      <c r="G110" s="17" t="n">
        <f aca="false">IF($A110="","",IF(INDEX(Tasks!$K:$K,$A110)="","",INDEX(Tasks!$K:$K,$A110)))</f>
        <v>46213</v>
      </c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  <c r="AT110" s="18"/>
      <c r="AU110" s="18"/>
      <c r="AV110" s="18"/>
      <c r="AW110" s="18"/>
      <c r="AX110" s="18"/>
      <c r="AY110" s="18"/>
    </row>
    <row r="111" customFormat="false" ht="15" hidden="false" customHeight="false" outlineLevel="0" collapsed="false">
      <c r="A111" s="15" t="n">
        <f aca="false">IFERROR(MATCH(ROW()-11,Tasks!$R$4:$R$403,0)+3,"")</f>
        <v>103</v>
      </c>
      <c r="B111" s="16" t="str">
        <f aca="false">IF($A111="","",INDEX(Tasks!$A:$A,$A111))</f>
        <v>DL-6</v>
      </c>
      <c r="C111" s="16" t="str">
        <f aca="false">IF($A111="","",IF(ISERROR(FIND(".",INDEX(Tasks!$A:$A,$A111))),"","   ")&amp;INDEX(Tasks!$D:$D,$A111))</f>
        <v>Test failover &amp; reliability</v>
      </c>
      <c r="D111" s="16" t="str">
        <f aca="false">IF($A111="","",IF(OR(INDEX(Tasks!$G:$G,$A111)="",INDEX(Tasks!$G:$G,$A111)="TBD"),INDEX(Tasks!$F:$F,$A111),INDEX(Tasks!$G:$G,$A111)))</f>
        <v>Dual-link comms</v>
      </c>
      <c r="E111" s="16" t="str">
        <f aca="false">IF($A111="","",IF(INDEX(Tasks!$H:$H,$A111)="","",INDEX(Tasks!$H:$H,$A111)))</f>
        <v>Not Started</v>
      </c>
      <c r="F111" s="17" t="n">
        <f aca="false">IF($A111="","",IF(INDEX(Tasks!$I:$I,$A111)="","",INDEX(Tasks!$I:$I,$A111)))</f>
        <v>46216</v>
      </c>
      <c r="G111" s="17" t="n">
        <f aca="false">IF($A111="","",IF(INDEX(Tasks!$K:$K,$A111)="","",INDEX(Tasks!$K:$K,$A111)))</f>
        <v>46220</v>
      </c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18"/>
      <c r="AL111" s="18"/>
      <c r="AM111" s="18"/>
      <c r="AN111" s="18"/>
      <c r="AO111" s="18"/>
      <c r="AP111" s="18"/>
      <c r="AQ111" s="18"/>
      <c r="AR111" s="18"/>
      <c r="AS111" s="18"/>
      <c r="AT111" s="18"/>
      <c r="AU111" s="18"/>
      <c r="AV111" s="18"/>
      <c r="AW111" s="18"/>
      <c r="AX111" s="18"/>
      <c r="AY111" s="18"/>
    </row>
    <row r="112" customFormat="false" ht="15" hidden="false" customHeight="false" outlineLevel="0" collapsed="false">
      <c r="A112" s="15" t="n">
        <f aca="false">IFERROR(MATCH(ROW()-11,Tasks!$R$4:$R$403,0)+3,"")</f>
        <v>104</v>
      </c>
      <c r="B112" s="16" t="str">
        <f aca="false">IF($A112="","",INDEX(Tasks!$A:$A,$A112))</f>
        <v>DL-6.1</v>
      </c>
      <c r="C112" s="16" t="str">
        <f aca="false">IF($A112="","",IF(ISERROR(FIND(".",INDEX(Tasks!$A:$A,$A112))),"","   ")&amp;INDEX(Tasks!$D:$D,$A112))</f>
        <v>   Failover Test Scenarios</v>
      </c>
      <c r="D112" s="16" t="str">
        <f aca="false">IF($A112="","",IF(OR(INDEX(Tasks!$G:$G,$A112)="",INDEX(Tasks!$G:$G,$A112)="TBD"),INDEX(Tasks!$F:$F,$A112),INDEX(Tasks!$G:$G,$A112)))</f>
        <v>Dual-link comms</v>
      </c>
      <c r="E112" s="16" t="str">
        <f aca="false">IF($A112="","",IF(INDEX(Tasks!$H:$H,$A112)="","",INDEX(Tasks!$H:$H,$A112)))</f>
        <v>Not Started</v>
      </c>
      <c r="F112" s="17" t="n">
        <f aca="false">IF($A112="","",IF(INDEX(Tasks!$I:$I,$A112)="","",INDEX(Tasks!$I:$I,$A112)))</f>
        <v>46216</v>
      </c>
      <c r="G112" s="17" t="n">
        <f aca="false">IF($A112="","",IF(INDEX(Tasks!$K:$K,$A112)="","",INDEX(Tasks!$K:$K,$A112)))</f>
        <v>46220</v>
      </c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  <c r="AH112" s="18"/>
      <c r="AI112" s="18"/>
      <c r="AJ112" s="18"/>
      <c r="AK112" s="18"/>
      <c r="AL112" s="18"/>
      <c r="AM112" s="18"/>
      <c r="AN112" s="18"/>
      <c r="AO112" s="18"/>
      <c r="AP112" s="18"/>
      <c r="AQ112" s="18"/>
      <c r="AR112" s="18"/>
      <c r="AS112" s="18"/>
      <c r="AT112" s="18"/>
      <c r="AU112" s="18"/>
      <c r="AV112" s="18"/>
      <c r="AW112" s="18"/>
      <c r="AX112" s="18"/>
      <c r="AY112" s="18"/>
    </row>
    <row r="113" customFormat="false" ht="15" hidden="false" customHeight="false" outlineLevel="0" collapsed="false">
      <c r="A113" s="15" t="n">
        <f aca="false">IFERROR(MATCH(ROW()-11,Tasks!$R$4:$R$403,0)+3,"")</f>
        <v>105</v>
      </c>
      <c r="B113" s="16" t="str">
        <f aca="false">IF($A113="","",INDEX(Tasks!$A:$A,$A113))</f>
        <v>DL-6.2</v>
      </c>
      <c r="C113" s="16" t="str">
        <f aca="false">IF($A113="","",IF(ISERROR(FIND(".",INDEX(Tasks!$A:$A,$A113))),"","   ")&amp;INDEX(Tasks!$D:$D,$A113))</f>
        <v>   Availability / Latency Target Validation</v>
      </c>
      <c r="D113" s="16" t="str">
        <f aca="false">IF($A113="","",IF(OR(INDEX(Tasks!$G:$G,$A113)="",INDEX(Tasks!$G:$G,$A113)="TBD"),INDEX(Tasks!$F:$F,$A113),INDEX(Tasks!$G:$G,$A113)))</f>
        <v>Dual-link comms</v>
      </c>
      <c r="E113" s="16" t="str">
        <f aca="false">IF($A113="","",IF(INDEX(Tasks!$H:$H,$A113)="","",INDEX(Tasks!$H:$H,$A113)))</f>
        <v>Not Started</v>
      </c>
      <c r="F113" s="17" t="n">
        <f aca="false">IF($A113="","",IF(INDEX(Tasks!$I:$I,$A113)="","",INDEX(Tasks!$I:$I,$A113)))</f>
        <v>46216</v>
      </c>
      <c r="G113" s="17" t="n">
        <f aca="false">IF($A113="","",IF(INDEX(Tasks!$K:$K,$A113)="","",INDEX(Tasks!$K:$K,$A113)))</f>
        <v>46220</v>
      </c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  <c r="AT113" s="18"/>
      <c r="AU113" s="18"/>
      <c r="AV113" s="18"/>
      <c r="AW113" s="18"/>
      <c r="AX113" s="18"/>
      <c r="AY113" s="18"/>
    </row>
    <row r="114" customFormat="false" ht="15" hidden="false" customHeight="false" outlineLevel="0" collapsed="false">
      <c r="A114" s="15" t="n">
        <f aca="false">IFERROR(MATCH(ROW()-11,Tasks!$R$4:$R$403,0)+3,"")</f>
        <v>106</v>
      </c>
      <c r="B114" s="16" t="str">
        <f aca="false">IF($A114="","",INDEX(Tasks!$A:$A,$A114))</f>
        <v>DL-7</v>
      </c>
      <c r="C114" s="16" t="str">
        <f aca="false">IF($A114="","",IF(ISERROR(FIND(".",INDEX(Tasks!$A:$A,$A114))),"","   ")&amp;INDEX(Tasks!$D:$D,$A114))</f>
        <v>Integrate with digital twin</v>
      </c>
      <c r="D114" s="16" t="str">
        <f aca="false">IF($A114="","",IF(OR(INDEX(Tasks!$G:$G,$A114)="",INDEX(Tasks!$G:$G,$A114)="TBD"),INDEX(Tasks!$F:$F,$A114),INDEX(Tasks!$G:$G,$A114)))</f>
        <v>Dual-link comms</v>
      </c>
      <c r="E114" s="16" t="str">
        <f aca="false">IF($A114="","",IF(INDEX(Tasks!$H:$H,$A114)="","",INDEX(Tasks!$H:$H,$A114)))</f>
        <v>Not Started</v>
      </c>
      <c r="F114" s="17" t="n">
        <f aca="false">IF($A114="","",IF(INDEX(Tasks!$I:$I,$A114)="","",INDEX(Tasks!$I:$I,$A114)))</f>
        <v>46223</v>
      </c>
      <c r="G114" s="17" t="n">
        <f aca="false">IF($A114="","",IF(INDEX(Tasks!$K:$K,$A114)="","",INDEX(Tasks!$K:$K,$A114)))</f>
        <v>46234</v>
      </c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18"/>
      <c r="AO114" s="18"/>
      <c r="AP114" s="18"/>
      <c r="AQ114" s="18"/>
      <c r="AR114" s="18"/>
      <c r="AS114" s="18"/>
      <c r="AT114" s="18"/>
      <c r="AU114" s="18"/>
      <c r="AV114" s="18"/>
      <c r="AW114" s="18"/>
      <c r="AX114" s="18"/>
      <c r="AY114" s="18"/>
    </row>
    <row r="115" customFormat="false" ht="15" hidden="false" customHeight="false" outlineLevel="0" collapsed="false">
      <c r="A115" s="15" t="n">
        <f aca="false">IFERROR(MATCH(ROW()-11,Tasks!$R$4:$R$403,0)+3,"")</f>
        <v>107</v>
      </c>
      <c r="B115" s="16" t="str">
        <f aca="false">IF($A115="","",INDEX(Tasks!$A:$A,$A115))</f>
        <v>DL-7.1</v>
      </c>
      <c r="C115" s="16" t="str">
        <f aca="false">IF($A115="","",IF(ISERROR(FIND(".",INDEX(Tasks!$A:$A,$A115))),"","   ")&amp;INDEX(Tasks!$D:$D,$A115))</f>
        <v>   Predictive Handover &lt;-&gt; Twin Tracking Wiring</v>
      </c>
      <c r="D115" s="16" t="str">
        <f aca="false">IF($A115="","",IF(OR(INDEX(Tasks!$G:$G,$A115)="",INDEX(Tasks!$G:$G,$A115)="TBD"),INDEX(Tasks!$F:$F,$A115),INDEX(Tasks!$G:$G,$A115)))</f>
        <v>Dual-link comms</v>
      </c>
      <c r="E115" s="16" t="str">
        <f aca="false">IF($A115="","",IF(INDEX(Tasks!$H:$H,$A115)="","",INDEX(Tasks!$H:$H,$A115)))</f>
        <v>Not Started</v>
      </c>
      <c r="F115" s="17" t="n">
        <f aca="false">IF($A115="","",IF(INDEX(Tasks!$I:$I,$A115)="","",INDEX(Tasks!$I:$I,$A115)))</f>
        <v>46223</v>
      </c>
      <c r="G115" s="17" t="n">
        <f aca="false">IF($A115="","",IF(INDEX(Tasks!$K:$K,$A115)="","",INDEX(Tasks!$K:$K,$A115)))</f>
        <v>46227</v>
      </c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  <c r="AU115" s="18"/>
      <c r="AV115" s="18"/>
      <c r="AW115" s="18"/>
      <c r="AX115" s="18"/>
      <c r="AY115" s="18"/>
    </row>
    <row r="116" customFormat="false" ht="15" hidden="false" customHeight="false" outlineLevel="0" collapsed="false">
      <c r="A116" s="15" t="n">
        <f aca="false">IFERROR(MATCH(ROW()-11,Tasks!$R$4:$R$403,0)+3,"")</f>
        <v>108</v>
      </c>
      <c r="B116" s="16" t="str">
        <f aca="false">IF($A116="","",INDEX(Tasks!$A:$A,$A116))</f>
        <v>DL-7.2</v>
      </c>
      <c r="C116" s="16" t="str">
        <f aca="false">IF($A116="","",IF(ISERROR(FIND(".",INDEX(Tasks!$A:$A,$A116))),"","   ")&amp;INDEX(Tasks!$D:$D,$A116))</f>
        <v>   End-to-End Integration Test</v>
      </c>
      <c r="D116" s="16" t="str">
        <f aca="false">IF($A116="","",IF(OR(INDEX(Tasks!$G:$G,$A116)="",INDEX(Tasks!$G:$G,$A116)="TBD"),INDEX(Tasks!$F:$F,$A116),INDEX(Tasks!$G:$G,$A116)))</f>
        <v>Dual-link comms</v>
      </c>
      <c r="E116" s="16" t="str">
        <f aca="false">IF($A116="","",IF(INDEX(Tasks!$H:$H,$A116)="","",INDEX(Tasks!$H:$H,$A116)))</f>
        <v>Not Started</v>
      </c>
      <c r="F116" s="17" t="n">
        <f aca="false">IF($A116="","",IF(INDEX(Tasks!$I:$I,$A116)="","",INDEX(Tasks!$I:$I,$A116)))</f>
        <v>46230</v>
      </c>
      <c r="G116" s="17" t="n">
        <f aca="false">IF($A116="","",IF(INDEX(Tasks!$K:$K,$A116)="","",INDEX(Tasks!$K:$K,$A116)))</f>
        <v>46234</v>
      </c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  <c r="AU116" s="18"/>
      <c r="AV116" s="18"/>
      <c r="AW116" s="18"/>
      <c r="AX116" s="18"/>
      <c r="AY116" s="18"/>
    </row>
    <row r="117" customFormat="false" ht="15" hidden="false" customHeight="false" outlineLevel="0" collapsed="false">
      <c r="A117" s="15" t="n">
        <f aca="false">IFERROR(MATCH(ROW()-11,Tasks!$R$4:$R$403,0)+3,"")</f>
        <v>109</v>
      </c>
      <c r="B117" s="16" t="str">
        <f aca="false">IF($A117="","",INDEX(Tasks!$A:$A,$A117))</f>
        <v>SC-1</v>
      </c>
      <c r="C117" s="16" t="str">
        <f aca="false">IF($A117="","",IF(ISERROR(FIND(".",INDEX(Tasks!$A:$A,$A117))),"","   ")&amp;INDEX(Tasks!$D:$D,$A117))</f>
        <v>Object Recognition (Camera Encoder/Decoder)</v>
      </c>
      <c r="D117" s="16" t="str">
        <f aca="false">IF($A117="","",IF(OR(INDEX(Tasks!$G:$G,$A117)="",INDEX(Tasks!$G:$G,$A117)="TBD"),INDEX(Tasks!$F:$F,$A117),INDEX(Tasks!$G:$G,$A117)))</f>
        <v>Semantic comms</v>
      </c>
      <c r="E117" s="16" t="str">
        <f aca="false">IF($A117="","",IF(INDEX(Tasks!$H:$H,$A117)="","",INDEX(Tasks!$H:$H,$A117)))</f>
        <v>Not Started</v>
      </c>
      <c r="F117" s="17" t="n">
        <f aca="false">IF($A117="","",IF(INDEX(Tasks!$I:$I,$A117)="","",INDEX(Tasks!$I:$I,$A117)))</f>
        <v>46195</v>
      </c>
      <c r="G117" s="17" t="n">
        <f aca="false">IF($A117="","",IF(INDEX(Tasks!$K:$K,$A117)="","",INDEX(Tasks!$K:$K,$A117)))</f>
        <v>46206</v>
      </c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  <c r="AU117" s="18"/>
      <c r="AV117" s="18"/>
      <c r="AW117" s="18"/>
      <c r="AX117" s="18"/>
      <c r="AY117" s="18"/>
    </row>
    <row r="118" customFormat="false" ht="15" hidden="false" customHeight="false" outlineLevel="0" collapsed="false">
      <c r="A118" s="15" t="n">
        <f aca="false">IFERROR(MATCH(ROW()-11,Tasks!$R$4:$R$403,0)+3,"")</f>
        <v>110</v>
      </c>
      <c r="B118" s="16" t="str">
        <f aca="false">IF($A118="","",INDEX(Tasks!$A:$A,$A118))</f>
        <v>SC-1.1</v>
      </c>
      <c r="C118" s="16" t="str">
        <f aca="false">IF($A118="","",IF(ISERROR(FIND(".",INDEX(Tasks!$A:$A,$A118))),"","   ")&amp;INDEX(Tasks!$D:$D,$A118))</f>
        <v>   Encoder + Decoder</v>
      </c>
      <c r="D118" s="16" t="str">
        <f aca="false">IF($A118="","",IF(OR(INDEX(Tasks!$G:$G,$A118)="",INDEX(Tasks!$G:$G,$A118)="TBD"),INDEX(Tasks!$F:$F,$A118),INDEX(Tasks!$G:$G,$A118)))</f>
        <v>Semantic comms</v>
      </c>
      <c r="E118" s="16" t="str">
        <f aca="false">IF($A118="","",IF(INDEX(Tasks!$H:$H,$A118)="","",INDEX(Tasks!$H:$H,$A118)))</f>
        <v>Not Started</v>
      </c>
      <c r="F118" s="17" t="n">
        <f aca="false">IF($A118="","",IF(INDEX(Tasks!$I:$I,$A118)="","",INDEX(Tasks!$I:$I,$A118)))</f>
        <v>46195</v>
      </c>
      <c r="G118" s="17" t="n">
        <f aca="false">IF($A118="","",IF(INDEX(Tasks!$K:$K,$A118)="","",INDEX(Tasks!$K:$K,$A118)))</f>
        <v>46206</v>
      </c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  <c r="AU118" s="18"/>
      <c r="AV118" s="18"/>
      <c r="AW118" s="18"/>
      <c r="AX118" s="18"/>
      <c r="AY118" s="18"/>
    </row>
    <row r="119" customFormat="false" ht="15" hidden="false" customHeight="false" outlineLevel="0" collapsed="false">
      <c r="A119" s="15" t="n">
        <f aca="false">IFERROR(MATCH(ROW()-11,Tasks!$R$4:$R$403,0)+3,"")</f>
        <v>111</v>
      </c>
      <c r="B119" s="16" t="str">
        <f aca="false">IF($A119="","",INDEX(Tasks!$A:$A,$A119))</f>
        <v>SC-1.2</v>
      </c>
      <c r="C119" s="16" t="str">
        <f aca="false">IF($A119="","",IF(ISERROR(FIND(".",INDEX(Tasks!$A:$A,$A119))),"","   ")&amp;INDEX(Tasks!$D:$D,$A119))</f>
        <v>   Accuracy Validation</v>
      </c>
      <c r="D119" s="16" t="str">
        <f aca="false">IF($A119="","",IF(OR(INDEX(Tasks!$G:$G,$A119)="",INDEX(Tasks!$G:$G,$A119)="TBD"),INDEX(Tasks!$F:$F,$A119),INDEX(Tasks!$G:$G,$A119)))</f>
        <v>Semantic comms</v>
      </c>
      <c r="E119" s="16" t="str">
        <f aca="false">IF($A119="","",IF(INDEX(Tasks!$H:$H,$A119)="","",INDEX(Tasks!$H:$H,$A119)))</f>
        <v>Not Started</v>
      </c>
      <c r="F119" s="17" t="n">
        <f aca="false">IF($A119="","",IF(INDEX(Tasks!$I:$I,$A119)="","",INDEX(Tasks!$I:$I,$A119)))</f>
        <v>46202</v>
      </c>
      <c r="G119" s="17" t="n">
        <f aca="false">IF($A119="","",IF(INDEX(Tasks!$K:$K,$A119)="","",INDEX(Tasks!$K:$K,$A119)))</f>
        <v>46206</v>
      </c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  <c r="AU119" s="18"/>
      <c r="AV119" s="18"/>
      <c r="AW119" s="18"/>
      <c r="AX119" s="18"/>
      <c r="AY119" s="18"/>
    </row>
    <row r="120" customFormat="false" ht="15" hidden="false" customHeight="false" outlineLevel="0" collapsed="false">
      <c r="A120" s="15" t="n">
        <f aca="false">IFERROR(MATCH(ROW()-11,Tasks!$R$4:$R$403,0)+3,"")</f>
        <v>112</v>
      </c>
      <c r="B120" s="16" t="str">
        <f aca="false">IF($A120="","",INDEX(Tasks!$A:$A,$A120))</f>
        <v>SC-2</v>
      </c>
      <c r="C120" s="16" t="str">
        <f aca="false">IF($A120="","",IF(ISERROR(FIND(".",INDEX(Tasks!$A:$A,$A120))),"","   ")&amp;INDEX(Tasks!$D:$D,$A120))</f>
        <v>Build Core Framework</v>
      </c>
      <c r="D120" s="16" t="str">
        <f aca="false">IF($A120="","",IF(OR(INDEX(Tasks!$G:$G,$A120)="",INDEX(Tasks!$G:$G,$A120)="TBD"),INDEX(Tasks!$F:$F,$A120),INDEX(Tasks!$G:$G,$A120)))</f>
        <v>Semantic comms</v>
      </c>
      <c r="E120" s="16" t="str">
        <f aca="false">IF($A120="","",IF(INDEX(Tasks!$H:$H,$A120)="","",INDEX(Tasks!$H:$H,$A120)))</f>
        <v>Not Started</v>
      </c>
      <c r="F120" s="17" t="n">
        <f aca="false">IF($A120="","",IF(INDEX(Tasks!$I:$I,$A120)="","",INDEX(Tasks!$I:$I,$A120)))</f>
        <v>46209</v>
      </c>
      <c r="G120" s="17" t="n">
        <f aca="false">IF($A120="","",IF(INDEX(Tasks!$K:$K,$A120)="","",INDEX(Tasks!$K:$K,$A120)))</f>
        <v>46220</v>
      </c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  <c r="AU120" s="18"/>
      <c r="AV120" s="18"/>
      <c r="AW120" s="18"/>
      <c r="AX120" s="18"/>
      <c r="AY120" s="18"/>
    </row>
    <row r="121" customFormat="false" ht="15" hidden="false" customHeight="false" outlineLevel="0" collapsed="false">
      <c r="A121" s="15" t="n">
        <f aca="false">IFERROR(MATCH(ROW()-11,Tasks!$R$4:$R$403,0)+3,"")</f>
        <v>113</v>
      </c>
      <c r="B121" s="16" t="str">
        <f aca="false">IF($A121="","",INDEX(Tasks!$A:$A,$A121))</f>
        <v>SC-2.1</v>
      </c>
      <c r="C121" s="16" t="str">
        <f aca="false">IF($A121="","",IF(ISERROR(FIND(".",INDEX(Tasks!$A:$A,$A121))),"","   ")&amp;INDEX(Tasks!$D:$D,$A121))</f>
        <v>   Baseline 3-Stage Framework</v>
      </c>
      <c r="D121" s="16" t="str">
        <f aca="false">IF($A121="","",IF(OR(INDEX(Tasks!$G:$G,$A121)="",INDEX(Tasks!$G:$G,$A121)="TBD"),INDEX(Tasks!$F:$F,$A121),INDEX(Tasks!$G:$G,$A121)))</f>
        <v>Semantic comms</v>
      </c>
      <c r="E121" s="16" t="str">
        <f aca="false">IF($A121="","",IF(INDEX(Tasks!$H:$H,$A121)="","",INDEX(Tasks!$H:$H,$A121)))</f>
        <v>Not Started</v>
      </c>
      <c r="F121" s="17" t="n">
        <f aca="false">IF($A121="","",IF(INDEX(Tasks!$I:$I,$A121)="","",INDEX(Tasks!$I:$I,$A121)))</f>
        <v>46209</v>
      </c>
      <c r="G121" s="17" t="n">
        <f aca="false">IF($A121="","",IF(INDEX(Tasks!$K:$K,$A121)="","",INDEX(Tasks!$K:$K,$A121)))</f>
        <v>46220</v>
      </c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  <c r="AU121" s="18"/>
      <c r="AV121" s="18"/>
      <c r="AW121" s="18"/>
      <c r="AX121" s="18"/>
      <c r="AY121" s="18"/>
    </row>
    <row r="122" customFormat="false" ht="15" hidden="false" customHeight="false" outlineLevel="0" collapsed="false">
      <c r="A122" s="15" t="n">
        <f aca="false">IFERROR(MATCH(ROW()-11,Tasks!$R$4:$R$403,0)+3,"")</f>
        <v>114</v>
      </c>
      <c r="B122" s="16" t="str">
        <f aca="false">IF($A122="","",INDEX(Tasks!$A:$A,$A122))</f>
        <v>SC-2.2</v>
      </c>
      <c r="C122" s="16" t="str">
        <f aca="false">IF($A122="","",IF(ISERROR(FIND(".",INDEX(Tasks!$A:$A,$A122))),"","   ")&amp;INDEX(Tasks!$D:$D,$A122))</f>
        <v>   Realistic Channel Model</v>
      </c>
      <c r="D122" s="16" t="str">
        <f aca="false">IF($A122="","",IF(OR(INDEX(Tasks!$G:$G,$A122)="",INDEX(Tasks!$G:$G,$A122)="TBD"),INDEX(Tasks!$F:$F,$A122),INDEX(Tasks!$G:$G,$A122)))</f>
        <v>Semantic comms</v>
      </c>
      <c r="E122" s="16" t="str">
        <f aca="false">IF($A122="","",IF(INDEX(Tasks!$H:$H,$A122)="","",INDEX(Tasks!$H:$H,$A122)))</f>
        <v>Not Started</v>
      </c>
      <c r="F122" s="17" t="n">
        <f aca="false">IF($A122="","",IF(INDEX(Tasks!$I:$I,$A122)="","",INDEX(Tasks!$I:$I,$A122)))</f>
        <v>46216</v>
      </c>
      <c r="G122" s="17" t="n">
        <f aca="false">IF($A122="","",IF(INDEX(Tasks!$K:$K,$A122)="","",INDEX(Tasks!$K:$K,$A122)))</f>
        <v>46220</v>
      </c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  <c r="AU122" s="18"/>
      <c r="AV122" s="18"/>
      <c r="AW122" s="18"/>
      <c r="AX122" s="18"/>
      <c r="AY122" s="18"/>
    </row>
    <row r="123" customFormat="false" ht="15" hidden="false" customHeight="false" outlineLevel="0" collapsed="false">
      <c r="A123" s="15" t="n">
        <f aca="false">IFERROR(MATCH(ROW()-11,Tasks!$R$4:$R$403,0)+3,"")</f>
        <v>115</v>
      </c>
      <c r="B123" s="16" t="str">
        <f aca="false">IF($A123="","",INDEX(Tasks!$A:$A,$A123))</f>
        <v>SC-3</v>
      </c>
      <c r="C123" s="16" t="str">
        <f aca="false">IF($A123="","",IF(ISERROR(FIND(".",INDEX(Tasks!$A:$A,$A123))),"","   ")&amp;INDEX(Tasks!$D:$D,$A123))</f>
        <v>Dynamic Bandwidth Management</v>
      </c>
      <c r="D123" s="16" t="str">
        <f aca="false">IF($A123="","",IF(OR(INDEX(Tasks!$G:$G,$A123)="",INDEX(Tasks!$G:$G,$A123)="TBD"),INDEX(Tasks!$F:$F,$A123),INDEX(Tasks!$G:$G,$A123)))</f>
        <v>Semantic comms</v>
      </c>
      <c r="E123" s="16" t="str">
        <f aca="false">IF($A123="","",IF(INDEX(Tasks!$H:$H,$A123)="","",INDEX(Tasks!$H:$H,$A123)))</f>
        <v>Not Started</v>
      </c>
      <c r="F123" s="17" t="str">
        <f aca="false">IF($A123="","",IF(INDEX(Tasks!$I:$I,$A123)="","",INDEX(Tasks!$I:$I,$A123)))</f>
        <v/>
      </c>
      <c r="G123" s="17" t="str">
        <f aca="false">IF($A123="","",IF(INDEX(Tasks!$K:$K,$A123)="","",INDEX(Tasks!$K:$K,$A123)))</f>
        <v/>
      </c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  <c r="AU123" s="18"/>
      <c r="AV123" s="18"/>
      <c r="AW123" s="18"/>
      <c r="AX123" s="18"/>
      <c r="AY123" s="18"/>
    </row>
    <row r="124" customFormat="false" ht="15" hidden="false" customHeight="false" outlineLevel="0" collapsed="false">
      <c r="A124" s="15" t="n">
        <f aca="false">IFERROR(MATCH(ROW()-11,Tasks!$R$4:$R$403,0)+3,"")</f>
        <v>116</v>
      </c>
      <c r="B124" s="16" t="str">
        <f aca="false">IF($A124="","",INDEX(Tasks!$A:$A,$A124))</f>
        <v>SC-3.1</v>
      </c>
      <c r="C124" s="16" t="str">
        <f aca="false">IF($A124="","",IF(ISERROR(FIND(".",INDEX(Tasks!$A:$A,$A124))),"","   ")&amp;INDEX(Tasks!$D:$D,$A124))</f>
        <v>   Semantic Allocation</v>
      </c>
      <c r="D124" s="16" t="str">
        <f aca="false">IF($A124="","",IF(OR(INDEX(Tasks!$G:$G,$A124)="",INDEX(Tasks!$G:$G,$A124)="TBD"),INDEX(Tasks!$F:$F,$A124),INDEX(Tasks!$G:$G,$A124)))</f>
        <v>Semantic comms</v>
      </c>
      <c r="E124" s="16" t="str">
        <f aca="false">IF($A124="","",IF(INDEX(Tasks!$H:$H,$A124)="","",INDEX(Tasks!$H:$H,$A124)))</f>
        <v>Not Started</v>
      </c>
      <c r="F124" s="17" t="str">
        <f aca="false">IF($A124="","",IF(INDEX(Tasks!$I:$I,$A124)="","",INDEX(Tasks!$I:$I,$A124)))</f>
        <v/>
      </c>
      <c r="G124" s="17" t="str">
        <f aca="false">IF($A124="","",IF(INDEX(Tasks!$K:$K,$A124)="","",INDEX(Tasks!$K:$K,$A124)))</f>
        <v/>
      </c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  <c r="AU124" s="18"/>
      <c r="AV124" s="18"/>
      <c r="AW124" s="18"/>
      <c r="AX124" s="18"/>
      <c r="AY124" s="18"/>
    </row>
    <row r="125" customFormat="false" ht="15" hidden="false" customHeight="false" outlineLevel="0" collapsed="false">
      <c r="A125" s="15" t="n">
        <f aca="false">IFERROR(MATCH(ROW()-11,Tasks!$R$4:$R$403,0)+3,"")</f>
        <v>117</v>
      </c>
      <c r="B125" s="16" t="str">
        <f aca="false">IF($A125="","",INDEX(Tasks!$A:$A,$A125))</f>
        <v>SC-3.2</v>
      </c>
      <c r="C125" s="16" t="str">
        <f aca="false">IF($A125="","",IF(ISERROR(FIND(".",INDEX(Tasks!$A:$A,$A125))),"","   ")&amp;INDEX(Tasks!$D:$D,$A125))</f>
        <v>   Physical Constraint Bounds</v>
      </c>
      <c r="D125" s="16" t="str">
        <f aca="false">IF($A125="","",IF(OR(INDEX(Tasks!$G:$G,$A125)="",INDEX(Tasks!$G:$G,$A125)="TBD"),INDEX(Tasks!$F:$F,$A125),INDEX(Tasks!$G:$G,$A125)))</f>
        <v>Semantic comms</v>
      </c>
      <c r="E125" s="16" t="str">
        <f aca="false">IF($A125="","",IF(INDEX(Tasks!$H:$H,$A125)="","",INDEX(Tasks!$H:$H,$A125)))</f>
        <v>Not Started</v>
      </c>
      <c r="F125" s="17" t="str">
        <f aca="false">IF($A125="","",IF(INDEX(Tasks!$I:$I,$A125)="","",INDEX(Tasks!$I:$I,$A125)))</f>
        <v/>
      </c>
      <c r="G125" s="17" t="str">
        <f aca="false">IF($A125="","",IF(INDEX(Tasks!$K:$K,$A125)="","",INDEX(Tasks!$K:$K,$A125)))</f>
        <v/>
      </c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  <c r="AT125" s="18"/>
      <c r="AU125" s="18"/>
      <c r="AV125" s="18"/>
      <c r="AW125" s="18"/>
      <c r="AX125" s="18"/>
      <c r="AY125" s="18"/>
    </row>
    <row r="126" customFormat="false" ht="15" hidden="false" customHeight="false" outlineLevel="0" collapsed="false">
      <c r="A126" s="15" t="n">
        <f aca="false">IFERROR(MATCH(ROW()-11,Tasks!$R$4:$R$403,0)+3,"")</f>
        <v>118</v>
      </c>
      <c r="B126" s="16" t="str">
        <f aca="false">IF($A126="","",INDEX(Tasks!$A:$A,$A126))</f>
        <v>SC-3.3</v>
      </c>
      <c r="C126" s="16" t="str">
        <f aca="false">IF($A126="","",IF(ISERROR(FIND(".",INDEX(Tasks!$A:$A,$A126))),"","   ")&amp;INDEX(Tasks!$D:$D,$A126))</f>
        <v>   Per-Modality Truncation</v>
      </c>
      <c r="D126" s="16" t="str">
        <f aca="false">IF($A126="","",IF(OR(INDEX(Tasks!$G:$G,$A126)="",INDEX(Tasks!$G:$G,$A126)="TBD"),INDEX(Tasks!$F:$F,$A126),INDEX(Tasks!$G:$G,$A126)))</f>
        <v>Semantic comms</v>
      </c>
      <c r="E126" s="16" t="str">
        <f aca="false">IF($A126="","",IF(INDEX(Tasks!$H:$H,$A126)="","",INDEX(Tasks!$H:$H,$A126)))</f>
        <v>Not Started</v>
      </c>
      <c r="F126" s="17" t="str">
        <f aca="false">IF($A126="","",IF(INDEX(Tasks!$I:$I,$A126)="","",INDEX(Tasks!$I:$I,$A126)))</f>
        <v/>
      </c>
      <c r="G126" s="17" t="str">
        <f aca="false">IF($A126="","",IF(INDEX(Tasks!$K:$K,$A126)="","",INDEX(Tasks!$K:$K,$A126)))</f>
        <v/>
      </c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  <c r="AT126" s="18"/>
      <c r="AU126" s="18"/>
      <c r="AV126" s="18"/>
      <c r="AW126" s="18"/>
      <c r="AX126" s="18"/>
      <c r="AY126" s="18"/>
    </row>
    <row r="127" customFormat="false" ht="15" hidden="false" customHeight="false" outlineLevel="0" collapsed="false">
      <c r="A127" s="15" t="n">
        <f aca="false">IFERROR(MATCH(ROW()-11,Tasks!$R$4:$R$403,0)+3,"")</f>
        <v>119</v>
      </c>
      <c r="B127" s="16" t="str">
        <f aca="false">IF($A127="","",INDEX(Tasks!$A:$A,$A127))</f>
        <v>SC-3.4</v>
      </c>
      <c r="C127" s="16" t="str">
        <f aca="false">IF($A127="","",IF(ISERROR(FIND(".",INDEX(Tasks!$A:$A,$A127))),"","   ")&amp;INDEX(Tasks!$D:$D,$A127))</f>
        <v>   Cost-Aware Feedback Loop</v>
      </c>
      <c r="D127" s="16" t="str">
        <f aca="false">IF($A127="","",IF(OR(INDEX(Tasks!$G:$G,$A127)="",INDEX(Tasks!$G:$G,$A127)="TBD"),INDEX(Tasks!$F:$F,$A127),INDEX(Tasks!$G:$G,$A127)))</f>
        <v>Semantic comms</v>
      </c>
      <c r="E127" s="16" t="str">
        <f aca="false">IF($A127="","",IF(INDEX(Tasks!$H:$H,$A127)="","",INDEX(Tasks!$H:$H,$A127)))</f>
        <v>Not Started</v>
      </c>
      <c r="F127" s="17" t="str">
        <f aca="false">IF($A127="","",IF(INDEX(Tasks!$I:$I,$A127)="","",INDEX(Tasks!$I:$I,$A127)))</f>
        <v/>
      </c>
      <c r="G127" s="17" t="str">
        <f aca="false">IF($A127="","",IF(INDEX(Tasks!$K:$K,$A127)="","",INDEX(Tasks!$K:$K,$A127)))</f>
        <v/>
      </c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  <c r="AT127" s="18"/>
      <c r="AU127" s="18"/>
      <c r="AV127" s="18"/>
      <c r="AW127" s="18"/>
      <c r="AX127" s="18"/>
      <c r="AY127" s="18"/>
    </row>
    <row r="128" customFormat="false" ht="15" hidden="false" customHeight="false" outlineLevel="0" collapsed="false">
      <c r="A128" s="15" t="n">
        <f aca="false">IFERROR(MATCH(ROW()-11,Tasks!$R$4:$R$403,0)+3,"")</f>
        <v>120</v>
      </c>
      <c r="B128" s="16" t="str">
        <f aca="false">IF($A128="","",INDEX(Tasks!$A:$A,$A128))</f>
        <v>SC-4</v>
      </c>
      <c r="C128" s="16" t="str">
        <f aca="false">IF($A128="","",IF(ISERROR(FIND(".",INDEX(Tasks!$A:$A,$A128))),"","   ")&amp;INDEX(Tasks!$D:$D,$A128))</f>
        <v>Multi-Task Transmission</v>
      </c>
      <c r="D128" s="16" t="str">
        <f aca="false">IF($A128="","",IF(OR(INDEX(Tasks!$G:$G,$A128)="",INDEX(Tasks!$G:$G,$A128)="TBD"),INDEX(Tasks!$F:$F,$A128),INDEX(Tasks!$G:$G,$A128)))</f>
        <v>Semantic comms</v>
      </c>
      <c r="E128" s="16" t="str">
        <f aca="false">IF($A128="","",IF(INDEX(Tasks!$H:$H,$A128)="","",INDEX(Tasks!$H:$H,$A128)))</f>
        <v>Not Started</v>
      </c>
      <c r="F128" s="17" t="str">
        <f aca="false">IF($A128="","",IF(INDEX(Tasks!$I:$I,$A128)="","",INDEX(Tasks!$I:$I,$A128)))</f>
        <v/>
      </c>
      <c r="G128" s="17" t="str">
        <f aca="false">IF($A128="","",IF(INDEX(Tasks!$K:$K,$A128)="","",INDEX(Tasks!$K:$K,$A128)))</f>
        <v/>
      </c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  <c r="AT128" s="18"/>
      <c r="AU128" s="18"/>
      <c r="AV128" s="18"/>
      <c r="AW128" s="18"/>
      <c r="AX128" s="18"/>
      <c r="AY128" s="18"/>
    </row>
    <row r="129" customFormat="false" ht="15" hidden="false" customHeight="false" outlineLevel="0" collapsed="false">
      <c r="A129" s="15" t="n">
        <f aca="false">IFERROR(MATCH(ROW()-11,Tasks!$R$4:$R$403,0)+3,"")</f>
        <v>121</v>
      </c>
      <c r="B129" s="16" t="str">
        <f aca="false">IF($A129="","",INDEX(Tasks!$A:$A,$A129))</f>
        <v>SC-5</v>
      </c>
      <c r="C129" s="16" t="str">
        <f aca="false">IF($A129="","",IF(ISERROR(FIND(".",INDEX(Tasks!$A:$A,$A129))),"","   ")&amp;INDEX(Tasks!$D:$D,$A129))</f>
        <v>Train &amp; Evaluate on Dataset</v>
      </c>
      <c r="D129" s="16" t="str">
        <f aca="false">IF($A129="","",IF(OR(INDEX(Tasks!$G:$G,$A129)="",INDEX(Tasks!$G:$G,$A129)="TBD"),INDEX(Tasks!$F:$F,$A129),INDEX(Tasks!$G:$G,$A129)))</f>
        <v>Semantic comms</v>
      </c>
      <c r="E129" s="16" t="str">
        <f aca="false">IF($A129="","",IF(INDEX(Tasks!$H:$H,$A129)="","",INDEX(Tasks!$H:$H,$A129)))</f>
        <v>Not Started</v>
      </c>
      <c r="F129" s="17" t="str">
        <f aca="false">IF($A129="","",IF(INDEX(Tasks!$I:$I,$A129)="","",INDEX(Tasks!$I:$I,$A129)))</f>
        <v/>
      </c>
      <c r="G129" s="17" t="str">
        <f aca="false">IF($A129="","",IF(INDEX(Tasks!$K:$K,$A129)="","",INDEX(Tasks!$K:$K,$A129)))</f>
        <v/>
      </c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  <c r="AT129" s="18"/>
      <c r="AU129" s="18"/>
      <c r="AV129" s="18"/>
      <c r="AW129" s="18"/>
      <c r="AX129" s="18"/>
      <c r="AY129" s="18"/>
    </row>
    <row r="130" customFormat="false" ht="15" hidden="false" customHeight="false" outlineLevel="0" collapsed="false">
      <c r="A130" s="15" t="n">
        <f aca="false">IFERROR(MATCH(ROW()-11,Tasks!$R$4:$R$403,0)+3,"")</f>
        <v>122</v>
      </c>
      <c r="B130" s="16" t="str">
        <f aca="false">IF($A130="","",INDEX(Tasks!$A:$A,$A130))</f>
        <v>SC-6</v>
      </c>
      <c r="C130" s="16" t="str">
        <f aca="false">IF($A130="","",IF(ISERROR(FIND(".",INDEX(Tasks!$A:$A,$A130))),"","   ")&amp;INDEX(Tasks!$D:$D,$A130))</f>
        <v>Integrate with Dual-Link</v>
      </c>
      <c r="D130" s="16" t="str">
        <f aca="false">IF($A130="","",IF(OR(INDEX(Tasks!$G:$G,$A130)="",INDEX(Tasks!$G:$G,$A130)="TBD"),INDEX(Tasks!$F:$F,$A130),INDEX(Tasks!$G:$G,$A130)))</f>
        <v>Semantic comms</v>
      </c>
      <c r="E130" s="16" t="str">
        <f aca="false">IF($A130="","",IF(INDEX(Tasks!$H:$H,$A130)="","",INDEX(Tasks!$H:$H,$A130)))</f>
        <v>Not Started</v>
      </c>
      <c r="F130" s="17" t="str">
        <f aca="false">IF($A130="","",IF(INDEX(Tasks!$I:$I,$A130)="","",INDEX(Tasks!$I:$I,$A130)))</f>
        <v/>
      </c>
      <c r="G130" s="17" t="str">
        <f aca="false">IF($A130="","",IF(INDEX(Tasks!$K:$K,$A130)="","",INDEX(Tasks!$K:$K,$A130)))</f>
        <v/>
      </c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  <c r="AT130" s="18"/>
      <c r="AU130" s="18"/>
      <c r="AV130" s="18"/>
      <c r="AW130" s="18"/>
      <c r="AX130" s="18"/>
      <c r="AY130" s="18"/>
    </row>
    <row r="131" customFormat="false" ht="15" hidden="false" customHeight="false" outlineLevel="0" collapsed="false">
      <c r="A131" s="15" t="str">
        <f aca="false">IFERROR(MATCH(ROW()-11,Tasks!$R$4:$R$403,0)+3,"")</f>
        <v/>
      </c>
      <c r="B131" s="16" t="str">
        <f aca="false">IF($A131="","",INDEX(Tasks!$A:$A,$A131))</f>
        <v/>
      </c>
      <c r="C131" s="16" t="str">
        <f aca="false">IF($A131="","",IF(ISERROR(FIND(".",INDEX(Tasks!$A:$A,$A131))),"","   ")&amp;INDEX(Tasks!$D:$D,$A131))</f>
        <v/>
      </c>
      <c r="D131" s="16" t="str">
        <f aca="false">IF($A131="","",IF(OR(INDEX(Tasks!$G:$G,$A131)="",INDEX(Tasks!$G:$G,$A131)="TBD"),INDEX(Tasks!$F:$F,$A131),INDEX(Tasks!$G:$G,$A131)))</f>
        <v/>
      </c>
      <c r="E131" s="16" t="str">
        <f aca="false">IF($A131="","",IF(INDEX(Tasks!$H:$H,$A131)="","",INDEX(Tasks!$H:$H,$A131)))</f>
        <v/>
      </c>
      <c r="F131" s="17" t="str">
        <f aca="false">IF($A131="","",IF(INDEX(Tasks!$I:$I,$A131)="","",INDEX(Tasks!$I:$I,$A131)))</f>
        <v/>
      </c>
      <c r="G131" s="17" t="str">
        <f aca="false">IF($A131="","",IF(INDEX(Tasks!$K:$K,$A131)="","",INDEX(Tasks!$K:$K,$A131)))</f>
        <v/>
      </c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  <c r="AT131" s="18"/>
      <c r="AU131" s="18"/>
      <c r="AV131" s="18"/>
      <c r="AW131" s="18"/>
      <c r="AX131" s="18"/>
      <c r="AY131" s="18"/>
    </row>
    <row r="132" customFormat="false" ht="15" hidden="false" customHeight="false" outlineLevel="0" collapsed="false">
      <c r="A132" s="15" t="str">
        <f aca="false">IFERROR(MATCH(ROW()-11,Tasks!$R$4:$R$403,0)+3,"")</f>
        <v/>
      </c>
      <c r="B132" s="16" t="str">
        <f aca="false">IF($A132="","",INDEX(Tasks!$A:$A,$A132))</f>
        <v/>
      </c>
      <c r="C132" s="16" t="str">
        <f aca="false">IF($A132="","",IF(ISERROR(FIND(".",INDEX(Tasks!$A:$A,$A132))),"","   ")&amp;INDEX(Tasks!$D:$D,$A132))</f>
        <v/>
      </c>
      <c r="D132" s="16" t="str">
        <f aca="false">IF($A132="","",IF(OR(INDEX(Tasks!$G:$G,$A132)="",INDEX(Tasks!$G:$G,$A132)="TBD"),INDEX(Tasks!$F:$F,$A132),INDEX(Tasks!$G:$G,$A132)))</f>
        <v/>
      </c>
      <c r="E132" s="16" t="str">
        <f aca="false">IF($A132="","",IF(INDEX(Tasks!$H:$H,$A132)="","",INDEX(Tasks!$H:$H,$A132)))</f>
        <v/>
      </c>
      <c r="F132" s="17" t="str">
        <f aca="false">IF($A132="","",IF(INDEX(Tasks!$I:$I,$A132)="","",INDEX(Tasks!$I:$I,$A132)))</f>
        <v/>
      </c>
      <c r="G132" s="17" t="str">
        <f aca="false">IF($A132="","",IF(INDEX(Tasks!$K:$K,$A132)="","",INDEX(Tasks!$K:$K,$A132)))</f>
        <v/>
      </c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  <c r="AH132" s="18"/>
      <c r="AI132" s="18"/>
      <c r="AJ132" s="18"/>
      <c r="AK132" s="18"/>
      <c r="AL132" s="18"/>
      <c r="AM132" s="18"/>
      <c r="AN132" s="18"/>
      <c r="AO132" s="18"/>
      <c r="AP132" s="18"/>
      <c r="AQ132" s="18"/>
      <c r="AR132" s="18"/>
      <c r="AS132" s="18"/>
      <c r="AT132" s="18"/>
      <c r="AU132" s="18"/>
      <c r="AV132" s="18"/>
      <c r="AW132" s="18"/>
      <c r="AX132" s="18"/>
      <c r="AY132" s="18"/>
    </row>
    <row r="133" customFormat="false" ht="15" hidden="false" customHeight="false" outlineLevel="0" collapsed="false">
      <c r="A133" s="15" t="str">
        <f aca="false">IFERROR(MATCH(ROW()-11,Tasks!$R$4:$R$403,0)+3,"")</f>
        <v/>
      </c>
      <c r="B133" s="16" t="str">
        <f aca="false">IF($A133="","",INDEX(Tasks!$A:$A,$A133))</f>
        <v/>
      </c>
      <c r="C133" s="16" t="str">
        <f aca="false">IF($A133="","",IF(ISERROR(FIND(".",INDEX(Tasks!$A:$A,$A133))),"","   ")&amp;INDEX(Tasks!$D:$D,$A133))</f>
        <v/>
      </c>
      <c r="D133" s="16" t="str">
        <f aca="false">IF($A133="","",IF(OR(INDEX(Tasks!$G:$G,$A133)="",INDEX(Tasks!$G:$G,$A133)="TBD"),INDEX(Tasks!$F:$F,$A133),INDEX(Tasks!$G:$G,$A133)))</f>
        <v/>
      </c>
      <c r="E133" s="16" t="str">
        <f aca="false">IF($A133="","",IF(INDEX(Tasks!$H:$H,$A133)="","",INDEX(Tasks!$H:$H,$A133)))</f>
        <v/>
      </c>
      <c r="F133" s="17" t="str">
        <f aca="false">IF($A133="","",IF(INDEX(Tasks!$I:$I,$A133)="","",INDEX(Tasks!$I:$I,$A133)))</f>
        <v/>
      </c>
      <c r="G133" s="17" t="str">
        <f aca="false">IF($A133="","",IF(INDEX(Tasks!$K:$K,$A133)="","",INDEX(Tasks!$K:$K,$A133)))</f>
        <v/>
      </c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  <c r="AH133" s="18"/>
      <c r="AI133" s="18"/>
      <c r="AJ133" s="18"/>
      <c r="AK133" s="18"/>
      <c r="AL133" s="18"/>
      <c r="AM133" s="18"/>
      <c r="AN133" s="18"/>
      <c r="AO133" s="18"/>
      <c r="AP133" s="18"/>
      <c r="AQ133" s="18"/>
      <c r="AR133" s="18"/>
      <c r="AS133" s="18"/>
      <c r="AT133" s="18"/>
      <c r="AU133" s="18"/>
      <c r="AV133" s="18"/>
      <c r="AW133" s="18"/>
      <c r="AX133" s="18"/>
      <c r="AY133" s="18"/>
    </row>
    <row r="134" customFormat="false" ht="15" hidden="false" customHeight="false" outlineLevel="0" collapsed="false">
      <c r="A134" s="15" t="str">
        <f aca="false">IFERROR(MATCH(ROW()-11,Tasks!$R$4:$R$403,0)+3,"")</f>
        <v/>
      </c>
      <c r="B134" s="16" t="str">
        <f aca="false">IF($A134="","",INDEX(Tasks!$A:$A,$A134))</f>
        <v/>
      </c>
      <c r="C134" s="16" t="str">
        <f aca="false">IF($A134="","",IF(ISERROR(FIND(".",INDEX(Tasks!$A:$A,$A134))),"","   ")&amp;INDEX(Tasks!$D:$D,$A134))</f>
        <v/>
      </c>
      <c r="D134" s="16" t="str">
        <f aca="false">IF($A134="","",IF(OR(INDEX(Tasks!$G:$G,$A134)="",INDEX(Tasks!$G:$G,$A134)="TBD"),INDEX(Tasks!$F:$F,$A134),INDEX(Tasks!$G:$G,$A134)))</f>
        <v/>
      </c>
      <c r="E134" s="16" t="str">
        <f aca="false">IF($A134="","",IF(INDEX(Tasks!$H:$H,$A134)="","",INDEX(Tasks!$H:$H,$A134)))</f>
        <v/>
      </c>
      <c r="F134" s="17" t="str">
        <f aca="false">IF($A134="","",IF(INDEX(Tasks!$I:$I,$A134)="","",INDEX(Tasks!$I:$I,$A134)))</f>
        <v/>
      </c>
      <c r="G134" s="17" t="str">
        <f aca="false">IF($A134="","",IF(INDEX(Tasks!$K:$K,$A134)="","",INDEX(Tasks!$K:$K,$A134)))</f>
        <v/>
      </c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  <c r="AH134" s="18"/>
      <c r="AI134" s="18"/>
      <c r="AJ134" s="18"/>
      <c r="AK134" s="18"/>
      <c r="AL134" s="18"/>
      <c r="AM134" s="18"/>
      <c r="AN134" s="18"/>
      <c r="AO134" s="18"/>
      <c r="AP134" s="18"/>
      <c r="AQ134" s="18"/>
      <c r="AR134" s="18"/>
      <c r="AS134" s="18"/>
      <c r="AT134" s="18"/>
      <c r="AU134" s="18"/>
      <c r="AV134" s="18"/>
      <c r="AW134" s="18"/>
      <c r="AX134" s="18"/>
      <c r="AY134" s="18"/>
    </row>
    <row r="135" customFormat="false" ht="15" hidden="false" customHeight="false" outlineLevel="0" collapsed="false">
      <c r="A135" s="15" t="str">
        <f aca="false">IFERROR(MATCH(ROW()-11,Tasks!$R$4:$R$403,0)+3,"")</f>
        <v/>
      </c>
      <c r="B135" s="16" t="str">
        <f aca="false">IF($A135="","",INDEX(Tasks!$A:$A,$A135))</f>
        <v/>
      </c>
      <c r="C135" s="16" t="str">
        <f aca="false">IF($A135="","",IF(ISERROR(FIND(".",INDEX(Tasks!$A:$A,$A135))),"","   ")&amp;INDEX(Tasks!$D:$D,$A135))</f>
        <v/>
      </c>
      <c r="D135" s="16" t="str">
        <f aca="false">IF($A135="","",IF(OR(INDEX(Tasks!$G:$G,$A135)="",INDEX(Tasks!$G:$G,$A135)="TBD"),INDEX(Tasks!$F:$F,$A135),INDEX(Tasks!$G:$G,$A135)))</f>
        <v/>
      </c>
      <c r="E135" s="16" t="str">
        <f aca="false">IF($A135="","",IF(INDEX(Tasks!$H:$H,$A135)="","",INDEX(Tasks!$H:$H,$A135)))</f>
        <v/>
      </c>
      <c r="F135" s="17" t="str">
        <f aca="false">IF($A135="","",IF(INDEX(Tasks!$I:$I,$A135)="","",INDEX(Tasks!$I:$I,$A135)))</f>
        <v/>
      </c>
      <c r="G135" s="17" t="str">
        <f aca="false">IF($A135="","",IF(INDEX(Tasks!$K:$K,$A135)="","",INDEX(Tasks!$K:$K,$A135)))</f>
        <v/>
      </c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  <c r="AH135" s="18"/>
      <c r="AI135" s="18"/>
      <c r="AJ135" s="18"/>
      <c r="AK135" s="18"/>
      <c r="AL135" s="18"/>
      <c r="AM135" s="18"/>
      <c r="AN135" s="18"/>
      <c r="AO135" s="18"/>
      <c r="AP135" s="18"/>
      <c r="AQ135" s="18"/>
      <c r="AR135" s="18"/>
      <c r="AS135" s="18"/>
      <c r="AT135" s="18"/>
      <c r="AU135" s="18"/>
      <c r="AV135" s="18"/>
      <c r="AW135" s="18"/>
      <c r="AX135" s="18"/>
      <c r="AY135" s="18"/>
    </row>
    <row r="136" customFormat="false" ht="15" hidden="false" customHeight="false" outlineLevel="0" collapsed="false">
      <c r="A136" s="15" t="str">
        <f aca="false">IFERROR(MATCH(ROW()-11,Tasks!$R$4:$R$403,0)+3,"")</f>
        <v/>
      </c>
      <c r="B136" s="16" t="str">
        <f aca="false">IF($A136="","",INDEX(Tasks!$A:$A,$A136))</f>
        <v/>
      </c>
      <c r="C136" s="16" t="str">
        <f aca="false">IF($A136="","",IF(ISERROR(FIND(".",INDEX(Tasks!$A:$A,$A136))),"","   ")&amp;INDEX(Tasks!$D:$D,$A136))</f>
        <v/>
      </c>
      <c r="D136" s="16" t="str">
        <f aca="false">IF($A136="","",IF(OR(INDEX(Tasks!$G:$G,$A136)="",INDEX(Tasks!$G:$G,$A136)="TBD"),INDEX(Tasks!$F:$F,$A136),INDEX(Tasks!$G:$G,$A136)))</f>
        <v/>
      </c>
      <c r="E136" s="16" t="str">
        <f aca="false">IF($A136="","",IF(INDEX(Tasks!$H:$H,$A136)="","",INDEX(Tasks!$H:$H,$A136)))</f>
        <v/>
      </c>
      <c r="F136" s="17" t="str">
        <f aca="false">IF($A136="","",IF(INDEX(Tasks!$I:$I,$A136)="","",INDEX(Tasks!$I:$I,$A136)))</f>
        <v/>
      </c>
      <c r="G136" s="17" t="str">
        <f aca="false">IF($A136="","",IF(INDEX(Tasks!$K:$K,$A136)="","",INDEX(Tasks!$K:$K,$A136)))</f>
        <v/>
      </c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  <c r="AH136" s="18"/>
      <c r="AI136" s="18"/>
      <c r="AJ136" s="18"/>
      <c r="AK136" s="18"/>
      <c r="AL136" s="18"/>
      <c r="AM136" s="18"/>
      <c r="AN136" s="18"/>
      <c r="AO136" s="18"/>
      <c r="AP136" s="18"/>
      <c r="AQ136" s="18"/>
      <c r="AR136" s="18"/>
      <c r="AS136" s="18"/>
      <c r="AT136" s="18"/>
      <c r="AU136" s="18"/>
      <c r="AV136" s="18"/>
      <c r="AW136" s="18"/>
      <c r="AX136" s="18"/>
      <c r="AY136" s="18"/>
    </row>
    <row r="137" customFormat="false" ht="15" hidden="false" customHeight="false" outlineLevel="0" collapsed="false">
      <c r="A137" s="15" t="str">
        <f aca="false">IFERROR(MATCH(ROW()-11,Tasks!$R$4:$R$403,0)+3,"")</f>
        <v/>
      </c>
      <c r="B137" s="16" t="str">
        <f aca="false">IF($A137="","",INDEX(Tasks!$A:$A,$A137))</f>
        <v/>
      </c>
      <c r="C137" s="16" t="str">
        <f aca="false">IF($A137="","",IF(ISERROR(FIND(".",INDEX(Tasks!$A:$A,$A137))),"","   ")&amp;INDEX(Tasks!$D:$D,$A137))</f>
        <v/>
      </c>
      <c r="D137" s="16" t="str">
        <f aca="false">IF($A137="","",IF(OR(INDEX(Tasks!$G:$G,$A137)="",INDEX(Tasks!$G:$G,$A137)="TBD"),INDEX(Tasks!$F:$F,$A137),INDEX(Tasks!$G:$G,$A137)))</f>
        <v/>
      </c>
      <c r="E137" s="16" t="str">
        <f aca="false">IF($A137="","",IF(INDEX(Tasks!$H:$H,$A137)="","",INDEX(Tasks!$H:$H,$A137)))</f>
        <v/>
      </c>
      <c r="F137" s="17" t="str">
        <f aca="false">IF($A137="","",IF(INDEX(Tasks!$I:$I,$A137)="","",INDEX(Tasks!$I:$I,$A137)))</f>
        <v/>
      </c>
      <c r="G137" s="17" t="str">
        <f aca="false">IF($A137="","",IF(INDEX(Tasks!$K:$K,$A137)="","",INDEX(Tasks!$K:$K,$A137)))</f>
        <v/>
      </c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  <c r="AH137" s="18"/>
      <c r="AI137" s="18"/>
      <c r="AJ137" s="18"/>
      <c r="AK137" s="18"/>
      <c r="AL137" s="18"/>
      <c r="AM137" s="18"/>
      <c r="AN137" s="18"/>
      <c r="AO137" s="18"/>
      <c r="AP137" s="18"/>
      <c r="AQ137" s="18"/>
      <c r="AR137" s="18"/>
      <c r="AS137" s="18"/>
      <c r="AT137" s="18"/>
      <c r="AU137" s="18"/>
      <c r="AV137" s="18"/>
      <c r="AW137" s="18"/>
      <c r="AX137" s="18"/>
      <c r="AY137" s="18"/>
    </row>
    <row r="138" customFormat="false" ht="15" hidden="false" customHeight="false" outlineLevel="0" collapsed="false">
      <c r="A138" s="15" t="str">
        <f aca="false">IFERROR(MATCH(ROW()-11,Tasks!$R$4:$R$403,0)+3,"")</f>
        <v/>
      </c>
      <c r="B138" s="16" t="str">
        <f aca="false">IF($A138="","",INDEX(Tasks!$A:$A,$A138))</f>
        <v/>
      </c>
      <c r="C138" s="16" t="str">
        <f aca="false">IF($A138="","",IF(ISERROR(FIND(".",INDEX(Tasks!$A:$A,$A138))),"","   ")&amp;INDEX(Tasks!$D:$D,$A138))</f>
        <v/>
      </c>
      <c r="D138" s="16" t="str">
        <f aca="false">IF($A138="","",IF(OR(INDEX(Tasks!$G:$G,$A138)="",INDEX(Tasks!$G:$G,$A138)="TBD"),INDEX(Tasks!$F:$F,$A138),INDEX(Tasks!$G:$G,$A138)))</f>
        <v/>
      </c>
      <c r="E138" s="16" t="str">
        <f aca="false">IF($A138="","",IF(INDEX(Tasks!$H:$H,$A138)="","",INDEX(Tasks!$H:$H,$A138)))</f>
        <v/>
      </c>
      <c r="F138" s="17" t="str">
        <f aca="false">IF($A138="","",IF(INDEX(Tasks!$I:$I,$A138)="","",INDEX(Tasks!$I:$I,$A138)))</f>
        <v/>
      </c>
      <c r="G138" s="17" t="str">
        <f aca="false">IF($A138="","",IF(INDEX(Tasks!$K:$K,$A138)="","",INDEX(Tasks!$K:$K,$A138)))</f>
        <v/>
      </c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  <c r="AH138" s="18"/>
      <c r="AI138" s="18"/>
      <c r="AJ138" s="18"/>
      <c r="AK138" s="18"/>
      <c r="AL138" s="18"/>
      <c r="AM138" s="18"/>
      <c r="AN138" s="18"/>
      <c r="AO138" s="18"/>
      <c r="AP138" s="18"/>
      <c r="AQ138" s="18"/>
      <c r="AR138" s="18"/>
      <c r="AS138" s="18"/>
      <c r="AT138" s="18"/>
      <c r="AU138" s="18"/>
      <c r="AV138" s="18"/>
      <c r="AW138" s="18"/>
      <c r="AX138" s="18"/>
      <c r="AY138" s="18"/>
    </row>
    <row r="139" customFormat="false" ht="15" hidden="false" customHeight="false" outlineLevel="0" collapsed="false">
      <c r="A139" s="15" t="str">
        <f aca="false">IFERROR(MATCH(ROW()-11,Tasks!$R$4:$R$403,0)+3,"")</f>
        <v/>
      </c>
      <c r="B139" s="16" t="str">
        <f aca="false">IF($A139="","",INDEX(Tasks!$A:$A,$A139))</f>
        <v/>
      </c>
      <c r="C139" s="16" t="str">
        <f aca="false">IF($A139="","",IF(ISERROR(FIND(".",INDEX(Tasks!$A:$A,$A139))),"","   ")&amp;INDEX(Tasks!$D:$D,$A139))</f>
        <v/>
      </c>
      <c r="D139" s="16" t="str">
        <f aca="false">IF($A139="","",IF(OR(INDEX(Tasks!$G:$G,$A139)="",INDEX(Tasks!$G:$G,$A139)="TBD"),INDEX(Tasks!$F:$F,$A139),INDEX(Tasks!$G:$G,$A139)))</f>
        <v/>
      </c>
      <c r="E139" s="16" t="str">
        <f aca="false">IF($A139="","",IF(INDEX(Tasks!$H:$H,$A139)="","",INDEX(Tasks!$H:$H,$A139)))</f>
        <v/>
      </c>
      <c r="F139" s="17" t="str">
        <f aca="false">IF($A139="","",IF(INDEX(Tasks!$I:$I,$A139)="","",INDEX(Tasks!$I:$I,$A139)))</f>
        <v/>
      </c>
      <c r="G139" s="17" t="str">
        <f aca="false">IF($A139="","",IF(INDEX(Tasks!$K:$K,$A139)="","",INDEX(Tasks!$K:$K,$A139)))</f>
        <v/>
      </c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  <c r="AH139" s="18"/>
      <c r="AI139" s="18"/>
      <c r="AJ139" s="18"/>
      <c r="AK139" s="18"/>
      <c r="AL139" s="18"/>
      <c r="AM139" s="18"/>
      <c r="AN139" s="18"/>
      <c r="AO139" s="18"/>
      <c r="AP139" s="18"/>
      <c r="AQ139" s="18"/>
      <c r="AR139" s="18"/>
      <c r="AS139" s="18"/>
      <c r="AT139" s="18"/>
      <c r="AU139" s="18"/>
      <c r="AV139" s="18"/>
      <c r="AW139" s="18"/>
      <c r="AX139" s="18"/>
      <c r="AY139" s="18"/>
    </row>
    <row r="140" customFormat="false" ht="15" hidden="false" customHeight="false" outlineLevel="0" collapsed="false">
      <c r="A140" s="15" t="str">
        <f aca="false">IFERROR(MATCH(ROW()-11,Tasks!$R$4:$R$403,0)+3,"")</f>
        <v/>
      </c>
      <c r="B140" s="16" t="str">
        <f aca="false">IF($A140="","",INDEX(Tasks!$A:$A,$A140))</f>
        <v/>
      </c>
      <c r="C140" s="16" t="str">
        <f aca="false">IF($A140="","",IF(ISERROR(FIND(".",INDEX(Tasks!$A:$A,$A140))),"","   ")&amp;INDEX(Tasks!$D:$D,$A140))</f>
        <v/>
      </c>
      <c r="D140" s="16" t="str">
        <f aca="false">IF($A140="","",IF(OR(INDEX(Tasks!$G:$G,$A140)="",INDEX(Tasks!$G:$G,$A140)="TBD"),INDEX(Tasks!$F:$F,$A140),INDEX(Tasks!$G:$G,$A140)))</f>
        <v/>
      </c>
      <c r="E140" s="16" t="str">
        <f aca="false">IF($A140="","",IF(INDEX(Tasks!$H:$H,$A140)="","",INDEX(Tasks!$H:$H,$A140)))</f>
        <v/>
      </c>
      <c r="F140" s="17" t="str">
        <f aca="false">IF($A140="","",IF(INDEX(Tasks!$I:$I,$A140)="","",INDEX(Tasks!$I:$I,$A140)))</f>
        <v/>
      </c>
      <c r="G140" s="17" t="str">
        <f aca="false">IF($A140="","",IF(INDEX(Tasks!$K:$K,$A140)="","",INDEX(Tasks!$K:$K,$A140)))</f>
        <v/>
      </c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  <c r="AH140" s="18"/>
      <c r="AI140" s="18"/>
      <c r="AJ140" s="18"/>
      <c r="AK140" s="18"/>
      <c r="AL140" s="18"/>
      <c r="AM140" s="18"/>
      <c r="AN140" s="18"/>
      <c r="AO140" s="18"/>
      <c r="AP140" s="18"/>
      <c r="AQ140" s="18"/>
      <c r="AR140" s="18"/>
      <c r="AS140" s="18"/>
      <c r="AT140" s="18"/>
      <c r="AU140" s="18"/>
      <c r="AV140" s="18"/>
      <c r="AW140" s="18"/>
      <c r="AX140" s="18"/>
      <c r="AY140" s="18"/>
    </row>
    <row r="141" customFormat="false" ht="15" hidden="false" customHeight="false" outlineLevel="0" collapsed="false">
      <c r="A141" s="15" t="str">
        <f aca="false">IFERROR(MATCH(ROW()-11,Tasks!$R$4:$R$403,0)+3,"")</f>
        <v/>
      </c>
      <c r="B141" s="16" t="str">
        <f aca="false">IF($A141="","",INDEX(Tasks!$A:$A,$A141))</f>
        <v/>
      </c>
      <c r="C141" s="16" t="str">
        <f aca="false">IF($A141="","",IF(ISERROR(FIND(".",INDEX(Tasks!$A:$A,$A141))),"","   ")&amp;INDEX(Tasks!$D:$D,$A141))</f>
        <v/>
      </c>
      <c r="D141" s="16" t="str">
        <f aca="false">IF($A141="","",IF(OR(INDEX(Tasks!$G:$G,$A141)="",INDEX(Tasks!$G:$G,$A141)="TBD"),INDEX(Tasks!$F:$F,$A141),INDEX(Tasks!$G:$G,$A141)))</f>
        <v/>
      </c>
      <c r="E141" s="16" t="str">
        <f aca="false">IF($A141="","",IF(INDEX(Tasks!$H:$H,$A141)="","",INDEX(Tasks!$H:$H,$A141)))</f>
        <v/>
      </c>
      <c r="F141" s="17" t="str">
        <f aca="false">IF($A141="","",IF(INDEX(Tasks!$I:$I,$A141)="","",INDEX(Tasks!$I:$I,$A141)))</f>
        <v/>
      </c>
      <c r="G141" s="17" t="str">
        <f aca="false">IF($A141="","",IF(INDEX(Tasks!$K:$K,$A141)="","",INDEX(Tasks!$K:$K,$A141)))</f>
        <v/>
      </c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  <c r="AH141" s="18"/>
      <c r="AI141" s="18"/>
      <c r="AJ141" s="18"/>
      <c r="AK141" s="18"/>
      <c r="AL141" s="18"/>
      <c r="AM141" s="18"/>
      <c r="AN141" s="18"/>
      <c r="AO141" s="18"/>
      <c r="AP141" s="18"/>
      <c r="AQ141" s="18"/>
      <c r="AR141" s="18"/>
      <c r="AS141" s="18"/>
      <c r="AT141" s="18"/>
      <c r="AU141" s="18"/>
      <c r="AV141" s="18"/>
      <c r="AW141" s="18"/>
      <c r="AX141" s="18"/>
      <c r="AY141" s="18"/>
    </row>
    <row r="142" customFormat="false" ht="15" hidden="false" customHeight="false" outlineLevel="0" collapsed="false">
      <c r="A142" s="15" t="str">
        <f aca="false">IFERROR(MATCH(ROW()-11,Tasks!$R$4:$R$403,0)+3,"")</f>
        <v/>
      </c>
      <c r="B142" s="16" t="str">
        <f aca="false">IF($A142="","",INDEX(Tasks!$A:$A,$A142))</f>
        <v/>
      </c>
      <c r="C142" s="16" t="str">
        <f aca="false">IF($A142="","",IF(ISERROR(FIND(".",INDEX(Tasks!$A:$A,$A142))),"","   ")&amp;INDEX(Tasks!$D:$D,$A142))</f>
        <v/>
      </c>
      <c r="D142" s="16" t="str">
        <f aca="false">IF($A142="","",IF(OR(INDEX(Tasks!$G:$G,$A142)="",INDEX(Tasks!$G:$G,$A142)="TBD"),INDEX(Tasks!$F:$F,$A142),INDEX(Tasks!$G:$G,$A142)))</f>
        <v/>
      </c>
      <c r="E142" s="16" t="str">
        <f aca="false">IF($A142="","",IF(INDEX(Tasks!$H:$H,$A142)="","",INDEX(Tasks!$H:$H,$A142)))</f>
        <v/>
      </c>
      <c r="F142" s="17" t="str">
        <f aca="false">IF($A142="","",IF(INDEX(Tasks!$I:$I,$A142)="","",INDEX(Tasks!$I:$I,$A142)))</f>
        <v/>
      </c>
      <c r="G142" s="17" t="str">
        <f aca="false">IF($A142="","",IF(INDEX(Tasks!$K:$K,$A142)="","",INDEX(Tasks!$K:$K,$A142)))</f>
        <v/>
      </c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  <c r="AH142" s="18"/>
      <c r="AI142" s="18"/>
      <c r="AJ142" s="18"/>
      <c r="AK142" s="18"/>
      <c r="AL142" s="18"/>
      <c r="AM142" s="18"/>
      <c r="AN142" s="18"/>
      <c r="AO142" s="18"/>
      <c r="AP142" s="18"/>
      <c r="AQ142" s="18"/>
      <c r="AR142" s="18"/>
      <c r="AS142" s="18"/>
      <c r="AT142" s="18"/>
      <c r="AU142" s="18"/>
      <c r="AV142" s="18"/>
      <c r="AW142" s="18"/>
      <c r="AX142" s="18"/>
      <c r="AY142" s="18"/>
    </row>
    <row r="143" customFormat="false" ht="15" hidden="false" customHeight="false" outlineLevel="0" collapsed="false">
      <c r="A143" s="15" t="str">
        <f aca="false">IFERROR(MATCH(ROW()-11,Tasks!$R$4:$R$403,0)+3,"")</f>
        <v/>
      </c>
      <c r="B143" s="16" t="str">
        <f aca="false">IF($A143="","",INDEX(Tasks!$A:$A,$A143))</f>
        <v/>
      </c>
      <c r="C143" s="16" t="str">
        <f aca="false">IF($A143="","",IF(ISERROR(FIND(".",INDEX(Tasks!$A:$A,$A143))),"","   ")&amp;INDEX(Tasks!$D:$D,$A143))</f>
        <v/>
      </c>
      <c r="D143" s="16" t="str">
        <f aca="false">IF($A143="","",IF(OR(INDEX(Tasks!$G:$G,$A143)="",INDEX(Tasks!$G:$G,$A143)="TBD"),INDEX(Tasks!$F:$F,$A143),INDEX(Tasks!$G:$G,$A143)))</f>
        <v/>
      </c>
      <c r="E143" s="16" t="str">
        <f aca="false">IF($A143="","",IF(INDEX(Tasks!$H:$H,$A143)="","",INDEX(Tasks!$H:$H,$A143)))</f>
        <v/>
      </c>
      <c r="F143" s="17" t="str">
        <f aca="false">IF($A143="","",IF(INDEX(Tasks!$I:$I,$A143)="","",INDEX(Tasks!$I:$I,$A143)))</f>
        <v/>
      </c>
      <c r="G143" s="17" t="str">
        <f aca="false">IF($A143="","",IF(INDEX(Tasks!$K:$K,$A143)="","",INDEX(Tasks!$K:$K,$A143)))</f>
        <v/>
      </c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  <c r="AH143" s="18"/>
      <c r="AI143" s="18"/>
      <c r="AJ143" s="18"/>
      <c r="AK143" s="18"/>
      <c r="AL143" s="18"/>
      <c r="AM143" s="18"/>
      <c r="AN143" s="18"/>
      <c r="AO143" s="18"/>
      <c r="AP143" s="18"/>
      <c r="AQ143" s="18"/>
      <c r="AR143" s="18"/>
      <c r="AS143" s="18"/>
      <c r="AT143" s="18"/>
      <c r="AU143" s="18"/>
      <c r="AV143" s="18"/>
      <c r="AW143" s="18"/>
      <c r="AX143" s="18"/>
      <c r="AY143" s="18"/>
    </row>
    <row r="144" customFormat="false" ht="15" hidden="false" customHeight="false" outlineLevel="0" collapsed="false">
      <c r="A144" s="15" t="str">
        <f aca="false">IFERROR(MATCH(ROW()-11,Tasks!$R$4:$R$403,0)+3,"")</f>
        <v/>
      </c>
      <c r="B144" s="16" t="str">
        <f aca="false">IF($A144="","",INDEX(Tasks!$A:$A,$A144))</f>
        <v/>
      </c>
      <c r="C144" s="16" t="str">
        <f aca="false">IF($A144="","",IF(ISERROR(FIND(".",INDEX(Tasks!$A:$A,$A144))),"","   ")&amp;INDEX(Tasks!$D:$D,$A144))</f>
        <v/>
      </c>
      <c r="D144" s="16" t="str">
        <f aca="false">IF($A144="","",IF(OR(INDEX(Tasks!$G:$G,$A144)="",INDEX(Tasks!$G:$G,$A144)="TBD"),INDEX(Tasks!$F:$F,$A144),INDEX(Tasks!$G:$G,$A144)))</f>
        <v/>
      </c>
      <c r="E144" s="16" t="str">
        <f aca="false">IF($A144="","",IF(INDEX(Tasks!$H:$H,$A144)="","",INDEX(Tasks!$H:$H,$A144)))</f>
        <v/>
      </c>
      <c r="F144" s="17" t="str">
        <f aca="false">IF($A144="","",IF(INDEX(Tasks!$I:$I,$A144)="","",INDEX(Tasks!$I:$I,$A144)))</f>
        <v/>
      </c>
      <c r="G144" s="17" t="str">
        <f aca="false">IF($A144="","",IF(INDEX(Tasks!$K:$K,$A144)="","",INDEX(Tasks!$K:$K,$A144)))</f>
        <v/>
      </c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18"/>
      <c r="AH144" s="18"/>
      <c r="AI144" s="18"/>
      <c r="AJ144" s="18"/>
      <c r="AK144" s="18"/>
      <c r="AL144" s="18"/>
      <c r="AM144" s="18"/>
      <c r="AN144" s="18"/>
      <c r="AO144" s="18"/>
      <c r="AP144" s="18"/>
      <c r="AQ144" s="18"/>
      <c r="AR144" s="18"/>
      <c r="AS144" s="18"/>
      <c r="AT144" s="18"/>
      <c r="AU144" s="18"/>
      <c r="AV144" s="18"/>
      <c r="AW144" s="18"/>
      <c r="AX144" s="18"/>
      <c r="AY144" s="18"/>
    </row>
    <row r="145" customFormat="false" ht="15" hidden="false" customHeight="false" outlineLevel="0" collapsed="false">
      <c r="A145" s="15" t="str">
        <f aca="false">IFERROR(MATCH(ROW()-11,Tasks!$R$4:$R$403,0)+3,"")</f>
        <v/>
      </c>
      <c r="B145" s="16" t="str">
        <f aca="false">IF($A145="","",INDEX(Tasks!$A:$A,$A145))</f>
        <v/>
      </c>
      <c r="C145" s="16" t="str">
        <f aca="false">IF($A145="","",IF(ISERROR(FIND(".",INDEX(Tasks!$A:$A,$A145))),"","   ")&amp;INDEX(Tasks!$D:$D,$A145))</f>
        <v/>
      </c>
      <c r="D145" s="16" t="str">
        <f aca="false">IF($A145="","",IF(OR(INDEX(Tasks!$G:$G,$A145)="",INDEX(Tasks!$G:$G,$A145)="TBD"),INDEX(Tasks!$F:$F,$A145),INDEX(Tasks!$G:$G,$A145)))</f>
        <v/>
      </c>
      <c r="E145" s="16" t="str">
        <f aca="false">IF($A145="","",IF(INDEX(Tasks!$H:$H,$A145)="","",INDEX(Tasks!$H:$H,$A145)))</f>
        <v/>
      </c>
      <c r="F145" s="17" t="str">
        <f aca="false">IF($A145="","",IF(INDEX(Tasks!$I:$I,$A145)="","",INDEX(Tasks!$I:$I,$A145)))</f>
        <v/>
      </c>
      <c r="G145" s="17" t="str">
        <f aca="false">IF($A145="","",IF(INDEX(Tasks!$K:$K,$A145)="","",INDEX(Tasks!$K:$K,$A145)))</f>
        <v/>
      </c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  <c r="AH145" s="18"/>
      <c r="AI145" s="18"/>
      <c r="AJ145" s="18"/>
      <c r="AK145" s="18"/>
      <c r="AL145" s="18"/>
      <c r="AM145" s="18"/>
      <c r="AN145" s="18"/>
      <c r="AO145" s="18"/>
      <c r="AP145" s="18"/>
      <c r="AQ145" s="18"/>
      <c r="AR145" s="18"/>
      <c r="AS145" s="18"/>
      <c r="AT145" s="18"/>
      <c r="AU145" s="18"/>
      <c r="AV145" s="18"/>
      <c r="AW145" s="18"/>
      <c r="AX145" s="18"/>
      <c r="AY145" s="18"/>
    </row>
    <row r="146" customFormat="false" ht="15" hidden="false" customHeight="false" outlineLevel="0" collapsed="false">
      <c r="A146" s="15" t="str">
        <f aca="false">IFERROR(MATCH(ROW()-11,Tasks!$R$4:$R$403,0)+3,"")</f>
        <v/>
      </c>
      <c r="B146" s="16" t="str">
        <f aca="false">IF($A146="","",INDEX(Tasks!$A:$A,$A146))</f>
        <v/>
      </c>
      <c r="C146" s="16" t="str">
        <f aca="false">IF($A146="","",IF(ISERROR(FIND(".",INDEX(Tasks!$A:$A,$A146))),"","   ")&amp;INDEX(Tasks!$D:$D,$A146))</f>
        <v/>
      </c>
      <c r="D146" s="16" t="str">
        <f aca="false">IF($A146="","",IF(OR(INDEX(Tasks!$G:$G,$A146)="",INDEX(Tasks!$G:$G,$A146)="TBD"),INDEX(Tasks!$F:$F,$A146),INDEX(Tasks!$G:$G,$A146)))</f>
        <v/>
      </c>
      <c r="E146" s="16" t="str">
        <f aca="false">IF($A146="","",IF(INDEX(Tasks!$H:$H,$A146)="","",INDEX(Tasks!$H:$H,$A146)))</f>
        <v/>
      </c>
      <c r="F146" s="17" t="str">
        <f aca="false">IF($A146="","",IF(INDEX(Tasks!$I:$I,$A146)="","",INDEX(Tasks!$I:$I,$A146)))</f>
        <v/>
      </c>
      <c r="G146" s="17" t="str">
        <f aca="false">IF($A146="","",IF(INDEX(Tasks!$K:$K,$A146)="","",INDEX(Tasks!$K:$K,$A146)))</f>
        <v/>
      </c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  <c r="AH146" s="18"/>
      <c r="AI146" s="18"/>
      <c r="AJ146" s="18"/>
      <c r="AK146" s="18"/>
      <c r="AL146" s="18"/>
      <c r="AM146" s="18"/>
      <c r="AN146" s="18"/>
      <c r="AO146" s="18"/>
      <c r="AP146" s="18"/>
      <c r="AQ146" s="18"/>
      <c r="AR146" s="18"/>
      <c r="AS146" s="18"/>
      <c r="AT146" s="18"/>
      <c r="AU146" s="18"/>
      <c r="AV146" s="18"/>
      <c r="AW146" s="18"/>
      <c r="AX146" s="18"/>
      <c r="AY146" s="18"/>
    </row>
    <row r="147" customFormat="false" ht="15" hidden="false" customHeight="false" outlineLevel="0" collapsed="false">
      <c r="A147" s="15" t="str">
        <f aca="false">IFERROR(MATCH(ROW()-11,Tasks!$R$4:$R$403,0)+3,"")</f>
        <v/>
      </c>
      <c r="B147" s="16" t="str">
        <f aca="false">IF($A147="","",INDEX(Tasks!$A:$A,$A147))</f>
        <v/>
      </c>
      <c r="C147" s="16" t="str">
        <f aca="false">IF($A147="","",IF(ISERROR(FIND(".",INDEX(Tasks!$A:$A,$A147))),"","   ")&amp;INDEX(Tasks!$D:$D,$A147))</f>
        <v/>
      </c>
      <c r="D147" s="16" t="str">
        <f aca="false">IF($A147="","",IF(OR(INDEX(Tasks!$G:$G,$A147)="",INDEX(Tasks!$G:$G,$A147)="TBD"),INDEX(Tasks!$F:$F,$A147),INDEX(Tasks!$G:$G,$A147)))</f>
        <v/>
      </c>
      <c r="E147" s="16" t="str">
        <f aca="false">IF($A147="","",IF(INDEX(Tasks!$H:$H,$A147)="","",INDEX(Tasks!$H:$H,$A147)))</f>
        <v/>
      </c>
      <c r="F147" s="17" t="str">
        <f aca="false">IF($A147="","",IF(INDEX(Tasks!$I:$I,$A147)="","",INDEX(Tasks!$I:$I,$A147)))</f>
        <v/>
      </c>
      <c r="G147" s="17" t="str">
        <f aca="false">IF($A147="","",IF(INDEX(Tasks!$K:$K,$A147)="","",INDEX(Tasks!$K:$K,$A147)))</f>
        <v/>
      </c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K147" s="18"/>
      <c r="AL147" s="18"/>
      <c r="AM147" s="18"/>
      <c r="AN147" s="18"/>
      <c r="AO147" s="18"/>
      <c r="AP147" s="18"/>
      <c r="AQ147" s="18"/>
      <c r="AR147" s="18"/>
      <c r="AS147" s="18"/>
      <c r="AT147" s="18"/>
      <c r="AU147" s="18"/>
      <c r="AV147" s="18"/>
      <c r="AW147" s="18"/>
      <c r="AX147" s="18"/>
      <c r="AY147" s="18"/>
    </row>
    <row r="148" customFormat="false" ht="15" hidden="false" customHeight="false" outlineLevel="0" collapsed="false">
      <c r="A148" s="15" t="str">
        <f aca="false">IFERROR(MATCH(ROW()-11,Tasks!$R$4:$R$403,0)+3,"")</f>
        <v/>
      </c>
      <c r="B148" s="16" t="str">
        <f aca="false">IF($A148="","",INDEX(Tasks!$A:$A,$A148))</f>
        <v/>
      </c>
      <c r="C148" s="16" t="str">
        <f aca="false">IF($A148="","",IF(ISERROR(FIND(".",INDEX(Tasks!$A:$A,$A148))),"","   ")&amp;INDEX(Tasks!$D:$D,$A148))</f>
        <v/>
      </c>
      <c r="D148" s="16" t="str">
        <f aca="false">IF($A148="","",IF(OR(INDEX(Tasks!$G:$G,$A148)="",INDEX(Tasks!$G:$G,$A148)="TBD"),INDEX(Tasks!$F:$F,$A148),INDEX(Tasks!$G:$G,$A148)))</f>
        <v/>
      </c>
      <c r="E148" s="16" t="str">
        <f aca="false">IF($A148="","",IF(INDEX(Tasks!$H:$H,$A148)="","",INDEX(Tasks!$H:$H,$A148)))</f>
        <v/>
      </c>
      <c r="F148" s="17" t="str">
        <f aca="false">IF($A148="","",IF(INDEX(Tasks!$I:$I,$A148)="","",INDEX(Tasks!$I:$I,$A148)))</f>
        <v/>
      </c>
      <c r="G148" s="17" t="str">
        <f aca="false">IF($A148="","",IF(INDEX(Tasks!$K:$K,$A148)="","",INDEX(Tasks!$K:$K,$A148)))</f>
        <v/>
      </c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  <c r="AH148" s="18"/>
      <c r="AI148" s="18"/>
      <c r="AJ148" s="18"/>
      <c r="AK148" s="18"/>
      <c r="AL148" s="18"/>
      <c r="AM148" s="18"/>
      <c r="AN148" s="18"/>
      <c r="AO148" s="18"/>
      <c r="AP148" s="18"/>
      <c r="AQ148" s="18"/>
      <c r="AR148" s="18"/>
      <c r="AS148" s="18"/>
      <c r="AT148" s="18"/>
      <c r="AU148" s="18"/>
      <c r="AV148" s="18"/>
      <c r="AW148" s="18"/>
      <c r="AX148" s="18"/>
      <c r="AY148" s="18"/>
    </row>
    <row r="149" customFormat="false" ht="15" hidden="false" customHeight="false" outlineLevel="0" collapsed="false">
      <c r="A149" s="15" t="str">
        <f aca="false">IFERROR(MATCH(ROW()-11,Tasks!$R$4:$R$403,0)+3,"")</f>
        <v/>
      </c>
      <c r="B149" s="16" t="str">
        <f aca="false">IF($A149="","",INDEX(Tasks!$A:$A,$A149))</f>
        <v/>
      </c>
      <c r="C149" s="16" t="str">
        <f aca="false">IF($A149="","",IF(ISERROR(FIND(".",INDEX(Tasks!$A:$A,$A149))),"","   ")&amp;INDEX(Tasks!$D:$D,$A149))</f>
        <v/>
      </c>
      <c r="D149" s="16" t="str">
        <f aca="false">IF($A149="","",IF(OR(INDEX(Tasks!$G:$G,$A149)="",INDEX(Tasks!$G:$G,$A149)="TBD"),INDEX(Tasks!$F:$F,$A149),INDEX(Tasks!$G:$G,$A149)))</f>
        <v/>
      </c>
      <c r="E149" s="16" t="str">
        <f aca="false">IF($A149="","",IF(INDEX(Tasks!$H:$H,$A149)="","",INDEX(Tasks!$H:$H,$A149)))</f>
        <v/>
      </c>
      <c r="F149" s="17" t="str">
        <f aca="false">IF($A149="","",IF(INDEX(Tasks!$I:$I,$A149)="","",INDEX(Tasks!$I:$I,$A149)))</f>
        <v/>
      </c>
      <c r="G149" s="17" t="str">
        <f aca="false">IF($A149="","",IF(INDEX(Tasks!$K:$K,$A149)="","",INDEX(Tasks!$K:$K,$A149)))</f>
        <v/>
      </c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  <c r="AG149" s="18"/>
      <c r="AH149" s="18"/>
      <c r="AI149" s="18"/>
      <c r="AJ149" s="18"/>
      <c r="AK149" s="18"/>
      <c r="AL149" s="18"/>
      <c r="AM149" s="18"/>
      <c r="AN149" s="18"/>
      <c r="AO149" s="18"/>
      <c r="AP149" s="18"/>
      <c r="AQ149" s="18"/>
      <c r="AR149" s="18"/>
      <c r="AS149" s="18"/>
      <c r="AT149" s="18"/>
      <c r="AU149" s="18"/>
      <c r="AV149" s="18"/>
      <c r="AW149" s="18"/>
      <c r="AX149" s="18"/>
      <c r="AY149" s="18"/>
    </row>
    <row r="150" customFormat="false" ht="15" hidden="false" customHeight="false" outlineLevel="0" collapsed="false">
      <c r="A150" s="15" t="str">
        <f aca="false">IFERROR(MATCH(ROW()-11,Tasks!$R$4:$R$403,0)+3,"")</f>
        <v/>
      </c>
      <c r="B150" s="16" t="str">
        <f aca="false">IF($A150="","",INDEX(Tasks!$A:$A,$A150))</f>
        <v/>
      </c>
      <c r="C150" s="16" t="str">
        <f aca="false">IF($A150="","",IF(ISERROR(FIND(".",INDEX(Tasks!$A:$A,$A150))),"","   ")&amp;INDEX(Tasks!$D:$D,$A150))</f>
        <v/>
      </c>
      <c r="D150" s="16" t="str">
        <f aca="false">IF($A150="","",IF(OR(INDEX(Tasks!$G:$G,$A150)="",INDEX(Tasks!$G:$G,$A150)="TBD"),INDEX(Tasks!$F:$F,$A150),INDEX(Tasks!$G:$G,$A150)))</f>
        <v/>
      </c>
      <c r="E150" s="16" t="str">
        <f aca="false">IF($A150="","",IF(INDEX(Tasks!$H:$H,$A150)="","",INDEX(Tasks!$H:$H,$A150)))</f>
        <v/>
      </c>
      <c r="F150" s="17" t="str">
        <f aca="false">IF($A150="","",IF(INDEX(Tasks!$I:$I,$A150)="","",INDEX(Tasks!$I:$I,$A150)))</f>
        <v/>
      </c>
      <c r="G150" s="17" t="str">
        <f aca="false">IF($A150="","",IF(INDEX(Tasks!$K:$K,$A150)="","",INDEX(Tasks!$K:$K,$A150)))</f>
        <v/>
      </c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  <c r="AH150" s="18"/>
      <c r="AI150" s="18"/>
      <c r="AJ150" s="18"/>
      <c r="AK150" s="18"/>
      <c r="AL150" s="18"/>
      <c r="AM150" s="18"/>
      <c r="AN150" s="18"/>
      <c r="AO150" s="18"/>
      <c r="AP150" s="18"/>
      <c r="AQ150" s="18"/>
      <c r="AR150" s="18"/>
      <c r="AS150" s="18"/>
      <c r="AT150" s="18"/>
      <c r="AU150" s="18"/>
      <c r="AV150" s="18"/>
      <c r="AW150" s="18"/>
      <c r="AX150" s="18"/>
      <c r="AY150" s="18"/>
    </row>
    <row r="151" customFormat="false" ht="15" hidden="false" customHeight="false" outlineLevel="0" collapsed="false">
      <c r="A151" s="15" t="str">
        <f aca="false">IFERROR(MATCH(ROW()-11,Tasks!$R$4:$R$403,0)+3,"")</f>
        <v/>
      </c>
      <c r="B151" s="16" t="str">
        <f aca="false">IF($A151="","",INDEX(Tasks!$A:$A,$A151))</f>
        <v/>
      </c>
      <c r="C151" s="16" t="str">
        <f aca="false">IF($A151="","",IF(ISERROR(FIND(".",INDEX(Tasks!$A:$A,$A151))),"","   ")&amp;INDEX(Tasks!$D:$D,$A151))</f>
        <v/>
      </c>
      <c r="D151" s="16" t="str">
        <f aca="false">IF($A151="","",IF(OR(INDEX(Tasks!$G:$G,$A151)="",INDEX(Tasks!$G:$G,$A151)="TBD"),INDEX(Tasks!$F:$F,$A151),INDEX(Tasks!$G:$G,$A151)))</f>
        <v/>
      </c>
      <c r="E151" s="16" t="str">
        <f aca="false">IF($A151="","",IF(INDEX(Tasks!$H:$H,$A151)="","",INDEX(Tasks!$H:$H,$A151)))</f>
        <v/>
      </c>
      <c r="F151" s="17" t="str">
        <f aca="false">IF($A151="","",IF(INDEX(Tasks!$I:$I,$A151)="","",INDEX(Tasks!$I:$I,$A151)))</f>
        <v/>
      </c>
      <c r="G151" s="17" t="str">
        <f aca="false">IF($A151="","",IF(INDEX(Tasks!$K:$K,$A151)="","",INDEX(Tasks!$K:$K,$A151)))</f>
        <v/>
      </c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  <c r="AG151" s="18"/>
      <c r="AH151" s="18"/>
      <c r="AI151" s="18"/>
      <c r="AJ151" s="18"/>
      <c r="AK151" s="18"/>
      <c r="AL151" s="18"/>
      <c r="AM151" s="18"/>
      <c r="AN151" s="18"/>
      <c r="AO151" s="18"/>
      <c r="AP151" s="18"/>
      <c r="AQ151" s="18"/>
      <c r="AR151" s="18"/>
      <c r="AS151" s="18"/>
      <c r="AT151" s="18"/>
      <c r="AU151" s="18"/>
      <c r="AV151" s="18"/>
      <c r="AW151" s="18"/>
      <c r="AX151" s="18"/>
      <c r="AY151" s="18"/>
    </row>
    <row r="152" customFormat="false" ht="15" hidden="false" customHeight="false" outlineLevel="0" collapsed="false">
      <c r="A152" s="15" t="str">
        <f aca="false">IFERROR(MATCH(ROW()-11,Tasks!$R$4:$R$403,0)+3,"")</f>
        <v/>
      </c>
      <c r="B152" s="16" t="str">
        <f aca="false">IF($A152="","",INDEX(Tasks!$A:$A,$A152))</f>
        <v/>
      </c>
      <c r="C152" s="16" t="str">
        <f aca="false">IF($A152="","",IF(ISERROR(FIND(".",INDEX(Tasks!$A:$A,$A152))),"","   ")&amp;INDEX(Tasks!$D:$D,$A152))</f>
        <v/>
      </c>
      <c r="D152" s="16" t="str">
        <f aca="false">IF($A152="","",IF(OR(INDEX(Tasks!$G:$G,$A152)="",INDEX(Tasks!$G:$G,$A152)="TBD"),INDEX(Tasks!$F:$F,$A152),INDEX(Tasks!$G:$G,$A152)))</f>
        <v/>
      </c>
      <c r="E152" s="16" t="str">
        <f aca="false">IF($A152="","",IF(INDEX(Tasks!$H:$H,$A152)="","",INDEX(Tasks!$H:$H,$A152)))</f>
        <v/>
      </c>
      <c r="F152" s="17" t="str">
        <f aca="false">IF($A152="","",IF(INDEX(Tasks!$I:$I,$A152)="","",INDEX(Tasks!$I:$I,$A152)))</f>
        <v/>
      </c>
      <c r="G152" s="17" t="str">
        <f aca="false">IF($A152="","",IF(INDEX(Tasks!$K:$K,$A152)="","",INDEX(Tasks!$K:$K,$A152)))</f>
        <v/>
      </c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  <c r="AG152" s="18"/>
      <c r="AH152" s="18"/>
      <c r="AI152" s="18"/>
      <c r="AJ152" s="18"/>
      <c r="AK152" s="18"/>
      <c r="AL152" s="18"/>
      <c r="AM152" s="18"/>
      <c r="AN152" s="18"/>
      <c r="AO152" s="18"/>
      <c r="AP152" s="18"/>
      <c r="AQ152" s="18"/>
      <c r="AR152" s="18"/>
      <c r="AS152" s="18"/>
      <c r="AT152" s="18"/>
      <c r="AU152" s="18"/>
      <c r="AV152" s="18"/>
      <c r="AW152" s="18"/>
      <c r="AX152" s="18"/>
      <c r="AY152" s="18"/>
    </row>
    <row r="153" customFormat="false" ht="15" hidden="false" customHeight="false" outlineLevel="0" collapsed="false">
      <c r="A153" s="15" t="str">
        <f aca="false">IFERROR(MATCH(ROW()-11,Tasks!$R$4:$R$403,0)+3,"")</f>
        <v/>
      </c>
      <c r="B153" s="16" t="str">
        <f aca="false">IF($A153="","",INDEX(Tasks!$A:$A,$A153))</f>
        <v/>
      </c>
      <c r="C153" s="16" t="str">
        <f aca="false">IF($A153="","",IF(ISERROR(FIND(".",INDEX(Tasks!$A:$A,$A153))),"","   ")&amp;INDEX(Tasks!$D:$D,$A153))</f>
        <v/>
      </c>
      <c r="D153" s="16" t="str">
        <f aca="false">IF($A153="","",IF(OR(INDEX(Tasks!$G:$G,$A153)="",INDEX(Tasks!$G:$G,$A153)="TBD"),INDEX(Tasks!$F:$F,$A153),INDEX(Tasks!$G:$G,$A153)))</f>
        <v/>
      </c>
      <c r="E153" s="16" t="str">
        <f aca="false">IF($A153="","",IF(INDEX(Tasks!$H:$H,$A153)="","",INDEX(Tasks!$H:$H,$A153)))</f>
        <v/>
      </c>
      <c r="F153" s="17" t="str">
        <f aca="false">IF($A153="","",IF(INDEX(Tasks!$I:$I,$A153)="","",INDEX(Tasks!$I:$I,$A153)))</f>
        <v/>
      </c>
      <c r="G153" s="17" t="str">
        <f aca="false">IF($A153="","",IF(INDEX(Tasks!$K:$K,$A153)="","",INDEX(Tasks!$K:$K,$A153)))</f>
        <v/>
      </c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  <c r="AG153" s="18"/>
      <c r="AH153" s="18"/>
      <c r="AI153" s="18"/>
      <c r="AJ153" s="18"/>
      <c r="AK153" s="18"/>
      <c r="AL153" s="18"/>
      <c r="AM153" s="18"/>
      <c r="AN153" s="18"/>
      <c r="AO153" s="18"/>
      <c r="AP153" s="18"/>
      <c r="AQ153" s="18"/>
      <c r="AR153" s="18"/>
      <c r="AS153" s="18"/>
      <c r="AT153" s="18"/>
      <c r="AU153" s="18"/>
      <c r="AV153" s="18"/>
      <c r="AW153" s="18"/>
      <c r="AX153" s="18"/>
      <c r="AY153" s="18"/>
    </row>
    <row r="154" customFormat="false" ht="15" hidden="false" customHeight="false" outlineLevel="0" collapsed="false">
      <c r="A154" s="15" t="str">
        <f aca="false">IFERROR(MATCH(ROW()-11,Tasks!$R$4:$R$403,0)+3,"")</f>
        <v/>
      </c>
      <c r="B154" s="16" t="str">
        <f aca="false">IF($A154="","",INDEX(Tasks!$A:$A,$A154))</f>
        <v/>
      </c>
      <c r="C154" s="16" t="str">
        <f aca="false">IF($A154="","",IF(ISERROR(FIND(".",INDEX(Tasks!$A:$A,$A154))),"","   ")&amp;INDEX(Tasks!$D:$D,$A154))</f>
        <v/>
      </c>
      <c r="D154" s="16" t="str">
        <f aca="false">IF($A154="","",IF(OR(INDEX(Tasks!$G:$G,$A154)="",INDEX(Tasks!$G:$G,$A154)="TBD"),INDEX(Tasks!$F:$F,$A154),INDEX(Tasks!$G:$G,$A154)))</f>
        <v/>
      </c>
      <c r="E154" s="16" t="str">
        <f aca="false">IF($A154="","",IF(INDEX(Tasks!$H:$H,$A154)="","",INDEX(Tasks!$H:$H,$A154)))</f>
        <v/>
      </c>
      <c r="F154" s="17" t="str">
        <f aca="false">IF($A154="","",IF(INDEX(Tasks!$I:$I,$A154)="","",INDEX(Tasks!$I:$I,$A154)))</f>
        <v/>
      </c>
      <c r="G154" s="17" t="str">
        <f aca="false">IF($A154="","",IF(INDEX(Tasks!$K:$K,$A154)="","",INDEX(Tasks!$K:$K,$A154)))</f>
        <v/>
      </c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  <c r="AH154" s="18"/>
      <c r="AI154" s="18"/>
      <c r="AJ154" s="18"/>
      <c r="AK154" s="18"/>
      <c r="AL154" s="18"/>
      <c r="AM154" s="18"/>
      <c r="AN154" s="18"/>
      <c r="AO154" s="18"/>
      <c r="AP154" s="18"/>
      <c r="AQ154" s="18"/>
      <c r="AR154" s="18"/>
      <c r="AS154" s="18"/>
      <c r="AT154" s="18"/>
      <c r="AU154" s="18"/>
      <c r="AV154" s="18"/>
      <c r="AW154" s="18"/>
      <c r="AX154" s="18"/>
      <c r="AY154" s="18"/>
    </row>
    <row r="155" customFormat="false" ht="15" hidden="false" customHeight="false" outlineLevel="0" collapsed="false">
      <c r="A155" s="15" t="str">
        <f aca="false">IFERROR(MATCH(ROW()-11,Tasks!$R$4:$R$403,0)+3,"")</f>
        <v/>
      </c>
      <c r="B155" s="16" t="str">
        <f aca="false">IF($A155="","",INDEX(Tasks!$A:$A,$A155))</f>
        <v/>
      </c>
      <c r="C155" s="16" t="str">
        <f aca="false">IF($A155="","",IF(ISERROR(FIND(".",INDEX(Tasks!$A:$A,$A155))),"","   ")&amp;INDEX(Tasks!$D:$D,$A155))</f>
        <v/>
      </c>
      <c r="D155" s="16" t="str">
        <f aca="false">IF($A155="","",IF(OR(INDEX(Tasks!$G:$G,$A155)="",INDEX(Tasks!$G:$G,$A155)="TBD"),INDEX(Tasks!$F:$F,$A155),INDEX(Tasks!$G:$G,$A155)))</f>
        <v/>
      </c>
      <c r="E155" s="16" t="str">
        <f aca="false">IF($A155="","",IF(INDEX(Tasks!$H:$H,$A155)="","",INDEX(Tasks!$H:$H,$A155)))</f>
        <v/>
      </c>
      <c r="F155" s="17" t="str">
        <f aca="false">IF($A155="","",IF(INDEX(Tasks!$I:$I,$A155)="","",INDEX(Tasks!$I:$I,$A155)))</f>
        <v/>
      </c>
      <c r="G155" s="17" t="str">
        <f aca="false">IF($A155="","",IF(INDEX(Tasks!$K:$K,$A155)="","",INDEX(Tasks!$K:$K,$A155)))</f>
        <v/>
      </c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  <c r="AH155" s="18"/>
      <c r="AI155" s="18"/>
      <c r="AJ155" s="18"/>
      <c r="AK155" s="18"/>
      <c r="AL155" s="18"/>
      <c r="AM155" s="18"/>
      <c r="AN155" s="18"/>
      <c r="AO155" s="18"/>
      <c r="AP155" s="18"/>
      <c r="AQ155" s="18"/>
      <c r="AR155" s="18"/>
      <c r="AS155" s="18"/>
      <c r="AT155" s="18"/>
      <c r="AU155" s="18"/>
      <c r="AV155" s="18"/>
      <c r="AW155" s="18"/>
      <c r="AX155" s="18"/>
      <c r="AY155" s="18"/>
    </row>
    <row r="156" customFormat="false" ht="15" hidden="false" customHeight="false" outlineLevel="0" collapsed="false">
      <c r="A156" s="15" t="str">
        <f aca="false">IFERROR(MATCH(ROW()-11,Tasks!$R$4:$R$403,0)+3,"")</f>
        <v/>
      </c>
      <c r="B156" s="16" t="str">
        <f aca="false">IF($A156="","",INDEX(Tasks!$A:$A,$A156))</f>
        <v/>
      </c>
      <c r="C156" s="16" t="str">
        <f aca="false">IF($A156="","",IF(ISERROR(FIND(".",INDEX(Tasks!$A:$A,$A156))),"","   ")&amp;INDEX(Tasks!$D:$D,$A156))</f>
        <v/>
      </c>
      <c r="D156" s="16" t="str">
        <f aca="false">IF($A156="","",IF(OR(INDEX(Tasks!$G:$G,$A156)="",INDEX(Tasks!$G:$G,$A156)="TBD"),INDEX(Tasks!$F:$F,$A156),INDEX(Tasks!$G:$G,$A156)))</f>
        <v/>
      </c>
      <c r="E156" s="16" t="str">
        <f aca="false">IF($A156="","",IF(INDEX(Tasks!$H:$H,$A156)="","",INDEX(Tasks!$H:$H,$A156)))</f>
        <v/>
      </c>
      <c r="F156" s="17" t="str">
        <f aca="false">IF($A156="","",IF(INDEX(Tasks!$I:$I,$A156)="","",INDEX(Tasks!$I:$I,$A156)))</f>
        <v/>
      </c>
      <c r="G156" s="17" t="str">
        <f aca="false">IF($A156="","",IF(INDEX(Tasks!$K:$K,$A156)="","",INDEX(Tasks!$K:$K,$A156)))</f>
        <v/>
      </c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  <c r="AH156" s="18"/>
      <c r="AI156" s="18"/>
      <c r="AJ156" s="18"/>
      <c r="AK156" s="18"/>
      <c r="AL156" s="18"/>
      <c r="AM156" s="18"/>
      <c r="AN156" s="18"/>
      <c r="AO156" s="18"/>
      <c r="AP156" s="18"/>
      <c r="AQ156" s="18"/>
      <c r="AR156" s="18"/>
      <c r="AS156" s="18"/>
      <c r="AT156" s="18"/>
      <c r="AU156" s="18"/>
      <c r="AV156" s="18"/>
      <c r="AW156" s="18"/>
      <c r="AX156" s="18"/>
      <c r="AY156" s="18"/>
    </row>
    <row r="157" customFormat="false" ht="15" hidden="false" customHeight="false" outlineLevel="0" collapsed="false">
      <c r="A157" s="15" t="str">
        <f aca="false">IFERROR(MATCH(ROW()-11,Tasks!$R$4:$R$403,0)+3,"")</f>
        <v/>
      </c>
      <c r="B157" s="16" t="str">
        <f aca="false">IF($A157="","",INDEX(Tasks!$A:$A,$A157))</f>
        <v/>
      </c>
      <c r="C157" s="16" t="str">
        <f aca="false">IF($A157="","",IF(ISERROR(FIND(".",INDEX(Tasks!$A:$A,$A157))),"","   ")&amp;INDEX(Tasks!$D:$D,$A157))</f>
        <v/>
      </c>
      <c r="D157" s="16" t="str">
        <f aca="false">IF($A157="","",IF(OR(INDEX(Tasks!$G:$G,$A157)="",INDEX(Tasks!$G:$G,$A157)="TBD"),INDEX(Tasks!$F:$F,$A157),INDEX(Tasks!$G:$G,$A157)))</f>
        <v/>
      </c>
      <c r="E157" s="16" t="str">
        <f aca="false">IF($A157="","",IF(INDEX(Tasks!$H:$H,$A157)="","",INDEX(Tasks!$H:$H,$A157)))</f>
        <v/>
      </c>
      <c r="F157" s="17" t="str">
        <f aca="false">IF($A157="","",IF(INDEX(Tasks!$I:$I,$A157)="","",INDEX(Tasks!$I:$I,$A157)))</f>
        <v/>
      </c>
      <c r="G157" s="17" t="str">
        <f aca="false">IF($A157="","",IF(INDEX(Tasks!$K:$K,$A157)="","",INDEX(Tasks!$K:$K,$A157)))</f>
        <v/>
      </c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  <c r="AH157" s="18"/>
      <c r="AI157" s="18"/>
      <c r="AJ157" s="18"/>
      <c r="AK157" s="18"/>
      <c r="AL157" s="18"/>
      <c r="AM157" s="18"/>
      <c r="AN157" s="18"/>
      <c r="AO157" s="18"/>
      <c r="AP157" s="18"/>
      <c r="AQ157" s="18"/>
      <c r="AR157" s="18"/>
      <c r="AS157" s="18"/>
      <c r="AT157" s="18"/>
      <c r="AU157" s="18"/>
      <c r="AV157" s="18"/>
      <c r="AW157" s="18"/>
      <c r="AX157" s="18"/>
      <c r="AY157" s="18"/>
    </row>
    <row r="158" customFormat="false" ht="15" hidden="false" customHeight="false" outlineLevel="0" collapsed="false">
      <c r="A158" s="15" t="str">
        <f aca="false">IFERROR(MATCH(ROW()-11,Tasks!$R$4:$R$403,0)+3,"")</f>
        <v/>
      </c>
      <c r="B158" s="16" t="str">
        <f aca="false">IF($A158="","",INDEX(Tasks!$A:$A,$A158))</f>
        <v/>
      </c>
      <c r="C158" s="16" t="str">
        <f aca="false">IF($A158="","",IF(ISERROR(FIND(".",INDEX(Tasks!$A:$A,$A158))),"","   ")&amp;INDEX(Tasks!$D:$D,$A158))</f>
        <v/>
      </c>
      <c r="D158" s="16" t="str">
        <f aca="false">IF($A158="","",IF(OR(INDEX(Tasks!$G:$G,$A158)="",INDEX(Tasks!$G:$G,$A158)="TBD"),INDEX(Tasks!$F:$F,$A158),INDEX(Tasks!$G:$G,$A158)))</f>
        <v/>
      </c>
      <c r="E158" s="16" t="str">
        <f aca="false">IF($A158="","",IF(INDEX(Tasks!$H:$H,$A158)="","",INDEX(Tasks!$H:$H,$A158)))</f>
        <v/>
      </c>
      <c r="F158" s="17" t="str">
        <f aca="false">IF($A158="","",IF(INDEX(Tasks!$I:$I,$A158)="","",INDEX(Tasks!$I:$I,$A158)))</f>
        <v/>
      </c>
      <c r="G158" s="17" t="str">
        <f aca="false">IF($A158="","",IF(INDEX(Tasks!$K:$K,$A158)="","",INDEX(Tasks!$K:$K,$A158)))</f>
        <v/>
      </c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  <c r="AH158" s="18"/>
      <c r="AI158" s="18"/>
      <c r="AJ158" s="18"/>
      <c r="AK158" s="18"/>
      <c r="AL158" s="18"/>
      <c r="AM158" s="18"/>
      <c r="AN158" s="18"/>
      <c r="AO158" s="18"/>
      <c r="AP158" s="18"/>
      <c r="AQ158" s="18"/>
      <c r="AR158" s="18"/>
      <c r="AS158" s="18"/>
      <c r="AT158" s="18"/>
      <c r="AU158" s="18"/>
      <c r="AV158" s="18"/>
      <c r="AW158" s="18"/>
      <c r="AX158" s="18"/>
      <c r="AY158" s="18"/>
    </row>
    <row r="159" customFormat="false" ht="15" hidden="false" customHeight="false" outlineLevel="0" collapsed="false">
      <c r="A159" s="15" t="str">
        <f aca="false">IFERROR(MATCH(ROW()-11,Tasks!$R$4:$R$403,0)+3,"")</f>
        <v/>
      </c>
      <c r="B159" s="16" t="str">
        <f aca="false">IF($A159="","",INDEX(Tasks!$A:$A,$A159))</f>
        <v/>
      </c>
      <c r="C159" s="16" t="str">
        <f aca="false">IF($A159="","",IF(ISERROR(FIND(".",INDEX(Tasks!$A:$A,$A159))),"","   ")&amp;INDEX(Tasks!$D:$D,$A159))</f>
        <v/>
      </c>
      <c r="D159" s="16" t="str">
        <f aca="false">IF($A159="","",IF(OR(INDEX(Tasks!$G:$G,$A159)="",INDEX(Tasks!$G:$G,$A159)="TBD"),INDEX(Tasks!$F:$F,$A159),INDEX(Tasks!$G:$G,$A159)))</f>
        <v/>
      </c>
      <c r="E159" s="16" t="str">
        <f aca="false">IF($A159="","",IF(INDEX(Tasks!$H:$H,$A159)="","",INDEX(Tasks!$H:$H,$A159)))</f>
        <v/>
      </c>
      <c r="F159" s="17" t="str">
        <f aca="false">IF($A159="","",IF(INDEX(Tasks!$I:$I,$A159)="","",INDEX(Tasks!$I:$I,$A159)))</f>
        <v/>
      </c>
      <c r="G159" s="17" t="str">
        <f aca="false">IF($A159="","",IF(INDEX(Tasks!$K:$K,$A159)="","",INDEX(Tasks!$K:$K,$A159)))</f>
        <v/>
      </c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  <c r="AH159" s="18"/>
      <c r="AI159" s="18"/>
      <c r="AJ159" s="18"/>
      <c r="AK159" s="18"/>
      <c r="AL159" s="18"/>
      <c r="AM159" s="18"/>
      <c r="AN159" s="18"/>
      <c r="AO159" s="18"/>
      <c r="AP159" s="18"/>
      <c r="AQ159" s="18"/>
      <c r="AR159" s="18"/>
      <c r="AS159" s="18"/>
      <c r="AT159" s="18"/>
      <c r="AU159" s="18"/>
      <c r="AV159" s="18"/>
      <c r="AW159" s="18"/>
      <c r="AX159" s="18"/>
      <c r="AY159" s="18"/>
    </row>
    <row r="160" customFormat="false" ht="15" hidden="false" customHeight="false" outlineLevel="0" collapsed="false">
      <c r="A160" s="15" t="str">
        <f aca="false">IFERROR(MATCH(ROW()-11,Tasks!$R$4:$R$403,0)+3,"")</f>
        <v/>
      </c>
      <c r="B160" s="16" t="str">
        <f aca="false">IF($A160="","",INDEX(Tasks!$A:$A,$A160))</f>
        <v/>
      </c>
      <c r="C160" s="16" t="str">
        <f aca="false">IF($A160="","",IF(ISERROR(FIND(".",INDEX(Tasks!$A:$A,$A160))),"","   ")&amp;INDEX(Tasks!$D:$D,$A160))</f>
        <v/>
      </c>
      <c r="D160" s="16" t="str">
        <f aca="false">IF($A160="","",IF(OR(INDEX(Tasks!$G:$G,$A160)="",INDEX(Tasks!$G:$G,$A160)="TBD"),INDEX(Tasks!$F:$F,$A160),INDEX(Tasks!$G:$G,$A160)))</f>
        <v/>
      </c>
      <c r="E160" s="16" t="str">
        <f aca="false">IF($A160="","",IF(INDEX(Tasks!$H:$H,$A160)="","",INDEX(Tasks!$H:$H,$A160)))</f>
        <v/>
      </c>
      <c r="F160" s="17" t="str">
        <f aca="false">IF($A160="","",IF(INDEX(Tasks!$I:$I,$A160)="","",INDEX(Tasks!$I:$I,$A160)))</f>
        <v/>
      </c>
      <c r="G160" s="17" t="str">
        <f aca="false">IF($A160="","",IF(INDEX(Tasks!$K:$K,$A160)="","",INDEX(Tasks!$K:$K,$A160)))</f>
        <v/>
      </c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  <c r="AH160" s="18"/>
      <c r="AI160" s="18"/>
      <c r="AJ160" s="18"/>
      <c r="AK160" s="18"/>
      <c r="AL160" s="18"/>
      <c r="AM160" s="18"/>
      <c r="AN160" s="18"/>
      <c r="AO160" s="18"/>
      <c r="AP160" s="18"/>
      <c r="AQ160" s="18"/>
      <c r="AR160" s="18"/>
      <c r="AS160" s="18"/>
      <c r="AT160" s="18"/>
      <c r="AU160" s="18"/>
      <c r="AV160" s="18"/>
      <c r="AW160" s="18"/>
      <c r="AX160" s="18"/>
      <c r="AY160" s="18"/>
    </row>
    <row r="161" customFormat="false" ht="15" hidden="false" customHeight="false" outlineLevel="0" collapsed="false">
      <c r="A161" s="15" t="str">
        <f aca="false">IFERROR(MATCH(ROW()-11,Tasks!$R$4:$R$403,0)+3,"")</f>
        <v/>
      </c>
      <c r="B161" s="16" t="str">
        <f aca="false">IF($A161="","",INDEX(Tasks!$A:$A,$A161))</f>
        <v/>
      </c>
      <c r="C161" s="16" t="str">
        <f aca="false">IF($A161="","",IF(ISERROR(FIND(".",INDEX(Tasks!$A:$A,$A161))),"","   ")&amp;INDEX(Tasks!$D:$D,$A161))</f>
        <v/>
      </c>
      <c r="D161" s="16" t="str">
        <f aca="false">IF($A161="","",IF(OR(INDEX(Tasks!$G:$G,$A161)="",INDEX(Tasks!$G:$G,$A161)="TBD"),INDEX(Tasks!$F:$F,$A161),INDEX(Tasks!$G:$G,$A161)))</f>
        <v/>
      </c>
      <c r="E161" s="16" t="str">
        <f aca="false">IF($A161="","",IF(INDEX(Tasks!$H:$H,$A161)="","",INDEX(Tasks!$H:$H,$A161)))</f>
        <v/>
      </c>
      <c r="F161" s="17" t="str">
        <f aca="false">IF($A161="","",IF(INDEX(Tasks!$I:$I,$A161)="","",INDEX(Tasks!$I:$I,$A161)))</f>
        <v/>
      </c>
      <c r="G161" s="17" t="str">
        <f aca="false">IF($A161="","",IF(INDEX(Tasks!$K:$K,$A161)="","",INDEX(Tasks!$K:$K,$A161)))</f>
        <v/>
      </c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  <c r="AH161" s="18"/>
      <c r="AI161" s="18"/>
      <c r="AJ161" s="18"/>
      <c r="AK161" s="18"/>
      <c r="AL161" s="18"/>
      <c r="AM161" s="18"/>
      <c r="AN161" s="18"/>
      <c r="AO161" s="18"/>
      <c r="AP161" s="18"/>
      <c r="AQ161" s="18"/>
      <c r="AR161" s="18"/>
      <c r="AS161" s="18"/>
      <c r="AT161" s="18"/>
      <c r="AU161" s="18"/>
      <c r="AV161" s="18"/>
      <c r="AW161" s="18"/>
      <c r="AX161" s="18"/>
      <c r="AY161" s="18"/>
    </row>
    <row r="162" customFormat="false" ht="15" hidden="false" customHeight="false" outlineLevel="0" collapsed="false">
      <c r="A162" s="15" t="str">
        <f aca="false">IFERROR(MATCH(ROW()-11,Tasks!$R$4:$R$403,0)+3,"")</f>
        <v/>
      </c>
      <c r="B162" s="16" t="str">
        <f aca="false">IF($A162="","",INDEX(Tasks!$A:$A,$A162))</f>
        <v/>
      </c>
      <c r="C162" s="16" t="str">
        <f aca="false">IF($A162="","",IF(ISERROR(FIND(".",INDEX(Tasks!$A:$A,$A162))),"","   ")&amp;INDEX(Tasks!$D:$D,$A162))</f>
        <v/>
      </c>
      <c r="D162" s="16" t="str">
        <f aca="false">IF($A162="","",IF(OR(INDEX(Tasks!$G:$G,$A162)="",INDEX(Tasks!$G:$G,$A162)="TBD"),INDEX(Tasks!$F:$F,$A162),INDEX(Tasks!$G:$G,$A162)))</f>
        <v/>
      </c>
      <c r="E162" s="16" t="str">
        <f aca="false">IF($A162="","",IF(INDEX(Tasks!$H:$H,$A162)="","",INDEX(Tasks!$H:$H,$A162)))</f>
        <v/>
      </c>
      <c r="F162" s="17" t="str">
        <f aca="false">IF($A162="","",IF(INDEX(Tasks!$I:$I,$A162)="","",INDEX(Tasks!$I:$I,$A162)))</f>
        <v/>
      </c>
      <c r="G162" s="17" t="str">
        <f aca="false">IF($A162="","",IF(INDEX(Tasks!$K:$K,$A162)="","",INDEX(Tasks!$K:$K,$A162)))</f>
        <v/>
      </c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  <c r="AH162" s="18"/>
      <c r="AI162" s="18"/>
      <c r="AJ162" s="18"/>
      <c r="AK162" s="18"/>
      <c r="AL162" s="18"/>
      <c r="AM162" s="18"/>
      <c r="AN162" s="18"/>
      <c r="AO162" s="18"/>
      <c r="AP162" s="18"/>
      <c r="AQ162" s="18"/>
      <c r="AR162" s="18"/>
      <c r="AS162" s="18"/>
      <c r="AT162" s="18"/>
      <c r="AU162" s="18"/>
      <c r="AV162" s="18"/>
      <c r="AW162" s="18"/>
      <c r="AX162" s="18"/>
      <c r="AY162" s="18"/>
    </row>
    <row r="163" customFormat="false" ht="15" hidden="false" customHeight="false" outlineLevel="0" collapsed="false">
      <c r="A163" s="15" t="str">
        <f aca="false">IFERROR(MATCH(ROW()-11,Tasks!$R$4:$R$403,0)+3,"")</f>
        <v/>
      </c>
      <c r="B163" s="16" t="str">
        <f aca="false">IF($A163="","",INDEX(Tasks!$A:$A,$A163))</f>
        <v/>
      </c>
      <c r="C163" s="16" t="str">
        <f aca="false">IF($A163="","",IF(ISERROR(FIND(".",INDEX(Tasks!$A:$A,$A163))),"","   ")&amp;INDEX(Tasks!$D:$D,$A163))</f>
        <v/>
      </c>
      <c r="D163" s="16" t="str">
        <f aca="false">IF($A163="","",IF(OR(INDEX(Tasks!$G:$G,$A163)="",INDEX(Tasks!$G:$G,$A163)="TBD"),INDEX(Tasks!$F:$F,$A163),INDEX(Tasks!$G:$G,$A163)))</f>
        <v/>
      </c>
      <c r="E163" s="16" t="str">
        <f aca="false">IF($A163="","",IF(INDEX(Tasks!$H:$H,$A163)="","",INDEX(Tasks!$H:$H,$A163)))</f>
        <v/>
      </c>
      <c r="F163" s="17" t="str">
        <f aca="false">IF($A163="","",IF(INDEX(Tasks!$I:$I,$A163)="","",INDEX(Tasks!$I:$I,$A163)))</f>
        <v/>
      </c>
      <c r="G163" s="17" t="str">
        <f aca="false">IF($A163="","",IF(INDEX(Tasks!$K:$K,$A163)="","",INDEX(Tasks!$K:$K,$A163)))</f>
        <v/>
      </c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  <c r="AH163" s="18"/>
      <c r="AI163" s="18"/>
      <c r="AJ163" s="18"/>
      <c r="AK163" s="18"/>
      <c r="AL163" s="18"/>
      <c r="AM163" s="18"/>
      <c r="AN163" s="18"/>
      <c r="AO163" s="18"/>
      <c r="AP163" s="18"/>
      <c r="AQ163" s="18"/>
      <c r="AR163" s="18"/>
      <c r="AS163" s="18"/>
      <c r="AT163" s="18"/>
      <c r="AU163" s="18"/>
      <c r="AV163" s="18"/>
      <c r="AW163" s="18"/>
      <c r="AX163" s="18"/>
      <c r="AY163" s="18"/>
    </row>
    <row r="164" customFormat="false" ht="15" hidden="false" customHeight="false" outlineLevel="0" collapsed="false">
      <c r="A164" s="15" t="str">
        <f aca="false">IFERROR(MATCH(ROW()-11,Tasks!$R$4:$R$403,0)+3,"")</f>
        <v/>
      </c>
      <c r="B164" s="16" t="str">
        <f aca="false">IF($A164="","",INDEX(Tasks!$A:$A,$A164))</f>
        <v/>
      </c>
      <c r="C164" s="16" t="str">
        <f aca="false">IF($A164="","",IF(ISERROR(FIND(".",INDEX(Tasks!$A:$A,$A164))),"","   ")&amp;INDEX(Tasks!$D:$D,$A164))</f>
        <v/>
      </c>
      <c r="D164" s="16" t="str">
        <f aca="false">IF($A164="","",IF(OR(INDEX(Tasks!$G:$G,$A164)="",INDEX(Tasks!$G:$G,$A164)="TBD"),INDEX(Tasks!$F:$F,$A164),INDEX(Tasks!$G:$G,$A164)))</f>
        <v/>
      </c>
      <c r="E164" s="16" t="str">
        <f aca="false">IF($A164="","",IF(INDEX(Tasks!$H:$H,$A164)="","",INDEX(Tasks!$H:$H,$A164)))</f>
        <v/>
      </c>
      <c r="F164" s="17" t="str">
        <f aca="false">IF($A164="","",IF(INDEX(Tasks!$I:$I,$A164)="","",INDEX(Tasks!$I:$I,$A164)))</f>
        <v/>
      </c>
      <c r="G164" s="17" t="str">
        <f aca="false">IF($A164="","",IF(INDEX(Tasks!$K:$K,$A164)="","",INDEX(Tasks!$K:$K,$A164)))</f>
        <v/>
      </c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  <c r="AH164" s="18"/>
      <c r="AI164" s="18"/>
      <c r="AJ164" s="18"/>
      <c r="AK164" s="18"/>
      <c r="AL164" s="18"/>
      <c r="AM164" s="18"/>
      <c r="AN164" s="18"/>
      <c r="AO164" s="18"/>
      <c r="AP164" s="18"/>
      <c r="AQ164" s="18"/>
      <c r="AR164" s="18"/>
      <c r="AS164" s="18"/>
      <c r="AT164" s="18"/>
      <c r="AU164" s="18"/>
      <c r="AV164" s="18"/>
      <c r="AW164" s="18"/>
      <c r="AX164" s="18"/>
      <c r="AY164" s="18"/>
    </row>
    <row r="165" customFormat="false" ht="15" hidden="false" customHeight="false" outlineLevel="0" collapsed="false">
      <c r="A165" s="15" t="str">
        <f aca="false">IFERROR(MATCH(ROW()-11,Tasks!$R$4:$R$403,0)+3,"")</f>
        <v/>
      </c>
      <c r="B165" s="16" t="str">
        <f aca="false">IF($A165="","",INDEX(Tasks!$A:$A,$A165))</f>
        <v/>
      </c>
      <c r="C165" s="16" t="str">
        <f aca="false">IF($A165="","",IF(ISERROR(FIND(".",INDEX(Tasks!$A:$A,$A165))),"","   ")&amp;INDEX(Tasks!$D:$D,$A165))</f>
        <v/>
      </c>
      <c r="D165" s="16" t="str">
        <f aca="false">IF($A165="","",IF(OR(INDEX(Tasks!$G:$G,$A165)="",INDEX(Tasks!$G:$G,$A165)="TBD"),INDEX(Tasks!$F:$F,$A165),INDEX(Tasks!$G:$G,$A165)))</f>
        <v/>
      </c>
      <c r="E165" s="16" t="str">
        <f aca="false">IF($A165="","",IF(INDEX(Tasks!$H:$H,$A165)="","",INDEX(Tasks!$H:$H,$A165)))</f>
        <v/>
      </c>
      <c r="F165" s="17" t="str">
        <f aca="false">IF($A165="","",IF(INDEX(Tasks!$I:$I,$A165)="","",INDEX(Tasks!$I:$I,$A165)))</f>
        <v/>
      </c>
      <c r="G165" s="17" t="str">
        <f aca="false">IF($A165="","",IF(INDEX(Tasks!$K:$K,$A165)="","",INDEX(Tasks!$K:$K,$A165)))</f>
        <v/>
      </c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  <c r="AG165" s="18"/>
      <c r="AH165" s="18"/>
      <c r="AI165" s="18"/>
      <c r="AJ165" s="18"/>
      <c r="AK165" s="18"/>
      <c r="AL165" s="18"/>
      <c r="AM165" s="18"/>
      <c r="AN165" s="18"/>
      <c r="AO165" s="18"/>
      <c r="AP165" s="18"/>
      <c r="AQ165" s="18"/>
      <c r="AR165" s="18"/>
      <c r="AS165" s="18"/>
      <c r="AT165" s="18"/>
      <c r="AU165" s="18"/>
      <c r="AV165" s="18"/>
      <c r="AW165" s="18"/>
      <c r="AX165" s="18"/>
      <c r="AY165" s="18"/>
    </row>
    <row r="166" customFormat="false" ht="15" hidden="false" customHeight="false" outlineLevel="0" collapsed="false">
      <c r="A166" s="15" t="str">
        <f aca="false">IFERROR(MATCH(ROW()-11,Tasks!$R$4:$R$403,0)+3,"")</f>
        <v/>
      </c>
      <c r="B166" s="16" t="str">
        <f aca="false">IF($A166="","",INDEX(Tasks!$A:$A,$A166))</f>
        <v/>
      </c>
      <c r="C166" s="16" t="str">
        <f aca="false">IF($A166="","",IF(ISERROR(FIND(".",INDEX(Tasks!$A:$A,$A166))),"","   ")&amp;INDEX(Tasks!$D:$D,$A166))</f>
        <v/>
      </c>
      <c r="D166" s="16" t="str">
        <f aca="false">IF($A166="","",IF(OR(INDEX(Tasks!$G:$G,$A166)="",INDEX(Tasks!$G:$G,$A166)="TBD"),INDEX(Tasks!$F:$F,$A166),INDEX(Tasks!$G:$G,$A166)))</f>
        <v/>
      </c>
      <c r="E166" s="16" t="str">
        <f aca="false">IF($A166="","",IF(INDEX(Tasks!$H:$H,$A166)="","",INDEX(Tasks!$H:$H,$A166)))</f>
        <v/>
      </c>
      <c r="F166" s="17" t="str">
        <f aca="false">IF($A166="","",IF(INDEX(Tasks!$I:$I,$A166)="","",INDEX(Tasks!$I:$I,$A166)))</f>
        <v/>
      </c>
      <c r="G166" s="17" t="str">
        <f aca="false">IF($A166="","",IF(INDEX(Tasks!$K:$K,$A166)="","",INDEX(Tasks!$K:$K,$A166)))</f>
        <v/>
      </c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J166" s="18"/>
      <c r="AK166" s="18"/>
      <c r="AL166" s="18"/>
      <c r="AM166" s="18"/>
      <c r="AN166" s="18"/>
      <c r="AO166" s="18"/>
      <c r="AP166" s="18"/>
      <c r="AQ166" s="18"/>
      <c r="AR166" s="18"/>
      <c r="AS166" s="18"/>
      <c r="AT166" s="18"/>
      <c r="AU166" s="18"/>
      <c r="AV166" s="18"/>
      <c r="AW166" s="18"/>
      <c r="AX166" s="18"/>
      <c r="AY166" s="18"/>
    </row>
    <row r="167" customFormat="false" ht="15" hidden="false" customHeight="false" outlineLevel="0" collapsed="false">
      <c r="A167" s="15" t="str">
        <f aca="false">IFERROR(MATCH(ROW()-11,Tasks!$R$4:$R$403,0)+3,"")</f>
        <v/>
      </c>
      <c r="B167" s="16" t="str">
        <f aca="false">IF($A167="","",INDEX(Tasks!$A:$A,$A167))</f>
        <v/>
      </c>
      <c r="C167" s="16" t="str">
        <f aca="false">IF($A167="","",IF(ISERROR(FIND(".",INDEX(Tasks!$A:$A,$A167))),"","   ")&amp;INDEX(Tasks!$D:$D,$A167))</f>
        <v/>
      </c>
      <c r="D167" s="16" t="str">
        <f aca="false">IF($A167="","",IF(OR(INDEX(Tasks!$G:$G,$A167)="",INDEX(Tasks!$G:$G,$A167)="TBD"),INDEX(Tasks!$F:$F,$A167),INDEX(Tasks!$G:$G,$A167)))</f>
        <v/>
      </c>
      <c r="E167" s="16" t="str">
        <f aca="false">IF($A167="","",IF(INDEX(Tasks!$H:$H,$A167)="","",INDEX(Tasks!$H:$H,$A167)))</f>
        <v/>
      </c>
      <c r="F167" s="17" t="str">
        <f aca="false">IF($A167="","",IF(INDEX(Tasks!$I:$I,$A167)="","",INDEX(Tasks!$I:$I,$A167)))</f>
        <v/>
      </c>
      <c r="G167" s="17" t="str">
        <f aca="false">IF($A167="","",IF(INDEX(Tasks!$K:$K,$A167)="","",INDEX(Tasks!$K:$K,$A167)))</f>
        <v/>
      </c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  <c r="AH167" s="18"/>
      <c r="AI167" s="18"/>
      <c r="AJ167" s="18"/>
      <c r="AK167" s="18"/>
      <c r="AL167" s="18"/>
      <c r="AM167" s="18"/>
      <c r="AN167" s="18"/>
      <c r="AO167" s="18"/>
      <c r="AP167" s="18"/>
      <c r="AQ167" s="18"/>
      <c r="AR167" s="18"/>
      <c r="AS167" s="18"/>
      <c r="AT167" s="18"/>
      <c r="AU167" s="18"/>
      <c r="AV167" s="18"/>
      <c r="AW167" s="18"/>
      <c r="AX167" s="18"/>
      <c r="AY167" s="18"/>
    </row>
    <row r="168" customFormat="false" ht="15" hidden="false" customHeight="false" outlineLevel="0" collapsed="false">
      <c r="A168" s="15" t="str">
        <f aca="false">IFERROR(MATCH(ROW()-11,Tasks!$R$4:$R$403,0)+3,"")</f>
        <v/>
      </c>
      <c r="B168" s="16" t="str">
        <f aca="false">IF($A168="","",INDEX(Tasks!$A:$A,$A168))</f>
        <v/>
      </c>
      <c r="C168" s="16" t="str">
        <f aca="false">IF($A168="","",IF(ISERROR(FIND(".",INDEX(Tasks!$A:$A,$A168))),"","   ")&amp;INDEX(Tasks!$D:$D,$A168))</f>
        <v/>
      </c>
      <c r="D168" s="16" t="str">
        <f aca="false">IF($A168="","",IF(OR(INDEX(Tasks!$G:$G,$A168)="",INDEX(Tasks!$G:$G,$A168)="TBD"),INDEX(Tasks!$F:$F,$A168),INDEX(Tasks!$G:$G,$A168)))</f>
        <v/>
      </c>
      <c r="E168" s="16" t="str">
        <f aca="false">IF($A168="","",IF(INDEX(Tasks!$H:$H,$A168)="","",INDEX(Tasks!$H:$H,$A168)))</f>
        <v/>
      </c>
      <c r="F168" s="17" t="str">
        <f aca="false">IF($A168="","",IF(INDEX(Tasks!$I:$I,$A168)="","",INDEX(Tasks!$I:$I,$A168)))</f>
        <v/>
      </c>
      <c r="G168" s="17" t="str">
        <f aca="false">IF($A168="","",IF(INDEX(Tasks!$K:$K,$A168)="","",INDEX(Tasks!$K:$K,$A168)))</f>
        <v/>
      </c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  <c r="AG168" s="18"/>
      <c r="AH168" s="18"/>
      <c r="AI168" s="18"/>
      <c r="AJ168" s="18"/>
      <c r="AK168" s="18"/>
      <c r="AL168" s="18"/>
      <c r="AM168" s="18"/>
      <c r="AN168" s="18"/>
      <c r="AO168" s="18"/>
      <c r="AP168" s="18"/>
      <c r="AQ168" s="18"/>
      <c r="AR168" s="18"/>
      <c r="AS168" s="18"/>
      <c r="AT168" s="18"/>
      <c r="AU168" s="18"/>
      <c r="AV168" s="18"/>
      <c r="AW168" s="18"/>
      <c r="AX168" s="18"/>
      <c r="AY168" s="18"/>
    </row>
    <row r="169" customFormat="false" ht="15" hidden="false" customHeight="false" outlineLevel="0" collapsed="false">
      <c r="A169" s="15" t="str">
        <f aca="false">IFERROR(MATCH(ROW()-11,Tasks!$R$4:$R$403,0)+3,"")</f>
        <v/>
      </c>
      <c r="B169" s="16" t="str">
        <f aca="false">IF($A169="","",INDEX(Tasks!$A:$A,$A169))</f>
        <v/>
      </c>
      <c r="C169" s="16" t="str">
        <f aca="false">IF($A169="","",IF(ISERROR(FIND(".",INDEX(Tasks!$A:$A,$A169))),"","   ")&amp;INDEX(Tasks!$D:$D,$A169))</f>
        <v/>
      </c>
      <c r="D169" s="16" t="str">
        <f aca="false">IF($A169="","",IF(OR(INDEX(Tasks!$G:$G,$A169)="",INDEX(Tasks!$G:$G,$A169)="TBD"),INDEX(Tasks!$F:$F,$A169),INDEX(Tasks!$G:$G,$A169)))</f>
        <v/>
      </c>
      <c r="E169" s="16" t="str">
        <f aca="false">IF($A169="","",IF(INDEX(Tasks!$H:$H,$A169)="","",INDEX(Tasks!$H:$H,$A169)))</f>
        <v/>
      </c>
      <c r="F169" s="17" t="str">
        <f aca="false">IF($A169="","",IF(INDEX(Tasks!$I:$I,$A169)="","",INDEX(Tasks!$I:$I,$A169)))</f>
        <v/>
      </c>
      <c r="G169" s="17" t="str">
        <f aca="false">IF($A169="","",IF(INDEX(Tasks!$K:$K,$A169)="","",INDEX(Tasks!$K:$K,$A169)))</f>
        <v/>
      </c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  <c r="AG169" s="18"/>
      <c r="AH169" s="18"/>
      <c r="AI169" s="18"/>
      <c r="AJ169" s="18"/>
      <c r="AK169" s="18"/>
      <c r="AL169" s="18"/>
      <c r="AM169" s="18"/>
      <c r="AN169" s="18"/>
      <c r="AO169" s="18"/>
      <c r="AP169" s="18"/>
      <c r="AQ169" s="18"/>
      <c r="AR169" s="18"/>
      <c r="AS169" s="18"/>
      <c r="AT169" s="18"/>
      <c r="AU169" s="18"/>
      <c r="AV169" s="18"/>
      <c r="AW169" s="18"/>
      <c r="AX169" s="18"/>
      <c r="AY169" s="18"/>
    </row>
    <row r="170" customFormat="false" ht="15" hidden="false" customHeight="false" outlineLevel="0" collapsed="false">
      <c r="A170" s="15" t="str">
        <f aca="false">IFERROR(MATCH(ROW()-11,Tasks!$R$4:$R$403,0)+3,"")</f>
        <v/>
      </c>
      <c r="B170" s="16" t="str">
        <f aca="false">IF($A170="","",INDEX(Tasks!$A:$A,$A170))</f>
        <v/>
      </c>
      <c r="C170" s="16" t="str">
        <f aca="false">IF($A170="","",IF(ISERROR(FIND(".",INDEX(Tasks!$A:$A,$A170))),"","   ")&amp;INDEX(Tasks!$D:$D,$A170))</f>
        <v/>
      </c>
      <c r="D170" s="16" t="str">
        <f aca="false">IF($A170="","",IF(OR(INDEX(Tasks!$G:$G,$A170)="",INDEX(Tasks!$G:$G,$A170)="TBD"),INDEX(Tasks!$F:$F,$A170),INDEX(Tasks!$G:$G,$A170)))</f>
        <v/>
      </c>
      <c r="E170" s="16" t="str">
        <f aca="false">IF($A170="","",IF(INDEX(Tasks!$H:$H,$A170)="","",INDEX(Tasks!$H:$H,$A170)))</f>
        <v/>
      </c>
      <c r="F170" s="17" t="str">
        <f aca="false">IF($A170="","",IF(INDEX(Tasks!$I:$I,$A170)="","",INDEX(Tasks!$I:$I,$A170)))</f>
        <v/>
      </c>
      <c r="G170" s="17" t="str">
        <f aca="false">IF($A170="","",IF(INDEX(Tasks!$K:$K,$A170)="","",INDEX(Tasks!$K:$K,$A170)))</f>
        <v/>
      </c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  <c r="AG170" s="18"/>
      <c r="AH170" s="18"/>
      <c r="AI170" s="18"/>
      <c r="AJ170" s="18"/>
      <c r="AK170" s="18"/>
      <c r="AL170" s="18"/>
      <c r="AM170" s="18"/>
      <c r="AN170" s="18"/>
      <c r="AO170" s="18"/>
      <c r="AP170" s="18"/>
      <c r="AQ170" s="18"/>
      <c r="AR170" s="18"/>
      <c r="AS170" s="18"/>
      <c r="AT170" s="18"/>
      <c r="AU170" s="18"/>
      <c r="AV170" s="18"/>
      <c r="AW170" s="18"/>
      <c r="AX170" s="18"/>
      <c r="AY170" s="18"/>
    </row>
    <row r="171" customFormat="false" ht="15" hidden="false" customHeight="false" outlineLevel="0" collapsed="false">
      <c r="A171" s="15" t="str">
        <f aca="false">IFERROR(MATCH(ROW()-11,Tasks!$R$4:$R$403,0)+3,"")</f>
        <v/>
      </c>
      <c r="B171" s="16" t="str">
        <f aca="false">IF($A171="","",INDEX(Tasks!$A:$A,$A171))</f>
        <v/>
      </c>
      <c r="C171" s="16" t="str">
        <f aca="false">IF($A171="","",IF(ISERROR(FIND(".",INDEX(Tasks!$A:$A,$A171))),"","   ")&amp;INDEX(Tasks!$D:$D,$A171))</f>
        <v/>
      </c>
      <c r="D171" s="16" t="str">
        <f aca="false">IF($A171="","",IF(OR(INDEX(Tasks!$G:$G,$A171)="",INDEX(Tasks!$G:$G,$A171)="TBD"),INDEX(Tasks!$F:$F,$A171),INDEX(Tasks!$G:$G,$A171)))</f>
        <v/>
      </c>
      <c r="E171" s="16" t="str">
        <f aca="false">IF($A171="","",IF(INDEX(Tasks!$H:$H,$A171)="","",INDEX(Tasks!$H:$H,$A171)))</f>
        <v/>
      </c>
      <c r="F171" s="17" t="str">
        <f aca="false">IF($A171="","",IF(INDEX(Tasks!$I:$I,$A171)="","",INDEX(Tasks!$I:$I,$A171)))</f>
        <v/>
      </c>
      <c r="G171" s="17" t="str">
        <f aca="false">IF($A171="","",IF(INDEX(Tasks!$K:$K,$A171)="","",INDEX(Tasks!$K:$K,$A171)))</f>
        <v/>
      </c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  <c r="AG171" s="18"/>
      <c r="AH171" s="18"/>
      <c r="AI171" s="18"/>
      <c r="AJ171" s="18"/>
      <c r="AK171" s="18"/>
      <c r="AL171" s="18"/>
      <c r="AM171" s="18"/>
      <c r="AN171" s="18"/>
      <c r="AO171" s="18"/>
      <c r="AP171" s="18"/>
      <c r="AQ171" s="18"/>
      <c r="AR171" s="18"/>
      <c r="AS171" s="18"/>
      <c r="AT171" s="18"/>
      <c r="AU171" s="18"/>
      <c r="AV171" s="18"/>
      <c r="AW171" s="18"/>
      <c r="AX171" s="18"/>
      <c r="AY171" s="18"/>
    </row>
    <row r="172" customFormat="false" ht="15" hidden="false" customHeight="false" outlineLevel="0" collapsed="false">
      <c r="A172" s="15" t="str">
        <f aca="false">IFERROR(MATCH(ROW()-11,Tasks!$R$4:$R$403,0)+3,"")</f>
        <v/>
      </c>
      <c r="B172" s="16" t="str">
        <f aca="false">IF($A172="","",INDEX(Tasks!$A:$A,$A172))</f>
        <v/>
      </c>
      <c r="C172" s="16" t="str">
        <f aca="false">IF($A172="","",IF(ISERROR(FIND(".",INDEX(Tasks!$A:$A,$A172))),"","   ")&amp;INDEX(Tasks!$D:$D,$A172))</f>
        <v/>
      </c>
      <c r="D172" s="16" t="str">
        <f aca="false">IF($A172="","",IF(OR(INDEX(Tasks!$G:$G,$A172)="",INDEX(Tasks!$G:$G,$A172)="TBD"),INDEX(Tasks!$F:$F,$A172),INDEX(Tasks!$G:$G,$A172)))</f>
        <v/>
      </c>
      <c r="E172" s="16" t="str">
        <f aca="false">IF($A172="","",IF(INDEX(Tasks!$H:$H,$A172)="","",INDEX(Tasks!$H:$H,$A172)))</f>
        <v/>
      </c>
      <c r="F172" s="17" t="str">
        <f aca="false">IF($A172="","",IF(INDEX(Tasks!$I:$I,$A172)="","",INDEX(Tasks!$I:$I,$A172)))</f>
        <v/>
      </c>
      <c r="G172" s="17" t="str">
        <f aca="false">IF($A172="","",IF(INDEX(Tasks!$K:$K,$A172)="","",INDEX(Tasks!$K:$K,$A172)))</f>
        <v/>
      </c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  <c r="AG172" s="18"/>
      <c r="AH172" s="18"/>
      <c r="AI172" s="18"/>
      <c r="AJ172" s="18"/>
      <c r="AK172" s="18"/>
      <c r="AL172" s="18"/>
      <c r="AM172" s="18"/>
      <c r="AN172" s="18"/>
      <c r="AO172" s="18"/>
      <c r="AP172" s="18"/>
      <c r="AQ172" s="18"/>
      <c r="AR172" s="18"/>
      <c r="AS172" s="18"/>
      <c r="AT172" s="18"/>
      <c r="AU172" s="18"/>
      <c r="AV172" s="18"/>
      <c r="AW172" s="18"/>
      <c r="AX172" s="18"/>
      <c r="AY172" s="18"/>
    </row>
    <row r="173" customFormat="false" ht="15" hidden="false" customHeight="false" outlineLevel="0" collapsed="false">
      <c r="A173" s="15" t="str">
        <f aca="false">IFERROR(MATCH(ROW()-11,Tasks!$R$4:$R$403,0)+3,"")</f>
        <v/>
      </c>
      <c r="B173" s="16" t="str">
        <f aca="false">IF($A173="","",INDEX(Tasks!$A:$A,$A173))</f>
        <v/>
      </c>
      <c r="C173" s="16" t="str">
        <f aca="false">IF($A173="","",IF(ISERROR(FIND(".",INDEX(Tasks!$A:$A,$A173))),"","   ")&amp;INDEX(Tasks!$D:$D,$A173))</f>
        <v/>
      </c>
      <c r="D173" s="16" t="str">
        <f aca="false">IF($A173="","",IF(OR(INDEX(Tasks!$G:$G,$A173)="",INDEX(Tasks!$G:$G,$A173)="TBD"),INDEX(Tasks!$F:$F,$A173),INDEX(Tasks!$G:$G,$A173)))</f>
        <v/>
      </c>
      <c r="E173" s="16" t="str">
        <f aca="false">IF($A173="","",IF(INDEX(Tasks!$H:$H,$A173)="","",INDEX(Tasks!$H:$H,$A173)))</f>
        <v/>
      </c>
      <c r="F173" s="17" t="str">
        <f aca="false">IF($A173="","",IF(INDEX(Tasks!$I:$I,$A173)="","",INDEX(Tasks!$I:$I,$A173)))</f>
        <v/>
      </c>
      <c r="G173" s="17" t="str">
        <f aca="false">IF($A173="","",IF(INDEX(Tasks!$K:$K,$A173)="","",INDEX(Tasks!$K:$K,$A173)))</f>
        <v/>
      </c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  <c r="AG173" s="18"/>
      <c r="AH173" s="18"/>
      <c r="AI173" s="18"/>
      <c r="AJ173" s="18"/>
      <c r="AK173" s="18"/>
      <c r="AL173" s="18"/>
      <c r="AM173" s="18"/>
      <c r="AN173" s="18"/>
      <c r="AO173" s="18"/>
      <c r="AP173" s="18"/>
      <c r="AQ173" s="18"/>
      <c r="AR173" s="18"/>
      <c r="AS173" s="18"/>
      <c r="AT173" s="18"/>
      <c r="AU173" s="18"/>
      <c r="AV173" s="18"/>
      <c r="AW173" s="18"/>
      <c r="AX173" s="18"/>
      <c r="AY173" s="18"/>
    </row>
    <row r="174" customFormat="false" ht="15" hidden="false" customHeight="false" outlineLevel="0" collapsed="false">
      <c r="A174" s="15" t="str">
        <f aca="false">IFERROR(MATCH(ROW()-11,Tasks!$R$4:$R$403,0)+3,"")</f>
        <v/>
      </c>
      <c r="B174" s="16" t="str">
        <f aca="false">IF($A174="","",INDEX(Tasks!$A:$A,$A174))</f>
        <v/>
      </c>
      <c r="C174" s="16" t="str">
        <f aca="false">IF($A174="","",IF(ISERROR(FIND(".",INDEX(Tasks!$A:$A,$A174))),"","   ")&amp;INDEX(Tasks!$D:$D,$A174))</f>
        <v/>
      </c>
      <c r="D174" s="16" t="str">
        <f aca="false">IF($A174="","",IF(OR(INDEX(Tasks!$G:$G,$A174)="",INDEX(Tasks!$G:$G,$A174)="TBD"),INDEX(Tasks!$F:$F,$A174),INDEX(Tasks!$G:$G,$A174)))</f>
        <v/>
      </c>
      <c r="E174" s="16" t="str">
        <f aca="false">IF($A174="","",IF(INDEX(Tasks!$H:$H,$A174)="","",INDEX(Tasks!$H:$H,$A174)))</f>
        <v/>
      </c>
      <c r="F174" s="17" t="str">
        <f aca="false">IF($A174="","",IF(INDEX(Tasks!$I:$I,$A174)="","",INDEX(Tasks!$I:$I,$A174)))</f>
        <v/>
      </c>
      <c r="G174" s="17" t="str">
        <f aca="false">IF($A174="","",IF(INDEX(Tasks!$K:$K,$A174)="","",INDEX(Tasks!$K:$K,$A174)))</f>
        <v/>
      </c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  <c r="AG174" s="18"/>
      <c r="AH174" s="18"/>
      <c r="AI174" s="18"/>
      <c r="AJ174" s="18"/>
      <c r="AK174" s="18"/>
      <c r="AL174" s="18"/>
      <c r="AM174" s="18"/>
      <c r="AN174" s="18"/>
      <c r="AO174" s="18"/>
      <c r="AP174" s="18"/>
      <c r="AQ174" s="18"/>
      <c r="AR174" s="18"/>
      <c r="AS174" s="18"/>
      <c r="AT174" s="18"/>
      <c r="AU174" s="18"/>
      <c r="AV174" s="18"/>
      <c r="AW174" s="18"/>
      <c r="AX174" s="18"/>
      <c r="AY174" s="18"/>
    </row>
    <row r="175" customFormat="false" ht="15" hidden="false" customHeight="false" outlineLevel="0" collapsed="false">
      <c r="A175" s="15" t="str">
        <f aca="false">IFERROR(MATCH(ROW()-11,Tasks!$R$4:$R$403,0)+3,"")</f>
        <v/>
      </c>
      <c r="B175" s="16" t="str">
        <f aca="false">IF($A175="","",INDEX(Tasks!$A:$A,$A175))</f>
        <v/>
      </c>
      <c r="C175" s="16" t="str">
        <f aca="false">IF($A175="","",IF(ISERROR(FIND(".",INDEX(Tasks!$A:$A,$A175))),"","   ")&amp;INDEX(Tasks!$D:$D,$A175))</f>
        <v/>
      </c>
      <c r="D175" s="16" t="str">
        <f aca="false">IF($A175="","",IF(OR(INDEX(Tasks!$G:$G,$A175)="",INDEX(Tasks!$G:$G,$A175)="TBD"),INDEX(Tasks!$F:$F,$A175),INDEX(Tasks!$G:$G,$A175)))</f>
        <v/>
      </c>
      <c r="E175" s="16" t="str">
        <f aca="false">IF($A175="","",IF(INDEX(Tasks!$H:$H,$A175)="","",INDEX(Tasks!$H:$H,$A175)))</f>
        <v/>
      </c>
      <c r="F175" s="17" t="str">
        <f aca="false">IF($A175="","",IF(INDEX(Tasks!$I:$I,$A175)="","",INDEX(Tasks!$I:$I,$A175)))</f>
        <v/>
      </c>
      <c r="G175" s="17" t="str">
        <f aca="false">IF($A175="","",IF(INDEX(Tasks!$K:$K,$A175)="","",INDEX(Tasks!$K:$K,$A175)))</f>
        <v/>
      </c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18"/>
      <c r="AG175" s="18"/>
      <c r="AH175" s="18"/>
      <c r="AI175" s="18"/>
      <c r="AJ175" s="18"/>
      <c r="AK175" s="18"/>
      <c r="AL175" s="18"/>
      <c r="AM175" s="18"/>
      <c r="AN175" s="18"/>
      <c r="AO175" s="18"/>
      <c r="AP175" s="18"/>
      <c r="AQ175" s="18"/>
      <c r="AR175" s="18"/>
      <c r="AS175" s="18"/>
      <c r="AT175" s="18"/>
      <c r="AU175" s="18"/>
      <c r="AV175" s="18"/>
      <c r="AW175" s="18"/>
      <c r="AX175" s="18"/>
      <c r="AY175" s="18"/>
    </row>
    <row r="176" customFormat="false" ht="15" hidden="false" customHeight="false" outlineLevel="0" collapsed="false">
      <c r="A176" s="15" t="str">
        <f aca="false">IFERROR(MATCH(ROW()-11,Tasks!$R$4:$R$403,0)+3,"")</f>
        <v/>
      </c>
      <c r="B176" s="16" t="str">
        <f aca="false">IF($A176="","",INDEX(Tasks!$A:$A,$A176))</f>
        <v/>
      </c>
      <c r="C176" s="16" t="str">
        <f aca="false">IF($A176="","",IF(ISERROR(FIND(".",INDEX(Tasks!$A:$A,$A176))),"","   ")&amp;INDEX(Tasks!$D:$D,$A176))</f>
        <v/>
      </c>
      <c r="D176" s="16" t="str">
        <f aca="false">IF($A176="","",IF(OR(INDEX(Tasks!$G:$G,$A176)="",INDEX(Tasks!$G:$G,$A176)="TBD"),INDEX(Tasks!$F:$F,$A176),INDEX(Tasks!$G:$G,$A176)))</f>
        <v/>
      </c>
      <c r="E176" s="16" t="str">
        <f aca="false">IF($A176="","",IF(INDEX(Tasks!$H:$H,$A176)="","",INDEX(Tasks!$H:$H,$A176)))</f>
        <v/>
      </c>
      <c r="F176" s="17" t="str">
        <f aca="false">IF($A176="","",IF(INDEX(Tasks!$I:$I,$A176)="","",INDEX(Tasks!$I:$I,$A176)))</f>
        <v/>
      </c>
      <c r="G176" s="17" t="str">
        <f aca="false">IF($A176="","",IF(INDEX(Tasks!$K:$K,$A176)="","",INDEX(Tasks!$K:$K,$A176)))</f>
        <v/>
      </c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18"/>
      <c r="AG176" s="18"/>
      <c r="AH176" s="18"/>
      <c r="AI176" s="18"/>
      <c r="AJ176" s="18"/>
      <c r="AK176" s="18"/>
      <c r="AL176" s="18"/>
      <c r="AM176" s="18"/>
      <c r="AN176" s="18"/>
      <c r="AO176" s="18"/>
      <c r="AP176" s="18"/>
      <c r="AQ176" s="18"/>
      <c r="AR176" s="18"/>
      <c r="AS176" s="18"/>
      <c r="AT176" s="18"/>
      <c r="AU176" s="18"/>
      <c r="AV176" s="18"/>
      <c r="AW176" s="18"/>
      <c r="AX176" s="18"/>
      <c r="AY176" s="18"/>
    </row>
    <row r="177" customFormat="false" ht="15" hidden="false" customHeight="false" outlineLevel="0" collapsed="false">
      <c r="A177" s="15" t="str">
        <f aca="false">IFERROR(MATCH(ROW()-11,Tasks!$R$4:$R$403,0)+3,"")</f>
        <v/>
      </c>
      <c r="B177" s="16" t="str">
        <f aca="false">IF($A177="","",INDEX(Tasks!$A:$A,$A177))</f>
        <v/>
      </c>
      <c r="C177" s="16" t="str">
        <f aca="false">IF($A177="","",IF(ISERROR(FIND(".",INDEX(Tasks!$A:$A,$A177))),"","   ")&amp;INDEX(Tasks!$D:$D,$A177))</f>
        <v/>
      </c>
      <c r="D177" s="16" t="str">
        <f aca="false">IF($A177="","",IF(OR(INDEX(Tasks!$G:$G,$A177)="",INDEX(Tasks!$G:$G,$A177)="TBD"),INDEX(Tasks!$F:$F,$A177),INDEX(Tasks!$G:$G,$A177)))</f>
        <v/>
      </c>
      <c r="E177" s="16" t="str">
        <f aca="false">IF($A177="","",IF(INDEX(Tasks!$H:$H,$A177)="","",INDEX(Tasks!$H:$H,$A177)))</f>
        <v/>
      </c>
      <c r="F177" s="17" t="str">
        <f aca="false">IF($A177="","",IF(INDEX(Tasks!$I:$I,$A177)="","",INDEX(Tasks!$I:$I,$A177)))</f>
        <v/>
      </c>
      <c r="G177" s="17" t="str">
        <f aca="false">IF($A177="","",IF(INDEX(Tasks!$K:$K,$A177)="","",INDEX(Tasks!$K:$K,$A177)))</f>
        <v/>
      </c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18"/>
      <c r="AG177" s="18"/>
      <c r="AH177" s="18"/>
      <c r="AI177" s="18"/>
      <c r="AJ177" s="18"/>
      <c r="AK177" s="18"/>
      <c r="AL177" s="18"/>
      <c r="AM177" s="18"/>
      <c r="AN177" s="18"/>
      <c r="AO177" s="18"/>
      <c r="AP177" s="18"/>
      <c r="AQ177" s="18"/>
      <c r="AR177" s="18"/>
      <c r="AS177" s="18"/>
      <c r="AT177" s="18"/>
      <c r="AU177" s="18"/>
      <c r="AV177" s="18"/>
      <c r="AW177" s="18"/>
      <c r="AX177" s="18"/>
      <c r="AY177" s="18"/>
    </row>
    <row r="178" customFormat="false" ht="15" hidden="false" customHeight="false" outlineLevel="0" collapsed="false">
      <c r="A178" s="15" t="str">
        <f aca="false">IFERROR(MATCH(ROW()-11,Tasks!$R$4:$R$403,0)+3,"")</f>
        <v/>
      </c>
      <c r="B178" s="16" t="str">
        <f aca="false">IF($A178="","",INDEX(Tasks!$A:$A,$A178))</f>
        <v/>
      </c>
      <c r="C178" s="16" t="str">
        <f aca="false">IF($A178="","",IF(ISERROR(FIND(".",INDEX(Tasks!$A:$A,$A178))),"","   ")&amp;INDEX(Tasks!$D:$D,$A178))</f>
        <v/>
      </c>
      <c r="D178" s="16" t="str">
        <f aca="false">IF($A178="","",IF(OR(INDEX(Tasks!$G:$G,$A178)="",INDEX(Tasks!$G:$G,$A178)="TBD"),INDEX(Tasks!$F:$F,$A178),INDEX(Tasks!$G:$G,$A178)))</f>
        <v/>
      </c>
      <c r="E178" s="16" t="str">
        <f aca="false">IF($A178="","",IF(INDEX(Tasks!$H:$H,$A178)="","",INDEX(Tasks!$H:$H,$A178)))</f>
        <v/>
      </c>
      <c r="F178" s="17" t="str">
        <f aca="false">IF($A178="","",IF(INDEX(Tasks!$I:$I,$A178)="","",INDEX(Tasks!$I:$I,$A178)))</f>
        <v/>
      </c>
      <c r="G178" s="17" t="str">
        <f aca="false">IF($A178="","",IF(INDEX(Tasks!$K:$K,$A178)="","",INDEX(Tasks!$K:$K,$A178)))</f>
        <v/>
      </c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18"/>
      <c r="AG178" s="18"/>
      <c r="AH178" s="18"/>
      <c r="AI178" s="18"/>
      <c r="AJ178" s="18"/>
      <c r="AK178" s="18"/>
      <c r="AL178" s="18"/>
      <c r="AM178" s="18"/>
      <c r="AN178" s="18"/>
      <c r="AO178" s="18"/>
      <c r="AP178" s="18"/>
      <c r="AQ178" s="18"/>
      <c r="AR178" s="18"/>
      <c r="AS178" s="18"/>
      <c r="AT178" s="18"/>
      <c r="AU178" s="18"/>
      <c r="AV178" s="18"/>
      <c r="AW178" s="18"/>
      <c r="AX178" s="18"/>
      <c r="AY178" s="18"/>
    </row>
    <row r="179" customFormat="false" ht="15" hidden="false" customHeight="false" outlineLevel="0" collapsed="false">
      <c r="A179" s="15" t="str">
        <f aca="false">IFERROR(MATCH(ROW()-11,Tasks!$R$4:$R$403,0)+3,"")</f>
        <v/>
      </c>
      <c r="B179" s="16" t="str">
        <f aca="false">IF($A179="","",INDEX(Tasks!$A:$A,$A179))</f>
        <v/>
      </c>
      <c r="C179" s="16" t="str">
        <f aca="false">IF($A179="","",IF(ISERROR(FIND(".",INDEX(Tasks!$A:$A,$A179))),"","   ")&amp;INDEX(Tasks!$D:$D,$A179))</f>
        <v/>
      </c>
      <c r="D179" s="16" t="str">
        <f aca="false">IF($A179="","",IF(OR(INDEX(Tasks!$G:$G,$A179)="",INDEX(Tasks!$G:$G,$A179)="TBD"),INDEX(Tasks!$F:$F,$A179),INDEX(Tasks!$G:$G,$A179)))</f>
        <v/>
      </c>
      <c r="E179" s="16" t="str">
        <f aca="false">IF($A179="","",IF(INDEX(Tasks!$H:$H,$A179)="","",INDEX(Tasks!$H:$H,$A179)))</f>
        <v/>
      </c>
      <c r="F179" s="17" t="str">
        <f aca="false">IF($A179="","",IF(INDEX(Tasks!$I:$I,$A179)="","",INDEX(Tasks!$I:$I,$A179)))</f>
        <v/>
      </c>
      <c r="G179" s="17" t="str">
        <f aca="false">IF($A179="","",IF(INDEX(Tasks!$K:$K,$A179)="","",INDEX(Tasks!$K:$K,$A179)))</f>
        <v/>
      </c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  <c r="AG179" s="18"/>
      <c r="AH179" s="18"/>
      <c r="AI179" s="18"/>
      <c r="AJ179" s="18"/>
      <c r="AK179" s="18"/>
      <c r="AL179" s="18"/>
      <c r="AM179" s="18"/>
      <c r="AN179" s="18"/>
      <c r="AO179" s="18"/>
      <c r="AP179" s="18"/>
      <c r="AQ179" s="18"/>
      <c r="AR179" s="18"/>
      <c r="AS179" s="18"/>
      <c r="AT179" s="18"/>
      <c r="AU179" s="18"/>
      <c r="AV179" s="18"/>
      <c r="AW179" s="18"/>
      <c r="AX179" s="18"/>
      <c r="AY179" s="18"/>
    </row>
    <row r="180" customFormat="false" ht="15" hidden="false" customHeight="false" outlineLevel="0" collapsed="false">
      <c r="A180" s="15" t="str">
        <f aca="false">IFERROR(MATCH(ROW()-11,Tasks!$R$4:$R$403,0)+3,"")</f>
        <v/>
      </c>
      <c r="B180" s="16" t="str">
        <f aca="false">IF($A180="","",INDEX(Tasks!$A:$A,$A180))</f>
        <v/>
      </c>
      <c r="C180" s="16" t="str">
        <f aca="false">IF($A180="","",IF(ISERROR(FIND(".",INDEX(Tasks!$A:$A,$A180))),"","   ")&amp;INDEX(Tasks!$D:$D,$A180))</f>
        <v/>
      </c>
      <c r="D180" s="16" t="str">
        <f aca="false">IF($A180="","",IF(OR(INDEX(Tasks!$G:$G,$A180)="",INDEX(Tasks!$G:$G,$A180)="TBD"),INDEX(Tasks!$F:$F,$A180),INDEX(Tasks!$G:$G,$A180)))</f>
        <v/>
      </c>
      <c r="E180" s="16" t="str">
        <f aca="false">IF($A180="","",IF(INDEX(Tasks!$H:$H,$A180)="","",INDEX(Tasks!$H:$H,$A180)))</f>
        <v/>
      </c>
      <c r="F180" s="17" t="str">
        <f aca="false">IF($A180="","",IF(INDEX(Tasks!$I:$I,$A180)="","",INDEX(Tasks!$I:$I,$A180)))</f>
        <v/>
      </c>
      <c r="G180" s="17" t="str">
        <f aca="false">IF($A180="","",IF(INDEX(Tasks!$K:$K,$A180)="","",INDEX(Tasks!$K:$K,$A180)))</f>
        <v/>
      </c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  <c r="AG180" s="18"/>
      <c r="AH180" s="18"/>
      <c r="AI180" s="18"/>
      <c r="AJ180" s="18"/>
      <c r="AK180" s="18"/>
      <c r="AL180" s="18"/>
      <c r="AM180" s="18"/>
      <c r="AN180" s="18"/>
      <c r="AO180" s="18"/>
      <c r="AP180" s="18"/>
      <c r="AQ180" s="18"/>
      <c r="AR180" s="18"/>
      <c r="AS180" s="18"/>
      <c r="AT180" s="18"/>
      <c r="AU180" s="18"/>
      <c r="AV180" s="18"/>
      <c r="AW180" s="18"/>
      <c r="AX180" s="18"/>
      <c r="AY180" s="18"/>
    </row>
    <row r="181" customFormat="false" ht="15" hidden="false" customHeight="false" outlineLevel="0" collapsed="false">
      <c r="A181" s="15" t="str">
        <f aca="false">IFERROR(MATCH(ROW()-11,Tasks!$R$4:$R$403,0)+3,"")</f>
        <v/>
      </c>
      <c r="B181" s="16" t="str">
        <f aca="false">IF($A181="","",INDEX(Tasks!$A:$A,$A181))</f>
        <v/>
      </c>
      <c r="C181" s="16" t="str">
        <f aca="false">IF($A181="","",IF(ISERROR(FIND(".",INDEX(Tasks!$A:$A,$A181))),"","   ")&amp;INDEX(Tasks!$D:$D,$A181))</f>
        <v/>
      </c>
      <c r="D181" s="16" t="str">
        <f aca="false">IF($A181="","",IF(OR(INDEX(Tasks!$G:$G,$A181)="",INDEX(Tasks!$G:$G,$A181)="TBD"),INDEX(Tasks!$F:$F,$A181),INDEX(Tasks!$G:$G,$A181)))</f>
        <v/>
      </c>
      <c r="E181" s="16" t="str">
        <f aca="false">IF($A181="","",IF(INDEX(Tasks!$H:$H,$A181)="","",INDEX(Tasks!$H:$H,$A181)))</f>
        <v/>
      </c>
      <c r="F181" s="17" t="str">
        <f aca="false">IF($A181="","",IF(INDEX(Tasks!$I:$I,$A181)="","",INDEX(Tasks!$I:$I,$A181)))</f>
        <v/>
      </c>
      <c r="G181" s="17" t="str">
        <f aca="false">IF($A181="","",IF(INDEX(Tasks!$K:$K,$A181)="","",INDEX(Tasks!$K:$K,$A181)))</f>
        <v/>
      </c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  <c r="AG181" s="18"/>
      <c r="AH181" s="18"/>
      <c r="AI181" s="18"/>
      <c r="AJ181" s="18"/>
      <c r="AK181" s="18"/>
      <c r="AL181" s="18"/>
      <c r="AM181" s="18"/>
      <c r="AN181" s="18"/>
      <c r="AO181" s="18"/>
      <c r="AP181" s="18"/>
      <c r="AQ181" s="18"/>
      <c r="AR181" s="18"/>
      <c r="AS181" s="18"/>
      <c r="AT181" s="18"/>
      <c r="AU181" s="18"/>
      <c r="AV181" s="18"/>
      <c r="AW181" s="18"/>
      <c r="AX181" s="18"/>
      <c r="AY181" s="18"/>
    </row>
    <row r="182" customFormat="false" ht="15" hidden="false" customHeight="false" outlineLevel="0" collapsed="false">
      <c r="A182" s="15" t="str">
        <f aca="false">IFERROR(MATCH(ROW()-11,Tasks!$R$4:$R$403,0)+3,"")</f>
        <v/>
      </c>
      <c r="B182" s="16" t="str">
        <f aca="false">IF($A182="","",INDEX(Tasks!$A:$A,$A182))</f>
        <v/>
      </c>
      <c r="C182" s="16" t="str">
        <f aca="false">IF($A182="","",IF(ISERROR(FIND(".",INDEX(Tasks!$A:$A,$A182))),"","   ")&amp;INDEX(Tasks!$D:$D,$A182))</f>
        <v/>
      </c>
      <c r="D182" s="16" t="str">
        <f aca="false">IF($A182="","",IF(OR(INDEX(Tasks!$G:$G,$A182)="",INDEX(Tasks!$G:$G,$A182)="TBD"),INDEX(Tasks!$F:$F,$A182),INDEX(Tasks!$G:$G,$A182)))</f>
        <v/>
      </c>
      <c r="E182" s="16" t="str">
        <f aca="false">IF($A182="","",IF(INDEX(Tasks!$H:$H,$A182)="","",INDEX(Tasks!$H:$H,$A182)))</f>
        <v/>
      </c>
      <c r="F182" s="17" t="str">
        <f aca="false">IF($A182="","",IF(INDEX(Tasks!$I:$I,$A182)="","",INDEX(Tasks!$I:$I,$A182)))</f>
        <v/>
      </c>
      <c r="G182" s="17" t="str">
        <f aca="false">IF($A182="","",IF(INDEX(Tasks!$K:$K,$A182)="","",INDEX(Tasks!$K:$K,$A182)))</f>
        <v/>
      </c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  <c r="AG182" s="18"/>
      <c r="AH182" s="18"/>
      <c r="AI182" s="18"/>
      <c r="AJ182" s="18"/>
      <c r="AK182" s="18"/>
      <c r="AL182" s="18"/>
      <c r="AM182" s="18"/>
      <c r="AN182" s="18"/>
      <c r="AO182" s="18"/>
      <c r="AP182" s="18"/>
      <c r="AQ182" s="18"/>
      <c r="AR182" s="18"/>
      <c r="AS182" s="18"/>
      <c r="AT182" s="18"/>
      <c r="AU182" s="18"/>
      <c r="AV182" s="18"/>
      <c r="AW182" s="18"/>
      <c r="AX182" s="18"/>
      <c r="AY182" s="18"/>
    </row>
    <row r="183" customFormat="false" ht="15" hidden="false" customHeight="false" outlineLevel="0" collapsed="false">
      <c r="A183" s="15" t="str">
        <f aca="false">IFERROR(MATCH(ROW()-11,Tasks!$R$4:$R$403,0)+3,"")</f>
        <v/>
      </c>
      <c r="B183" s="16" t="str">
        <f aca="false">IF($A183="","",INDEX(Tasks!$A:$A,$A183))</f>
        <v/>
      </c>
      <c r="C183" s="16" t="str">
        <f aca="false">IF($A183="","",IF(ISERROR(FIND(".",INDEX(Tasks!$A:$A,$A183))),"","   ")&amp;INDEX(Tasks!$D:$D,$A183))</f>
        <v/>
      </c>
      <c r="D183" s="16" t="str">
        <f aca="false">IF($A183="","",IF(OR(INDEX(Tasks!$G:$G,$A183)="",INDEX(Tasks!$G:$G,$A183)="TBD"),INDEX(Tasks!$F:$F,$A183),INDEX(Tasks!$G:$G,$A183)))</f>
        <v/>
      </c>
      <c r="E183" s="16" t="str">
        <f aca="false">IF($A183="","",IF(INDEX(Tasks!$H:$H,$A183)="","",INDEX(Tasks!$H:$H,$A183)))</f>
        <v/>
      </c>
      <c r="F183" s="17" t="str">
        <f aca="false">IF($A183="","",IF(INDEX(Tasks!$I:$I,$A183)="","",INDEX(Tasks!$I:$I,$A183)))</f>
        <v/>
      </c>
      <c r="G183" s="17" t="str">
        <f aca="false">IF($A183="","",IF(INDEX(Tasks!$K:$K,$A183)="","",INDEX(Tasks!$K:$K,$A183)))</f>
        <v/>
      </c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  <c r="AG183" s="18"/>
      <c r="AH183" s="18"/>
      <c r="AI183" s="18"/>
      <c r="AJ183" s="18"/>
      <c r="AK183" s="18"/>
      <c r="AL183" s="18"/>
      <c r="AM183" s="18"/>
      <c r="AN183" s="18"/>
      <c r="AO183" s="18"/>
      <c r="AP183" s="18"/>
      <c r="AQ183" s="18"/>
      <c r="AR183" s="18"/>
      <c r="AS183" s="18"/>
      <c r="AT183" s="18"/>
      <c r="AU183" s="18"/>
      <c r="AV183" s="18"/>
      <c r="AW183" s="18"/>
      <c r="AX183" s="18"/>
      <c r="AY183" s="18"/>
    </row>
    <row r="184" customFormat="false" ht="15" hidden="false" customHeight="false" outlineLevel="0" collapsed="false">
      <c r="A184" s="15" t="str">
        <f aca="false">IFERROR(MATCH(ROW()-11,Tasks!$R$4:$R$403,0)+3,"")</f>
        <v/>
      </c>
      <c r="B184" s="16" t="str">
        <f aca="false">IF($A184="","",INDEX(Tasks!$A:$A,$A184))</f>
        <v/>
      </c>
      <c r="C184" s="16" t="str">
        <f aca="false">IF($A184="","",IF(ISERROR(FIND(".",INDEX(Tasks!$A:$A,$A184))),"","   ")&amp;INDEX(Tasks!$D:$D,$A184))</f>
        <v/>
      </c>
      <c r="D184" s="16" t="str">
        <f aca="false">IF($A184="","",IF(OR(INDEX(Tasks!$G:$G,$A184)="",INDEX(Tasks!$G:$G,$A184)="TBD"),INDEX(Tasks!$F:$F,$A184),INDEX(Tasks!$G:$G,$A184)))</f>
        <v/>
      </c>
      <c r="E184" s="16" t="str">
        <f aca="false">IF($A184="","",IF(INDEX(Tasks!$H:$H,$A184)="","",INDEX(Tasks!$H:$H,$A184)))</f>
        <v/>
      </c>
      <c r="F184" s="17" t="str">
        <f aca="false">IF($A184="","",IF(INDEX(Tasks!$I:$I,$A184)="","",INDEX(Tasks!$I:$I,$A184)))</f>
        <v/>
      </c>
      <c r="G184" s="17" t="str">
        <f aca="false">IF($A184="","",IF(INDEX(Tasks!$K:$K,$A184)="","",INDEX(Tasks!$K:$K,$A184)))</f>
        <v/>
      </c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  <c r="AG184" s="18"/>
      <c r="AH184" s="18"/>
      <c r="AI184" s="18"/>
      <c r="AJ184" s="18"/>
      <c r="AK184" s="18"/>
      <c r="AL184" s="18"/>
      <c r="AM184" s="18"/>
      <c r="AN184" s="18"/>
      <c r="AO184" s="18"/>
      <c r="AP184" s="18"/>
      <c r="AQ184" s="18"/>
      <c r="AR184" s="18"/>
      <c r="AS184" s="18"/>
      <c r="AT184" s="18"/>
      <c r="AU184" s="18"/>
      <c r="AV184" s="18"/>
      <c r="AW184" s="18"/>
      <c r="AX184" s="18"/>
      <c r="AY184" s="18"/>
    </row>
    <row r="185" customFormat="false" ht="15" hidden="false" customHeight="false" outlineLevel="0" collapsed="false">
      <c r="A185" s="15" t="str">
        <f aca="false">IFERROR(MATCH(ROW()-11,Tasks!$R$4:$R$403,0)+3,"")</f>
        <v/>
      </c>
      <c r="B185" s="16" t="str">
        <f aca="false">IF($A185="","",INDEX(Tasks!$A:$A,$A185))</f>
        <v/>
      </c>
      <c r="C185" s="16" t="str">
        <f aca="false">IF($A185="","",IF(ISERROR(FIND(".",INDEX(Tasks!$A:$A,$A185))),"","   ")&amp;INDEX(Tasks!$D:$D,$A185))</f>
        <v/>
      </c>
      <c r="D185" s="16" t="str">
        <f aca="false">IF($A185="","",IF(OR(INDEX(Tasks!$G:$G,$A185)="",INDEX(Tasks!$G:$G,$A185)="TBD"),INDEX(Tasks!$F:$F,$A185),INDEX(Tasks!$G:$G,$A185)))</f>
        <v/>
      </c>
      <c r="E185" s="16" t="str">
        <f aca="false">IF($A185="","",IF(INDEX(Tasks!$H:$H,$A185)="","",INDEX(Tasks!$H:$H,$A185)))</f>
        <v/>
      </c>
      <c r="F185" s="17" t="str">
        <f aca="false">IF($A185="","",IF(INDEX(Tasks!$I:$I,$A185)="","",INDEX(Tasks!$I:$I,$A185)))</f>
        <v/>
      </c>
      <c r="G185" s="17" t="str">
        <f aca="false">IF($A185="","",IF(INDEX(Tasks!$K:$K,$A185)="","",INDEX(Tasks!$K:$K,$A185)))</f>
        <v/>
      </c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8"/>
      <c r="AH185" s="18"/>
      <c r="AI185" s="18"/>
      <c r="AJ185" s="18"/>
      <c r="AK185" s="18"/>
      <c r="AL185" s="18"/>
      <c r="AM185" s="18"/>
      <c r="AN185" s="18"/>
      <c r="AO185" s="18"/>
      <c r="AP185" s="18"/>
      <c r="AQ185" s="18"/>
      <c r="AR185" s="18"/>
      <c r="AS185" s="18"/>
      <c r="AT185" s="18"/>
      <c r="AU185" s="18"/>
      <c r="AV185" s="18"/>
      <c r="AW185" s="18"/>
      <c r="AX185" s="18"/>
      <c r="AY185" s="18"/>
    </row>
    <row r="186" customFormat="false" ht="15" hidden="false" customHeight="false" outlineLevel="0" collapsed="false">
      <c r="A186" s="15" t="str">
        <f aca="false">IFERROR(MATCH(ROW()-11,Tasks!$R$4:$R$403,0)+3,"")</f>
        <v/>
      </c>
      <c r="B186" s="16" t="str">
        <f aca="false">IF($A186="","",INDEX(Tasks!$A:$A,$A186))</f>
        <v/>
      </c>
      <c r="C186" s="16" t="str">
        <f aca="false">IF($A186="","",IF(ISERROR(FIND(".",INDEX(Tasks!$A:$A,$A186))),"","   ")&amp;INDEX(Tasks!$D:$D,$A186))</f>
        <v/>
      </c>
      <c r="D186" s="16" t="str">
        <f aca="false">IF($A186="","",IF(OR(INDEX(Tasks!$G:$G,$A186)="",INDEX(Tasks!$G:$G,$A186)="TBD"),INDEX(Tasks!$F:$F,$A186),INDEX(Tasks!$G:$G,$A186)))</f>
        <v/>
      </c>
      <c r="E186" s="16" t="str">
        <f aca="false">IF($A186="","",IF(INDEX(Tasks!$H:$H,$A186)="","",INDEX(Tasks!$H:$H,$A186)))</f>
        <v/>
      </c>
      <c r="F186" s="17" t="str">
        <f aca="false">IF($A186="","",IF(INDEX(Tasks!$I:$I,$A186)="","",INDEX(Tasks!$I:$I,$A186)))</f>
        <v/>
      </c>
      <c r="G186" s="17" t="str">
        <f aca="false">IF($A186="","",IF(INDEX(Tasks!$K:$K,$A186)="","",INDEX(Tasks!$K:$K,$A186)))</f>
        <v/>
      </c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  <c r="AG186" s="18"/>
      <c r="AH186" s="18"/>
      <c r="AI186" s="18"/>
      <c r="AJ186" s="18"/>
      <c r="AK186" s="18"/>
      <c r="AL186" s="18"/>
      <c r="AM186" s="18"/>
      <c r="AN186" s="18"/>
      <c r="AO186" s="18"/>
      <c r="AP186" s="18"/>
      <c r="AQ186" s="18"/>
      <c r="AR186" s="18"/>
      <c r="AS186" s="18"/>
      <c r="AT186" s="18"/>
      <c r="AU186" s="18"/>
      <c r="AV186" s="18"/>
      <c r="AW186" s="18"/>
      <c r="AX186" s="18"/>
      <c r="AY186" s="18"/>
    </row>
    <row r="187" customFormat="false" ht="15" hidden="false" customHeight="false" outlineLevel="0" collapsed="false">
      <c r="A187" s="15" t="str">
        <f aca="false">IFERROR(MATCH(ROW()-11,Tasks!$R$4:$R$403,0)+3,"")</f>
        <v/>
      </c>
      <c r="B187" s="16" t="str">
        <f aca="false">IF($A187="","",INDEX(Tasks!$A:$A,$A187))</f>
        <v/>
      </c>
      <c r="C187" s="16" t="str">
        <f aca="false">IF($A187="","",IF(ISERROR(FIND(".",INDEX(Tasks!$A:$A,$A187))),"","   ")&amp;INDEX(Tasks!$D:$D,$A187))</f>
        <v/>
      </c>
      <c r="D187" s="16" t="str">
        <f aca="false">IF($A187="","",IF(OR(INDEX(Tasks!$G:$G,$A187)="",INDEX(Tasks!$G:$G,$A187)="TBD"),INDEX(Tasks!$F:$F,$A187),INDEX(Tasks!$G:$G,$A187)))</f>
        <v/>
      </c>
      <c r="E187" s="16" t="str">
        <f aca="false">IF($A187="","",IF(INDEX(Tasks!$H:$H,$A187)="","",INDEX(Tasks!$H:$H,$A187)))</f>
        <v/>
      </c>
      <c r="F187" s="17" t="str">
        <f aca="false">IF($A187="","",IF(INDEX(Tasks!$I:$I,$A187)="","",INDEX(Tasks!$I:$I,$A187)))</f>
        <v/>
      </c>
      <c r="G187" s="17" t="str">
        <f aca="false">IF($A187="","",IF(INDEX(Tasks!$K:$K,$A187)="","",INDEX(Tasks!$K:$K,$A187)))</f>
        <v/>
      </c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8"/>
      <c r="AH187" s="18"/>
      <c r="AI187" s="18"/>
      <c r="AJ187" s="18"/>
      <c r="AK187" s="18"/>
      <c r="AL187" s="18"/>
      <c r="AM187" s="18"/>
      <c r="AN187" s="18"/>
      <c r="AO187" s="18"/>
      <c r="AP187" s="18"/>
      <c r="AQ187" s="18"/>
      <c r="AR187" s="18"/>
      <c r="AS187" s="18"/>
      <c r="AT187" s="18"/>
      <c r="AU187" s="18"/>
      <c r="AV187" s="18"/>
      <c r="AW187" s="18"/>
      <c r="AX187" s="18"/>
      <c r="AY187" s="18"/>
    </row>
    <row r="188" customFormat="false" ht="15" hidden="false" customHeight="false" outlineLevel="0" collapsed="false">
      <c r="A188" s="15" t="str">
        <f aca="false">IFERROR(MATCH(ROW()-11,Tasks!$R$4:$R$403,0)+3,"")</f>
        <v/>
      </c>
      <c r="B188" s="16" t="str">
        <f aca="false">IF($A188="","",INDEX(Tasks!$A:$A,$A188))</f>
        <v/>
      </c>
      <c r="C188" s="16" t="str">
        <f aca="false">IF($A188="","",IF(ISERROR(FIND(".",INDEX(Tasks!$A:$A,$A188))),"","   ")&amp;INDEX(Tasks!$D:$D,$A188))</f>
        <v/>
      </c>
      <c r="D188" s="16" t="str">
        <f aca="false">IF($A188="","",IF(OR(INDEX(Tasks!$G:$G,$A188)="",INDEX(Tasks!$G:$G,$A188)="TBD"),INDEX(Tasks!$F:$F,$A188),INDEX(Tasks!$G:$G,$A188)))</f>
        <v/>
      </c>
      <c r="E188" s="16" t="str">
        <f aca="false">IF($A188="","",IF(INDEX(Tasks!$H:$H,$A188)="","",INDEX(Tasks!$H:$H,$A188)))</f>
        <v/>
      </c>
      <c r="F188" s="17" t="str">
        <f aca="false">IF($A188="","",IF(INDEX(Tasks!$I:$I,$A188)="","",INDEX(Tasks!$I:$I,$A188)))</f>
        <v/>
      </c>
      <c r="G188" s="17" t="str">
        <f aca="false">IF($A188="","",IF(INDEX(Tasks!$K:$K,$A188)="","",INDEX(Tasks!$K:$K,$A188)))</f>
        <v/>
      </c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8"/>
      <c r="AH188" s="18"/>
      <c r="AI188" s="18"/>
      <c r="AJ188" s="18"/>
      <c r="AK188" s="18"/>
      <c r="AL188" s="18"/>
      <c r="AM188" s="18"/>
      <c r="AN188" s="18"/>
      <c r="AO188" s="18"/>
      <c r="AP188" s="18"/>
      <c r="AQ188" s="18"/>
      <c r="AR188" s="18"/>
      <c r="AS188" s="18"/>
      <c r="AT188" s="18"/>
      <c r="AU188" s="18"/>
      <c r="AV188" s="18"/>
      <c r="AW188" s="18"/>
      <c r="AX188" s="18"/>
      <c r="AY188" s="18"/>
    </row>
    <row r="189" customFormat="false" ht="15" hidden="false" customHeight="false" outlineLevel="0" collapsed="false">
      <c r="A189" s="15" t="str">
        <f aca="false">IFERROR(MATCH(ROW()-11,Tasks!$R$4:$R$403,0)+3,"")</f>
        <v/>
      </c>
      <c r="B189" s="16" t="str">
        <f aca="false">IF($A189="","",INDEX(Tasks!$A:$A,$A189))</f>
        <v/>
      </c>
      <c r="C189" s="16" t="str">
        <f aca="false">IF($A189="","",IF(ISERROR(FIND(".",INDEX(Tasks!$A:$A,$A189))),"","   ")&amp;INDEX(Tasks!$D:$D,$A189))</f>
        <v/>
      </c>
      <c r="D189" s="16" t="str">
        <f aca="false">IF($A189="","",IF(OR(INDEX(Tasks!$G:$G,$A189)="",INDEX(Tasks!$G:$G,$A189)="TBD"),INDEX(Tasks!$F:$F,$A189),INDEX(Tasks!$G:$G,$A189)))</f>
        <v/>
      </c>
      <c r="E189" s="16" t="str">
        <f aca="false">IF($A189="","",IF(INDEX(Tasks!$H:$H,$A189)="","",INDEX(Tasks!$H:$H,$A189)))</f>
        <v/>
      </c>
      <c r="F189" s="17" t="str">
        <f aca="false">IF($A189="","",IF(INDEX(Tasks!$I:$I,$A189)="","",INDEX(Tasks!$I:$I,$A189)))</f>
        <v/>
      </c>
      <c r="G189" s="17" t="str">
        <f aca="false">IF($A189="","",IF(INDEX(Tasks!$K:$K,$A189)="","",INDEX(Tasks!$K:$K,$A189)))</f>
        <v/>
      </c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  <c r="AG189" s="18"/>
      <c r="AH189" s="18"/>
      <c r="AI189" s="18"/>
      <c r="AJ189" s="18"/>
      <c r="AK189" s="18"/>
      <c r="AL189" s="18"/>
      <c r="AM189" s="18"/>
      <c r="AN189" s="18"/>
      <c r="AO189" s="18"/>
      <c r="AP189" s="18"/>
      <c r="AQ189" s="18"/>
      <c r="AR189" s="18"/>
      <c r="AS189" s="18"/>
      <c r="AT189" s="18"/>
      <c r="AU189" s="18"/>
      <c r="AV189" s="18"/>
      <c r="AW189" s="18"/>
      <c r="AX189" s="18"/>
      <c r="AY189" s="18"/>
    </row>
    <row r="190" customFormat="false" ht="15" hidden="false" customHeight="false" outlineLevel="0" collapsed="false">
      <c r="A190" s="15" t="str">
        <f aca="false">IFERROR(MATCH(ROW()-11,Tasks!$R$4:$R$403,0)+3,"")</f>
        <v/>
      </c>
      <c r="B190" s="16" t="str">
        <f aca="false">IF($A190="","",INDEX(Tasks!$A:$A,$A190))</f>
        <v/>
      </c>
      <c r="C190" s="16" t="str">
        <f aca="false">IF($A190="","",IF(ISERROR(FIND(".",INDEX(Tasks!$A:$A,$A190))),"","   ")&amp;INDEX(Tasks!$D:$D,$A190))</f>
        <v/>
      </c>
      <c r="D190" s="16" t="str">
        <f aca="false">IF($A190="","",IF(OR(INDEX(Tasks!$G:$G,$A190)="",INDEX(Tasks!$G:$G,$A190)="TBD"),INDEX(Tasks!$F:$F,$A190),INDEX(Tasks!$G:$G,$A190)))</f>
        <v/>
      </c>
      <c r="E190" s="16" t="str">
        <f aca="false">IF($A190="","",IF(INDEX(Tasks!$H:$H,$A190)="","",INDEX(Tasks!$H:$H,$A190)))</f>
        <v/>
      </c>
      <c r="F190" s="17" t="str">
        <f aca="false">IF($A190="","",IF(INDEX(Tasks!$I:$I,$A190)="","",INDEX(Tasks!$I:$I,$A190)))</f>
        <v/>
      </c>
      <c r="G190" s="17" t="str">
        <f aca="false">IF($A190="","",IF(INDEX(Tasks!$K:$K,$A190)="","",INDEX(Tasks!$K:$K,$A190)))</f>
        <v/>
      </c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8"/>
      <c r="AH190" s="18"/>
      <c r="AI190" s="18"/>
      <c r="AJ190" s="18"/>
      <c r="AK190" s="18"/>
      <c r="AL190" s="18"/>
      <c r="AM190" s="18"/>
      <c r="AN190" s="18"/>
      <c r="AO190" s="18"/>
      <c r="AP190" s="18"/>
      <c r="AQ190" s="18"/>
      <c r="AR190" s="18"/>
      <c r="AS190" s="18"/>
      <c r="AT190" s="18"/>
      <c r="AU190" s="18"/>
      <c r="AV190" s="18"/>
      <c r="AW190" s="18"/>
      <c r="AX190" s="18"/>
      <c r="AY190" s="18"/>
    </row>
    <row r="191" customFormat="false" ht="15" hidden="false" customHeight="false" outlineLevel="0" collapsed="false">
      <c r="A191" s="15" t="str">
        <f aca="false">IFERROR(MATCH(ROW()-11,Tasks!$R$4:$R$403,0)+3,"")</f>
        <v/>
      </c>
      <c r="B191" s="16" t="str">
        <f aca="false">IF($A191="","",INDEX(Tasks!$A:$A,$A191))</f>
        <v/>
      </c>
      <c r="C191" s="16" t="str">
        <f aca="false">IF($A191="","",IF(ISERROR(FIND(".",INDEX(Tasks!$A:$A,$A191))),"","   ")&amp;INDEX(Tasks!$D:$D,$A191))</f>
        <v/>
      </c>
      <c r="D191" s="16" t="str">
        <f aca="false">IF($A191="","",IF(OR(INDEX(Tasks!$G:$G,$A191)="",INDEX(Tasks!$G:$G,$A191)="TBD"),INDEX(Tasks!$F:$F,$A191),INDEX(Tasks!$G:$G,$A191)))</f>
        <v/>
      </c>
      <c r="E191" s="16" t="str">
        <f aca="false">IF($A191="","",IF(INDEX(Tasks!$H:$H,$A191)="","",INDEX(Tasks!$H:$H,$A191)))</f>
        <v/>
      </c>
      <c r="F191" s="17" t="str">
        <f aca="false">IF($A191="","",IF(INDEX(Tasks!$I:$I,$A191)="","",INDEX(Tasks!$I:$I,$A191)))</f>
        <v/>
      </c>
      <c r="G191" s="17" t="str">
        <f aca="false">IF($A191="","",IF(INDEX(Tasks!$K:$K,$A191)="","",INDEX(Tasks!$K:$K,$A191)))</f>
        <v/>
      </c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  <c r="AH191" s="18"/>
      <c r="AI191" s="18"/>
      <c r="AJ191" s="18"/>
      <c r="AK191" s="18"/>
      <c r="AL191" s="18"/>
      <c r="AM191" s="18"/>
      <c r="AN191" s="18"/>
      <c r="AO191" s="18"/>
      <c r="AP191" s="18"/>
      <c r="AQ191" s="18"/>
      <c r="AR191" s="18"/>
      <c r="AS191" s="18"/>
      <c r="AT191" s="18"/>
      <c r="AU191" s="18"/>
      <c r="AV191" s="18"/>
      <c r="AW191" s="18"/>
      <c r="AX191" s="18"/>
      <c r="AY191" s="18"/>
    </row>
    <row r="192" customFormat="false" ht="15" hidden="false" customHeight="false" outlineLevel="0" collapsed="false">
      <c r="A192" s="15" t="str">
        <f aca="false">IFERROR(MATCH(ROW()-11,Tasks!$R$4:$R$403,0)+3,"")</f>
        <v/>
      </c>
      <c r="B192" s="16" t="str">
        <f aca="false">IF($A192="","",INDEX(Tasks!$A:$A,$A192))</f>
        <v/>
      </c>
      <c r="C192" s="16" t="str">
        <f aca="false">IF($A192="","",IF(ISERROR(FIND(".",INDEX(Tasks!$A:$A,$A192))),"","   ")&amp;INDEX(Tasks!$D:$D,$A192))</f>
        <v/>
      </c>
      <c r="D192" s="16" t="str">
        <f aca="false">IF($A192="","",IF(OR(INDEX(Tasks!$G:$G,$A192)="",INDEX(Tasks!$G:$G,$A192)="TBD"),INDEX(Tasks!$F:$F,$A192),INDEX(Tasks!$G:$G,$A192)))</f>
        <v/>
      </c>
      <c r="E192" s="16" t="str">
        <f aca="false">IF($A192="","",IF(INDEX(Tasks!$H:$H,$A192)="","",INDEX(Tasks!$H:$H,$A192)))</f>
        <v/>
      </c>
      <c r="F192" s="17" t="str">
        <f aca="false">IF($A192="","",IF(INDEX(Tasks!$I:$I,$A192)="","",INDEX(Tasks!$I:$I,$A192)))</f>
        <v/>
      </c>
      <c r="G192" s="17" t="str">
        <f aca="false">IF($A192="","",IF(INDEX(Tasks!$K:$K,$A192)="","",INDEX(Tasks!$K:$K,$A192)))</f>
        <v/>
      </c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  <c r="AG192" s="18"/>
      <c r="AH192" s="18"/>
      <c r="AI192" s="18"/>
      <c r="AJ192" s="18"/>
      <c r="AK192" s="18"/>
      <c r="AL192" s="18"/>
      <c r="AM192" s="18"/>
      <c r="AN192" s="18"/>
      <c r="AO192" s="18"/>
      <c r="AP192" s="18"/>
      <c r="AQ192" s="18"/>
      <c r="AR192" s="18"/>
      <c r="AS192" s="18"/>
      <c r="AT192" s="18"/>
      <c r="AU192" s="18"/>
      <c r="AV192" s="18"/>
      <c r="AW192" s="18"/>
      <c r="AX192" s="18"/>
      <c r="AY192" s="18"/>
    </row>
    <row r="193" customFormat="false" ht="15" hidden="false" customHeight="false" outlineLevel="0" collapsed="false">
      <c r="A193" s="15" t="str">
        <f aca="false">IFERROR(MATCH(ROW()-11,Tasks!$R$4:$R$403,0)+3,"")</f>
        <v/>
      </c>
      <c r="B193" s="16" t="str">
        <f aca="false">IF($A193="","",INDEX(Tasks!$A:$A,$A193))</f>
        <v/>
      </c>
      <c r="C193" s="16" t="str">
        <f aca="false">IF($A193="","",IF(ISERROR(FIND(".",INDEX(Tasks!$A:$A,$A193))),"","   ")&amp;INDEX(Tasks!$D:$D,$A193))</f>
        <v/>
      </c>
      <c r="D193" s="16" t="str">
        <f aca="false">IF($A193="","",IF(OR(INDEX(Tasks!$G:$G,$A193)="",INDEX(Tasks!$G:$G,$A193)="TBD"),INDEX(Tasks!$F:$F,$A193),INDEX(Tasks!$G:$G,$A193)))</f>
        <v/>
      </c>
      <c r="E193" s="16" t="str">
        <f aca="false">IF($A193="","",IF(INDEX(Tasks!$H:$H,$A193)="","",INDEX(Tasks!$H:$H,$A193)))</f>
        <v/>
      </c>
      <c r="F193" s="17" t="str">
        <f aca="false">IF($A193="","",IF(INDEX(Tasks!$I:$I,$A193)="","",INDEX(Tasks!$I:$I,$A193)))</f>
        <v/>
      </c>
      <c r="G193" s="17" t="str">
        <f aca="false">IF($A193="","",IF(INDEX(Tasks!$K:$K,$A193)="","",INDEX(Tasks!$K:$K,$A193)))</f>
        <v/>
      </c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  <c r="AG193" s="18"/>
      <c r="AH193" s="18"/>
      <c r="AI193" s="18"/>
      <c r="AJ193" s="18"/>
      <c r="AK193" s="18"/>
      <c r="AL193" s="18"/>
      <c r="AM193" s="18"/>
      <c r="AN193" s="18"/>
      <c r="AO193" s="18"/>
      <c r="AP193" s="18"/>
      <c r="AQ193" s="18"/>
      <c r="AR193" s="18"/>
      <c r="AS193" s="18"/>
      <c r="AT193" s="18"/>
      <c r="AU193" s="18"/>
      <c r="AV193" s="18"/>
      <c r="AW193" s="18"/>
      <c r="AX193" s="18"/>
      <c r="AY193" s="18"/>
    </row>
    <row r="194" customFormat="false" ht="15" hidden="false" customHeight="false" outlineLevel="0" collapsed="false">
      <c r="A194" s="15" t="str">
        <f aca="false">IFERROR(MATCH(ROW()-11,Tasks!$R$4:$R$403,0)+3,"")</f>
        <v/>
      </c>
      <c r="B194" s="16" t="str">
        <f aca="false">IF($A194="","",INDEX(Tasks!$A:$A,$A194))</f>
        <v/>
      </c>
      <c r="C194" s="16" t="str">
        <f aca="false">IF($A194="","",IF(ISERROR(FIND(".",INDEX(Tasks!$A:$A,$A194))),"","   ")&amp;INDEX(Tasks!$D:$D,$A194))</f>
        <v/>
      </c>
      <c r="D194" s="16" t="str">
        <f aca="false">IF($A194="","",IF(OR(INDEX(Tasks!$G:$G,$A194)="",INDEX(Tasks!$G:$G,$A194)="TBD"),INDEX(Tasks!$F:$F,$A194),INDEX(Tasks!$G:$G,$A194)))</f>
        <v/>
      </c>
      <c r="E194" s="16" t="str">
        <f aca="false">IF($A194="","",IF(INDEX(Tasks!$H:$H,$A194)="","",INDEX(Tasks!$H:$H,$A194)))</f>
        <v/>
      </c>
      <c r="F194" s="17" t="str">
        <f aca="false">IF($A194="","",IF(INDEX(Tasks!$I:$I,$A194)="","",INDEX(Tasks!$I:$I,$A194)))</f>
        <v/>
      </c>
      <c r="G194" s="17" t="str">
        <f aca="false">IF($A194="","",IF(INDEX(Tasks!$K:$K,$A194)="","",INDEX(Tasks!$K:$K,$A194)))</f>
        <v/>
      </c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  <c r="AG194" s="18"/>
      <c r="AH194" s="18"/>
      <c r="AI194" s="18"/>
      <c r="AJ194" s="18"/>
      <c r="AK194" s="18"/>
      <c r="AL194" s="18"/>
      <c r="AM194" s="18"/>
      <c r="AN194" s="18"/>
      <c r="AO194" s="18"/>
      <c r="AP194" s="18"/>
      <c r="AQ194" s="18"/>
      <c r="AR194" s="18"/>
      <c r="AS194" s="18"/>
      <c r="AT194" s="18"/>
      <c r="AU194" s="18"/>
      <c r="AV194" s="18"/>
      <c r="AW194" s="18"/>
      <c r="AX194" s="18"/>
      <c r="AY194" s="18"/>
    </row>
    <row r="195" customFormat="false" ht="15" hidden="false" customHeight="false" outlineLevel="0" collapsed="false">
      <c r="A195" s="15" t="str">
        <f aca="false">IFERROR(MATCH(ROW()-11,Tasks!$R$4:$R$403,0)+3,"")</f>
        <v/>
      </c>
      <c r="B195" s="16" t="str">
        <f aca="false">IF($A195="","",INDEX(Tasks!$A:$A,$A195))</f>
        <v/>
      </c>
      <c r="C195" s="16" t="str">
        <f aca="false">IF($A195="","",IF(ISERROR(FIND(".",INDEX(Tasks!$A:$A,$A195))),"","   ")&amp;INDEX(Tasks!$D:$D,$A195))</f>
        <v/>
      </c>
      <c r="D195" s="16" t="str">
        <f aca="false">IF($A195="","",IF(OR(INDEX(Tasks!$G:$G,$A195)="",INDEX(Tasks!$G:$G,$A195)="TBD"),INDEX(Tasks!$F:$F,$A195),INDEX(Tasks!$G:$G,$A195)))</f>
        <v/>
      </c>
      <c r="E195" s="16" t="str">
        <f aca="false">IF($A195="","",IF(INDEX(Tasks!$H:$H,$A195)="","",INDEX(Tasks!$H:$H,$A195)))</f>
        <v/>
      </c>
      <c r="F195" s="17" t="str">
        <f aca="false">IF($A195="","",IF(INDEX(Tasks!$I:$I,$A195)="","",INDEX(Tasks!$I:$I,$A195)))</f>
        <v/>
      </c>
      <c r="G195" s="17" t="str">
        <f aca="false">IF($A195="","",IF(INDEX(Tasks!$K:$K,$A195)="","",INDEX(Tasks!$K:$K,$A195)))</f>
        <v/>
      </c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  <c r="AG195" s="18"/>
      <c r="AH195" s="18"/>
      <c r="AI195" s="18"/>
      <c r="AJ195" s="18"/>
      <c r="AK195" s="18"/>
      <c r="AL195" s="18"/>
      <c r="AM195" s="18"/>
      <c r="AN195" s="18"/>
      <c r="AO195" s="18"/>
      <c r="AP195" s="18"/>
      <c r="AQ195" s="18"/>
      <c r="AR195" s="18"/>
      <c r="AS195" s="18"/>
      <c r="AT195" s="18"/>
      <c r="AU195" s="18"/>
      <c r="AV195" s="18"/>
      <c r="AW195" s="18"/>
      <c r="AX195" s="18"/>
      <c r="AY195" s="18"/>
    </row>
    <row r="196" customFormat="false" ht="15" hidden="false" customHeight="false" outlineLevel="0" collapsed="false">
      <c r="A196" s="15" t="str">
        <f aca="false">IFERROR(MATCH(ROW()-11,Tasks!$R$4:$R$403,0)+3,"")</f>
        <v/>
      </c>
      <c r="B196" s="16" t="str">
        <f aca="false">IF($A196="","",INDEX(Tasks!$A:$A,$A196))</f>
        <v/>
      </c>
      <c r="C196" s="16" t="str">
        <f aca="false">IF($A196="","",IF(ISERROR(FIND(".",INDEX(Tasks!$A:$A,$A196))),"","   ")&amp;INDEX(Tasks!$D:$D,$A196))</f>
        <v/>
      </c>
      <c r="D196" s="16" t="str">
        <f aca="false">IF($A196="","",IF(OR(INDEX(Tasks!$G:$G,$A196)="",INDEX(Tasks!$G:$G,$A196)="TBD"),INDEX(Tasks!$F:$F,$A196),INDEX(Tasks!$G:$G,$A196)))</f>
        <v/>
      </c>
      <c r="E196" s="16" t="str">
        <f aca="false">IF($A196="","",IF(INDEX(Tasks!$H:$H,$A196)="","",INDEX(Tasks!$H:$H,$A196)))</f>
        <v/>
      </c>
      <c r="F196" s="17" t="str">
        <f aca="false">IF($A196="","",IF(INDEX(Tasks!$I:$I,$A196)="","",INDEX(Tasks!$I:$I,$A196)))</f>
        <v/>
      </c>
      <c r="G196" s="17" t="str">
        <f aca="false">IF($A196="","",IF(INDEX(Tasks!$K:$K,$A196)="","",INDEX(Tasks!$K:$K,$A196)))</f>
        <v/>
      </c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  <c r="AG196" s="18"/>
      <c r="AH196" s="18"/>
      <c r="AI196" s="18"/>
      <c r="AJ196" s="18"/>
      <c r="AK196" s="18"/>
      <c r="AL196" s="18"/>
      <c r="AM196" s="18"/>
      <c r="AN196" s="18"/>
      <c r="AO196" s="18"/>
      <c r="AP196" s="18"/>
      <c r="AQ196" s="18"/>
      <c r="AR196" s="18"/>
      <c r="AS196" s="18"/>
      <c r="AT196" s="18"/>
      <c r="AU196" s="18"/>
      <c r="AV196" s="18"/>
      <c r="AW196" s="18"/>
      <c r="AX196" s="18"/>
      <c r="AY196" s="18"/>
    </row>
    <row r="197" customFormat="false" ht="15" hidden="false" customHeight="false" outlineLevel="0" collapsed="false">
      <c r="A197" s="15" t="str">
        <f aca="false">IFERROR(MATCH(ROW()-11,Tasks!$R$4:$R$403,0)+3,"")</f>
        <v/>
      </c>
      <c r="B197" s="16" t="str">
        <f aca="false">IF($A197="","",INDEX(Tasks!$A:$A,$A197))</f>
        <v/>
      </c>
      <c r="C197" s="16" t="str">
        <f aca="false">IF($A197="","",IF(ISERROR(FIND(".",INDEX(Tasks!$A:$A,$A197))),"","   ")&amp;INDEX(Tasks!$D:$D,$A197))</f>
        <v/>
      </c>
      <c r="D197" s="16" t="str">
        <f aca="false">IF($A197="","",IF(OR(INDEX(Tasks!$G:$G,$A197)="",INDEX(Tasks!$G:$G,$A197)="TBD"),INDEX(Tasks!$F:$F,$A197),INDEX(Tasks!$G:$G,$A197)))</f>
        <v/>
      </c>
      <c r="E197" s="16" t="str">
        <f aca="false">IF($A197="","",IF(INDEX(Tasks!$H:$H,$A197)="","",INDEX(Tasks!$H:$H,$A197)))</f>
        <v/>
      </c>
      <c r="F197" s="17" t="str">
        <f aca="false">IF($A197="","",IF(INDEX(Tasks!$I:$I,$A197)="","",INDEX(Tasks!$I:$I,$A197)))</f>
        <v/>
      </c>
      <c r="G197" s="17" t="str">
        <f aca="false">IF($A197="","",IF(INDEX(Tasks!$K:$K,$A197)="","",INDEX(Tasks!$K:$K,$A197)))</f>
        <v/>
      </c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  <c r="AG197" s="18"/>
      <c r="AH197" s="18"/>
      <c r="AI197" s="18"/>
      <c r="AJ197" s="18"/>
      <c r="AK197" s="18"/>
      <c r="AL197" s="18"/>
      <c r="AM197" s="18"/>
      <c r="AN197" s="18"/>
      <c r="AO197" s="18"/>
      <c r="AP197" s="18"/>
      <c r="AQ197" s="18"/>
      <c r="AR197" s="18"/>
      <c r="AS197" s="18"/>
      <c r="AT197" s="18"/>
      <c r="AU197" s="18"/>
      <c r="AV197" s="18"/>
      <c r="AW197" s="18"/>
      <c r="AX197" s="18"/>
      <c r="AY197" s="18"/>
    </row>
    <row r="198" customFormat="false" ht="15" hidden="false" customHeight="false" outlineLevel="0" collapsed="false">
      <c r="A198" s="15" t="str">
        <f aca="false">IFERROR(MATCH(ROW()-11,Tasks!$R$4:$R$403,0)+3,"")</f>
        <v/>
      </c>
      <c r="B198" s="16" t="str">
        <f aca="false">IF($A198="","",INDEX(Tasks!$A:$A,$A198))</f>
        <v/>
      </c>
      <c r="C198" s="16" t="str">
        <f aca="false">IF($A198="","",IF(ISERROR(FIND(".",INDEX(Tasks!$A:$A,$A198))),"","   ")&amp;INDEX(Tasks!$D:$D,$A198))</f>
        <v/>
      </c>
      <c r="D198" s="16" t="str">
        <f aca="false">IF($A198="","",IF(OR(INDEX(Tasks!$G:$G,$A198)="",INDEX(Tasks!$G:$G,$A198)="TBD"),INDEX(Tasks!$F:$F,$A198),INDEX(Tasks!$G:$G,$A198)))</f>
        <v/>
      </c>
      <c r="E198" s="16" t="str">
        <f aca="false">IF($A198="","",IF(INDEX(Tasks!$H:$H,$A198)="","",INDEX(Tasks!$H:$H,$A198)))</f>
        <v/>
      </c>
      <c r="F198" s="17" t="str">
        <f aca="false">IF($A198="","",IF(INDEX(Tasks!$I:$I,$A198)="","",INDEX(Tasks!$I:$I,$A198)))</f>
        <v/>
      </c>
      <c r="G198" s="17" t="str">
        <f aca="false">IF($A198="","",IF(INDEX(Tasks!$K:$K,$A198)="","",INDEX(Tasks!$K:$K,$A198)))</f>
        <v/>
      </c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18"/>
      <c r="AG198" s="18"/>
      <c r="AH198" s="18"/>
      <c r="AI198" s="18"/>
      <c r="AJ198" s="18"/>
      <c r="AK198" s="18"/>
      <c r="AL198" s="18"/>
      <c r="AM198" s="18"/>
      <c r="AN198" s="18"/>
      <c r="AO198" s="18"/>
      <c r="AP198" s="18"/>
      <c r="AQ198" s="18"/>
      <c r="AR198" s="18"/>
      <c r="AS198" s="18"/>
      <c r="AT198" s="18"/>
      <c r="AU198" s="18"/>
      <c r="AV198" s="18"/>
      <c r="AW198" s="18"/>
      <c r="AX198" s="18"/>
      <c r="AY198" s="18"/>
    </row>
    <row r="199" customFormat="false" ht="15" hidden="false" customHeight="false" outlineLevel="0" collapsed="false">
      <c r="A199" s="15" t="str">
        <f aca="false">IFERROR(MATCH(ROW()-11,Tasks!$R$4:$R$403,0)+3,"")</f>
        <v/>
      </c>
      <c r="B199" s="16" t="str">
        <f aca="false">IF($A199="","",INDEX(Tasks!$A:$A,$A199))</f>
        <v/>
      </c>
      <c r="C199" s="16" t="str">
        <f aca="false">IF($A199="","",IF(ISERROR(FIND(".",INDEX(Tasks!$A:$A,$A199))),"","   ")&amp;INDEX(Tasks!$D:$D,$A199))</f>
        <v/>
      </c>
      <c r="D199" s="16" t="str">
        <f aca="false">IF($A199="","",IF(OR(INDEX(Tasks!$G:$G,$A199)="",INDEX(Tasks!$G:$G,$A199)="TBD"),INDEX(Tasks!$F:$F,$A199),INDEX(Tasks!$G:$G,$A199)))</f>
        <v/>
      </c>
      <c r="E199" s="16" t="str">
        <f aca="false">IF($A199="","",IF(INDEX(Tasks!$H:$H,$A199)="","",INDEX(Tasks!$H:$H,$A199)))</f>
        <v/>
      </c>
      <c r="F199" s="17" t="str">
        <f aca="false">IF($A199="","",IF(INDEX(Tasks!$I:$I,$A199)="","",INDEX(Tasks!$I:$I,$A199)))</f>
        <v/>
      </c>
      <c r="G199" s="17" t="str">
        <f aca="false">IF($A199="","",IF(INDEX(Tasks!$K:$K,$A199)="","",INDEX(Tasks!$K:$K,$A199)))</f>
        <v/>
      </c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  <c r="AG199" s="18"/>
      <c r="AH199" s="18"/>
      <c r="AI199" s="18"/>
      <c r="AJ199" s="18"/>
      <c r="AK199" s="18"/>
      <c r="AL199" s="18"/>
      <c r="AM199" s="18"/>
      <c r="AN199" s="18"/>
      <c r="AO199" s="18"/>
      <c r="AP199" s="18"/>
      <c r="AQ199" s="18"/>
      <c r="AR199" s="18"/>
      <c r="AS199" s="18"/>
      <c r="AT199" s="18"/>
      <c r="AU199" s="18"/>
      <c r="AV199" s="18"/>
      <c r="AW199" s="18"/>
      <c r="AX199" s="18"/>
      <c r="AY199" s="18"/>
    </row>
    <row r="200" customFormat="false" ht="15" hidden="false" customHeight="false" outlineLevel="0" collapsed="false">
      <c r="A200" s="15" t="str">
        <f aca="false">IFERROR(MATCH(ROW()-11,Tasks!$R$4:$R$403,0)+3,"")</f>
        <v/>
      </c>
      <c r="B200" s="16" t="str">
        <f aca="false">IF($A200="","",INDEX(Tasks!$A:$A,$A200))</f>
        <v/>
      </c>
      <c r="C200" s="16" t="str">
        <f aca="false">IF($A200="","",IF(ISERROR(FIND(".",INDEX(Tasks!$A:$A,$A200))),"","   ")&amp;INDEX(Tasks!$D:$D,$A200))</f>
        <v/>
      </c>
      <c r="D200" s="16" t="str">
        <f aca="false">IF($A200="","",IF(OR(INDEX(Tasks!$G:$G,$A200)="",INDEX(Tasks!$G:$G,$A200)="TBD"),INDEX(Tasks!$F:$F,$A200),INDEX(Tasks!$G:$G,$A200)))</f>
        <v/>
      </c>
      <c r="E200" s="16" t="str">
        <f aca="false">IF($A200="","",IF(INDEX(Tasks!$H:$H,$A200)="","",INDEX(Tasks!$H:$H,$A200)))</f>
        <v/>
      </c>
      <c r="F200" s="17" t="str">
        <f aca="false">IF($A200="","",IF(INDEX(Tasks!$I:$I,$A200)="","",INDEX(Tasks!$I:$I,$A200)))</f>
        <v/>
      </c>
      <c r="G200" s="17" t="str">
        <f aca="false">IF($A200="","",IF(INDEX(Tasks!$K:$K,$A200)="","",INDEX(Tasks!$K:$K,$A200)))</f>
        <v/>
      </c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  <c r="AF200" s="18"/>
      <c r="AG200" s="18"/>
      <c r="AH200" s="18"/>
      <c r="AI200" s="18"/>
      <c r="AJ200" s="18"/>
      <c r="AK200" s="18"/>
      <c r="AL200" s="18"/>
      <c r="AM200" s="18"/>
      <c r="AN200" s="18"/>
      <c r="AO200" s="18"/>
      <c r="AP200" s="18"/>
      <c r="AQ200" s="18"/>
      <c r="AR200" s="18"/>
      <c r="AS200" s="18"/>
      <c r="AT200" s="18"/>
      <c r="AU200" s="18"/>
      <c r="AV200" s="18"/>
      <c r="AW200" s="18"/>
      <c r="AX200" s="18"/>
      <c r="AY200" s="18"/>
    </row>
    <row r="201" customFormat="false" ht="15" hidden="false" customHeight="false" outlineLevel="0" collapsed="false">
      <c r="A201" s="15" t="str">
        <f aca="false">IFERROR(MATCH(ROW()-11,Tasks!$R$4:$R$403,0)+3,"")</f>
        <v/>
      </c>
      <c r="B201" s="16" t="str">
        <f aca="false">IF($A201="","",INDEX(Tasks!$A:$A,$A201))</f>
        <v/>
      </c>
      <c r="C201" s="16" t="str">
        <f aca="false">IF($A201="","",IF(ISERROR(FIND(".",INDEX(Tasks!$A:$A,$A201))),"","   ")&amp;INDEX(Tasks!$D:$D,$A201))</f>
        <v/>
      </c>
      <c r="D201" s="16" t="str">
        <f aca="false">IF($A201="","",IF(OR(INDEX(Tasks!$G:$G,$A201)="",INDEX(Tasks!$G:$G,$A201)="TBD"),INDEX(Tasks!$F:$F,$A201),INDEX(Tasks!$G:$G,$A201)))</f>
        <v/>
      </c>
      <c r="E201" s="16" t="str">
        <f aca="false">IF($A201="","",IF(INDEX(Tasks!$H:$H,$A201)="","",INDEX(Tasks!$H:$H,$A201)))</f>
        <v/>
      </c>
      <c r="F201" s="17" t="str">
        <f aca="false">IF($A201="","",IF(INDEX(Tasks!$I:$I,$A201)="","",INDEX(Tasks!$I:$I,$A201)))</f>
        <v/>
      </c>
      <c r="G201" s="17" t="str">
        <f aca="false">IF($A201="","",IF(INDEX(Tasks!$K:$K,$A201)="","",INDEX(Tasks!$K:$K,$A201)))</f>
        <v/>
      </c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  <c r="AF201" s="18"/>
      <c r="AG201" s="18"/>
      <c r="AH201" s="18"/>
      <c r="AI201" s="18"/>
      <c r="AJ201" s="18"/>
      <c r="AK201" s="18"/>
      <c r="AL201" s="18"/>
      <c r="AM201" s="18"/>
      <c r="AN201" s="18"/>
      <c r="AO201" s="18"/>
      <c r="AP201" s="18"/>
      <c r="AQ201" s="18"/>
      <c r="AR201" s="18"/>
      <c r="AS201" s="18"/>
      <c r="AT201" s="18"/>
      <c r="AU201" s="18"/>
      <c r="AV201" s="18"/>
      <c r="AW201" s="18"/>
      <c r="AX201" s="18"/>
      <c r="AY201" s="18"/>
    </row>
    <row r="202" customFormat="false" ht="15" hidden="false" customHeight="false" outlineLevel="0" collapsed="false">
      <c r="A202" s="15" t="str">
        <f aca="false">IFERROR(MATCH(ROW()-11,Tasks!$R$4:$R$403,0)+3,"")</f>
        <v/>
      </c>
      <c r="B202" s="16" t="str">
        <f aca="false">IF($A202="","",INDEX(Tasks!$A:$A,$A202))</f>
        <v/>
      </c>
      <c r="C202" s="16" t="str">
        <f aca="false">IF($A202="","",IF(ISERROR(FIND(".",INDEX(Tasks!$A:$A,$A202))),"","   ")&amp;INDEX(Tasks!$D:$D,$A202))</f>
        <v/>
      </c>
      <c r="D202" s="16" t="str">
        <f aca="false">IF($A202="","",IF(OR(INDEX(Tasks!$G:$G,$A202)="",INDEX(Tasks!$G:$G,$A202)="TBD"),INDEX(Tasks!$F:$F,$A202),INDEX(Tasks!$G:$G,$A202)))</f>
        <v/>
      </c>
      <c r="E202" s="16" t="str">
        <f aca="false">IF($A202="","",IF(INDEX(Tasks!$H:$H,$A202)="","",INDEX(Tasks!$H:$H,$A202)))</f>
        <v/>
      </c>
      <c r="F202" s="17" t="str">
        <f aca="false">IF($A202="","",IF(INDEX(Tasks!$I:$I,$A202)="","",INDEX(Tasks!$I:$I,$A202)))</f>
        <v/>
      </c>
      <c r="G202" s="17" t="str">
        <f aca="false">IF($A202="","",IF(INDEX(Tasks!$K:$K,$A202)="","",INDEX(Tasks!$K:$K,$A202)))</f>
        <v/>
      </c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K202" s="18"/>
      <c r="AL202" s="18"/>
      <c r="AM202" s="18"/>
      <c r="AN202" s="18"/>
      <c r="AO202" s="18"/>
      <c r="AP202" s="18"/>
      <c r="AQ202" s="18"/>
      <c r="AR202" s="18"/>
      <c r="AS202" s="18"/>
      <c r="AT202" s="18"/>
      <c r="AU202" s="18"/>
      <c r="AV202" s="18"/>
      <c r="AW202" s="18"/>
      <c r="AX202" s="18"/>
      <c r="AY202" s="18"/>
    </row>
    <row r="203" customFormat="false" ht="15" hidden="false" customHeight="false" outlineLevel="0" collapsed="false">
      <c r="A203" s="15" t="str">
        <f aca="false">IFERROR(MATCH(ROW()-11,Tasks!$R$4:$R$403,0)+3,"")</f>
        <v/>
      </c>
      <c r="B203" s="16" t="str">
        <f aca="false">IF($A203="","",INDEX(Tasks!$A:$A,$A203))</f>
        <v/>
      </c>
      <c r="C203" s="16" t="str">
        <f aca="false">IF($A203="","",IF(ISERROR(FIND(".",INDEX(Tasks!$A:$A,$A203))),"","   ")&amp;INDEX(Tasks!$D:$D,$A203))</f>
        <v/>
      </c>
      <c r="D203" s="16" t="str">
        <f aca="false">IF($A203="","",IF(OR(INDEX(Tasks!$G:$G,$A203)="",INDEX(Tasks!$G:$G,$A203)="TBD"),INDEX(Tasks!$F:$F,$A203),INDEX(Tasks!$G:$G,$A203)))</f>
        <v/>
      </c>
      <c r="E203" s="16" t="str">
        <f aca="false">IF($A203="","",IF(INDEX(Tasks!$H:$H,$A203)="","",INDEX(Tasks!$H:$H,$A203)))</f>
        <v/>
      </c>
      <c r="F203" s="17" t="str">
        <f aca="false">IF($A203="","",IF(INDEX(Tasks!$I:$I,$A203)="","",INDEX(Tasks!$I:$I,$A203)))</f>
        <v/>
      </c>
      <c r="G203" s="17" t="str">
        <f aca="false">IF($A203="","",IF(INDEX(Tasks!$K:$K,$A203)="","",INDEX(Tasks!$K:$K,$A203)))</f>
        <v/>
      </c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  <c r="AF203" s="18"/>
      <c r="AG203" s="18"/>
      <c r="AH203" s="18"/>
      <c r="AI203" s="18"/>
      <c r="AJ203" s="18"/>
      <c r="AK203" s="18"/>
      <c r="AL203" s="18"/>
      <c r="AM203" s="18"/>
      <c r="AN203" s="18"/>
      <c r="AO203" s="18"/>
      <c r="AP203" s="18"/>
      <c r="AQ203" s="18"/>
      <c r="AR203" s="18"/>
      <c r="AS203" s="18"/>
      <c r="AT203" s="18"/>
      <c r="AU203" s="18"/>
      <c r="AV203" s="18"/>
      <c r="AW203" s="18"/>
      <c r="AX203" s="18"/>
      <c r="AY203" s="18"/>
    </row>
    <row r="204" customFormat="false" ht="15" hidden="false" customHeight="false" outlineLevel="0" collapsed="false">
      <c r="A204" s="15" t="str">
        <f aca="false">IFERROR(MATCH(ROW()-11,Tasks!$R$4:$R$403,0)+3,"")</f>
        <v/>
      </c>
      <c r="B204" s="16" t="str">
        <f aca="false">IF($A204="","",INDEX(Tasks!$A:$A,$A204))</f>
        <v/>
      </c>
      <c r="C204" s="16" t="str">
        <f aca="false">IF($A204="","",IF(ISERROR(FIND(".",INDEX(Tasks!$A:$A,$A204))),"","   ")&amp;INDEX(Tasks!$D:$D,$A204))</f>
        <v/>
      </c>
      <c r="D204" s="16" t="str">
        <f aca="false">IF($A204="","",IF(OR(INDEX(Tasks!$G:$G,$A204)="",INDEX(Tasks!$G:$G,$A204)="TBD"),INDEX(Tasks!$F:$F,$A204),INDEX(Tasks!$G:$G,$A204)))</f>
        <v/>
      </c>
      <c r="E204" s="16" t="str">
        <f aca="false">IF($A204="","",IF(INDEX(Tasks!$H:$H,$A204)="","",INDEX(Tasks!$H:$H,$A204)))</f>
        <v/>
      </c>
      <c r="F204" s="17" t="str">
        <f aca="false">IF($A204="","",IF(INDEX(Tasks!$I:$I,$A204)="","",INDEX(Tasks!$I:$I,$A204)))</f>
        <v/>
      </c>
      <c r="G204" s="17" t="str">
        <f aca="false">IF($A204="","",IF(INDEX(Tasks!$K:$K,$A204)="","",INDEX(Tasks!$K:$K,$A204)))</f>
        <v/>
      </c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  <c r="AF204" s="18"/>
      <c r="AG204" s="18"/>
      <c r="AH204" s="18"/>
      <c r="AI204" s="18"/>
      <c r="AJ204" s="18"/>
      <c r="AK204" s="18"/>
      <c r="AL204" s="18"/>
      <c r="AM204" s="18"/>
      <c r="AN204" s="18"/>
      <c r="AO204" s="18"/>
      <c r="AP204" s="18"/>
      <c r="AQ204" s="18"/>
      <c r="AR204" s="18"/>
      <c r="AS204" s="18"/>
      <c r="AT204" s="18"/>
      <c r="AU204" s="18"/>
      <c r="AV204" s="18"/>
      <c r="AW204" s="18"/>
      <c r="AX204" s="18"/>
      <c r="AY204" s="18"/>
    </row>
    <row r="205" customFormat="false" ht="15" hidden="false" customHeight="false" outlineLevel="0" collapsed="false">
      <c r="A205" s="15" t="str">
        <f aca="false">IFERROR(MATCH(ROW()-11,Tasks!$R$4:$R$403,0)+3,"")</f>
        <v/>
      </c>
      <c r="B205" s="16" t="str">
        <f aca="false">IF($A205="","",INDEX(Tasks!$A:$A,$A205))</f>
        <v/>
      </c>
      <c r="C205" s="16" t="str">
        <f aca="false">IF($A205="","",IF(ISERROR(FIND(".",INDEX(Tasks!$A:$A,$A205))),"","   ")&amp;INDEX(Tasks!$D:$D,$A205))</f>
        <v/>
      </c>
      <c r="D205" s="16" t="str">
        <f aca="false">IF($A205="","",IF(OR(INDEX(Tasks!$G:$G,$A205)="",INDEX(Tasks!$G:$G,$A205)="TBD"),INDEX(Tasks!$F:$F,$A205),INDEX(Tasks!$G:$G,$A205)))</f>
        <v/>
      </c>
      <c r="E205" s="16" t="str">
        <f aca="false">IF($A205="","",IF(INDEX(Tasks!$H:$H,$A205)="","",INDEX(Tasks!$H:$H,$A205)))</f>
        <v/>
      </c>
      <c r="F205" s="17" t="str">
        <f aca="false">IF($A205="","",IF(INDEX(Tasks!$I:$I,$A205)="","",INDEX(Tasks!$I:$I,$A205)))</f>
        <v/>
      </c>
      <c r="G205" s="17" t="str">
        <f aca="false">IF($A205="","",IF(INDEX(Tasks!$K:$K,$A205)="","",INDEX(Tasks!$K:$K,$A205)))</f>
        <v/>
      </c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  <c r="AD205" s="18"/>
      <c r="AE205" s="18"/>
      <c r="AF205" s="18"/>
      <c r="AG205" s="18"/>
      <c r="AH205" s="18"/>
      <c r="AI205" s="18"/>
      <c r="AJ205" s="18"/>
      <c r="AK205" s="18"/>
      <c r="AL205" s="18"/>
      <c r="AM205" s="18"/>
      <c r="AN205" s="18"/>
      <c r="AO205" s="18"/>
      <c r="AP205" s="18"/>
      <c r="AQ205" s="18"/>
      <c r="AR205" s="18"/>
      <c r="AS205" s="18"/>
      <c r="AT205" s="18"/>
      <c r="AU205" s="18"/>
      <c r="AV205" s="18"/>
      <c r="AW205" s="18"/>
      <c r="AX205" s="18"/>
      <c r="AY205" s="18"/>
    </row>
    <row r="206" customFormat="false" ht="15" hidden="false" customHeight="false" outlineLevel="0" collapsed="false">
      <c r="A206" s="15" t="str">
        <f aca="false">IFERROR(MATCH(ROW()-11,Tasks!$R$4:$R$403,0)+3,"")</f>
        <v/>
      </c>
      <c r="B206" s="16" t="str">
        <f aca="false">IF($A206="","",INDEX(Tasks!$A:$A,$A206))</f>
        <v/>
      </c>
      <c r="C206" s="16" t="str">
        <f aca="false">IF($A206="","",IF(ISERROR(FIND(".",INDEX(Tasks!$A:$A,$A206))),"","   ")&amp;INDEX(Tasks!$D:$D,$A206))</f>
        <v/>
      </c>
      <c r="D206" s="16" t="str">
        <f aca="false">IF($A206="","",IF(OR(INDEX(Tasks!$G:$G,$A206)="",INDEX(Tasks!$G:$G,$A206)="TBD"),INDEX(Tasks!$F:$F,$A206),INDEX(Tasks!$G:$G,$A206)))</f>
        <v/>
      </c>
      <c r="E206" s="16" t="str">
        <f aca="false">IF($A206="","",IF(INDEX(Tasks!$H:$H,$A206)="","",INDEX(Tasks!$H:$H,$A206)))</f>
        <v/>
      </c>
      <c r="F206" s="17" t="str">
        <f aca="false">IF($A206="","",IF(INDEX(Tasks!$I:$I,$A206)="","",INDEX(Tasks!$I:$I,$A206)))</f>
        <v/>
      </c>
      <c r="G206" s="17" t="str">
        <f aca="false">IF($A206="","",IF(INDEX(Tasks!$K:$K,$A206)="","",INDEX(Tasks!$K:$K,$A206)))</f>
        <v/>
      </c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  <c r="AD206" s="18"/>
      <c r="AE206" s="18"/>
      <c r="AF206" s="18"/>
      <c r="AG206" s="18"/>
      <c r="AH206" s="18"/>
      <c r="AI206" s="18"/>
      <c r="AJ206" s="18"/>
      <c r="AK206" s="18"/>
      <c r="AL206" s="18"/>
      <c r="AM206" s="18"/>
      <c r="AN206" s="18"/>
      <c r="AO206" s="18"/>
      <c r="AP206" s="18"/>
      <c r="AQ206" s="18"/>
      <c r="AR206" s="18"/>
      <c r="AS206" s="18"/>
      <c r="AT206" s="18"/>
      <c r="AU206" s="18"/>
      <c r="AV206" s="18"/>
      <c r="AW206" s="18"/>
      <c r="AX206" s="18"/>
      <c r="AY206" s="18"/>
    </row>
    <row r="207" customFormat="false" ht="15" hidden="false" customHeight="false" outlineLevel="0" collapsed="false">
      <c r="A207" s="15" t="str">
        <f aca="false">IFERROR(MATCH(ROW()-11,Tasks!$R$4:$R$403,0)+3,"")</f>
        <v/>
      </c>
      <c r="B207" s="16" t="str">
        <f aca="false">IF($A207="","",INDEX(Tasks!$A:$A,$A207))</f>
        <v/>
      </c>
      <c r="C207" s="16" t="str">
        <f aca="false">IF($A207="","",IF(ISERROR(FIND(".",INDEX(Tasks!$A:$A,$A207))),"","   ")&amp;INDEX(Tasks!$D:$D,$A207))</f>
        <v/>
      </c>
      <c r="D207" s="16" t="str">
        <f aca="false">IF($A207="","",IF(OR(INDEX(Tasks!$G:$G,$A207)="",INDEX(Tasks!$G:$G,$A207)="TBD"),INDEX(Tasks!$F:$F,$A207),INDEX(Tasks!$G:$G,$A207)))</f>
        <v/>
      </c>
      <c r="E207" s="16" t="str">
        <f aca="false">IF($A207="","",IF(INDEX(Tasks!$H:$H,$A207)="","",INDEX(Tasks!$H:$H,$A207)))</f>
        <v/>
      </c>
      <c r="F207" s="17" t="str">
        <f aca="false">IF($A207="","",IF(INDEX(Tasks!$I:$I,$A207)="","",INDEX(Tasks!$I:$I,$A207)))</f>
        <v/>
      </c>
      <c r="G207" s="17" t="str">
        <f aca="false">IF($A207="","",IF(INDEX(Tasks!$K:$K,$A207)="","",INDEX(Tasks!$K:$K,$A207)))</f>
        <v/>
      </c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  <c r="AF207" s="18"/>
      <c r="AG207" s="18"/>
      <c r="AH207" s="18"/>
      <c r="AI207" s="18"/>
      <c r="AJ207" s="18"/>
      <c r="AK207" s="18"/>
      <c r="AL207" s="18"/>
      <c r="AM207" s="18"/>
      <c r="AN207" s="18"/>
      <c r="AO207" s="18"/>
      <c r="AP207" s="18"/>
      <c r="AQ207" s="18"/>
      <c r="AR207" s="18"/>
      <c r="AS207" s="18"/>
      <c r="AT207" s="18"/>
      <c r="AU207" s="18"/>
      <c r="AV207" s="18"/>
      <c r="AW207" s="18"/>
      <c r="AX207" s="18"/>
      <c r="AY207" s="18"/>
    </row>
    <row r="208" customFormat="false" ht="15" hidden="false" customHeight="false" outlineLevel="0" collapsed="false">
      <c r="A208" s="15" t="str">
        <f aca="false">IFERROR(MATCH(ROW()-11,Tasks!$R$4:$R$403,0)+3,"")</f>
        <v/>
      </c>
      <c r="B208" s="16" t="str">
        <f aca="false">IF($A208="","",INDEX(Tasks!$A:$A,$A208))</f>
        <v/>
      </c>
      <c r="C208" s="16" t="str">
        <f aca="false">IF($A208="","",IF(ISERROR(FIND(".",INDEX(Tasks!$A:$A,$A208))),"","   ")&amp;INDEX(Tasks!$D:$D,$A208))</f>
        <v/>
      </c>
      <c r="D208" s="16" t="str">
        <f aca="false">IF($A208="","",IF(OR(INDEX(Tasks!$G:$G,$A208)="",INDEX(Tasks!$G:$G,$A208)="TBD"),INDEX(Tasks!$F:$F,$A208),INDEX(Tasks!$G:$G,$A208)))</f>
        <v/>
      </c>
      <c r="E208" s="16" t="str">
        <f aca="false">IF($A208="","",IF(INDEX(Tasks!$H:$H,$A208)="","",INDEX(Tasks!$H:$H,$A208)))</f>
        <v/>
      </c>
      <c r="F208" s="17" t="str">
        <f aca="false">IF($A208="","",IF(INDEX(Tasks!$I:$I,$A208)="","",INDEX(Tasks!$I:$I,$A208)))</f>
        <v/>
      </c>
      <c r="G208" s="17" t="str">
        <f aca="false">IF($A208="","",IF(INDEX(Tasks!$K:$K,$A208)="","",INDEX(Tasks!$K:$K,$A208)))</f>
        <v/>
      </c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  <c r="AF208" s="18"/>
      <c r="AG208" s="18"/>
      <c r="AH208" s="18"/>
      <c r="AI208" s="18"/>
      <c r="AJ208" s="18"/>
      <c r="AK208" s="18"/>
      <c r="AL208" s="18"/>
      <c r="AM208" s="18"/>
      <c r="AN208" s="18"/>
      <c r="AO208" s="18"/>
      <c r="AP208" s="18"/>
      <c r="AQ208" s="18"/>
      <c r="AR208" s="18"/>
      <c r="AS208" s="18"/>
      <c r="AT208" s="18"/>
      <c r="AU208" s="18"/>
      <c r="AV208" s="18"/>
      <c r="AW208" s="18"/>
      <c r="AX208" s="18"/>
      <c r="AY208" s="18"/>
    </row>
    <row r="209" customFormat="false" ht="15" hidden="false" customHeight="false" outlineLevel="0" collapsed="false">
      <c r="A209" s="15" t="str">
        <f aca="false">IFERROR(MATCH(ROW()-11,Tasks!$R$4:$R$403,0)+3,"")</f>
        <v/>
      </c>
      <c r="B209" s="16" t="str">
        <f aca="false">IF($A209="","",INDEX(Tasks!$A:$A,$A209))</f>
        <v/>
      </c>
      <c r="C209" s="16" t="str">
        <f aca="false">IF($A209="","",IF(ISERROR(FIND(".",INDEX(Tasks!$A:$A,$A209))),"","   ")&amp;INDEX(Tasks!$D:$D,$A209))</f>
        <v/>
      </c>
      <c r="D209" s="16" t="str">
        <f aca="false">IF($A209="","",IF(OR(INDEX(Tasks!$G:$G,$A209)="",INDEX(Tasks!$G:$G,$A209)="TBD"),INDEX(Tasks!$F:$F,$A209),INDEX(Tasks!$G:$G,$A209)))</f>
        <v/>
      </c>
      <c r="E209" s="16" t="str">
        <f aca="false">IF($A209="","",IF(INDEX(Tasks!$H:$H,$A209)="","",INDEX(Tasks!$H:$H,$A209)))</f>
        <v/>
      </c>
      <c r="F209" s="17" t="str">
        <f aca="false">IF($A209="","",IF(INDEX(Tasks!$I:$I,$A209)="","",INDEX(Tasks!$I:$I,$A209)))</f>
        <v/>
      </c>
      <c r="G209" s="17" t="str">
        <f aca="false">IF($A209="","",IF(INDEX(Tasks!$K:$K,$A209)="","",INDEX(Tasks!$K:$K,$A209)))</f>
        <v/>
      </c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  <c r="AF209" s="18"/>
      <c r="AG209" s="18"/>
      <c r="AH209" s="18"/>
      <c r="AI209" s="18"/>
      <c r="AJ209" s="18"/>
      <c r="AK209" s="18"/>
      <c r="AL209" s="18"/>
      <c r="AM209" s="18"/>
      <c r="AN209" s="18"/>
      <c r="AO209" s="18"/>
      <c r="AP209" s="18"/>
      <c r="AQ209" s="18"/>
      <c r="AR209" s="18"/>
      <c r="AS209" s="18"/>
      <c r="AT209" s="18"/>
      <c r="AU209" s="18"/>
      <c r="AV209" s="18"/>
      <c r="AW209" s="18"/>
      <c r="AX209" s="18"/>
      <c r="AY209" s="18"/>
    </row>
    <row r="210" customFormat="false" ht="15" hidden="false" customHeight="false" outlineLevel="0" collapsed="false">
      <c r="A210" s="15" t="str">
        <f aca="false">IFERROR(MATCH(ROW()-11,Tasks!$R$4:$R$403,0)+3,"")</f>
        <v/>
      </c>
      <c r="B210" s="16" t="str">
        <f aca="false">IF($A210="","",INDEX(Tasks!$A:$A,$A210))</f>
        <v/>
      </c>
      <c r="C210" s="16" t="str">
        <f aca="false">IF($A210="","",IF(ISERROR(FIND(".",INDEX(Tasks!$A:$A,$A210))),"","   ")&amp;INDEX(Tasks!$D:$D,$A210))</f>
        <v/>
      </c>
      <c r="D210" s="16" t="str">
        <f aca="false">IF($A210="","",IF(OR(INDEX(Tasks!$G:$G,$A210)="",INDEX(Tasks!$G:$G,$A210)="TBD"),INDEX(Tasks!$F:$F,$A210),INDEX(Tasks!$G:$G,$A210)))</f>
        <v/>
      </c>
      <c r="E210" s="16" t="str">
        <f aca="false">IF($A210="","",IF(INDEX(Tasks!$H:$H,$A210)="","",INDEX(Tasks!$H:$H,$A210)))</f>
        <v/>
      </c>
      <c r="F210" s="17" t="str">
        <f aca="false">IF($A210="","",IF(INDEX(Tasks!$I:$I,$A210)="","",INDEX(Tasks!$I:$I,$A210)))</f>
        <v/>
      </c>
      <c r="G210" s="17" t="str">
        <f aca="false">IF($A210="","",IF(INDEX(Tasks!$K:$K,$A210)="","",INDEX(Tasks!$K:$K,$A210)))</f>
        <v/>
      </c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  <c r="AD210" s="18"/>
      <c r="AE210" s="18"/>
      <c r="AF210" s="18"/>
      <c r="AG210" s="18"/>
      <c r="AH210" s="18"/>
      <c r="AI210" s="18"/>
      <c r="AJ210" s="18"/>
      <c r="AK210" s="18"/>
      <c r="AL210" s="18"/>
      <c r="AM210" s="18"/>
      <c r="AN210" s="18"/>
      <c r="AO210" s="18"/>
      <c r="AP210" s="18"/>
      <c r="AQ210" s="18"/>
      <c r="AR210" s="18"/>
      <c r="AS210" s="18"/>
      <c r="AT210" s="18"/>
      <c r="AU210" s="18"/>
      <c r="AV210" s="18"/>
      <c r="AW210" s="18"/>
      <c r="AX210" s="18"/>
      <c r="AY210" s="18"/>
    </row>
    <row r="211" customFormat="false" ht="15" hidden="false" customHeight="false" outlineLevel="0" collapsed="false">
      <c r="A211" s="15" t="str">
        <f aca="false">IFERROR(MATCH(ROW()-11,Tasks!$R$4:$R$403,0)+3,"")</f>
        <v/>
      </c>
      <c r="B211" s="16" t="str">
        <f aca="false">IF($A211="","",INDEX(Tasks!$A:$A,$A211))</f>
        <v/>
      </c>
      <c r="C211" s="16" t="str">
        <f aca="false">IF($A211="","",IF(ISERROR(FIND(".",INDEX(Tasks!$A:$A,$A211))),"","   ")&amp;INDEX(Tasks!$D:$D,$A211))</f>
        <v/>
      </c>
      <c r="D211" s="16" t="str">
        <f aca="false">IF($A211="","",IF(OR(INDEX(Tasks!$G:$G,$A211)="",INDEX(Tasks!$G:$G,$A211)="TBD"),INDEX(Tasks!$F:$F,$A211),INDEX(Tasks!$G:$G,$A211)))</f>
        <v/>
      </c>
      <c r="E211" s="16" t="str">
        <f aca="false">IF($A211="","",IF(INDEX(Tasks!$H:$H,$A211)="","",INDEX(Tasks!$H:$H,$A211)))</f>
        <v/>
      </c>
      <c r="F211" s="17" t="str">
        <f aca="false">IF($A211="","",IF(INDEX(Tasks!$I:$I,$A211)="","",INDEX(Tasks!$I:$I,$A211)))</f>
        <v/>
      </c>
      <c r="G211" s="17" t="str">
        <f aca="false">IF($A211="","",IF(INDEX(Tasks!$K:$K,$A211)="","",INDEX(Tasks!$K:$K,$A211)))</f>
        <v/>
      </c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  <c r="AD211" s="18"/>
      <c r="AE211" s="18"/>
      <c r="AF211" s="18"/>
      <c r="AG211" s="18"/>
      <c r="AH211" s="18"/>
      <c r="AI211" s="18"/>
      <c r="AJ211" s="18"/>
      <c r="AK211" s="18"/>
      <c r="AL211" s="18"/>
      <c r="AM211" s="18"/>
      <c r="AN211" s="18"/>
      <c r="AO211" s="18"/>
      <c r="AP211" s="18"/>
      <c r="AQ211" s="18"/>
      <c r="AR211" s="18"/>
      <c r="AS211" s="18"/>
      <c r="AT211" s="18"/>
      <c r="AU211" s="18"/>
      <c r="AV211" s="18"/>
      <c r="AW211" s="18"/>
      <c r="AX211" s="18"/>
      <c r="AY211" s="18"/>
    </row>
    <row r="212" customFormat="false" ht="15" hidden="false" customHeight="false" outlineLevel="0" collapsed="false">
      <c r="A212" s="15" t="str">
        <f aca="false">IFERROR(MATCH(ROW()-11,Tasks!$R$4:$R$403,0)+3,"")</f>
        <v/>
      </c>
      <c r="B212" s="16" t="str">
        <f aca="false">IF($A212="","",INDEX(Tasks!$A:$A,$A212))</f>
        <v/>
      </c>
      <c r="C212" s="16" t="str">
        <f aca="false">IF($A212="","",IF(ISERROR(FIND(".",INDEX(Tasks!$A:$A,$A212))),"","   ")&amp;INDEX(Tasks!$D:$D,$A212))</f>
        <v/>
      </c>
      <c r="D212" s="16" t="str">
        <f aca="false">IF($A212="","",IF(OR(INDEX(Tasks!$G:$G,$A212)="",INDEX(Tasks!$G:$G,$A212)="TBD"),INDEX(Tasks!$F:$F,$A212),INDEX(Tasks!$G:$G,$A212)))</f>
        <v/>
      </c>
      <c r="E212" s="16" t="str">
        <f aca="false">IF($A212="","",IF(INDEX(Tasks!$H:$H,$A212)="","",INDEX(Tasks!$H:$H,$A212)))</f>
        <v/>
      </c>
      <c r="F212" s="17" t="str">
        <f aca="false">IF($A212="","",IF(INDEX(Tasks!$I:$I,$A212)="","",INDEX(Tasks!$I:$I,$A212)))</f>
        <v/>
      </c>
      <c r="G212" s="17" t="str">
        <f aca="false">IF($A212="","",IF(INDEX(Tasks!$K:$K,$A212)="","",INDEX(Tasks!$K:$K,$A212)))</f>
        <v/>
      </c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  <c r="AD212" s="18"/>
      <c r="AE212" s="18"/>
      <c r="AF212" s="18"/>
      <c r="AG212" s="18"/>
      <c r="AH212" s="18"/>
      <c r="AI212" s="18"/>
      <c r="AJ212" s="18"/>
      <c r="AK212" s="18"/>
      <c r="AL212" s="18"/>
      <c r="AM212" s="18"/>
      <c r="AN212" s="18"/>
      <c r="AO212" s="18"/>
      <c r="AP212" s="18"/>
      <c r="AQ212" s="18"/>
      <c r="AR212" s="18"/>
      <c r="AS212" s="18"/>
      <c r="AT212" s="18"/>
      <c r="AU212" s="18"/>
      <c r="AV212" s="18"/>
      <c r="AW212" s="18"/>
      <c r="AX212" s="18"/>
      <c r="AY212" s="18"/>
    </row>
    <row r="213" customFormat="false" ht="15" hidden="false" customHeight="false" outlineLevel="0" collapsed="false">
      <c r="A213" s="15" t="str">
        <f aca="false">IFERROR(MATCH(ROW()-11,Tasks!$R$4:$R$403,0)+3,"")</f>
        <v/>
      </c>
      <c r="B213" s="16" t="str">
        <f aca="false">IF($A213="","",INDEX(Tasks!$A:$A,$A213))</f>
        <v/>
      </c>
      <c r="C213" s="16" t="str">
        <f aca="false">IF($A213="","",IF(ISERROR(FIND(".",INDEX(Tasks!$A:$A,$A213))),"","   ")&amp;INDEX(Tasks!$D:$D,$A213))</f>
        <v/>
      </c>
      <c r="D213" s="16" t="str">
        <f aca="false">IF($A213="","",IF(OR(INDEX(Tasks!$G:$G,$A213)="",INDEX(Tasks!$G:$G,$A213)="TBD"),INDEX(Tasks!$F:$F,$A213),INDEX(Tasks!$G:$G,$A213)))</f>
        <v/>
      </c>
      <c r="E213" s="16" t="str">
        <f aca="false">IF($A213="","",IF(INDEX(Tasks!$H:$H,$A213)="","",INDEX(Tasks!$H:$H,$A213)))</f>
        <v/>
      </c>
      <c r="F213" s="17" t="str">
        <f aca="false">IF($A213="","",IF(INDEX(Tasks!$I:$I,$A213)="","",INDEX(Tasks!$I:$I,$A213)))</f>
        <v/>
      </c>
      <c r="G213" s="17" t="str">
        <f aca="false">IF($A213="","",IF(INDEX(Tasks!$K:$K,$A213)="","",INDEX(Tasks!$K:$K,$A213)))</f>
        <v/>
      </c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  <c r="AD213" s="18"/>
      <c r="AE213" s="18"/>
      <c r="AF213" s="18"/>
      <c r="AG213" s="18"/>
      <c r="AH213" s="18"/>
      <c r="AI213" s="18"/>
      <c r="AJ213" s="18"/>
      <c r="AK213" s="18"/>
      <c r="AL213" s="18"/>
      <c r="AM213" s="18"/>
      <c r="AN213" s="18"/>
      <c r="AO213" s="18"/>
      <c r="AP213" s="18"/>
      <c r="AQ213" s="18"/>
      <c r="AR213" s="18"/>
      <c r="AS213" s="18"/>
      <c r="AT213" s="18"/>
      <c r="AU213" s="18"/>
      <c r="AV213" s="18"/>
      <c r="AW213" s="18"/>
      <c r="AX213" s="18"/>
      <c r="AY213" s="18"/>
    </row>
    <row r="214" customFormat="false" ht="15" hidden="false" customHeight="false" outlineLevel="0" collapsed="false">
      <c r="A214" s="15" t="str">
        <f aca="false">IFERROR(MATCH(ROW()-11,Tasks!$R$4:$R$403,0)+3,"")</f>
        <v/>
      </c>
      <c r="B214" s="16" t="str">
        <f aca="false">IF($A214="","",INDEX(Tasks!$A:$A,$A214))</f>
        <v/>
      </c>
      <c r="C214" s="16" t="str">
        <f aca="false">IF($A214="","",IF(ISERROR(FIND(".",INDEX(Tasks!$A:$A,$A214))),"","   ")&amp;INDEX(Tasks!$D:$D,$A214))</f>
        <v/>
      </c>
      <c r="D214" s="16" t="str">
        <f aca="false">IF($A214="","",IF(OR(INDEX(Tasks!$G:$G,$A214)="",INDEX(Tasks!$G:$G,$A214)="TBD"),INDEX(Tasks!$F:$F,$A214),INDEX(Tasks!$G:$G,$A214)))</f>
        <v/>
      </c>
      <c r="E214" s="16" t="str">
        <f aca="false">IF($A214="","",IF(INDEX(Tasks!$H:$H,$A214)="","",INDEX(Tasks!$H:$H,$A214)))</f>
        <v/>
      </c>
      <c r="F214" s="17" t="str">
        <f aca="false">IF($A214="","",IF(INDEX(Tasks!$I:$I,$A214)="","",INDEX(Tasks!$I:$I,$A214)))</f>
        <v/>
      </c>
      <c r="G214" s="17" t="str">
        <f aca="false">IF($A214="","",IF(INDEX(Tasks!$K:$K,$A214)="","",INDEX(Tasks!$K:$K,$A214)))</f>
        <v/>
      </c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  <c r="AD214" s="18"/>
      <c r="AE214" s="18"/>
      <c r="AF214" s="18"/>
      <c r="AG214" s="18"/>
      <c r="AH214" s="18"/>
      <c r="AI214" s="18"/>
      <c r="AJ214" s="18"/>
      <c r="AK214" s="18"/>
      <c r="AL214" s="18"/>
      <c r="AM214" s="18"/>
      <c r="AN214" s="18"/>
      <c r="AO214" s="18"/>
      <c r="AP214" s="18"/>
      <c r="AQ214" s="18"/>
      <c r="AR214" s="18"/>
      <c r="AS214" s="18"/>
      <c r="AT214" s="18"/>
      <c r="AU214" s="18"/>
      <c r="AV214" s="18"/>
      <c r="AW214" s="18"/>
      <c r="AX214" s="18"/>
      <c r="AY214" s="18"/>
    </row>
    <row r="215" customFormat="false" ht="15" hidden="false" customHeight="false" outlineLevel="0" collapsed="false">
      <c r="A215" s="15" t="str">
        <f aca="false">IFERROR(MATCH(ROW()-11,Tasks!$R$4:$R$403,0)+3,"")</f>
        <v/>
      </c>
      <c r="B215" s="16" t="str">
        <f aca="false">IF($A215="","",INDEX(Tasks!$A:$A,$A215))</f>
        <v/>
      </c>
      <c r="C215" s="16" t="str">
        <f aca="false">IF($A215="","",IF(ISERROR(FIND(".",INDEX(Tasks!$A:$A,$A215))),"","   ")&amp;INDEX(Tasks!$D:$D,$A215))</f>
        <v/>
      </c>
      <c r="D215" s="16" t="str">
        <f aca="false">IF($A215="","",IF(OR(INDEX(Tasks!$G:$G,$A215)="",INDEX(Tasks!$G:$G,$A215)="TBD"),INDEX(Tasks!$F:$F,$A215),INDEX(Tasks!$G:$G,$A215)))</f>
        <v/>
      </c>
      <c r="E215" s="16" t="str">
        <f aca="false">IF($A215="","",IF(INDEX(Tasks!$H:$H,$A215)="","",INDEX(Tasks!$H:$H,$A215)))</f>
        <v/>
      </c>
      <c r="F215" s="17" t="str">
        <f aca="false">IF($A215="","",IF(INDEX(Tasks!$I:$I,$A215)="","",INDEX(Tasks!$I:$I,$A215)))</f>
        <v/>
      </c>
      <c r="G215" s="17" t="str">
        <f aca="false">IF($A215="","",IF(INDEX(Tasks!$K:$K,$A215)="","",INDEX(Tasks!$K:$K,$A215)))</f>
        <v/>
      </c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  <c r="AD215" s="18"/>
      <c r="AE215" s="18"/>
      <c r="AF215" s="18"/>
      <c r="AG215" s="18"/>
      <c r="AH215" s="18"/>
      <c r="AI215" s="18"/>
      <c r="AJ215" s="18"/>
      <c r="AK215" s="18"/>
      <c r="AL215" s="18"/>
      <c r="AM215" s="18"/>
      <c r="AN215" s="18"/>
      <c r="AO215" s="18"/>
      <c r="AP215" s="18"/>
      <c r="AQ215" s="18"/>
      <c r="AR215" s="18"/>
      <c r="AS215" s="18"/>
      <c r="AT215" s="18"/>
      <c r="AU215" s="18"/>
      <c r="AV215" s="18"/>
      <c r="AW215" s="18"/>
      <c r="AX215" s="18"/>
      <c r="AY215" s="18"/>
    </row>
    <row r="216" customFormat="false" ht="15" hidden="false" customHeight="false" outlineLevel="0" collapsed="false">
      <c r="A216" s="15" t="str">
        <f aca="false">IFERROR(MATCH(ROW()-11,Tasks!$R$4:$R$403,0)+3,"")</f>
        <v/>
      </c>
      <c r="B216" s="16" t="str">
        <f aca="false">IF($A216="","",INDEX(Tasks!$A:$A,$A216))</f>
        <v/>
      </c>
      <c r="C216" s="16" t="str">
        <f aca="false">IF($A216="","",IF(ISERROR(FIND(".",INDEX(Tasks!$A:$A,$A216))),"","   ")&amp;INDEX(Tasks!$D:$D,$A216))</f>
        <v/>
      </c>
      <c r="D216" s="16" t="str">
        <f aca="false">IF($A216="","",IF(OR(INDEX(Tasks!$G:$G,$A216)="",INDEX(Tasks!$G:$G,$A216)="TBD"),INDEX(Tasks!$F:$F,$A216),INDEX(Tasks!$G:$G,$A216)))</f>
        <v/>
      </c>
      <c r="E216" s="16" t="str">
        <f aca="false">IF($A216="","",IF(INDEX(Tasks!$H:$H,$A216)="","",INDEX(Tasks!$H:$H,$A216)))</f>
        <v/>
      </c>
      <c r="F216" s="17" t="str">
        <f aca="false">IF($A216="","",IF(INDEX(Tasks!$I:$I,$A216)="","",INDEX(Tasks!$I:$I,$A216)))</f>
        <v/>
      </c>
      <c r="G216" s="17" t="str">
        <f aca="false">IF($A216="","",IF(INDEX(Tasks!$K:$K,$A216)="","",INDEX(Tasks!$K:$K,$A216)))</f>
        <v/>
      </c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  <c r="AD216" s="18"/>
      <c r="AE216" s="18"/>
      <c r="AF216" s="18"/>
      <c r="AG216" s="18"/>
      <c r="AH216" s="18"/>
      <c r="AI216" s="18"/>
      <c r="AJ216" s="18"/>
      <c r="AK216" s="18"/>
      <c r="AL216" s="18"/>
      <c r="AM216" s="18"/>
      <c r="AN216" s="18"/>
      <c r="AO216" s="18"/>
      <c r="AP216" s="18"/>
      <c r="AQ216" s="18"/>
      <c r="AR216" s="18"/>
      <c r="AS216" s="18"/>
      <c r="AT216" s="18"/>
      <c r="AU216" s="18"/>
      <c r="AV216" s="18"/>
      <c r="AW216" s="18"/>
      <c r="AX216" s="18"/>
      <c r="AY216" s="18"/>
    </row>
    <row r="217" customFormat="false" ht="15" hidden="false" customHeight="false" outlineLevel="0" collapsed="false">
      <c r="A217" s="15" t="str">
        <f aca="false">IFERROR(MATCH(ROW()-11,Tasks!$R$4:$R$403,0)+3,"")</f>
        <v/>
      </c>
      <c r="B217" s="16" t="str">
        <f aca="false">IF($A217="","",INDEX(Tasks!$A:$A,$A217))</f>
        <v/>
      </c>
      <c r="C217" s="16" t="str">
        <f aca="false">IF($A217="","",IF(ISERROR(FIND(".",INDEX(Tasks!$A:$A,$A217))),"","   ")&amp;INDEX(Tasks!$D:$D,$A217))</f>
        <v/>
      </c>
      <c r="D217" s="16" t="str">
        <f aca="false">IF($A217="","",IF(OR(INDEX(Tasks!$G:$G,$A217)="",INDEX(Tasks!$G:$G,$A217)="TBD"),INDEX(Tasks!$F:$F,$A217),INDEX(Tasks!$G:$G,$A217)))</f>
        <v/>
      </c>
      <c r="E217" s="16" t="str">
        <f aca="false">IF($A217="","",IF(INDEX(Tasks!$H:$H,$A217)="","",INDEX(Tasks!$H:$H,$A217)))</f>
        <v/>
      </c>
      <c r="F217" s="17" t="str">
        <f aca="false">IF($A217="","",IF(INDEX(Tasks!$I:$I,$A217)="","",INDEX(Tasks!$I:$I,$A217)))</f>
        <v/>
      </c>
      <c r="G217" s="17" t="str">
        <f aca="false">IF($A217="","",IF(INDEX(Tasks!$K:$K,$A217)="","",INDEX(Tasks!$K:$K,$A217)))</f>
        <v/>
      </c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  <c r="AD217" s="18"/>
      <c r="AE217" s="18"/>
      <c r="AF217" s="18"/>
      <c r="AG217" s="18"/>
      <c r="AH217" s="18"/>
      <c r="AI217" s="18"/>
      <c r="AJ217" s="18"/>
      <c r="AK217" s="18"/>
      <c r="AL217" s="18"/>
      <c r="AM217" s="18"/>
      <c r="AN217" s="18"/>
      <c r="AO217" s="18"/>
      <c r="AP217" s="18"/>
      <c r="AQ217" s="18"/>
      <c r="AR217" s="18"/>
      <c r="AS217" s="18"/>
      <c r="AT217" s="18"/>
      <c r="AU217" s="18"/>
      <c r="AV217" s="18"/>
      <c r="AW217" s="18"/>
      <c r="AX217" s="18"/>
      <c r="AY217" s="18"/>
    </row>
    <row r="218" customFormat="false" ht="15" hidden="false" customHeight="false" outlineLevel="0" collapsed="false">
      <c r="A218" s="15" t="str">
        <f aca="false">IFERROR(MATCH(ROW()-11,Tasks!$R$4:$R$403,0)+3,"")</f>
        <v/>
      </c>
      <c r="B218" s="16" t="str">
        <f aca="false">IF($A218="","",INDEX(Tasks!$A:$A,$A218))</f>
        <v/>
      </c>
      <c r="C218" s="16" t="str">
        <f aca="false">IF($A218="","",IF(ISERROR(FIND(".",INDEX(Tasks!$A:$A,$A218))),"","   ")&amp;INDEX(Tasks!$D:$D,$A218))</f>
        <v/>
      </c>
      <c r="D218" s="16" t="str">
        <f aca="false">IF($A218="","",IF(OR(INDEX(Tasks!$G:$G,$A218)="",INDEX(Tasks!$G:$G,$A218)="TBD"),INDEX(Tasks!$F:$F,$A218),INDEX(Tasks!$G:$G,$A218)))</f>
        <v/>
      </c>
      <c r="E218" s="16" t="str">
        <f aca="false">IF($A218="","",IF(INDEX(Tasks!$H:$H,$A218)="","",INDEX(Tasks!$H:$H,$A218)))</f>
        <v/>
      </c>
      <c r="F218" s="17" t="str">
        <f aca="false">IF($A218="","",IF(INDEX(Tasks!$I:$I,$A218)="","",INDEX(Tasks!$I:$I,$A218)))</f>
        <v/>
      </c>
      <c r="G218" s="17" t="str">
        <f aca="false">IF($A218="","",IF(INDEX(Tasks!$K:$K,$A218)="","",INDEX(Tasks!$K:$K,$A218)))</f>
        <v/>
      </c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  <c r="AD218" s="18"/>
      <c r="AE218" s="18"/>
      <c r="AF218" s="18"/>
      <c r="AG218" s="18"/>
      <c r="AH218" s="18"/>
      <c r="AI218" s="18"/>
      <c r="AJ218" s="18"/>
      <c r="AK218" s="18"/>
      <c r="AL218" s="18"/>
      <c r="AM218" s="18"/>
      <c r="AN218" s="18"/>
      <c r="AO218" s="18"/>
      <c r="AP218" s="18"/>
      <c r="AQ218" s="18"/>
      <c r="AR218" s="18"/>
      <c r="AS218" s="18"/>
      <c r="AT218" s="18"/>
      <c r="AU218" s="18"/>
      <c r="AV218" s="18"/>
      <c r="AW218" s="18"/>
      <c r="AX218" s="18"/>
      <c r="AY218" s="18"/>
    </row>
    <row r="219" customFormat="false" ht="15" hidden="false" customHeight="false" outlineLevel="0" collapsed="false">
      <c r="A219" s="15" t="str">
        <f aca="false">IFERROR(MATCH(ROW()-11,Tasks!$R$4:$R$403,0)+3,"")</f>
        <v/>
      </c>
      <c r="B219" s="16" t="str">
        <f aca="false">IF($A219="","",INDEX(Tasks!$A:$A,$A219))</f>
        <v/>
      </c>
      <c r="C219" s="16" t="str">
        <f aca="false">IF($A219="","",IF(ISERROR(FIND(".",INDEX(Tasks!$A:$A,$A219))),"","   ")&amp;INDEX(Tasks!$D:$D,$A219))</f>
        <v/>
      </c>
      <c r="D219" s="16" t="str">
        <f aca="false">IF($A219="","",IF(OR(INDEX(Tasks!$G:$G,$A219)="",INDEX(Tasks!$G:$G,$A219)="TBD"),INDEX(Tasks!$F:$F,$A219),INDEX(Tasks!$G:$G,$A219)))</f>
        <v/>
      </c>
      <c r="E219" s="16" t="str">
        <f aca="false">IF($A219="","",IF(INDEX(Tasks!$H:$H,$A219)="","",INDEX(Tasks!$H:$H,$A219)))</f>
        <v/>
      </c>
      <c r="F219" s="17" t="str">
        <f aca="false">IF($A219="","",IF(INDEX(Tasks!$I:$I,$A219)="","",INDEX(Tasks!$I:$I,$A219)))</f>
        <v/>
      </c>
      <c r="G219" s="17" t="str">
        <f aca="false">IF($A219="","",IF(INDEX(Tasks!$K:$K,$A219)="","",INDEX(Tasks!$K:$K,$A219)))</f>
        <v/>
      </c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  <c r="AD219" s="18"/>
      <c r="AE219" s="18"/>
      <c r="AF219" s="18"/>
      <c r="AG219" s="18"/>
      <c r="AH219" s="18"/>
      <c r="AI219" s="18"/>
      <c r="AJ219" s="18"/>
      <c r="AK219" s="18"/>
      <c r="AL219" s="18"/>
      <c r="AM219" s="18"/>
      <c r="AN219" s="18"/>
      <c r="AO219" s="18"/>
      <c r="AP219" s="18"/>
      <c r="AQ219" s="18"/>
      <c r="AR219" s="18"/>
      <c r="AS219" s="18"/>
      <c r="AT219" s="18"/>
      <c r="AU219" s="18"/>
      <c r="AV219" s="18"/>
      <c r="AW219" s="18"/>
      <c r="AX219" s="18"/>
      <c r="AY219" s="18"/>
    </row>
    <row r="220" customFormat="false" ht="15" hidden="false" customHeight="false" outlineLevel="0" collapsed="false">
      <c r="A220" s="15" t="str">
        <f aca="false">IFERROR(MATCH(ROW()-11,Tasks!$R$4:$R$403,0)+3,"")</f>
        <v/>
      </c>
      <c r="B220" s="16" t="str">
        <f aca="false">IF($A220="","",INDEX(Tasks!$A:$A,$A220))</f>
        <v/>
      </c>
      <c r="C220" s="16" t="str">
        <f aca="false">IF($A220="","",IF(ISERROR(FIND(".",INDEX(Tasks!$A:$A,$A220))),"","   ")&amp;INDEX(Tasks!$D:$D,$A220))</f>
        <v/>
      </c>
      <c r="D220" s="16" t="str">
        <f aca="false">IF($A220="","",IF(OR(INDEX(Tasks!$G:$G,$A220)="",INDEX(Tasks!$G:$G,$A220)="TBD"),INDEX(Tasks!$F:$F,$A220),INDEX(Tasks!$G:$G,$A220)))</f>
        <v/>
      </c>
      <c r="E220" s="16" t="str">
        <f aca="false">IF($A220="","",IF(INDEX(Tasks!$H:$H,$A220)="","",INDEX(Tasks!$H:$H,$A220)))</f>
        <v/>
      </c>
      <c r="F220" s="17" t="str">
        <f aca="false">IF($A220="","",IF(INDEX(Tasks!$I:$I,$A220)="","",INDEX(Tasks!$I:$I,$A220)))</f>
        <v/>
      </c>
      <c r="G220" s="17" t="str">
        <f aca="false">IF($A220="","",IF(INDEX(Tasks!$K:$K,$A220)="","",INDEX(Tasks!$K:$K,$A220)))</f>
        <v/>
      </c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  <c r="AD220" s="18"/>
      <c r="AE220" s="18"/>
      <c r="AF220" s="18"/>
      <c r="AG220" s="18"/>
      <c r="AH220" s="18"/>
      <c r="AI220" s="18"/>
      <c r="AJ220" s="18"/>
      <c r="AK220" s="18"/>
      <c r="AL220" s="18"/>
      <c r="AM220" s="18"/>
      <c r="AN220" s="18"/>
      <c r="AO220" s="18"/>
      <c r="AP220" s="18"/>
      <c r="AQ220" s="18"/>
      <c r="AR220" s="18"/>
      <c r="AS220" s="18"/>
      <c r="AT220" s="18"/>
      <c r="AU220" s="18"/>
      <c r="AV220" s="18"/>
      <c r="AW220" s="18"/>
      <c r="AX220" s="18"/>
      <c r="AY220" s="18"/>
    </row>
    <row r="221" customFormat="false" ht="15" hidden="false" customHeight="false" outlineLevel="0" collapsed="false">
      <c r="A221" s="15" t="str">
        <f aca="false">IFERROR(MATCH(ROW()-11,Tasks!$R$4:$R$403,0)+3,"")</f>
        <v/>
      </c>
      <c r="B221" s="16" t="str">
        <f aca="false">IF($A221="","",INDEX(Tasks!$A:$A,$A221))</f>
        <v/>
      </c>
      <c r="C221" s="16" t="str">
        <f aca="false">IF($A221="","",IF(ISERROR(FIND(".",INDEX(Tasks!$A:$A,$A221))),"","   ")&amp;INDEX(Tasks!$D:$D,$A221))</f>
        <v/>
      </c>
      <c r="D221" s="16" t="str">
        <f aca="false">IF($A221="","",IF(OR(INDEX(Tasks!$G:$G,$A221)="",INDEX(Tasks!$G:$G,$A221)="TBD"),INDEX(Tasks!$F:$F,$A221),INDEX(Tasks!$G:$G,$A221)))</f>
        <v/>
      </c>
      <c r="E221" s="16" t="str">
        <f aca="false">IF($A221="","",IF(INDEX(Tasks!$H:$H,$A221)="","",INDEX(Tasks!$H:$H,$A221)))</f>
        <v/>
      </c>
      <c r="F221" s="17" t="str">
        <f aca="false">IF($A221="","",IF(INDEX(Tasks!$I:$I,$A221)="","",INDEX(Tasks!$I:$I,$A221)))</f>
        <v/>
      </c>
      <c r="G221" s="17" t="str">
        <f aca="false">IF($A221="","",IF(INDEX(Tasks!$K:$K,$A221)="","",INDEX(Tasks!$K:$K,$A221)))</f>
        <v/>
      </c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J221" s="18"/>
      <c r="AK221" s="18"/>
      <c r="AL221" s="18"/>
      <c r="AM221" s="18"/>
      <c r="AN221" s="18"/>
      <c r="AO221" s="18"/>
      <c r="AP221" s="18"/>
      <c r="AQ221" s="18"/>
      <c r="AR221" s="18"/>
      <c r="AS221" s="18"/>
      <c r="AT221" s="18"/>
      <c r="AU221" s="18"/>
      <c r="AV221" s="18"/>
      <c r="AW221" s="18"/>
      <c r="AX221" s="18"/>
      <c r="AY221" s="18"/>
    </row>
    <row r="222" customFormat="false" ht="15" hidden="false" customHeight="false" outlineLevel="0" collapsed="false">
      <c r="A222" s="15" t="str">
        <f aca="false">IFERROR(MATCH(ROW()-11,Tasks!$R$4:$R$403,0)+3,"")</f>
        <v/>
      </c>
      <c r="B222" s="16" t="str">
        <f aca="false">IF($A222="","",INDEX(Tasks!$A:$A,$A222))</f>
        <v/>
      </c>
      <c r="C222" s="16" t="str">
        <f aca="false">IF($A222="","",IF(ISERROR(FIND(".",INDEX(Tasks!$A:$A,$A222))),"","   ")&amp;INDEX(Tasks!$D:$D,$A222))</f>
        <v/>
      </c>
      <c r="D222" s="16" t="str">
        <f aca="false">IF($A222="","",IF(OR(INDEX(Tasks!$G:$G,$A222)="",INDEX(Tasks!$G:$G,$A222)="TBD"),INDEX(Tasks!$F:$F,$A222),INDEX(Tasks!$G:$G,$A222)))</f>
        <v/>
      </c>
      <c r="E222" s="16" t="str">
        <f aca="false">IF($A222="","",IF(INDEX(Tasks!$H:$H,$A222)="","",INDEX(Tasks!$H:$H,$A222)))</f>
        <v/>
      </c>
      <c r="F222" s="17" t="str">
        <f aca="false">IF($A222="","",IF(INDEX(Tasks!$I:$I,$A222)="","",INDEX(Tasks!$I:$I,$A222)))</f>
        <v/>
      </c>
      <c r="G222" s="17" t="str">
        <f aca="false">IF($A222="","",IF(INDEX(Tasks!$K:$K,$A222)="","",INDEX(Tasks!$K:$K,$A222)))</f>
        <v/>
      </c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  <c r="AG222" s="18"/>
      <c r="AH222" s="18"/>
      <c r="AI222" s="18"/>
      <c r="AJ222" s="18"/>
      <c r="AK222" s="18"/>
      <c r="AL222" s="18"/>
      <c r="AM222" s="18"/>
      <c r="AN222" s="18"/>
      <c r="AO222" s="18"/>
      <c r="AP222" s="18"/>
      <c r="AQ222" s="18"/>
      <c r="AR222" s="18"/>
      <c r="AS222" s="18"/>
      <c r="AT222" s="18"/>
      <c r="AU222" s="18"/>
      <c r="AV222" s="18"/>
      <c r="AW222" s="18"/>
      <c r="AX222" s="18"/>
      <c r="AY222" s="18"/>
    </row>
    <row r="223" customFormat="false" ht="15" hidden="false" customHeight="false" outlineLevel="0" collapsed="false">
      <c r="A223" s="15" t="str">
        <f aca="false">IFERROR(MATCH(ROW()-11,Tasks!$R$4:$R$403,0)+3,"")</f>
        <v/>
      </c>
      <c r="B223" s="16" t="str">
        <f aca="false">IF($A223="","",INDEX(Tasks!$A:$A,$A223))</f>
        <v/>
      </c>
      <c r="C223" s="16" t="str">
        <f aca="false">IF($A223="","",IF(ISERROR(FIND(".",INDEX(Tasks!$A:$A,$A223))),"","   ")&amp;INDEX(Tasks!$D:$D,$A223))</f>
        <v/>
      </c>
      <c r="D223" s="16" t="str">
        <f aca="false">IF($A223="","",IF(OR(INDEX(Tasks!$G:$G,$A223)="",INDEX(Tasks!$G:$G,$A223)="TBD"),INDEX(Tasks!$F:$F,$A223),INDEX(Tasks!$G:$G,$A223)))</f>
        <v/>
      </c>
      <c r="E223" s="16" t="str">
        <f aca="false">IF($A223="","",IF(INDEX(Tasks!$H:$H,$A223)="","",INDEX(Tasks!$H:$H,$A223)))</f>
        <v/>
      </c>
      <c r="F223" s="17" t="str">
        <f aca="false">IF($A223="","",IF(INDEX(Tasks!$I:$I,$A223)="","",INDEX(Tasks!$I:$I,$A223)))</f>
        <v/>
      </c>
      <c r="G223" s="17" t="str">
        <f aca="false">IF($A223="","",IF(INDEX(Tasks!$K:$K,$A223)="","",INDEX(Tasks!$K:$K,$A223)))</f>
        <v/>
      </c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  <c r="AG223" s="18"/>
      <c r="AH223" s="18"/>
      <c r="AI223" s="18"/>
      <c r="AJ223" s="18"/>
      <c r="AK223" s="18"/>
      <c r="AL223" s="18"/>
      <c r="AM223" s="18"/>
      <c r="AN223" s="18"/>
      <c r="AO223" s="18"/>
      <c r="AP223" s="18"/>
      <c r="AQ223" s="18"/>
      <c r="AR223" s="18"/>
      <c r="AS223" s="18"/>
      <c r="AT223" s="18"/>
      <c r="AU223" s="18"/>
      <c r="AV223" s="18"/>
      <c r="AW223" s="18"/>
      <c r="AX223" s="18"/>
      <c r="AY223" s="18"/>
    </row>
    <row r="224" customFormat="false" ht="15" hidden="false" customHeight="false" outlineLevel="0" collapsed="false">
      <c r="A224" s="15" t="str">
        <f aca="false">IFERROR(MATCH(ROW()-11,Tasks!$R$4:$R$403,0)+3,"")</f>
        <v/>
      </c>
      <c r="B224" s="16" t="str">
        <f aca="false">IF($A224="","",INDEX(Tasks!$A:$A,$A224))</f>
        <v/>
      </c>
      <c r="C224" s="16" t="str">
        <f aca="false">IF($A224="","",IF(ISERROR(FIND(".",INDEX(Tasks!$A:$A,$A224))),"","   ")&amp;INDEX(Tasks!$D:$D,$A224))</f>
        <v/>
      </c>
      <c r="D224" s="16" t="str">
        <f aca="false">IF($A224="","",IF(OR(INDEX(Tasks!$G:$G,$A224)="",INDEX(Tasks!$G:$G,$A224)="TBD"),INDEX(Tasks!$F:$F,$A224),INDEX(Tasks!$G:$G,$A224)))</f>
        <v/>
      </c>
      <c r="E224" s="16" t="str">
        <f aca="false">IF($A224="","",IF(INDEX(Tasks!$H:$H,$A224)="","",INDEX(Tasks!$H:$H,$A224)))</f>
        <v/>
      </c>
      <c r="F224" s="17" t="str">
        <f aca="false">IF($A224="","",IF(INDEX(Tasks!$I:$I,$A224)="","",INDEX(Tasks!$I:$I,$A224)))</f>
        <v/>
      </c>
      <c r="G224" s="17" t="str">
        <f aca="false">IF($A224="","",IF(INDEX(Tasks!$K:$K,$A224)="","",INDEX(Tasks!$K:$K,$A224)))</f>
        <v/>
      </c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  <c r="AH224" s="18"/>
      <c r="AI224" s="18"/>
      <c r="AJ224" s="18"/>
      <c r="AK224" s="18"/>
      <c r="AL224" s="18"/>
      <c r="AM224" s="18"/>
      <c r="AN224" s="18"/>
      <c r="AO224" s="18"/>
      <c r="AP224" s="18"/>
      <c r="AQ224" s="18"/>
      <c r="AR224" s="18"/>
      <c r="AS224" s="18"/>
      <c r="AT224" s="18"/>
      <c r="AU224" s="18"/>
      <c r="AV224" s="18"/>
      <c r="AW224" s="18"/>
      <c r="AX224" s="18"/>
      <c r="AY224" s="18"/>
    </row>
    <row r="225" customFormat="false" ht="15" hidden="false" customHeight="false" outlineLevel="0" collapsed="false">
      <c r="A225" s="15" t="str">
        <f aca="false">IFERROR(MATCH(ROW()-11,Tasks!$R$4:$R$403,0)+3,"")</f>
        <v/>
      </c>
      <c r="B225" s="16" t="str">
        <f aca="false">IF($A225="","",INDEX(Tasks!$A:$A,$A225))</f>
        <v/>
      </c>
      <c r="C225" s="16" t="str">
        <f aca="false">IF($A225="","",IF(ISERROR(FIND(".",INDEX(Tasks!$A:$A,$A225))),"","   ")&amp;INDEX(Tasks!$D:$D,$A225))</f>
        <v/>
      </c>
      <c r="D225" s="16" t="str">
        <f aca="false">IF($A225="","",IF(OR(INDEX(Tasks!$G:$G,$A225)="",INDEX(Tasks!$G:$G,$A225)="TBD"),INDEX(Tasks!$F:$F,$A225),INDEX(Tasks!$G:$G,$A225)))</f>
        <v/>
      </c>
      <c r="E225" s="16" t="str">
        <f aca="false">IF($A225="","",IF(INDEX(Tasks!$H:$H,$A225)="","",INDEX(Tasks!$H:$H,$A225)))</f>
        <v/>
      </c>
      <c r="F225" s="17" t="str">
        <f aca="false">IF($A225="","",IF(INDEX(Tasks!$I:$I,$A225)="","",INDEX(Tasks!$I:$I,$A225)))</f>
        <v/>
      </c>
      <c r="G225" s="17" t="str">
        <f aca="false">IF($A225="","",IF(INDEX(Tasks!$K:$K,$A225)="","",INDEX(Tasks!$K:$K,$A225)))</f>
        <v/>
      </c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  <c r="AG225" s="18"/>
      <c r="AH225" s="18"/>
      <c r="AI225" s="18"/>
      <c r="AJ225" s="18"/>
      <c r="AK225" s="18"/>
      <c r="AL225" s="18"/>
      <c r="AM225" s="18"/>
      <c r="AN225" s="18"/>
      <c r="AO225" s="18"/>
      <c r="AP225" s="18"/>
      <c r="AQ225" s="18"/>
      <c r="AR225" s="18"/>
      <c r="AS225" s="18"/>
      <c r="AT225" s="18"/>
      <c r="AU225" s="18"/>
      <c r="AV225" s="18"/>
      <c r="AW225" s="18"/>
      <c r="AX225" s="18"/>
      <c r="AY225" s="18"/>
    </row>
    <row r="226" customFormat="false" ht="15" hidden="false" customHeight="false" outlineLevel="0" collapsed="false">
      <c r="A226" s="15" t="str">
        <f aca="false">IFERROR(MATCH(ROW()-11,Tasks!$R$4:$R$403,0)+3,"")</f>
        <v/>
      </c>
      <c r="B226" s="16" t="str">
        <f aca="false">IF($A226="","",INDEX(Tasks!$A:$A,$A226))</f>
        <v/>
      </c>
      <c r="C226" s="16" t="str">
        <f aca="false">IF($A226="","",IF(ISERROR(FIND(".",INDEX(Tasks!$A:$A,$A226))),"","   ")&amp;INDEX(Tasks!$D:$D,$A226))</f>
        <v/>
      </c>
      <c r="D226" s="16" t="str">
        <f aca="false">IF($A226="","",IF(OR(INDEX(Tasks!$G:$G,$A226)="",INDEX(Tasks!$G:$G,$A226)="TBD"),INDEX(Tasks!$F:$F,$A226),INDEX(Tasks!$G:$G,$A226)))</f>
        <v/>
      </c>
      <c r="E226" s="16" t="str">
        <f aca="false">IF($A226="","",IF(INDEX(Tasks!$H:$H,$A226)="","",INDEX(Tasks!$H:$H,$A226)))</f>
        <v/>
      </c>
      <c r="F226" s="17" t="str">
        <f aca="false">IF($A226="","",IF(INDEX(Tasks!$I:$I,$A226)="","",INDEX(Tasks!$I:$I,$A226)))</f>
        <v/>
      </c>
      <c r="G226" s="17" t="str">
        <f aca="false">IF($A226="","",IF(INDEX(Tasks!$K:$K,$A226)="","",INDEX(Tasks!$K:$K,$A226)))</f>
        <v/>
      </c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  <c r="AG226" s="18"/>
      <c r="AH226" s="18"/>
      <c r="AI226" s="18"/>
      <c r="AJ226" s="18"/>
      <c r="AK226" s="18"/>
      <c r="AL226" s="18"/>
      <c r="AM226" s="18"/>
      <c r="AN226" s="18"/>
      <c r="AO226" s="18"/>
      <c r="AP226" s="18"/>
      <c r="AQ226" s="18"/>
      <c r="AR226" s="18"/>
      <c r="AS226" s="18"/>
      <c r="AT226" s="18"/>
      <c r="AU226" s="18"/>
      <c r="AV226" s="18"/>
      <c r="AW226" s="18"/>
      <c r="AX226" s="18"/>
      <c r="AY226" s="18"/>
    </row>
    <row r="227" customFormat="false" ht="15" hidden="false" customHeight="false" outlineLevel="0" collapsed="false">
      <c r="A227" s="15" t="str">
        <f aca="false">IFERROR(MATCH(ROW()-11,Tasks!$R$4:$R$403,0)+3,"")</f>
        <v/>
      </c>
      <c r="B227" s="16" t="str">
        <f aca="false">IF($A227="","",INDEX(Tasks!$A:$A,$A227))</f>
        <v/>
      </c>
      <c r="C227" s="16" t="str">
        <f aca="false">IF($A227="","",IF(ISERROR(FIND(".",INDEX(Tasks!$A:$A,$A227))),"","   ")&amp;INDEX(Tasks!$D:$D,$A227))</f>
        <v/>
      </c>
      <c r="D227" s="16" t="str">
        <f aca="false">IF($A227="","",IF(OR(INDEX(Tasks!$G:$G,$A227)="",INDEX(Tasks!$G:$G,$A227)="TBD"),INDEX(Tasks!$F:$F,$A227),INDEX(Tasks!$G:$G,$A227)))</f>
        <v/>
      </c>
      <c r="E227" s="16" t="str">
        <f aca="false">IF($A227="","",IF(INDEX(Tasks!$H:$H,$A227)="","",INDEX(Tasks!$H:$H,$A227)))</f>
        <v/>
      </c>
      <c r="F227" s="17" t="str">
        <f aca="false">IF($A227="","",IF(INDEX(Tasks!$I:$I,$A227)="","",INDEX(Tasks!$I:$I,$A227)))</f>
        <v/>
      </c>
      <c r="G227" s="17" t="str">
        <f aca="false">IF($A227="","",IF(INDEX(Tasks!$K:$K,$A227)="","",INDEX(Tasks!$K:$K,$A227)))</f>
        <v/>
      </c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  <c r="AG227" s="18"/>
      <c r="AH227" s="18"/>
      <c r="AI227" s="18"/>
      <c r="AJ227" s="18"/>
      <c r="AK227" s="18"/>
      <c r="AL227" s="18"/>
      <c r="AM227" s="18"/>
      <c r="AN227" s="18"/>
      <c r="AO227" s="18"/>
      <c r="AP227" s="18"/>
      <c r="AQ227" s="18"/>
      <c r="AR227" s="18"/>
      <c r="AS227" s="18"/>
      <c r="AT227" s="18"/>
      <c r="AU227" s="18"/>
      <c r="AV227" s="18"/>
      <c r="AW227" s="18"/>
      <c r="AX227" s="18"/>
      <c r="AY227" s="18"/>
    </row>
    <row r="228" customFormat="false" ht="15" hidden="false" customHeight="false" outlineLevel="0" collapsed="false">
      <c r="A228" s="15" t="str">
        <f aca="false">IFERROR(MATCH(ROW()-11,Tasks!$R$4:$R$403,0)+3,"")</f>
        <v/>
      </c>
      <c r="B228" s="16" t="str">
        <f aca="false">IF($A228="","",INDEX(Tasks!$A:$A,$A228))</f>
        <v/>
      </c>
      <c r="C228" s="16" t="str">
        <f aca="false">IF($A228="","",IF(ISERROR(FIND(".",INDEX(Tasks!$A:$A,$A228))),"","   ")&amp;INDEX(Tasks!$D:$D,$A228))</f>
        <v/>
      </c>
      <c r="D228" s="16" t="str">
        <f aca="false">IF($A228="","",IF(OR(INDEX(Tasks!$G:$G,$A228)="",INDEX(Tasks!$G:$G,$A228)="TBD"),INDEX(Tasks!$F:$F,$A228),INDEX(Tasks!$G:$G,$A228)))</f>
        <v/>
      </c>
      <c r="E228" s="16" t="str">
        <f aca="false">IF($A228="","",IF(INDEX(Tasks!$H:$H,$A228)="","",INDEX(Tasks!$H:$H,$A228)))</f>
        <v/>
      </c>
      <c r="F228" s="17" t="str">
        <f aca="false">IF($A228="","",IF(INDEX(Tasks!$I:$I,$A228)="","",INDEX(Tasks!$I:$I,$A228)))</f>
        <v/>
      </c>
      <c r="G228" s="17" t="str">
        <f aca="false">IF($A228="","",IF(INDEX(Tasks!$K:$K,$A228)="","",INDEX(Tasks!$K:$K,$A228)))</f>
        <v/>
      </c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  <c r="AG228" s="18"/>
      <c r="AH228" s="18"/>
      <c r="AI228" s="18"/>
      <c r="AJ228" s="18"/>
      <c r="AK228" s="18"/>
      <c r="AL228" s="18"/>
      <c r="AM228" s="18"/>
      <c r="AN228" s="18"/>
      <c r="AO228" s="18"/>
      <c r="AP228" s="18"/>
      <c r="AQ228" s="18"/>
      <c r="AR228" s="18"/>
      <c r="AS228" s="18"/>
      <c r="AT228" s="18"/>
      <c r="AU228" s="18"/>
      <c r="AV228" s="18"/>
      <c r="AW228" s="18"/>
      <c r="AX228" s="18"/>
      <c r="AY228" s="18"/>
    </row>
    <row r="229" customFormat="false" ht="15" hidden="false" customHeight="false" outlineLevel="0" collapsed="false">
      <c r="A229" s="15" t="str">
        <f aca="false">IFERROR(MATCH(ROW()-11,Tasks!$R$4:$R$403,0)+3,"")</f>
        <v/>
      </c>
      <c r="B229" s="16" t="str">
        <f aca="false">IF($A229="","",INDEX(Tasks!$A:$A,$A229))</f>
        <v/>
      </c>
      <c r="C229" s="16" t="str">
        <f aca="false">IF($A229="","",IF(ISERROR(FIND(".",INDEX(Tasks!$A:$A,$A229))),"","   ")&amp;INDEX(Tasks!$D:$D,$A229))</f>
        <v/>
      </c>
      <c r="D229" s="16" t="str">
        <f aca="false">IF($A229="","",IF(OR(INDEX(Tasks!$G:$G,$A229)="",INDEX(Tasks!$G:$G,$A229)="TBD"),INDEX(Tasks!$F:$F,$A229),INDEX(Tasks!$G:$G,$A229)))</f>
        <v/>
      </c>
      <c r="E229" s="16" t="str">
        <f aca="false">IF($A229="","",IF(INDEX(Tasks!$H:$H,$A229)="","",INDEX(Tasks!$H:$H,$A229)))</f>
        <v/>
      </c>
      <c r="F229" s="17" t="str">
        <f aca="false">IF($A229="","",IF(INDEX(Tasks!$I:$I,$A229)="","",INDEX(Tasks!$I:$I,$A229)))</f>
        <v/>
      </c>
      <c r="G229" s="17" t="str">
        <f aca="false">IF($A229="","",IF(INDEX(Tasks!$K:$K,$A229)="","",INDEX(Tasks!$K:$K,$A229)))</f>
        <v/>
      </c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  <c r="AG229" s="18"/>
      <c r="AH229" s="18"/>
      <c r="AI229" s="18"/>
      <c r="AJ229" s="18"/>
      <c r="AK229" s="18"/>
      <c r="AL229" s="18"/>
      <c r="AM229" s="18"/>
      <c r="AN229" s="18"/>
      <c r="AO229" s="18"/>
      <c r="AP229" s="18"/>
      <c r="AQ229" s="18"/>
      <c r="AR229" s="18"/>
      <c r="AS229" s="18"/>
      <c r="AT229" s="18"/>
      <c r="AU229" s="18"/>
      <c r="AV229" s="18"/>
      <c r="AW229" s="18"/>
      <c r="AX229" s="18"/>
      <c r="AY229" s="18"/>
    </row>
    <row r="230" customFormat="false" ht="15" hidden="false" customHeight="false" outlineLevel="0" collapsed="false">
      <c r="A230" s="15" t="str">
        <f aca="false">IFERROR(MATCH(ROW()-11,Tasks!$R$4:$R$403,0)+3,"")</f>
        <v/>
      </c>
      <c r="B230" s="16" t="str">
        <f aca="false">IF($A230="","",INDEX(Tasks!$A:$A,$A230))</f>
        <v/>
      </c>
      <c r="C230" s="16" t="str">
        <f aca="false">IF($A230="","",IF(ISERROR(FIND(".",INDEX(Tasks!$A:$A,$A230))),"","   ")&amp;INDEX(Tasks!$D:$D,$A230))</f>
        <v/>
      </c>
      <c r="D230" s="16" t="str">
        <f aca="false">IF($A230="","",IF(OR(INDEX(Tasks!$G:$G,$A230)="",INDEX(Tasks!$G:$G,$A230)="TBD"),INDEX(Tasks!$F:$F,$A230),INDEX(Tasks!$G:$G,$A230)))</f>
        <v/>
      </c>
      <c r="E230" s="16" t="str">
        <f aca="false">IF($A230="","",IF(INDEX(Tasks!$H:$H,$A230)="","",INDEX(Tasks!$H:$H,$A230)))</f>
        <v/>
      </c>
      <c r="F230" s="17" t="str">
        <f aca="false">IF($A230="","",IF(INDEX(Tasks!$I:$I,$A230)="","",INDEX(Tasks!$I:$I,$A230)))</f>
        <v/>
      </c>
      <c r="G230" s="17" t="str">
        <f aca="false">IF($A230="","",IF(INDEX(Tasks!$K:$K,$A230)="","",INDEX(Tasks!$K:$K,$A230)))</f>
        <v/>
      </c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  <c r="AG230" s="18"/>
      <c r="AH230" s="18"/>
      <c r="AI230" s="18"/>
      <c r="AJ230" s="18"/>
      <c r="AK230" s="18"/>
      <c r="AL230" s="18"/>
      <c r="AM230" s="18"/>
      <c r="AN230" s="18"/>
      <c r="AO230" s="18"/>
      <c r="AP230" s="18"/>
      <c r="AQ230" s="18"/>
      <c r="AR230" s="18"/>
      <c r="AS230" s="18"/>
      <c r="AT230" s="18"/>
      <c r="AU230" s="18"/>
      <c r="AV230" s="18"/>
      <c r="AW230" s="18"/>
      <c r="AX230" s="18"/>
      <c r="AY230" s="18"/>
    </row>
    <row r="231" customFormat="false" ht="15" hidden="false" customHeight="false" outlineLevel="0" collapsed="false">
      <c r="A231" s="15" t="str">
        <f aca="false">IFERROR(MATCH(ROW()-11,Tasks!$R$4:$R$403,0)+3,"")</f>
        <v/>
      </c>
      <c r="B231" s="16" t="str">
        <f aca="false">IF($A231="","",INDEX(Tasks!$A:$A,$A231))</f>
        <v/>
      </c>
      <c r="C231" s="16" t="str">
        <f aca="false">IF($A231="","",IF(ISERROR(FIND(".",INDEX(Tasks!$A:$A,$A231))),"","   ")&amp;INDEX(Tasks!$D:$D,$A231))</f>
        <v/>
      </c>
      <c r="D231" s="16" t="str">
        <f aca="false">IF($A231="","",IF(OR(INDEX(Tasks!$G:$G,$A231)="",INDEX(Tasks!$G:$G,$A231)="TBD"),INDEX(Tasks!$F:$F,$A231),INDEX(Tasks!$G:$G,$A231)))</f>
        <v/>
      </c>
      <c r="E231" s="16" t="str">
        <f aca="false">IF($A231="","",IF(INDEX(Tasks!$H:$H,$A231)="","",INDEX(Tasks!$H:$H,$A231)))</f>
        <v/>
      </c>
      <c r="F231" s="17" t="str">
        <f aca="false">IF($A231="","",IF(INDEX(Tasks!$I:$I,$A231)="","",INDEX(Tasks!$I:$I,$A231)))</f>
        <v/>
      </c>
      <c r="G231" s="17" t="str">
        <f aca="false">IF($A231="","",IF(INDEX(Tasks!$K:$K,$A231)="","",INDEX(Tasks!$K:$K,$A231)))</f>
        <v/>
      </c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  <c r="AG231" s="18"/>
      <c r="AH231" s="18"/>
      <c r="AI231" s="18"/>
      <c r="AJ231" s="18"/>
      <c r="AK231" s="18"/>
      <c r="AL231" s="18"/>
      <c r="AM231" s="18"/>
      <c r="AN231" s="18"/>
      <c r="AO231" s="18"/>
      <c r="AP231" s="18"/>
      <c r="AQ231" s="18"/>
      <c r="AR231" s="18"/>
      <c r="AS231" s="18"/>
      <c r="AT231" s="18"/>
      <c r="AU231" s="18"/>
      <c r="AV231" s="18"/>
      <c r="AW231" s="18"/>
      <c r="AX231" s="18"/>
      <c r="AY231" s="18"/>
    </row>
    <row r="232" customFormat="false" ht="15" hidden="false" customHeight="false" outlineLevel="0" collapsed="false">
      <c r="A232" s="15" t="str">
        <f aca="false">IFERROR(MATCH(ROW()-11,Tasks!$R$4:$R$403,0)+3,"")</f>
        <v/>
      </c>
      <c r="B232" s="16" t="str">
        <f aca="false">IF($A232="","",INDEX(Tasks!$A:$A,$A232))</f>
        <v/>
      </c>
      <c r="C232" s="16" t="str">
        <f aca="false">IF($A232="","",IF(ISERROR(FIND(".",INDEX(Tasks!$A:$A,$A232))),"","   ")&amp;INDEX(Tasks!$D:$D,$A232))</f>
        <v/>
      </c>
      <c r="D232" s="16" t="str">
        <f aca="false">IF($A232="","",IF(OR(INDEX(Tasks!$G:$G,$A232)="",INDEX(Tasks!$G:$G,$A232)="TBD"),INDEX(Tasks!$F:$F,$A232),INDEX(Tasks!$G:$G,$A232)))</f>
        <v/>
      </c>
      <c r="E232" s="16" t="str">
        <f aca="false">IF($A232="","",IF(INDEX(Tasks!$H:$H,$A232)="","",INDEX(Tasks!$H:$H,$A232)))</f>
        <v/>
      </c>
      <c r="F232" s="17" t="str">
        <f aca="false">IF($A232="","",IF(INDEX(Tasks!$I:$I,$A232)="","",INDEX(Tasks!$I:$I,$A232)))</f>
        <v/>
      </c>
      <c r="G232" s="17" t="str">
        <f aca="false">IF($A232="","",IF(INDEX(Tasks!$K:$K,$A232)="","",INDEX(Tasks!$K:$K,$A232)))</f>
        <v/>
      </c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  <c r="AG232" s="18"/>
      <c r="AH232" s="18"/>
      <c r="AI232" s="18"/>
      <c r="AJ232" s="18"/>
      <c r="AK232" s="18"/>
      <c r="AL232" s="18"/>
      <c r="AM232" s="18"/>
      <c r="AN232" s="18"/>
      <c r="AO232" s="18"/>
      <c r="AP232" s="18"/>
      <c r="AQ232" s="18"/>
      <c r="AR232" s="18"/>
      <c r="AS232" s="18"/>
      <c r="AT232" s="18"/>
      <c r="AU232" s="18"/>
      <c r="AV232" s="18"/>
      <c r="AW232" s="18"/>
      <c r="AX232" s="18"/>
      <c r="AY232" s="18"/>
    </row>
    <row r="233" customFormat="false" ht="15" hidden="false" customHeight="false" outlineLevel="0" collapsed="false">
      <c r="A233" s="15" t="str">
        <f aca="false">IFERROR(MATCH(ROW()-11,Tasks!$R$4:$R$403,0)+3,"")</f>
        <v/>
      </c>
      <c r="B233" s="16" t="str">
        <f aca="false">IF($A233="","",INDEX(Tasks!$A:$A,$A233))</f>
        <v/>
      </c>
      <c r="C233" s="16" t="str">
        <f aca="false">IF($A233="","",IF(ISERROR(FIND(".",INDEX(Tasks!$A:$A,$A233))),"","   ")&amp;INDEX(Tasks!$D:$D,$A233))</f>
        <v/>
      </c>
      <c r="D233" s="16" t="str">
        <f aca="false">IF($A233="","",IF(OR(INDEX(Tasks!$G:$G,$A233)="",INDEX(Tasks!$G:$G,$A233)="TBD"),INDEX(Tasks!$F:$F,$A233),INDEX(Tasks!$G:$G,$A233)))</f>
        <v/>
      </c>
      <c r="E233" s="16" t="str">
        <f aca="false">IF($A233="","",IF(INDEX(Tasks!$H:$H,$A233)="","",INDEX(Tasks!$H:$H,$A233)))</f>
        <v/>
      </c>
      <c r="F233" s="17" t="str">
        <f aca="false">IF($A233="","",IF(INDEX(Tasks!$I:$I,$A233)="","",INDEX(Tasks!$I:$I,$A233)))</f>
        <v/>
      </c>
      <c r="G233" s="17" t="str">
        <f aca="false">IF($A233="","",IF(INDEX(Tasks!$K:$K,$A233)="","",INDEX(Tasks!$K:$K,$A233)))</f>
        <v/>
      </c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  <c r="AG233" s="18"/>
      <c r="AH233" s="18"/>
      <c r="AI233" s="18"/>
      <c r="AJ233" s="18"/>
      <c r="AK233" s="18"/>
      <c r="AL233" s="18"/>
      <c r="AM233" s="18"/>
      <c r="AN233" s="18"/>
      <c r="AO233" s="18"/>
      <c r="AP233" s="18"/>
      <c r="AQ233" s="18"/>
      <c r="AR233" s="18"/>
      <c r="AS233" s="18"/>
      <c r="AT233" s="18"/>
      <c r="AU233" s="18"/>
      <c r="AV233" s="18"/>
      <c r="AW233" s="18"/>
      <c r="AX233" s="18"/>
      <c r="AY233" s="18"/>
    </row>
    <row r="234" customFormat="false" ht="15" hidden="false" customHeight="false" outlineLevel="0" collapsed="false">
      <c r="A234" s="15" t="str">
        <f aca="false">IFERROR(MATCH(ROW()-11,Tasks!$R$4:$R$403,0)+3,"")</f>
        <v/>
      </c>
      <c r="B234" s="16" t="str">
        <f aca="false">IF($A234="","",INDEX(Tasks!$A:$A,$A234))</f>
        <v/>
      </c>
      <c r="C234" s="16" t="str">
        <f aca="false">IF($A234="","",IF(ISERROR(FIND(".",INDEX(Tasks!$A:$A,$A234))),"","   ")&amp;INDEX(Tasks!$D:$D,$A234))</f>
        <v/>
      </c>
      <c r="D234" s="16" t="str">
        <f aca="false">IF($A234="","",IF(OR(INDEX(Tasks!$G:$G,$A234)="",INDEX(Tasks!$G:$G,$A234)="TBD"),INDEX(Tasks!$F:$F,$A234),INDEX(Tasks!$G:$G,$A234)))</f>
        <v/>
      </c>
      <c r="E234" s="16" t="str">
        <f aca="false">IF($A234="","",IF(INDEX(Tasks!$H:$H,$A234)="","",INDEX(Tasks!$H:$H,$A234)))</f>
        <v/>
      </c>
      <c r="F234" s="17" t="str">
        <f aca="false">IF($A234="","",IF(INDEX(Tasks!$I:$I,$A234)="","",INDEX(Tasks!$I:$I,$A234)))</f>
        <v/>
      </c>
      <c r="G234" s="17" t="str">
        <f aca="false">IF($A234="","",IF(INDEX(Tasks!$K:$K,$A234)="","",INDEX(Tasks!$K:$K,$A234)))</f>
        <v/>
      </c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  <c r="AG234" s="18"/>
      <c r="AH234" s="18"/>
      <c r="AI234" s="18"/>
      <c r="AJ234" s="18"/>
      <c r="AK234" s="18"/>
      <c r="AL234" s="18"/>
      <c r="AM234" s="18"/>
      <c r="AN234" s="18"/>
      <c r="AO234" s="18"/>
      <c r="AP234" s="18"/>
      <c r="AQ234" s="18"/>
      <c r="AR234" s="18"/>
      <c r="AS234" s="18"/>
      <c r="AT234" s="18"/>
      <c r="AU234" s="18"/>
      <c r="AV234" s="18"/>
      <c r="AW234" s="18"/>
      <c r="AX234" s="18"/>
      <c r="AY234" s="18"/>
    </row>
    <row r="235" customFormat="false" ht="15" hidden="false" customHeight="false" outlineLevel="0" collapsed="false">
      <c r="A235" s="15" t="str">
        <f aca="false">IFERROR(MATCH(ROW()-11,Tasks!$R$4:$R$403,0)+3,"")</f>
        <v/>
      </c>
      <c r="B235" s="16" t="str">
        <f aca="false">IF($A235="","",INDEX(Tasks!$A:$A,$A235))</f>
        <v/>
      </c>
      <c r="C235" s="16" t="str">
        <f aca="false">IF($A235="","",IF(ISERROR(FIND(".",INDEX(Tasks!$A:$A,$A235))),"","   ")&amp;INDEX(Tasks!$D:$D,$A235))</f>
        <v/>
      </c>
      <c r="D235" s="16" t="str">
        <f aca="false">IF($A235="","",IF(OR(INDEX(Tasks!$G:$G,$A235)="",INDEX(Tasks!$G:$G,$A235)="TBD"),INDEX(Tasks!$F:$F,$A235),INDEX(Tasks!$G:$G,$A235)))</f>
        <v/>
      </c>
      <c r="E235" s="16" t="str">
        <f aca="false">IF($A235="","",IF(INDEX(Tasks!$H:$H,$A235)="","",INDEX(Tasks!$H:$H,$A235)))</f>
        <v/>
      </c>
      <c r="F235" s="17" t="str">
        <f aca="false">IF($A235="","",IF(INDEX(Tasks!$I:$I,$A235)="","",INDEX(Tasks!$I:$I,$A235)))</f>
        <v/>
      </c>
      <c r="G235" s="17" t="str">
        <f aca="false">IF($A235="","",IF(INDEX(Tasks!$K:$K,$A235)="","",INDEX(Tasks!$K:$K,$A235)))</f>
        <v/>
      </c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  <c r="AG235" s="18"/>
      <c r="AH235" s="18"/>
      <c r="AI235" s="18"/>
      <c r="AJ235" s="18"/>
      <c r="AK235" s="18"/>
      <c r="AL235" s="18"/>
      <c r="AM235" s="18"/>
      <c r="AN235" s="18"/>
      <c r="AO235" s="18"/>
      <c r="AP235" s="18"/>
      <c r="AQ235" s="18"/>
      <c r="AR235" s="18"/>
      <c r="AS235" s="18"/>
      <c r="AT235" s="18"/>
      <c r="AU235" s="18"/>
      <c r="AV235" s="18"/>
      <c r="AW235" s="18"/>
      <c r="AX235" s="18"/>
      <c r="AY235" s="18"/>
    </row>
    <row r="236" customFormat="false" ht="15" hidden="false" customHeight="false" outlineLevel="0" collapsed="false">
      <c r="A236" s="15" t="str">
        <f aca="false">IFERROR(MATCH(ROW()-11,Tasks!$R$4:$R$403,0)+3,"")</f>
        <v/>
      </c>
      <c r="B236" s="16" t="str">
        <f aca="false">IF($A236="","",INDEX(Tasks!$A:$A,$A236))</f>
        <v/>
      </c>
      <c r="C236" s="16" t="str">
        <f aca="false">IF($A236="","",IF(ISERROR(FIND(".",INDEX(Tasks!$A:$A,$A236))),"","   ")&amp;INDEX(Tasks!$D:$D,$A236))</f>
        <v/>
      </c>
      <c r="D236" s="16" t="str">
        <f aca="false">IF($A236="","",IF(OR(INDEX(Tasks!$G:$G,$A236)="",INDEX(Tasks!$G:$G,$A236)="TBD"),INDEX(Tasks!$F:$F,$A236),INDEX(Tasks!$G:$G,$A236)))</f>
        <v/>
      </c>
      <c r="E236" s="16" t="str">
        <f aca="false">IF($A236="","",IF(INDEX(Tasks!$H:$H,$A236)="","",INDEX(Tasks!$H:$H,$A236)))</f>
        <v/>
      </c>
      <c r="F236" s="17" t="str">
        <f aca="false">IF($A236="","",IF(INDEX(Tasks!$I:$I,$A236)="","",INDEX(Tasks!$I:$I,$A236)))</f>
        <v/>
      </c>
      <c r="G236" s="17" t="str">
        <f aca="false">IF($A236="","",IF(INDEX(Tasks!$K:$K,$A236)="","",INDEX(Tasks!$K:$K,$A236)))</f>
        <v/>
      </c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  <c r="AG236" s="18"/>
      <c r="AH236" s="18"/>
      <c r="AI236" s="18"/>
      <c r="AJ236" s="18"/>
      <c r="AK236" s="18"/>
      <c r="AL236" s="18"/>
      <c r="AM236" s="18"/>
      <c r="AN236" s="18"/>
      <c r="AO236" s="18"/>
      <c r="AP236" s="18"/>
      <c r="AQ236" s="18"/>
      <c r="AR236" s="18"/>
      <c r="AS236" s="18"/>
      <c r="AT236" s="18"/>
      <c r="AU236" s="18"/>
      <c r="AV236" s="18"/>
      <c r="AW236" s="18"/>
      <c r="AX236" s="18"/>
      <c r="AY236" s="18"/>
    </row>
    <row r="237" customFormat="false" ht="15" hidden="false" customHeight="false" outlineLevel="0" collapsed="false">
      <c r="A237" s="15" t="str">
        <f aca="false">IFERROR(MATCH(ROW()-11,Tasks!$R$4:$R$403,0)+3,"")</f>
        <v/>
      </c>
      <c r="B237" s="16" t="str">
        <f aca="false">IF($A237="","",INDEX(Tasks!$A:$A,$A237))</f>
        <v/>
      </c>
      <c r="C237" s="16" t="str">
        <f aca="false">IF($A237="","",IF(ISERROR(FIND(".",INDEX(Tasks!$A:$A,$A237))),"","   ")&amp;INDEX(Tasks!$D:$D,$A237))</f>
        <v/>
      </c>
      <c r="D237" s="16" t="str">
        <f aca="false">IF($A237="","",IF(OR(INDEX(Tasks!$G:$G,$A237)="",INDEX(Tasks!$G:$G,$A237)="TBD"),INDEX(Tasks!$F:$F,$A237),INDEX(Tasks!$G:$G,$A237)))</f>
        <v/>
      </c>
      <c r="E237" s="16" t="str">
        <f aca="false">IF($A237="","",IF(INDEX(Tasks!$H:$H,$A237)="","",INDEX(Tasks!$H:$H,$A237)))</f>
        <v/>
      </c>
      <c r="F237" s="17" t="str">
        <f aca="false">IF($A237="","",IF(INDEX(Tasks!$I:$I,$A237)="","",INDEX(Tasks!$I:$I,$A237)))</f>
        <v/>
      </c>
      <c r="G237" s="17" t="str">
        <f aca="false">IF($A237="","",IF(INDEX(Tasks!$K:$K,$A237)="","",INDEX(Tasks!$K:$K,$A237)))</f>
        <v/>
      </c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  <c r="AG237" s="18"/>
      <c r="AH237" s="18"/>
      <c r="AI237" s="18"/>
      <c r="AJ237" s="18"/>
      <c r="AK237" s="18"/>
      <c r="AL237" s="18"/>
      <c r="AM237" s="18"/>
      <c r="AN237" s="18"/>
      <c r="AO237" s="18"/>
      <c r="AP237" s="18"/>
      <c r="AQ237" s="18"/>
      <c r="AR237" s="18"/>
      <c r="AS237" s="18"/>
      <c r="AT237" s="18"/>
      <c r="AU237" s="18"/>
      <c r="AV237" s="18"/>
      <c r="AW237" s="18"/>
      <c r="AX237" s="18"/>
      <c r="AY237" s="18"/>
    </row>
    <row r="238" customFormat="false" ht="15" hidden="false" customHeight="false" outlineLevel="0" collapsed="false">
      <c r="A238" s="15" t="str">
        <f aca="false">IFERROR(MATCH(ROW()-11,Tasks!$R$4:$R$403,0)+3,"")</f>
        <v/>
      </c>
      <c r="B238" s="16" t="str">
        <f aca="false">IF($A238="","",INDEX(Tasks!$A:$A,$A238))</f>
        <v/>
      </c>
      <c r="C238" s="16" t="str">
        <f aca="false">IF($A238="","",IF(ISERROR(FIND(".",INDEX(Tasks!$A:$A,$A238))),"","   ")&amp;INDEX(Tasks!$D:$D,$A238))</f>
        <v/>
      </c>
      <c r="D238" s="16" t="str">
        <f aca="false">IF($A238="","",IF(OR(INDEX(Tasks!$G:$G,$A238)="",INDEX(Tasks!$G:$G,$A238)="TBD"),INDEX(Tasks!$F:$F,$A238),INDEX(Tasks!$G:$G,$A238)))</f>
        <v/>
      </c>
      <c r="E238" s="16" t="str">
        <f aca="false">IF($A238="","",IF(INDEX(Tasks!$H:$H,$A238)="","",INDEX(Tasks!$H:$H,$A238)))</f>
        <v/>
      </c>
      <c r="F238" s="17" t="str">
        <f aca="false">IF($A238="","",IF(INDEX(Tasks!$I:$I,$A238)="","",INDEX(Tasks!$I:$I,$A238)))</f>
        <v/>
      </c>
      <c r="G238" s="17" t="str">
        <f aca="false">IF($A238="","",IF(INDEX(Tasks!$K:$K,$A238)="","",INDEX(Tasks!$K:$K,$A238)))</f>
        <v/>
      </c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  <c r="AG238" s="18"/>
      <c r="AH238" s="18"/>
      <c r="AI238" s="18"/>
      <c r="AJ238" s="18"/>
      <c r="AK238" s="18"/>
      <c r="AL238" s="18"/>
      <c r="AM238" s="18"/>
      <c r="AN238" s="18"/>
      <c r="AO238" s="18"/>
      <c r="AP238" s="18"/>
      <c r="AQ238" s="18"/>
      <c r="AR238" s="18"/>
      <c r="AS238" s="18"/>
      <c r="AT238" s="18"/>
      <c r="AU238" s="18"/>
      <c r="AV238" s="18"/>
      <c r="AW238" s="18"/>
      <c r="AX238" s="18"/>
      <c r="AY238" s="18"/>
    </row>
    <row r="239" customFormat="false" ht="15" hidden="false" customHeight="false" outlineLevel="0" collapsed="false">
      <c r="A239" s="15" t="str">
        <f aca="false">IFERROR(MATCH(ROW()-11,Tasks!$R$4:$R$403,0)+3,"")</f>
        <v/>
      </c>
      <c r="B239" s="16" t="str">
        <f aca="false">IF($A239="","",INDEX(Tasks!$A:$A,$A239))</f>
        <v/>
      </c>
      <c r="C239" s="16" t="str">
        <f aca="false">IF($A239="","",IF(ISERROR(FIND(".",INDEX(Tasks!$A:$A,$A239))),"","   ")&amp;INDEX(Tasks!$D:$D,$A239))</f>
        <v/>
      </c>
      <c r="D239" s="16" t="str">
        <f aca="false">IF($A239="","",IF(OR(INDEX(Tasks!$G:$G,$A239)="",INDEX(Tasks!$G:$G,$A239)="TBD"),INDEX(Tasks!$F:$F,$A239),INDEX(Tasks!$G:$G,$A239)))</f>
        <v/>
      </c>
      <c r="E239" s="16" t="str">
        <f aca="false">IF($A239="","",IF(INDEX(Tasks!$H:$H,$A239)="","",INDEX(Tasks!$H:$H,$A239)))</f>
        <v/>
      </c>
      <c r="F239" s="17" t="str">
        <f aca="false">IF($A239="","",IF(INDEX(Tasks!$I:$I,$A239)="","",INDEX(Tasks!$I:$I,$A239)))</f>
        <v/>
      </c>
      <c r="G239" s="17" t="str">
        <f aca="false">IF($A239="","",IF(INDEX(Tasks!$K:$K,$A239)="","",INDEX(Tasks!$K:$K,$A239)))</f>
        <v/>
      </c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  <c r="AG239" s="18"/>
      <c r="AH239" s="18"/>
      <c r="AI239" s="18"/>
      <c r="AJ239" s="18"/>
      <c r="AK239" s="18"/>
      <c r="AL239" s="18"/>
      <c r="AM239" s="18"/>
      <c r="AN239" s="18"/>
      <c r="AO239" s="18"/>
      <c r="AP239" s="18"/>
      <c r="AQ239" s="18"/>
      <c r="AR239" s="18"/>
      <c r="AS239" s="18"/>
      <c r="AT239" s="18"/>
      <c r="AU239" s="18"/>
      <c r="AV239" s="18"/>
      <c r="AW239" s="18"/>
      <c r="AX239" s="18"/>
      <c r="AY239" s="18"/>
    </row>
    <row r="240" customFormat="false" ht="15" hidden="false" customHeight="false" outlineLevel="0" collapsed="false">
      <c r="A240" s="15" t="str">
        <f aca="false">IFERROR(MATCH(ROW()-11,Tasks!$R$4:$R$403,0)+3,"")</f>
        <v/>
      </c>
      <c r="B240" s="16" t="str">
        <f aca="false">IF($A240="","",INDEX(Tasks!$A:$A,$A240))</f>
        <v/>
      </c>
      <c r="C240" s="16" t="str">
        <f aca="false">IF($A240="","",IF(ISERROR(FIND(".",INDEX(Tasks!$A:$A,$A240))),"","   ")&amp;INDEX(Tasks!$D:$D,$A240))</f>
        <v/>
      </c>
      <c r="D240" s="16" t="str">
        <f aca="false">IF($A240="","",IF(OR(INDEX(Tasks!$G:$G,$A240)="",INDEX(Tasks!$G:$G,$A240)="TBD"),INDEX(Tasks!$F:$F,$A240),INDEX(Tasks!$G:$G,$A240)))</f>
        <v/>
      </c>
      <c r="E240" s="16" t="str">
        <f aca="false">IF($A240="","",IF(INDEX(Tasks!$H:$H,$A240)="","",INDEX(Tasks!$H:$H,$A240)))</f>
        <v/>
      </c>
      <c r="F240" s="17" t="str">
        <f aca="false">IF($A240="","",IF(INDEX(Tasks!$I:$I,$A240)="","",INDEX(Tasks!$I:$I,$A240)))</f>
        <v/>
      </c>
      <c r="G240" s="17" t="str">
        <f aca="false">IF($A240="","",IF(INDEX(Tasks!$K:$K,$A240)="","",INDEX(Tasks!$K:$K,$A240)))</f>
        <v/>
      </c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  <c r="AG240" s="18"/>
      <c r="AH240" s="18"/>
      <c r="AI240" s="18"/>
      <c r="AJ240" s="18"/>
      <c r="AK240" s="18"/>
      <c r="AL240" s="18"/>
      <c r="AM240" s="18"/>
      <c r="AN240" s="18"/>
      <c r="AO240" s="18"/>
      <c r="AP240" s="18"/>
      <c r="AQ240" s="18"/>
      <c r="AR240" s="18"/>
      <c r="AS240" s="18"/>
      <c r="AT240" s="18"/>
      <c r="AU240" s="18"/>
      <c r="AV240" s="18"/>
      <c r="AW240" s="18"/>
      <c r="AX240" s="18"/>
      <c r="AY240" s="18"/>
    </row>
    <row r="241" customFormat="false" ht="15" hidden="false" customHeight="false" outlineLevel="0" collapsed="false">
      <c r="A241" s="15" t="str">
        <f aca="false">IFERROR(MATCH(ROW()-11,Tasks!$R$4:$R$403,0)+3,"")</f>
        <v/>
      </c>
      <c r="B241" s="16" t="str">
        <f aca="false">IF($A241="","",INDEX(Tasks!$A:$A,$A241))</f>
        <v/>
      </c>
      <c r="C241" s="16" t="str">
        <f aca="false">IF($A241="","",IF(ISERROR(FIND(".",INDEX(Tasks!$A:$A,$A241))),"","   ")&amp;INDEX(Tasks!$D:$D,$A241))</f>
        <v/>
      </c>
      <c r="D241" s="16" t="str">
        <f aca="false">IF($A241="","",IF(OR(INDEX(Tasks!$G:$G,$A241)="",INDEX(Tasks!$G:$G,$A241)="TBD"),INDEX(Tasks!$F:$F,$A241),INDEX(Tasks!$G:$G,$A241)))</f>
        <v/>
      </c>
      <c r="E241" s="16" t="str">
        <f aca="false">IF($A241="","",IF(INDEX(Tasks!$H:$H,$A241)="","",INDEX(Tasks!$H:$H,$A241)))</f>
        <v/>
      </c>
      <c r="F241" s="17" t="str">
        <f aca="false">IF($A241="","",IF(INDEX(Tasks!$I:$I,$A241)="","",INDEX(Tasks!$I:$I,$A241)))</f>
        <v/>
      </c>
      <c r="G241" s="17" t="str">
        <f aca="false">IF($A241="","",IF(INDEX(Tasks!$K:$K,$A241)="","",INDEX(Tasks!$K:$K,$A241)))</f>
        <v/>
      </c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  <c r="AG241" s="18"/>
      <c r="AH241" s="18"/>
      <c r="AI241" s="18"/>
      <c r="AJ241" s="18"/>
      <c r="AK241" s="18"/>
      <c r="AL241" s="18"/>
      <c r="AM241" s="18"/>
      <c r="AN241" s="18"/>
      <c r="AO241" s="18"/>
      <c r="AP241" s="18"/>
      <c r="AQ241" s="18"/>
      <c r="AR241" s="18"/>
      <c r="AS241" s="18"/>
      <c r="AT241" s="18"/>
      <c r="AU241" s="18"/>
      <c r="AV241" s="18"/>
      <c r="AW241" s="18"/>
      <c r="AX241" s="18"/>
      <c r="AY241" s="18"/>
    </row>
    <row r="242" customFormat="false" ht="15" hidden="false" customHeight="false" outlineLevel="0" collapsed="false">
      <c r="A242" s="15" t="str">
        <f aca="false">IFERROR(MATCH(ROW()-11,Tasks!$R$4:$R$403,0)+3,"")</f>
        <v/>
      </c>
      <c r="B242" s="16" t="str">
        <f aca="false">IF($A242="","",INDEX(Tasks!$A:$A,$A242))</f>
        <v/>
      </c>
      <c r="C242" s="16" t="str">
        <f aca="false">IF($A242="","",IF(ISERROR(FIND(".",INDEX(Tasks!$A:$A,$A242))),"","   ")&amp;INDEX(Tasks!$D:$D,$A242))</f>
        <v/>
      </c>
      <c r="D242" s="16" t="str">
        <f aca="false">IF($A242="","",IF(OR(INDEX(Tasks!$G:$G,$A242)="",INDEX(Tasks!$G:$G,$A242)="TBD"),INDEX(Tasks!$F:$F,$A242),INDEX(Tasks!$G:$G,$A242)))</f>
        <v/>
      </c>
      <c r="E242" s="16" t="str">
        <f aca="false">IF($A242="","",IF(INDEX(Tasks!$H:$H,$A242)="","",INDEX(Tasks!$H:$H,$A242)))</f>
        <v/>
      </c>
      <c r="F242" s="17" t="str">
        <f aca="false">IF($A242="","",IF(INDEX(Tasks!$I:$I,$A242)="","",INDEX(Tasks!$I:$I,$A242)))</f>
        <v/>
      </c>
      <c r="G242" s="17" t="str">
        <f aca="false">IF($A242="","",IF(INDEX(Tasks!$K:$K,$A242)="","",INDEX(Tasks!$K:$K,$A242)))</f>
        <v/>
      </c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  <c r="AG242" s="18"/>
      <c r="AH242" s="18"/>
      <c r="AI242" s="18"/>
      <c r="AJ242" s="18"/>
      <c r="AK242" s="18"/>
      <c r="AL242" s="18"/>
      <c r="AM242" s="18"/>
      <c r="AN242" s="18"/>
      <c r="AO242" s="18"/>
      <c r="AP242" s="18"/>
      <c r="AQ242" s="18"/>
      <c r="AR242" s="18"/>
      <c r="AS242" s="18"/>
      <c r="AT242" s="18"/>
      <c r="AU242" s="18"/>
      <c r="AV242" s="18"/>
      <c r="AW242" s="18"/>
      <c r="AX242" s="18"/>
      <c r="AY242" s="18"/>
    </row>
    <row r="243" customFormat="false" ht="15" hidden="false" customHeight="false" outlineLevel="0" collapsed="false">
      <c r="A243" s="15" t="str">
        <f aca="false">IFERROR(MATCH(ROW()-11,Tasks!$R$4:$R$403,0)+3,"")</f>
        <v/>
      </c>
      <c r="B243" s="16" t="str">
        <f aca="false">IF($A243="","",INDEX(Tasks!$A:$A,$A243))</f>
        <v/>
      </c>
      <c r="C243" s="16" t="str">
        <f aca="false">IF($A243="","",IF(ISERROR(FIND(".",INDEX(Tasks!$A:$A,$A243))),"","   ")&amp;INDEX(Tasks!$D:$D,$A243))</f>
        <v/>
      </c>
      <c r="D243" s="16" t="str">
        <f aca="false">IF($A243="","",IF(OR(INDEX(Tasks!$G:$G,$A243)="",INDEX(Tasks!$G:$G,$A243)="TBD"),INDEX(Tasks!$F:$F,$A243),INDEX(Tasks!$G:$G,$A243)))</f>
        <v/>
      </c>
      <c r="E243" s="16" t="str">
        <f aca="false">IF($A243="","",IF(INDEX(Tasks!$H:$H,$A243)="","",INDEX(Tasks!$H:$H,$A243)))</f>
        <v/>
      </c>
      <c r="F243" s="17" t="str">
        <f aca="false">IF($A243="","",IF(INDEX(Tasks!$I:$I,$A243)="","",INDEX(Tasks!$I:$I,$A243)))</f>
        <v/>
      </c>
      <c r="G243" s="17" t="str">
        <f aca="false">IF($A243="","",IF(INDEX(Tasks!$K:$K,$A243)="","",INDEX(Tasks!$K:$K,$A243)))</f>
        <v/>
      </c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  <c r="AG243" s="18"/>
      <c r="AH243" s="18"/>
      <c r="AI243" s="18"/>
      <c r="AJ243" s="18"/>
      <c r="AK243" s="18"/>
      <c r="AL243" s="18"/>
      <c r="AM243" s="18"/>
      <c r="AN243" s="18"/>
      <c r="AO243" s="18"/>
      <c r="AP243" s="18"/>
      <c r="AQ243" s="18"/>
      <c r="AR243" s="18"/>
      <c r="AS243" s="18"/>
      <c r="AT243" s="18"/>
      <c r="AU243" s="18"/>
      <c r="AV243" s="18"/>
      <c r="AW243" s="18"/>
      <c r="AX243" s="18"/>
      <c r="AY243" s="18"/>
    </row>
    <row r="244" customFormat="false" ht="15" hidden="false" customHeight="false" outlineLevel="0" collapsed="false">
      <c r="A244" s="15" t="str">
        <f aca="false">IFERROR(MATCH(ROW()-11,Tasks!$R$4:$R$403,0)+3,"")</f>
        <v/>
      </c>
      <c r="B244" s="16" t="str">
        <f aca="false">IF($A244="","",INDEX(Tasks!$A:$A,$A244))</f>
        <v/>
      </c>
      <c r="C244" s="16" t="str">
        <f aca="false">IF($A244="","",IF(ISERROR(FIND(".",INDEX(Tasks!$A:$A,$A244))),"","   ")&amp;INDEX(Tasks!$D:$D,$A244))</f>
        <v/>
      </c>
      <c r="D244" s="16" t="str">
        <f aca="false">IF($A244="","",IF(OR(INDEX(Tasks!$G:$G,$A244)="",INDEX(Tasks!$G:$G,$A244)="TBD"),INDEX(Tasks!$F:$F,$A244),INDEX(Tasks!$G:$G,$A244)))</f>
        <v/>
      </c>
      <c r="E244" s="16" t="str">
        <f aca="false">IF($A244="","",IF(INDEX(Tasks!$H:$H,$A244)="","",INDEX(Tasks!$H:$H,$A244)))</f>
        <v/>
      </c>
      <c r="F244" s="17" t="str">
        <f aca="false">IF($A244="","",IF(INDEX(Tasks!$I:$I,$A244)="","",INDEX(Tasks!$I:$I,$A244)))</f>
        <v/>
      </c>
      <c r="G244" s="17" t="str">
        <f aca="false">IF($A244="","",IF(INDEX(Tasks!$K:$K,$A244)="","",INDEX(Tasks!$K:$K,$A244)))</f>
        <v/>
      </c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  <c r="AG244" s="18"/>
      <c r="AH244" s="18"/>
      <c r="AI244" s="18"/>
      <c r="AJ244" s="18"/>
      <c r="AK244" s="18"/>
      <c r="AL244" s="18"/>
      <c r="AM244" s="18"/>
      <c r="AN244" s="18"/>
      <c r="AO244" s="18"/>
      <c r="AP244" s="18"/>
      <c r="AQ244" s="18"/>
      <c r="AR244" s="18"/>
      <c r="AS244" s="18"/>
      <c r="AT244" s="18"/>
      <c r="AU244" s="18"/>
      <c r="AV244" s="18"/>
      <c r="AW244" s="18"/>
      <c r="AX244" s="18"/>
      <c r="AY244" s="18"/>
    </row>
    <row r="245" customFormat="false" ht="15" hidden="false" customHeight="false" outlineLevel="0" collapsed="false">
      <c r="A245" s="15" t="str">
        <f aca="false">IFERROR(MATCH(ROW()-11,Tasks!$R$4:$R$403,0)+3,"")</f>
        <v/>
      </c>
      <c r="B245" s="16" t="str">
        <f aca="false">IF($A245="","",INDEX(Tasks!$A:$A,$A245))</f>
        <v/>
      </c>
      <c r="C245" s="16" t="str">
        <f aca="false">IF($A245="","",IF(ISERROR(FIND(".",INDEX(Tasks!$A:$A,$A245))),"","   ")&amp;INDEX(Tasks!$D:$D,$A245))</f>
        <v/>
      </c>
      <c r="D245" s="16" t="str">
        <f aca="false">IF($A245="","",IF(OR(INDEX(Tasks!$G:$G,$A245)="",INDEX(Tasks!$G:$G,$A245)="TBD"),INDEX(Tasks!$F:$F,$A245),INDEX(Tasks!$G:$G,$A245)))</f>
        <v/>
      </c>
      <c r="E245" s="16" t="str">
        <f aca="false">IF($A245="","",IF(INDEX(Tasks!$H:$H,$A245)="","",INDEX(Tasks!$H:$H,$A245)))</f>
        <v/>
      </c>
      <c r="F245" s="17" t="str">
        <f aca="false">IF($A245="","",IF(INDEX(Tasks!$I:$I,$A245)="","",INDEX(Tasks!$I:$I,$A245)))</f>
        <v/>
      </c>
      <c r="G245" s="17" t="str">
        <f aca="false">IF($A245="","",IF(INDEX(Tasks!$K:$K,$A245)="","",INDEX(Tasks!$K:$K,$A245)))</f>
        <v/>
      </c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  <c r="AG245" s="18"/>
      <c r="AH245" s="18"/>
      <c r="AI245" s="18"/>
      <c r="AJ245" s="18"/>
      <c r="AK245" s="18"/>
      <c r="AL245" s="18"/>
      <c r="AM245" s="18"/>
      <c r="AN245" s="18"/>
      <c r="AO245" s="18"/>
      <c r="AP245" s="18"/>
      <c r="AQ245" s="18"/>
      <c r="AR245" s="18"/>
      <c r="AS245" s="18"/>
      <c r="AT245" s="18"/>
      <c r="AU245" s="18"/>
      <c r="AV245" s="18"/>
      <c r="AW245" s="18"/>
      <c r="AX245" s="18"/>
      <c r="AY245" s="18"/>
    </row>
    <row r="246" customFormat="false" ht="15" hidden="false" customHeight="false" outlineLevel="0" collapsed="false">
      <c r="A246" s="15" t="str">
        <f aca="false">IFERROR(MATCH(ROW()-11,Tasks!$R$4:$R$403,0)+3,"")</f>
        <v/>
      </c>
      <c r="B246" s="16" t="str">
        <f aca="false">IF($A246="","",INDEX(Tasks!$A:$A,$A246))</f>
        <v/>
      </c>
      <c r="C246" s="16" t="str">
        <f aca="false">IF($A246="","",IF(ISERROR(FIND(".",INDEX(Tasks!$A:$A,$A246))),"","   ")&amp;INDEX(Tasks!$D:$D,$A246))</f>
        <v/>
      </c>
      <c r="D246" s="16" t="str">
        <f aca="false">IF($A246="","",IF(OR(INDEX(Tasks!$G:$G,$A246)="",INDEX(Tasks!$G:$G,$A246)="TBD"),INDEX(Tasks!$F:$F,$A246),INDEX(Tasks!$G:$G,$A246)))</f>
        <v/>
      </c>
      <c r="E246" s="16" t="str">
        <f aca="false">IF($A246="","",IF(INDEX(Tasks!$H:$H,$A246)="","",INDEX(Tasks!$H:$H,$A246)))</f>
        <v/>
      </c>
      <c r="F246" s="17" t="str">
        <f aca="false">IF($A246="","",IF(INDEX(Tasks!$I:$I,$A246)="","",INDEX(Tasks!$I:$I,$A246)))</f>
        <v/>
      </c>
      <c r="G246" s="17" t="str">
        <f aca="false">IF($A246="","",IF(INDEX(Tasks!$K:$K,$A246)="","",INDEX(Tasks!$K:$K,$A246)))</f>
        <v/>
      </c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  <c r="AG246" s="18"/>
      <c r="AH246" s="18"/>
      <c r="AI246" s="18"/>
      <c r="AJ246" s="18"/>
      <c r="AK246" s="18"/>
      <c r="AL246" s="18"/>
      <c r="AM246" s="18"/>
      <c r="AN246" s="18"/>
      <c r="AO246" s="18"/>
      <c r="AP246" s="18"/>
      <c r="AQ246" s="18"/>
      <c r="AR246" s="18"/>
      <c r="AS246" s="18"/>
      <c r="AT246" s="18"/>
      <c r="AU246" s="18"/>
      <c r="AV246" s="18"/>
      <c r="AW246" s="18"/>
      <c r="AX246" s="18"/>
      <c r="AY246" s="18"/>
    </row>
    <row r="247" customFormat="false" ht="15" hidden="false" customHeight="false" outlineLevel="0" collapsed="false">
      <c r="A247" s="15" t="str">
        <f aca="false">IFERROR(MATCH(ROW()-11,Tasks!$R$4:$R$403,0)+3,"")</f>
        <v/>
      </c>
      <c r="B247" s="16" t="str">
        <f aca="false">IF($A247="","",INDEX(Tasks!$A:$A,$A247))</f>
        <v/>
      </c>
      <c r="C247" s="16" t="str">
        <f aca="false">IF($A247="","",IF(ISERROR(FIND(".",INDEX(Tasks!$A:$A,$A247))),"","   ")&amp;INDEX(Tasks!$D:$D,$A247))</f>
        <v/>
      </c>
      <c r="D247" s="16" t="str">
        <f aca="false">IF($A247="","",IF(OR(INDEX(Tasks!$G:$G,$A247)="",INDEX(Tasks!$G:$G,$A247)="TBD"),INDEX(Tasks!$F:$F,$A247),INDEX(Tasks!$G:$G,$A247)))</f>
        <v/>
      </c>
      <c r="E247" s="16" t="str">
        <f aca="false">IF($A247="","",IF(INDEX(Tasks!$H:$H,$A247)="","",INDEX(Tasks!$H:$H,$A247)))</f>
        <v/>
      </c>
      <c r="F247" s="17" t="str">
        <f aca="false">IF($A247="","",IF(INDEX(Tasks!$I:$I,$A247)="","",INDEX(Tasks!$I:$I,$A247)))</f>
        <v/>
      </c>
      <c r="G247" s="17" t="str">
        <f aca="false">IF($A247="","",IF(INDEX(Tasks!$K:$K,$A247)="","",INDEX(Tasks!$K:$K,$A247)))</f>
        <v/>
      </c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  <c r="AG247" s="18"/>
      <c r="AH247" s="18"/>
      <c r="AI247" s="18"/>
      <c r="AJ247" s="18"/>
      <c r="AK247" s="18"/>
      <c r="AL247" s="18"/>
      <c r="AM247" s="18"/>
      <c r="AN247" s="18"/>
      <c r="AO247" s="18"/>
      <c r="AP247" s="18"/>
      <c r="AQ247" s="18"/>
      <c r="AR247" s="18"/>
      <c r="AS247" s="18"/>
      <c r="AT247" s="18"/>
      <c r="AU247" s="18"/>
      <c r="AV247" s="18"/>
      <c r="AW247" s="18"/>
      <c r="AX247" s="18"/>
      <c r="AY247" s="18"/>
    </row>
    <row r="248" customFormat="false" ht="15" hidden="false" customHeight="false" outlineLevel="0" collapsed="false">
      <c r="A248" s="15" t="str">
        <f aca="false">IFERROR(MATCH(ROW()-11,Tasks!$R$4:$R$403,0)+3,"")</f>
        <v/>
      </c>
      <c r="B248" s="16" t="str">
        <f aca="false">IF($A248="","",INDEX(Tasks!$A:$A,$A248))</f>
        <v/>
      </c>
      <c r="C248" s="16" t="str">
        <f aca="false">IF($A248="","",IF(ISERROR(FIND(".",INDEX(Tasks!$A:$A,$A248))),"","   ")&amp;INDEX(Tasks!$D:$D,$A248))</f>
        <v/>
      </c>
      <c r="D248" s="16" t="str">
        <f aca="false">IF($A248="","",IF(OR(INDEX(Tasks!$G:$G,$A248)="",INDEX(Tasks!$G:$G,$A248)="TBD"),INDEX(Tasks!$F:$F,$A248),INDEX(Tasks!$G:$G,$A248)))</f>
        <v/>
      </c>
      <c r="E248" s="16" t="str">
        <f aca="false">IF($A248="","",IF(INDEX(Tasks!$H:$H,$A248)="","",INDEX(Tasks!$H:$H,$A248)))</f>
        <v/>
      </c>
      <c r="F248" s="17" t="str">
        <f aca="false">IF($A248="","",IF(INDEX(Tasks!$I:$I,$A248)="","",INDEX(Tasks!$I:$I,$A248)))</f>
        <v/>
      </c>
      <c r="G248" s="17" t="str">
        <f aca="false">IF($A248="","",IF(INDEX(Tasks!$K:$K,$A248)="","",INDEX(Tasks!$K:$K,$A248)))</f>
        <v/>
      </c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  <c r="AG248" s="18"/>
      <c r="AH248" s="18"/>
      <c r="AI248" s="18"/>
      <c r="AJ248" s="18"/>
      <c r="AK248" s="18"/>
      <c r="AL248" s="18"/>
      <c r="AM248" s="18"/>
      <c r="AN248" s="18"/>
      <c r="AO248" s="18"/>
      <c r="AP248" s="18"/>
      <c r="AQ248" s="18"/>
      <c r="AR248" s="18"/>
      <c r="AS248" s="18"/>
      <c r="AT248" s="18"/>
      <c r="AU248" s="18"/>
      <c r="AV248" s="18"/>
      <c r="AW248" s="18"/>
      <c r="AX248" s="18"/>
      <c r="AY248" s="18"/>
    </row>
    <row r="249" customFormat="false" ht="15" hidden="false" customHeight="false" outlineLevel="0" collapsed="false">
      <c r="A249" s="15" t="str">
        <f aca="false">IFERROR(MATCH(ROW()-11,Tasks!$R$4:$R$403,0)+3,"")</f>
        <v/>
      </c>
      <c r="B249" s="16" t="str">
        <f aca="false">IF($A249="","",INDEX(Tasks!$A:$A,$A249))</f>
        <v/>
      </c>
      <c r="C249" s="16" t="str">
        <f aca="false">IF($A249="","",IF(ISERROR(FIND(".",INDEX(Tasks!$A:$A,$A249))),"","   ")&amp;INDEX(Tasks!$D:$D,$A249))</f>
        <v/>
      </c>
      <c r="D249" s="16" t="str">
        <f aca="false">IF($A249="","",IF(OR(INDEX(Tasks!$G:$G,$A249)="",INDEX(Tasks!$G:$G,$A249)="TBD"),INDEX(Tasks!$F:$F,$A249),INDEX(Tasks!$G:$G,$A249)))</f>
        <v/>
      </c>
      <c r="E249" s="16" t="str">
        <f aca="false">IF($A249="","",IF(INDEX(Tasks!$H:$H,$A249)="","",INDEX(Tasks!$H:$H,$A249)))</f>
        <v/>
      </c>
      <c r="F249" s="17" t="str">
        <f aca="false">IF($A249="","",IF(INDEX(Tasks!$I:$I,$A249)="","",INDEX(Tasks!$I:$I,$A249)))</f>
        <v/>
      </c>
      <c r="G249" s="17" t="str">
        <f aca="false">IF($A249="","",IF(INDEX(Tasks!$K:$K,$A249)="","",INDEX(Tasks!$K:$K,$A249)))</f>
        <v/>
      </c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  <c r="AG249" s="18"/>
      <c r="AH249" s="18"/>
      <c r="AI249" s="18"/>
      <c r="AJ249" s="18"/>
      <c r="AK249" s="18"/>
      <c r="AL249" s="18"/>
      <c r="AM249" s="18"/>
      <c r="AN249" s="18"/>
      <c r="AO249" s="18"/>
      <c r="AP249" s="18"/>
      <c r="AQ249" s="18"/>
      <c r="AR249" s="18"/>
      <c r="AS249" s="18"/>
      <c r="AT249" s="18"/>
      <c r="AU249" s="18"/>
      <c r="AV249" s="18"/>
      <c r="AW249" s="18"/>
      <c r="AX249" s="18"/>
      <c r="AY249" s="18"/>
    </row>
    <row r="250" customFormat="false" ht="15" hidden="false" customHeight="false" outlineLevel="0" collapsed="false">
      <c r="A250" s="15" t="str">
        <f aca="false">IFERROR(MATCH(ROW()-11,Tasks!$R$4:$R$403,0)+3,"")</f>
        <v/>
      </c>
      <c r="B250" s="16" t="str">
        <f aca="false">IF($A250="","",INDEX(Tasks!$A:$A,$A250))</f>
        <v/>
      </c>
      <c r="C250" s="16" t="str">
        <f aca="false">IF($A250="","",IF(ISERROR(FIND(".",INDEX(Tasks!$A:$A,$A250))),"","   ")&amp;INDEX(Tasks!$D:$D,$A250))</f>
        <v/>
      </c>
      <c r="D250" s="16" t="str">
        <f aca="false">IF($A250="","",IF(OR(INDEX(Tasks!$G:$G,$A250)="",INDEX(Tasks!$G:$G,$A250)="TBD"),INDEX(Tasks!$F:$F,$A250),INDEX(Tasks!$G:$G,$A250)))</f>
        <v/>
      </c>
      <c r="E250" s="16" t="str">
        <f aca="false">IF($A250="","",IF(INDEX(Tasks!$H:$H,$A250)="","",INDEX(Tasks!$H:$H,$A250)))</f>
        <v/>
      </c>
      <c r="F250" s="17" t="str">
        <f aca="false">IF($A250="","",IF(INDEX(Tasks!$I:$I,$A250)="","",INDEX(Tasks!$I:$I,$A250)))</f>
        <v/>
      </c>
      <c r="G250" s="17" t="str">
        <f aca="false">IF($A250="","",IF(INDEX(Tasks!$K:$K,$A250)="","",INDEX(Tasks!$K:$K,$A250)))</f>
        <v/>
      </c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  <c r="AG250" s="18"/>
      <c r="AH250" s="18"/>
      <c r="AI250" s="18"/>
      <c r="AJ250" s="18"/>
      <c r="AK250" s="18"/>
      <c r="AL250" s="18"/>
      <c r="AM250" s="18"/>
      <c r="AN250" s="18"/>
      <c r="AO250" s="18"/>
      <c r="AP250" s="18"/>
      <c r="AQ250" s="18"/>
      <c r="AR250" s="18"/>
      <c r="AS250" s="18"/>
      <c r="AT250" s="18"/>
      <c r="AU250" s="18"/>
      <c r="AV250" s="18"/>
      <c r="AW250" s="18"/>
      <c r="AX250" s="18"/>
      <c r="AY250" s="18"/>
    </row>
    <row r="251" customFormat="false" ht="15" hidden="false" customHeight="false" outlineLevel="0" collapsed="false">
      <c r="A251" s="15" t="str">
        <f aca="false">IFERROR(MATCH(ROW()-11,Tasks!$R$4:$R$403,0)+3,"")</f>
        <v/>
      </c>
      <c r="B251" s="16" t="str">
        <f aca="false">IF($A251="","",INDEX(Tasks!$A:$A,$A251))</f>
        <v/>
      </c>
      <c r="C251" s="16" t="str">
        <f aca="false">IF($A251="","",IF(ISERROR(FIND(".",INDEX(Tasks!$A:$A,$A251))),"","   ")&amp;INDEX(Tasks!$D:$D,$A251))</f>
        <v/>
      </c>
      <c r="D251" s="16" t="str">
        <f aca="false">IF($A251="","",IF(OR(INDEX(Tasks!$G:$G,$A251)="",INDEX(Tasks!$G:$G,$A251)="TBD"),INDEX(Tasks!$F:$F,$A251),INDEX(Tasks!$G:$G,$A251)))</f>
        <v/>
      </c>
      <c r="E251" s="16" t="str">
        <f aca="false">IF($A251="","",IF(INDEX(Tasks!$H:$H,$A251)="","",INDEX(Tasks!$H:$H,$A251)))</f>
        <v/>
      </c>
      <c r="F251" s="17" t="str">
        <f aca="false">IF($A251="","",IF(INDEX(Tasks!$I:$I,$A251)="","",INDEX(Tasks!$I:$I,$A251)))</f>
        <v/>
      </c>
      <c r="G251" s="17" t="str">
        <f aca="false">IF($A251="","",IF(INDEX(Tasks!$K:$K,$A251)="","",INDEX(Tasks!$K:$K,$A251)))</f>
        <v/>
      </c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  <c r="AG251" s="18"/>
      <c r="AH251" s="18"/>
      <c r="AI251" s="18"/>
      <c r="AJ251" s="18"/>
      <c r="AK251" s="18"/>
      <c r="AL251" s="18"/>
      <c r="AM251" s="18"/>
      <c r="AN251" s="18"/>
      <c r="AO251" s="18"/>
      <c r="AP251" s="18"/>
      <c r="AQ251" s="18"/>
      <c r="AR251" s="18"/>
      <c r="AS251" s="18"/>
      <c r="AT251" s="18"/>
      <c r="AU251" s="18"/>
      <c r="AV251" s="18"/>
      <c r="AW251" s="18"/>
      <c r="AX251" s="18"/>
      <c r="AY251" s="18"/>
    </row>
    <row r="252" customFormat="false" ht="15" hidden="false" customHeight="false" outlineLevel="0" collapsed="false">
      <c r="A252" s="15" t="str">
        <f aca="false">IFERROR(MATCH(ROW()-11,Tasks!$R$4:$R$403,0)+3,"")</f>
        <v/>
      </c>
      <c r="B252" s="16" t="str">
        <f aca="false">IF($A252="","",INDEX(Tasks!$A:$A,$A252))</f>
        <v/>
      </c>
      <c r="C252" s="16" t="str">
        <f aca="false">IF($A252="","",IF(ISERROR(FIND(".",INDEX(Tasks!$A:$A,$A252))),"","   ")&amp;INDEX(Tasks!$D:$D,$A252))</f>
        <v/>
      </c>
      <c r="D252" s="16" t="str">
        <f aca="false">IF($A252="","",IF(OR(INDEX(Tasks!$G:$G,$A252)="",INDEX(Tasks!$G:$G,$A252)="TBD"),INDEX(Tasks!$F:$F,$A252),INDEX(Tasks!$G:$G,$A252)))</f>
        <v/>
      </c>
      <c r="E252" s="16" t="str">
        <f aca="false">IF($A252="","",IF(INDEX(Tasks!$H:$H,$A252)="","",INDEX(Tasks!$H:$H,$A252)))</f>
        <v/>
      </c>
      <c r="F252" s="17" t="str">
        <f aca="false">IF($A252="","",IF(INDEX(Tasks!$I:$I,$A252)="","",INDEX(Tasks!$I:$I,$A252)))</f>
        <v/>
      </c>
      <c r="G252" s="17" t="str">
        <f aca="false">IF($A252="","",IF(INDEX(Tasks!$K:$K,$A252)="","",INDEX(Tasks!$K:$K,$A252)))</f>
        <v/>
      </c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  <c r="AG252" s="18"/>
      <c r="AH252" s="18"/>
      <c r="AI252" s="18"/>
      <c r="AJ252" s="18"/>
      <c r="AK252" s="18"/>
      <c r="AL252" s="18"/>
      <c r="AM252" s="18"/>
      <c r="AN252" s="18"/>
      <c r="AO252" s="18"/>
      <c r="AP252" s="18"/>
      <c r="AQ252" s="18"/>
      <c r="AR252" s="18"/>
      <c r="AS252" s="18"/>
      <c r="AT252" s="18"/>
      <c r="AU252" s="18"/>
      <c r="AV252" s="18"/>
      <c r="AW252" s="18"/>
      <c r="AX252" s="18"/>
      <c r="AY252" s="18"/>
    </row>
    <row r="253" customFormat="false" ht="15" hidden="false" customHeight="false" outlineLevel="0" collapsed="false">
      <c r="A253" s="15" t="str">
        <f aca="false">IFERROR(MATCH(ROW()-11,Tasks!$R$4:$R$403,0)+3,"")</f>
        <v/>
      </c>
      <c r="B253" s="16" t="str">
        <f aca="false">IF($A253="","",INDEX(Tasks!$A:$A,$A253))</f>
        <v/>
      </c>
      <c r="C253" s="16" t="str">
        <f aca="false">IF($A253="","",IF(ISERROR(FIND(".",INDEX(Tasks!$A:$A,$A253))),"","   ")&amp;INDEX(Tasks!$D:$D,$A253))</f>
        <v/>
      </c>
      <c r="D253" s="16" t="str">
        <f aca="false">IF($A253="","",IF(OR(INDEX(Tasks!$G:$G,$A253)="",INDEX(Tasks!$G:$G,$A253)="TBD"),INDEX(Tasks!$F:$F,$A253),INDEX(Tasks!$G:$G,$A253)))</f>
        <v/>
      </c>
      <c r="E253" s="16" t="str">
        <f aca="false">IF($A253="","",IF(INDEX(Tasks!$H:$H,$A253)="","",INDEX(Tasks!$H:$H,$A253)))</f>
        <v/>
      </c>
      <c r="F253" s="17" t="str">
        <f aca="false">IF($A253="","",IF(INDEX(Tasks!$I:$I,$A253)="","",INDEX(Tasks!$I:$I,$A253)))</f>
        <v/>
      </c>
      <c r="G253" s="17" t="str">
        <f aca="false">IF($A253="","",IF(INDEX(Tasks!$K:$K,$A253)="","",INDEX(Tasks!$K:$K,$A253)))</f>
        <v/>
      </c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  <c r="AG253" s="18"/>
      <c r="AH253" s="18"/>
      <c r="AI253" s="18"/>
      <c r="AJ253" s="18"/>
      <c r="AK253" s="18"/>
      <c r="AL253" s="18"/>
      <c r="AM253" s="18"/>
      <c r="AN253" s="18"/>
      <c r="AO253" s="18"/>
      <c r="AP253" s="18"/>
      <c r="AQ253" s="18"/>
      <c r="AR253" s="18"/>
      <c r="AS253" s="18"/>
      <c r="AT253" s="18"/>
      <c r="AU253" s="18"/>
      <c r="AV253" s="18"/>
      <c r="AW253" s="18"/>
      <c r="AX253" s="18"/>
      <c r="AY253" s="18"/>
    </row>
    <row r="254" customFormat="false" ht="15" hidden="false" customHeight="false" outlineLevel="0" collapsed="false">
      <c r="A254" s="15" t="str">
        <f aca="false">IFERROR(MATCH(ROW()-11,Tasks!$R$4:$R$403,0)+3,"")</f>
        <v/>
      </c>
      <c r="B254" s="16" t="str">
        <f aca="false">IF($A254="","",INDEX(Tasks!$A:$A,$A254))</f>
        <v/>
      </c>
      <c r="C254" s="16" t="str">
        <f aca="false">IF($A254="","",IF(ISERROR(FIND(".",INDEX(Tasks!$A:$A,$A254))),"","   ")&amp;INDEX(Tasks!$D:$D,$A254))</f>
        <v/>
      </c>
      <c r="D254" s="16" t="str">
        <f aca="false">IF($A254="","",IF(OR(INDEX(Tasks!$G:$G,$A254)="",INDEX(Tasks!$G:$G,$A254)="TBD"),INDEX(Tasks!$F:$F,$A254),INDEX(Tasks!$G:$G,$A254)))</f>
        <v/>
      </c>
      <c r="E254" s="16" t="str">
        <f aca="false">IF($A254="","",IF(INDEX(Tasks!$H:$H,$A254)="","",INDEX(Tasks!$H:$H,$A254)))</f>
        <v/>
      </c>
      <c r="F254" s="17" t="str">
        <f aca="false">IF($A254="","",IF(INDEX(Tasks!$I:$I,$A254)="","",INDEX(Tasks!$I:$I,$A254)))</f>
        <v/>
      </c>
      <c r="G254" s="17" t="str">
        <f aca="false">IF($A254="","",IF(INDEX(Tasks!$K:$K,$A254)="","",INDEX(Tasks!$K:$K,$A254)))</f>
        <v/>
      </c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  <c r="AG254" s="18"/>
      <c r="AH254" s="18"/>
      <c r="AI254" s="18"/>
      <c r="AJ254" s="18"/>
      <c r="AK254" s="18"/>
      <c r="AL254" s="18"/>
      <c r="AM254" s="18"/>
      <c r="AN254" s="18"/>
      <c r="AO254" s="18"/>
      <c r="AP254" s="18"/>
      <c r="AQ254" s="18"/>
      <c r="AR254" s="18"/>
      <c r="AS254" s="18"/>
      <c r="AT254" s="18"/>
      <c r="AU254" s="18"/>
      <c r="AV254" s="18"/>
      <c r="AW254" s="18"/>
      <c r="AX254" s="18"/>
      <c r="AY254" s="18"/>
    </row>
    <row r="255" customFormat="false" ht="15" hidden="false" customHeight="false" outlineLevel="0" collapsed="false">
      <c r="A255" s="15" t="str">
        <f aca="false">IFERROR(MATCH(ROW()-11,Tasks!$R$4:$R$403,0)+3,"")</f>
        <v/>
      </c>
      <c r="B255" s="16" t="str">
        <f aca="false">IF($A255="","",INDEX(Tasks!$A:$A,$A255))</f>
        <v/>
      </c>
      <c r="C255" s="16" t="str">
        <f aca="false">IF($A255="","",IF(ISERROR(FIND(".",INDEX(Tasks!$A:$A,$A255))),"","   ")&amp;INDEX(Tasks!$D:$D,$A255))</f>
        <v/>
      </c>
      <c r="D255" s="16" t="str">
        <f aca="false">IF($A255="","",IF(OR(INDEX(Tasks!$G:$G,$A255)="",INDEX(Tasks!$G:$G,$A255)="TBD"),INDEX(Tasks!$F:$F,$A255),INDEX(Tasks!$G:$G,$A255)))</f>
        <v/>
      </c>
      <c r="E255" s="16" t="str">
        <f aca="false">IF($A255="","",IF(INDEX(Tasks!$H:$H,$A255)="","",INDEX(Tasks!$H:$H,$A255)))</f>
        <v/>
      </c>
      <c r="F255" s="17" t="str">
        <f aca="false">IF($A255="","",IF(INDEX(Tasks!$I:$I,$A255)="","",INDEX(Tasks!$I:$I,$A255)))</f>
        <v/>
      </c>
      <c r="G255" s="17" t="str">
        <f aca="false">IF($A255="","",IF(INDEX(Tasks!$K:$K,$A255)="","",INDEX(Tasks!$K:$K,$A255)))</f>
        <v/>
      </c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  <c r="AG255" s="18"/>
      <c r="AH255" s="18"/>
      <c r="AI255" s="18"/>
      <c r="AJ255" s="18"/>
      <c r="AK255" s="18"/>
      <c r="AL255" s="18"/>
      <c r="AM255" s="18"/>
      <c r="AN255" s="18"/>
      <c r="AO255" s="18"/>
      <c r="AP255" s="18"/>
      <c r="AQ255" s="18"/>
      <c r="AR255" s="18"/>
      <c r="AS255" s="18"/>
      <c r="AT255" s="18"/>
      <c r="AU255" s="18"/>
      <c r="AV255" s="18"/>
      <c r="AW255" s="18"/>
      <c r="AX255" s="18"/>
      <c r="AY255" s="18"/>
    </row>
    <row r="256" customFormat="false" ht="15" hidden="false" customHeight="false" outlineLevel="0" collapsed="false">
      <c r="A256" s="15" t="str">
        <f aca="false">IFERROR(MATCH(ROW()-11,Tasks!$R$4:$R$403,0)+3,"")</f>
        <v/>
      </c>
      <c r="B256" s="16" t="str">
        <f aca="false">IF($A256="","",INDEX(Tasks!$A:$A,$A256))</f>
        <v/>
      </c>
      <c r="C256" s="16" t="str">
        <f aca="false">IF($A256="","",IF(ISERROR(FIND(".",INDEX(Tasks!$A:$A,$A256))),"","   ")&amp;INDEX(Tasks!$D:$D,$A256))</f>
        <v/>
      </c>
      <c r="D256" s="16" t="str">
        <f aca="false">IF($A256="","",IF(OR(INDEX(Tasks!$G:$G,$A256)="",INDEX(Tasks!$G:$G,$A256)="TBD"),INDEX(Tasks!$F:$F,$A256),INDEX(Tasks!$G:$G,$A256)))</f>
        <v/>
      </c>
      <c r="E256" s="16" t="str">
        <f aca="false">IF($A256="","",IF(INDEX(Tasks!$H:$H,$A256)="","",INDEX(Tasks!$H:$H,$A256)))</f>
        <v/>
      </c>
      <c r="F256" s="17" t="str">
        <f aca="false">IF($A256="","",IF(INDEX(Tasks!$I:$I,$A256)="","",INDEX(Tasks!$I:$I,$A256)))</f>
        <v/>
      </c>
      <c r="G256" s="17" t="str">
        <f aca="false">IF($A256="","",IF(INDEX(Tasks!$K:$K,$A256)="","",INDEX(Tasks!$K:$K,$A256)))</f>
        <v/>
      </c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  <c r="AG256" s="18"/>
      <c r="AH256" s="18"/>
      <c r="AI256" s="18"/>
      <c r="AJ256" s="18"/>
      <c r="AK256" s="18"/>
      <c r="AL256" s="18"/>
      <c r="AM256" s="18"/>
      <c r="AN256" s="18"/>
      <c r="AO256" s="18"/>
      <c r="AP256" s="18"/>
      <c r="AQ256" s="18"/>
      <c r="AR256" s="18"/>
      <c r="AS256" s="18"/>
      <c r="AT256" s="18"/>
      <c r="AU256" s="18"/>
      <c r="AV256" s="18"/>
      <c r="AW256" s="18"/>
      <c r="AX256" s="18"/>
      <c r="AY256" s="18"/>
    </row>
    <row r="257" customFormat="false" ht="15" hidden="false" customHeight="false" outlineLevel="0" collapsed="false">
      <c r="A257" s="15" t="str">
        <f aca="false">IFERROR(MATCH(ROW()-11,Tasks!$R$4:$R$403,0)+3,"")</f>
        <v/>
      </c>
      <c r="B257" s="16" t="str">
        <f aca="false">IF($A257="","",INDEX(Tasks!$A:$A,$A257))</f>
        <v/>
      </c>
      <c r="C257" s="16" t="str">
        <f aca="false">IF($A257="","",IF(ISERROR(FIND(".",INDEX(Tasks!$A:$A,$A257))),"","   ")&amp;INDEX(Tasks!$D:$D,$A257))</f>
        <v/>
      </c>
      <c r="D257" s="16" t="str">
        <f aca="false">IF($A257="","",IF(OR(INDEX(Tasks!$G:$G,$A257)="",INDEX(Tasks!$G:$G,$A257)="TBD"),INDEX(Tasks!$F:$F,$A257),INDEX(Tasks!$G:$G,$A257)))</f>
        <v/>
      </c>
      <c r="E257" s="16" t="str">
        <f aca="false">IF($A257="","",IF(INDEX(Tasks!$H:$H,$A257)="","",INDEX(Tasks!$H:$H,$A257)))</f>
        <v/>
      </c>
      <c r="F257" s="17" t="str">
        <f aca="false">IF($A257="","",IF(INDEX(Tasks!$I:$I,$A257)="","",INDEX(Tasks!$I:$I,$A257)))</f>
        <v/>
      </c>
      <c r="G257" s="17" t="str">
        <f aca="false">IF($A257="","",IF(INDEX(Tasks!$K:$K,$A257)="","",INDEX(Tasks!$K:$K,$A257)))</f>
        <v/>
      </c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  <c r="AG257" s="18"/>
      <c r="AH257" s="18"/>
      <c r="AI257" s="18"/>
      <c r="AJ257" s="18"/>
      <c r="AK257" s="18"/>
      <c r="AL257" s="18"/>
      <c r="AM257" s="18"/>
      <c r="AN257" s="18"/>
      <c r="AO257" s="18"/>
      <c r="AP257" s="18"/>
      <c r="AQ257" s="18"/>
      <c r="AR257" s="18"/>
      <c r="AS257" s="18"/>
      <c r="AT257" s="18"/>
      <c r="AU257" s="18"/>
      <c r="AV257" s="18"/>
      <c r="AW257" s="18"/>
      <c r="AX257" s="18"/>
      <c r="AY257" s="18"/>
    </row>
    <row r="258" customFormat="false" ht="15" hidden="false" customHeight="false" outlineLevel="0" collapsed="false">
      <c r="A258" s="15" t="str">
        <f aca="false">IFERROR(MATCH(ROW()-11,Tasks!$R$4:$R$403,0)+3,"")</f>
        <v/>
      </c>
      <c r="B258" s="16" t="str">
        <f aca="false">IF($A258="","",INDEX(Tasks!$A:$A,$A258))</f>
        <v/>
      </c>
      <c r="C258" s="16" t="str">
        <f aca="false">IF($A258="","",IF(ISERROR(FIND(".",INDEX(Tasks!$A:$A,$A258))),"","   ")&amp;INDEX(Tasks!$D:$D,$A258))</f>
        <v/>
      </c>
      <c r="D258" s="16" t="str">
        <f aca="false">IF($A258="","",IF(OR(INDEX(Tasks!$G:$G,$A258)="",INDEX(Tasks!$G:$G,$A258)="TBD"),INDEX(Tasks!$F:$F,$A258),INDEX(Tasks!$G:$G,$A258)))</f>
        <v/>
      </c>
      <c r="E258" s="16" t="str">
        <f aca="false">IF($A258="","",IF(INDEX(Tasks!$H:$H,$A258)="","",INDEX(Tasks!$H:$H,$A258)))</f>
        <v/>
      </c>
      <c r="F258" s="17" t="str">
        <f aca="false">IF($A258="","",IF(INDEX(Tasks!$I:$I,$A258)="","",INDEX(Tasks!$I:$I,$A258)))</f>
        <v/>
      </c>
      <c r="G258" s="17" t="str">
        <f aca="false">IF($A258="","",IF(INDEX(Tasks!$K:$K,$A258)="","",INDEX(Tasks!$K:$K,$A258)))</f>
        <v/>
      </c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  <c r="AG258" s="18"/>
      <c r="AH258" s="18"/>
      <c r="AI258" s="18"/>
      <c r="AJ258" s="18"/>
      <c r="AK258" s="18"/>
      <c r="AL258" s="18"/>
      <c r="AM258" s="18"/>
      <c r="AN258" s="18"/>
      <c r="AO258" s="18"/>
      <c r="AP258" s="18"/>
      <c r="AQ258" s="18"/>
      <c r="AR258" s="18"/>
      <c r="AS258" s="18"/>
      <c r="AT258" s="18"/>
      <c r="AU258" s="18"/>
      <c r="AV258" s="18"/>
      <c r="AW258" s="18"/>
      <c r="AX258" s="18"/>
      <c r="AY258" s="18"/>
    </row>
    <row r="259" customFormat="false" ht="15" hidden="false" customHeight="false" outlineLevel="0" collapsed="false">
      <c r="A259" s="15" t="str">
        <f aca="false">IFERROR(MATCH(ROW()-11,Tasks!$R$4:$R$403,0)+3,"")</f>
        <v/>
      </c>
      <c r="B259" s="16" t="str">
        <f aca="false">IF($A259="","",INDEX(Tasks!$A:$A,$A259))</f>
        <v/>
      </c>
      <c r="C259" s="16" t="str">
        <f aca="false">IF($A259="","",IF(ISERROR(FIND(".",INDEX(Tasks!$A:$A,$A259))),"","   ")&amp;INDEX(Tasks!$D:$D,$A259))</f>
        <v/>
      </c>
      <c r="D259" s="16" t="str">
        <f aca="false">IF($A259="","",IF(OR(INDEX(Tasks!$G:$G,$A259)="",INDEX(Tasks!$G:$G,$A259)="TBD"),INDEX(Tasks!$F:$F,$A259),INDEX(Tasks!$G:$G,$A259)))</f>
        <v/>
      </c>
      <c r="E259" s="16" t="str">
        <f aca="false">IF($A259="","",IF(INDEX(Tasks!$H:$H,$A259)="","",INDEX(Tasks!$H:$H,$A259)))</f>
        <v/>
      </c>
      <c r="F259" s="17" t="str">
        <f aca="false">IF($A259="","",IF(INDEX(Tasks!$I:$I,$A259)="","",INDEX(Tasks!$I:$I,$A259)))</f>
        <v/>
      </c>
      <c r="G259" s="17" t="str">
        <f aca="false">IF($A259="","",IF(INDEX(Tasks!$K:$K,$A259)="","",INDEX(Tasks!$K:$K,$A259)))</f>
        <v/>
      </c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  <c r="AG259" s="18"/>
      <c r="AH259" s="18"/>
      <c r="AI259" s="18"/>
      <c r="AJ259" s="18"/>
      <c r="AK259" s="18"/>
      <c r="AL259" s="18"/>
      <c r="AM259" s="18"/>
      <c r="AN259" s="18"/>
      <c r="AO259" s="18"/>
      <c r="AP259" s="18"/>
      <c r="AQ259" s="18"/>
      <c r="AR259" s="18"/>
      <c r="AS259" s="18"/>
      <c r="AT259" s="18"/>
      <c r="AU259" s="18"/>
      <c r="AV259" s="18"/>
      <c r="AW259" s="18"/>
      <c r="AX259" s="18"/>
      <c r="AY259" s="18"/>
    </row>
    <row r="260" customFormat="false" ht="15" hidden="false" customHeight="false" outlineLevel="0" collapsed="false">
      <c r="A260" s="15" t="str">
        <f aca="false">IFERROR(MATCH(ROW()-11,Tasks!$R$4:$R$403,0)+3,"")</f>
        <v/>
      </c>
      <c r="B260" s="16" t="str">
        <f aca="false">IF($A260="","",INDEX(Tasks!$A:$A,$A260))</f>
        <v/>
      </c>
      <c r="C260" s="16" t="str">
        <f aca="false">IF($A260="","",IF(ISERROR(FIND(".",INDEX(Tasks!$A:$A,$A260))),"","   ")&amp;INDEX(Tasks!$D:$D,$A260))</f>
        <v/>
      </c>
      <c r="D260" s="16" t="str">
        <f aca="false">IF($A260="","",IF(OR(INDEX(Tasks!$G:$G,$A260)="",INDEX(Tasks!$G:$G,$A260)="TBD"),INDEX(Tasks!$F:$F,$A260),INDEX(Tasks!$G:$G,$A260)))</f>
        <v/>
      </c>
      <c r="E260" s="16" t="str">
        <f aca="false">IF($A260="","",IF(INDEX(Tasks!$H:$H,$A260)="","",INDEX(Tasks!$H:$H,$A260)))</f>
        <v/>
      </c>
      <c r="F260" s="17" t="str">
        <f aca="false">IF($A260="","",IF(INDEX(Tasks!$I:$I,$A260)="","",INDEX(Tasks!$I:$I,$A260)))</f>
        <v/>
      </c>
      <c r="G260" s="17" t="str">
        <f aca="false">IF($A260="","",IF(INDEX(Tasks!$K:$K,$A260)="","",INDEX(Tasks!$K:$K,$A260)))</f>
        <v/>
      </c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  <c r="AG260" s="18"/>
      <c r="AH260" s="18"/>
      <c r="AI260" s="18"/>
      <c r="AJ260" s="18"/>
      <c r="AK260" s="18"/>
      <c r="AL260" s="18"/>
      <c r="AM260" s="18"/>
      <c r="AN260" s="18"/>
      <c r="AO260" s="18"/>
      <c r="AP260" s="18"/>
      <c r="AQ260" s="18"/>
      <c r="AR260" s="18"/>
      <c r="AS260" s="18"/>
      <c r="AT260" s="18"/>
      <c r="AU260" s="18"/>
      <c r="AV260" s="18"/>
      <c r="AW260" s="18"/>
      <c r="AX260" s="18"/>
      <c r="AY260" s="18"/>
    </row>
    <row r="261" customFormat="false" ht="15" hidden="false" customHeight="false" outlineLevel="0" collapsed="false">
      <c r="A261" s="15" t="str">
        <f aca="false">IFERROR(MATCH(ROW()-11,Tasks!$R$4:$R$403,0)+3,"")</f>
        <v/>
      </c>
      <c r="B261" s="16" t="str">
        <f aca="false">IF($A261="","",INDEX(Tasks!$A:$A,$A261))</f>
        <v/>
      </c>
      <c r="C261" s="16" t="str">
        <f aca="false">IF($A261="","",IF(ISERROR(FIND(".",INDEX(Tasks!$A:$A,$A261))),"","   ")&amp;INDEX(Tasks!$D:$D,$A261))</f>
        <v/>
      </c>
      <c r="D261" s="16" t="str">
        <f aca="false">IF($A261="","",IF(OR(INDEX(Tasks!$G:$G,$A261)="",INDEX(Tasks!$G:$G,$A261)="TBD"),INDEX(Tasks!$F:$F,$A261),INDEX(Tasks!$G:$G,$A261)))</f>
        <v/>
      </c>
      <c r="E261" s="16" t="str">
        <f aca="false">IF($A261="","",IF(INDEX(Tasks!$H:$H,$A261)="","",INDEX(Tasks!$H:$H,$A261)))</f>
        <v/>
      </c>
      <c r="F261" s="17" t="str">
        <f aca="false">IF($A261="","",IF(INDEX(Tasks!$I:$I,$A261)="","",INDEX(Tasks!$I:$I,$A261)))</f>
        <v/>
      </c>
      <c r="G261" s="17" t="str">
        <f aca="false">IF($A261="","",IF(INDEX(Tasks!$K:$K,$A261)="","",INDEX(Tasks!$K:$K,$A261)))</f>
        <v/>
      </c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  <c r="AG261" s="18"/>
      <c r="AH261" s="18"/>
      <c r="AI261" s="18"/>
      <c r="AJ261" s="18"/>
      <c r="AK261" s="18"/>
      <c r="AL261" s="18"/>
      <c r="AM261" s="18"/>
      <c r="AN261" s="18"/>
      <c r="AO261" s="18"/>
      <c r="AP261" s="18"/>
      <c r="AQ261" s="18"/>
      <c r="AR261" s="18"/>
      <c r="AS261" s="18"/>
      <c r="AT261" s="18"/>
      <c r="AU261" s="18"/>
      <c r="AV261" s="18"/>
      <c r="AW261" s="18"/>
      <c r="AX261" s="18"/>
      <c r="AY261" s="18"/>
    </row>
    <row r="262" customFormat="false" ht="15" hidden="false" customHeight="false" outlineLevel="0" collapsed="false">
      <c r="A262" s="15" t="str">
        <f aca="false">IFERROR(MATCH(ROW()-11,Tasks!$R$4:$R$403,0)+3,"")</f>
        <v/>
      </c>
      <c r="B262" s="16" t="str">
        <f aca="false">IF($A262="","",INDEX(Tasks!$A:$A,$A262))</f>
        <v/>
      </c>
      <c r="C262" s="16" t="str">
        <f aca="false">IF($A262="","",IF(ISERROR(FIND(".",INDEX(Tasks!$A:$A,$A262))),"","   ")&amp;INDEX(Tasks!$D:$D,$A262))</f>
        <v/>
      </c>
      <c r="D262" s="16" t="str">
        <f aca="false">IF($A262="","",IF(OR(INDEX(Tasks!$G:$G,$A262)="",INDEX(Tasks!$G:$G,$A262)="TBD"),INDEX(Tasks!$F:$F,$A262),INDEX(Tasks!$G:$G,$A262)))</f>
        <v/>
      </c>
      <c r="E262" s="16" t="str">
        <f aca="false">IF($A262="","",IF(INDEX(Tasks!$H:$H,$A262)="","",INDEX(Tasks!$H:$H,$A262)))</f>
        <v/>
      </c>
      <c r="F262" s="17" t="str">
        <f aca="false">IF($A262="","",IF(INDEX(Tasks!$I:$I,$A262)="","",INDEX(Tasks!$I:$I,$A262)))</f>
        <v/>
      </c>
      <c r="G262" s="17" t="str">
        <f aca="false">IF($A262="","",IF(INDEX(Tasks!$K:$K,$A262)="","",INDEX(Tasks!$K:$K,$A262)))</f>
        <v/>
      </c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  <c r="AG262" s="18"/>
      <c r="AH262" s="18"/>
      <c r="AI262" s="18"/>
      <c r="AJ262" s="18"/>
      <c r="AK262" s="18"/>
      <c r="AL262" s="18"/>
      <c r="AM262" s="18"/>
      <c r="AN262" s="18"/>
      <c r="AO262" s="18"/>
      <c r="AP262" s="18"/>
      <c r="AQ262" s="18"/>
      <c r="AR262" s="18"/>
      <c r="AS262" s="18"/>
      <c r="AT262" s="18"/>
      <c r="AU262" s="18"/>
      <c r="AV262" s="18"/>
      <c r="AW262" s="18"/>
      <c r="AX262" s="18"/>
      <c r="AY262" s="18"/>
    </row>
    <row r="263" customFormat="false" ht="15" hidden="false" customHeight="false" outlineLevel="0" collapsed="false">
      <c r="A263" s="15" t="str">
        <f aca="false">IFERROR(MATCH(ROW()-11,Tasks!$R$4:$R$403,0)+3,"")</f>
        <v/>
      </c>
      <c r="B263" s="16" t="str">
        <f aca="false">IF($A263="","",INDEX(Tasks!$A:$A,$A263))</f>
        <v/>
      </c>
      <c r="C263" s="16" t="str">
        <f aca="false">IF($A263="","",IF(ISERROR(FIND(".",INDEX(Tasks!$A:$A,$A263))),"","   ")&amp;INDEX(Tasks!$D:$D,$A263))</f>
        <v/>
      </c>
      <c r="D263" s="16" t="str">
        <f aca="false">IF($A263="","",IF(OR(INDEX(Tasks!$G:$G,$A263)="",INDEX(Tasks!$G:$G,$A263)="TBD"),INDEX(Tasks!$F:$F,$A263),INDEX(Tasks!$G:$G,$A263)))</f>
        <v/>
      </c>
      <c r="E263" s="16" t="str">
        <f aca="false">IF($A263="","",IF(INDEX(Tasks!$H:$H,$A263)="","",INDEX(Tasks!$H:$H,$A263)))</f>
        <v/>
      </c>
      <c r="F263" s="17" t="str">
        <f aca="false">IF($A263="","",IF(INDEX(Tasks!$I:$I,$A263)="","",INDEX(Tasks!$I:$I,$A263)))</f>
        <v/>
      </c>
      <c r="G263" s="17" t="str">
        <f aca="false">IF($A263="","",IF(INDEX(Tasks!$K:$K,$A263)="","",INDEX(Tasks!$K:$K,$A263)))</f>
        <v/>
      </c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  <c r="AG263" s="18"/>
      <c r="AH263" s="18"/>
      <c r="AI263" s="18"/>
      <c r="AJ263" s="18"/>
      <c r="AK263" s="18"/>
      <c r="AL263" s="18"/>
      <c r="AM263" s="18"/>
      <c r="AN263" s="18"/>
      <c r="AO263" s="18"/>
      <c r="AP263" s="18"/>
      <c r="AQ263" s="18"/>
      <c r="AR263" s="18"/>
      <c r="AS263" s="18"/>
      <c r="AT263" s="18"/>
      <c r="AU263" s="18"/>
      <c r="AV263" s="18"/>
      <c r="AW263" s="18"/>
      <c r="AX263" s="18"/>
      <c r="AY263" s="18"/>
    </row>
    <row r="264" customFormat="false" ht="15" hidden="false" customHeight="false" outlineLevel="0" collapsed="false">
      <c r="A264" s="15" t="str">
        <f aca="false">IFERROR(MATCH(ROW()-11,Tasks!$R$4:$R$403,0)+3,"")</f>
        <v/>
      </c>
      <c r="B264" s="16" t="str">
        <f aca="false">IF($A264="","",INDEX(Tasks!$A:$A,$A264))</f>
        <v/>
      </c>
      <c r="C264" s="16" t="str">
        <f aca="false">IF($A264="","",IF(ISERROR(FIND(".",INDEX(Tasks!$A:$A,$A264))),"","   ")&amp;INDEX(Tasks!$D:$D,$A264))</f>
        <v/>
      </c>
      <c r="D264" s="16" t="str">
        <f aca="false">IF($A264="","",IF(OR(INDEX(Tasks!$G:$G,$A264)="",INDEX(Tasks!$G:$G,$A264)="TBD"),INDEX(Tasks!$F:$F,$A264),INDEX(Tasks!$G:$G,$A264)))</f>
        <v/>
      </c>
      <c r="E264" s="16" t="str">
        <f aca="false">IF($A264="","",IF(INDEX(Tasks!$H:$H,$A264)="","",INDEX(Tasks!$H:$H,$A264)))</f>
        <v/>
      </c>
      <c r="F264" s="17" t="str">
        <f aca="false">IF($A264="","",IF(INDEX(Tasks!$I:$I,$A264)="","",INDEX(Tasks!$I:$I,$A264)))</f>
        <v/>
      </c>
      <c r="G264" s="17" t="str">
        <f aca="false">IF($A264="","",IF(INDEX(Tasks!$K:$K,$A264)="","",INDEX(Tasks!$K:$K,$A264)))</f>
        <v/>
      </c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  <c r="AG264" s="18"/>
      <c r="AH264" s="18"/>
      <c r="AI264" s="18"/>
      <c r="AJ264" s="18"/>
      <c r="AK264" s="18"/>
      <c r="AL264" s="18"/>
      <c r="AM264" s="18"/>
      <c r="AN264" s="18"/>
      <c r="AO264" s="18"/>
      <c r="AP264" s="18"/>
      <c r="AQ264" s="18"/>
      <c r="AR264" s="18"/>
      <c r="AS264" s="18"/>
      <c r="AT264" s="18"/>
      <c r="AU264" s="18"/>
      <c r="AV264" s="18"/>
      <c r="AW264" s="18"/>
      <c r="AX264" s="18"/>
      <c r="AY264" s="18"/>
    </row>
    <row r="265" customFormat="false" ht="15" hidden="false" customHeight="false" outlineLevel="0" collapsed="false">
      <c r="A265" s="15" t="str">
        <f aca="false">IFERROR(MATCH(ROW()-11,Tasks!$R$4:$R$403,0)+3,"")</f>
        <v/>
      </c>
      <c r="B265" s="16" t="str">
        <f aca="false">IF($A265="","",INDEX(Tasks!$A:$A,$A265))</f>
        <v/>
      </c>
      <c r="C265" s="16" t="str">
        <f aca="false">IF($A265="","",IF(ISERROR(FIND(".",INDEX(Tasks!$A:$A,$A265))),"","   ")&amp;INDEX(Tasks!$D:$D,$A265))</f>
        <v/>
      </c>
      <c r="D265" s="16" t="str">
        <f aca="false">IF($A265="","",IF(OR(INDEX(Tasks!$G:$G,$A265)="",INDEX(Tasks!$G:$G,$A265)="TBD"),INDEX(Tasks!$F:$F,$A265),INDEX(Tasks!$G:$G,$A265)))</f>
        <v/>
      </c>
      <c r="E265" s="16" t="str">
        <f aca="false">IF($A265="","",IF(INDEX(Tasks!$H:$H,$A265)="","",INDEX(Tasks!$H:$H,$A265)))</f>
        <v/>
      </c>
      <c r="F265" s="17" t="str">
        <f aca="false">IF($A265="","",IF(INDEX(Tasks!$I:$I,$A265)="","",INDEX(Tasks!$I:$I,$A265)))</f>
        <v/>
      </c>
      <c r="G265" s="17" t="str">
        <f aca="false">IF($A265="","",IF(INDEX(Tasks!$K:$K,$A265)="","",INDEX(Tasks!$K:$K,$A265)))</f>
        <v/>
      </c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  <c r="AG265" s="18"/>
      <c r="AH265" s="18"/>
      <c r="AI265" s="18"/>
      <c r="AJ265" s="18"/>
      <c r="AK265" s="18"/>
      <c r="AL265" s="18"/>
      <c r="AM265" s="18"/>
      <c r="AN265" s="18"/>
      <c r="AO265" s="18"/>
      <c r="AP265" s="18"/>
      <c r="AQ265" s="18"/>
      <c r="AR265" s="18"/>
      <c r="AS265" s="18"/>
      <c r="AT265" s="18"/>
      <c r="AU265" s="18"/>
      <c r="AV265" s="18"/>
      <c r="AW265" s="18"/>
      <c r="AX265" s="18"/>
      <c r="AY265" s="18"/>
    </row>
    <row r="266" customFormat="false" ht="15" hidden="false" customHeight="false" outlineLevel="0" collapsed="false">
      <c r="A266" s="15" t="str">
        <f aca="false">IFERROR(MATCH(ROW()-11,Tasks!$R$4:$R$403,0)+3,"")</f>
        <v/>
      </c>
      <c r="B266" s="16" t="str">
        <f aca="false">IF($A266="","",INDEX(Tasks!$A:$A,$A266))</f>
        <v/>
      </c>
      <c r="C266" s="16" t="str">
        <f aca="false">IF($A266="","",IF(ISERROR(FIND(".",INDEX(Tasks!$A:$A,$A266))),"","   ")&amp;INDEX(Tasks!$D:$D,$A266))</f>
        <v/>
      </c>
      <c r="D266" s="16" t="str">
        <f aca="false">IF($A266="","",IF(OR(INDEX(Tasks!$G:$G,$A266)="",INDEX(Tasks!$G:$G,$A266)="TBD"),INDEX(Tasks!$F:$F,$A266),INDEX(Tasks!$G:$G,$A266)))</f>
        <v/>
      </c>
      <c r="E266" s="16" t="str">
        <f aca="false">IF($A266="","",IF(INDEX(Tasks!$H:$H,$A266)="","",INDEX(Tasks!$H:$H,$A266)))</f>
        <v/>
      </c>
      <c r="F266" s="17" t="str">
        <f aca="false">IF($A266="","",IF(INDEX(Tasks!$I:$I,$A266)="","",INDEX(Tasks!$I:$I,$A266)))</f>
        <v/>
      </c>
      <c r="G266" s="17" t="str">
        <f aca="false">IF($A266="","",IF(INDEX(Tasks!$K:$K,$A266)="","",INDEX(Tasks!$K:$K,$A266)))</f>
        <v/>
      </c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  <c r="AG266" s="18"/>
      <c r="AH266" s="18"/>
      <c r="AI266" s="18"/>
      <c r="AJ266" s="18"/>
      <c r="AK266" s="18"/>
      <c r="AL266" s="18"/>
      <c r="AM266" s="18"/>
      <c r="AN266" s="18"/>
      <c r="AO266" s="18"/>
      <c r="AP266" s="18"/>
      <c r="AQ266" s="18"/>
      <c r="AR266" s="18"/>
      <c r="AS266" s="18"/>
      <c r="AT266" s="18"/>
      <c r="AU266" s="18"/>
      <c r="AV266" s="18"/>
      <c r="AW266" s="18"/>
      <c r="AX266" s="18"/>
      <c r="AY266" s="18"/>
    </row>
    <row r="267" customFormat="false" ht="15" hidden="false" customHeight="false" outlineLevel="0" collapsed="false">
      <c r="A267" s="15" t="str">
        <f aca="false">IFERROR(MATCH(ROW()-11,Tasks!$R$4:$R$403,0)+3,"")</f>
        <v/>
      </c>
      <c r="B267" s="16" t="str">
        <f aca="false">IF($A267="","",INDEX(Tasks!$A:$A,$A267))</f>
        <v/>
      </c>
      <c r="C267" s="16" t="str">
        <f aca="false">IF($A267="","",IF(ISERROR(FIND(".",INDEX(Tasks!$A:$A,$A267))),"","   ")&amp;INDEX(Tasks!$D:$D,$A267))</f>
        <v/>
      </c>
      <c r="D267" s="16" t="str">
        <f aca="false">IF($A267="","",IF(OR(INDEX(Tasks!$G:$G,$A267)="",INDEX(Tasks!$G:$G,$A267)="TBD"),INDEX(Tasks!$F:$F,$A267),INDEX(Tasks!$G:$G,$A267)))</f>
        <v/>
      </c>
      <c r="E267" s="16" t="str">
        <f aca="false">IF($A267="","",IF(INDEX(Tasks!$H:$H,$A267)="","",INDEX(Tasks!$H:$H,$A267)))</f>
        <v/>
      </c>
      <c r="F267" s="17" t="str">
        <f aca="false">IF($A267="","",IF(INDEX(Tasks!$I:$I,$A267)="","",INDEX(Tasks!$I:$I,$A267)))</f>
        <v/>
      </c>
      <c r="G267" s="17" t="str">
        <f aca="false">IF($A267="","",IF(INDEX(Tasks!$K:$K,$A267)="","",INDEX(Tasks!$K:$K,$A267)))</f>
        <v/>
      </c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  <c r="AG267" s="18"/>
      <c r="AH267" s="18"/>
      <c r="AI267" s="18"/>
      <c r="AJ267" s="18"/>
      <c r="AK267" s="18"/>
      <c r="AL267" s="18"/>
      <c r="AM267" s="18"/>
      <c r="AN267" s="18"/>
      <c r="AO267" s="18"/>
      <c r="AP267" s="18"/>
      <c r="AQ267" s="18"/>
      <c r="AR267" s="18"/>
      <c r="AS267" s="18"/>
      <c r="AT267" s="18"/>
      <c r="AU267" s="18"/>
      <c r="AV267" s="18"/>
      <c r="AW267" s="18"/>
      <c r="AX267" s="18"/>
      <c r="AY267" s="18"/>
    </row>
    <row r="268" customFormat="false" ht="15" hidden="false" customHeight="false" outlineLevel="0" collapsed="false">
      <c r="A268" s="15" t="str">
        <f aca="false">IFERROR(MATCH(ROW()-11,Tasks!$R$4:$R$403,0)+3,"")</f>
        <v/>
      </c>
      <c r="B268" s="16" t="str">
        <f aca="false">IF($A268="","",INDEX(Tasks!$A:$A,$A268))</f>
        <v/>
      </c>
      <c r="C268" s="16" t="str">
        <f aca="false">IF($A268="","",IF(ISERROR(FIND(".",INDEX(Tasks!$A:$A,$A268))),"","   ")&amp;INDEX(Tasks!$D:$D,$A268))</f>
        <v/>
      </c>
      <c r="D268" s="16" t="str">
        <f aca="false">IF($A268="","",IF(OR(INDEX(Tasks!$G:$G,$A268)="",INDEX(Tasks!$G:$G,$A268)="TBD"),INDEX(Tasks!$F:$F,$A268),INDEX(Tasks!$G:$G,$A268)))</f>
        <v/>
      </c>
      <c r="E268" s="16" t="str">
        <f aca="false">IF($A268="","",IF(INDEX(Tasks!$H:$H,$A268)="","",INDEX(Tasks!$H:$H,$A268)))</f>
        <v/>
      </c>
      <c r="F268" s="17" t="str">
        <f aca="false">IF($A268="","",IF(INDEX(Tasks!$I:$I,$A268)="","",INDEX(Tasks!$I:$I,$A268)))</f>
        <v/>
      </c>
      <c r="G268" s="17" t="str">
        <f aca="false">IF($A268="","",IF(INDEX(Tasks!$K:$K,$A268)="","",INDEX(Tasks!$K:$K,$A268)))</f>
        <v/>
      </c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  <c r="AG268" s="18"/>
      <c r="AH268" s="18"/>
      <c r="AI268" s="18"/>
      <c r="AJ268" s="18"/>
      <c r="AK268" s="18"/>
      <c r="AL268" s="18"/>
      <c r="AM268" s="18"/>
      <c r="AN268" s="18"/>
      <c r="AO268" s="18"/>
      <c r="AP268" s="18"/>
      <c r="AQ268" s="18"/>
      <c r="AR268" s="18"/>
      <c r="AS268" s="18"/>
      <c r="AT268" s="18"/>
      <c r="AU268" s="18"/>
      <c r="AV268" s="18"/>
      <c r="AW268" s="18"/>
      <c r="AX268" s="18"/>
      <c r="AY268" s="18"/>
    </row>
    <row r="269" customFormat="false" ht="15" hidden="false" customHeight="false" outlineLevel="0" collapsed="false">
      <c r="A269" s="15" t="str">
        <f aca="false">IFERROR(MATCH(ROW()-11,Tasks!$R$4:$R$403,0)+3,"")</f>
        <v/>
      </c>
      <c r="B269" s="16" t="str">
        <f aca="false">IF($A269="","",INDEX(Tasks!$A:$A,$A269))</f>
        <v/>
      </c>
      <c r="C269" s="16" t="str">
        <f aca="false">IF($A269="","",IF(ISERROR(FIND(".",INDEX(Tasks!$A:$A,$A269))),"","   ")&amp;INDEX(Tasks!$D:$D,$A269))</f>
        <v/>
      </c>
      <c r="D269" s="16" t="str">
        <f aca="false">IF($A269="","",IF(OR(INDEX(Tasks!$G:$G,$A269)="",INDEX(Tasks!$G:$G,$A269)="TBD"),INDEX(Tasks!$F:$F,$A269),INDEX(Tasks!$G:$G,$A269)))</f>
        <v/>
      </c>
      <c r="E269" s="16" t="str">
        <f aca="false">IF($A269="","",IF(INDEX(Tasks!$H:$H,$A269)="","",INDEX(Tasks!$H:$H,$A269)))</f>
        <v/>
      </c>
      <c r="F269" s="17" t="str">
        <f aca="false">IF($A269="","",IF(INDEX(Tasks!$I:$I,$A269)="","",INDEX(Tasks!$I:$I,$A269)))</f>
        <v/>
      </c>
      <c r="G269" s="17" t="str">
        <f aca="false">IF($A269="","",IF(INDEX(Tasks!$K:$K,$A269)="","",INDEX(Tasks!$K:$K,$A269)))</f>
        <v/>
      </c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  <c r="AG269" s="18"/>
      <c r="AH269" s="18"/>
      <c r="AI269" s="18"/>
      <c r="AJ269" s="18"/>
      <c r="AK269" s="18"/>
      <c r="AL269" s="18"/>
      <c r="AM269" s="18"/>
      <c r="AN269" s="18"/>
      <c r="AO269" s="18"/>
      <c r="AP269" s="18"/>
      <c r="AQ269" s="18"/>
      <c r="AR269" s="18"/>
      <c r="AS269" s="18"/>
      <c r="AT269" s="18"/>
      <c r="AU269" s="18"/>
      <c r="AV269" s="18"/>
      <c r="AW269" s="18"/>
      <c r="AX269" s="18"/>
      <c r="AY269" s="18"/>
    </row>
    <row r="270" customFormat="false" ht="15" hidden="false" customHeight="false" outlineLevel="0" collapsed="false">
      <c r="A270" s="15" t="str">
        <f aca="false">IFERROR(MATCH(ROW()-11,Tasks!$R$4:$R$403,0)+3,"")</f>
        <v/>
      </c>
      <c r="B270" s="16" t="str">
        <f aca="false">IF($A270="","",INDEX(Tasks!$A:$A,$A270))</f>
        <v/>
      </c>
      <c r="C270" s="16" t="str">
        <f aca="false">IF($A270="","",IF(ISERROR(FIND(".",INDEX(Tasks!$A:$A,$A270))),"","   ")&amp;INDEX(Tasks!$D:$D,$A270))</f>
        <v/>
      </c>
      <c r="D270" s="16" t="str">
        <f aca="false">IF($A270="","",IF(OR(INDEX(Tasks!$G:$G,$A270)="",INDEX(Tasks!$G:$G,$A270)="TBD"),INDEX(Tasks!$F:$F,$A270),INDEX(Tasks!$G:$G,$A270)))</f>
        <v/>
      </c>
      <c r="E270" s="16" t="str">
        <f aca="false">IF($A270="","",IF(INDEX(Tasks!$H:$H,$A270)="","",INDEX(Tasks!$H:$H,$A270)))</f>
        <v/>
      </c>
      <c r="F270" s="17" t="str">
        <f aca="false">IF($A270="","",IF(INDEX(Tasks!$I:$I,$A270)="","",INDEX(Tasks!$I:$I,$A270)))</f>
        <v/>
      </c>
      <c r="G270" s="17" t="str">
        <f aca="false">IF($A270="","",IF(INDEX(Tasks!$K:$K,$A270)="","",INDEX(Tasks!$K:$K,$A270)))</f>
        <v/>
      </c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  <c r="AG270" s="18"/>
      <c r="AH270" s="18"/>
      <c r="AI270" s="18"/>
      <c r="AJ270" s="18"/>
      <c r="AK270" s="18"/>
      <c r="AL270" s="18"/>
      <c r="AM270" s="18"/>
      <c r="AN270" s="18"/>
      <c r="AO270" s="18"/>
      <c r="AP270" s="18"/>
      <c r="AQ270" s="18"/>
      <c r="AR270" s="18"/>
      <c r="AS270" s="18"/>
      <c r="AT270" s="18"/>
      <c r="AU270" s="18"/>
      <c r="AV270" s="18"/>
      <c r="AW270" s="18"/>
      <c r="AX270" s="18"/>
      <c r="AY270" s="18"/>
    </row>
    <row r="271" customFormat="false" ht="15" hidden="false" customHeight="false" outlineLevel="0" collapsed="false">
      <c r="A271" s="15" t="str">
        <f aca="false">IFERROR(MATCH(ROW()-11,Tasks!$R$4:$R$403,0)+3,"")</f>
        <v/>
      </c>
      <c r="B271" s="16" t="str">
        <f aca="false">IF($A271="","",INDEX(Tasks!$A:$A,$A271))</f>
        <v/>
      </c>
      <c r="C271" s="16" t="str">
        <f aca="false">IF($A271="","",IF(ISERROR(FIND(".",INDEX(Tasks!$A:$A,$A271))),"","   ")&amp;INDEX(Tasks!$D:$D,$A271))</f>
        <v/>
      </c>
      <c r="D271" s="16" t="str">
        <f aca="false">IF($A271="","",IF(OR(INDEX(Tasks!$G:$G,$A271)="",INDEX(Tasks!$G:$G,$A271)="TBD"),INDEX(Tasks!$F:$F,$A271),INDEX(Tasks!$G:$G,$A271)))</f>
        <v/>
      </c>
      <c r="E271" s="16" t="str">
        <f aca="false">IF($A271="","",IF(INDEX(Tasks!$H:$H,$A271)="","",INDEX(Tasks!$H:$H,$A271)))</f>
        <v/>
      </c>
      <c r="F271" s="17" t="str">
        <f aca="false">IF($A271="","",IF(INDEX(Tasks!$I:$I,$A271)="","",INDEX(Tasks!$I:$I,$A271)))</f>
        <v/>
      </c>
      <c r="G271" s="17" t="str">
        <f aca="false">IF($A271="","",IF(INDEX(Tasks!$K:$K,$A271)="","",INDEX(Tasks!$K:$K,$A271)))</f>
        <v/>
      </c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  <c r="AG271" s="18"/>
      <c r="AH271" s="18"/>
      <c r="AI271" s="18"/>
      <c r="AJ271" s="18"/>
      <c r="AK271" s="18"/>
      <c r="AL271" s="18"/>
      <c r="AM271" s="18"/>
      <c r="AN271" s="18"/>
      <c r="AO271" s="18"/>
      <c r="AP271" s="18"/>
      <c r="AQ271" s="18"/>
      <c r="AR271" s="18"/>
      <c r="AS271" s="18"/>
      <c r="AT271" s="18"/>
      <c r="AU271" s="18"/>
      <c r="AV271" s="18"/>
      <c r="AW271" s="18"/>
      <c r="AX271" s="18"/>
      <c r="AY271" s="18"/>
    </row>
    <row r="272" customFormat="false" ht="15" hidden="false" customHeight="false" outlineLevel="0" collapsed="false">
      <c r="A272" s="15" t="str">
        <f aca="false">IFERROR(MATCH(ROW()-11,Tasks!$R$4:$R$403,0)+3,"")</f>
        <v/>
      </c>
      <c r="B272" s="16" t="str">
        <f aca="false">IF($A272="","",INDEX(Tasks!$A:$A,$A272))</f>
        <v/>
      </c>
      <c r="C272" s="16" t="str">
        <f aca="false">IF($A272="","",IF(ISERROR(FIND(".",INDEX(Tasks!$A:$A,$A272))),"","   ")&amp;INDEX(Tasks!$D:$D,$A272))</f>
        <v/>
      </c>
      <c r="D272" s="16" t="str">
        <f aca="false">IF($A272="","",IF(OR(INDEX(Tasks!$G:$G,$A272)="",INDEX(Tasks!$G:$G,$A272)="TBD"),INDEX(Tasks!$F:$F,$A272),INDEX(Tasks!$G:$G,$A272)))</f>
        <v/>
      </c>
      <c r="E272" s="16" t="str">
        <f aca="false">IF($A272="","",IF(INDEX(Tasks!$H:$H,$A272)="","",INDEX(Tasks!$H:$H,$A272)))</f>
        <v/>
      </c>
      <c r="F272" s="17" t="str">
        <f aca="false">IF($A272="","",IF(INDEX(Tasks!$I:$I,$A272)="","",INDEX(Tasks!$I:$I,$A272)))</f>
        <v/>
      </c>
      <c r="G272" s="17" t="str">
        <f aca="false">IF($A272="","",IF(INDEX(Tasks!$K:$K,$A272)="","",INDEX(Tasks!$K:$K,$A272)))</f>
        <v/>
      </c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  <c r="AG272" s="18"/>
      <c r="AH272" s="18"/>
      <c r="AI272" s="18"/>
      <c r="AJ272" s="18"/>
      <c r="AK272" s="18"/>
      <c r="AL272" s="18"/>
      <c r="AM272" s="18"/>
      <c r="AN272" s="18"/>
      <c r="AO272" s="18"/>
      <c r="AP272" s="18"/>
      <c r="AQ272" s="18"/>
      <c r="AR272" s="18"/>
      <c r="AS272" s="18"/>
      <c r="AT272" s="18"/>
      <c r="AU272" s="18"/>
      <c r="AV272" s="18"/>
      <c r="AW272" s="18"/>
      <c r="AX272" s="18"/>
      <c r="AY272" s="18"/>
    </row>
    <row r="273" customFormat="false" ht="15" hidden="false" customHeight="false" outlineLevel="0" collapsed="false">
      <c r="A273" s="15" t="str">
        <f aca="false">IFERROR(MATCH(ROW()-11,Tasks!$R$4:$R$403,0)+3,"")</f>
        <v/>
      </c>
      <c r="B273" s="16" t="str">
        <f aca="false">IF($A273="","",INDEX(Tasks!$A:$A,$A273))</f>
        <v/>
      </c>
      <c r="C273" s="16" t="str">
        <f aca="false">IF($A273="","",IF(ISERROR(FIND(".",INDEX(Tasks!$A:$A,$A273))),"","   ")&amp;INDEX(Tasks!$D:$D,$A273))</f>
        <v/>
      </c>
      <c r="D273" s="16" t="str">
        <f aca="false">IF($A273="","",IF(OR(INDEX(Tasks!$G:$G,$A273)="",INDEX(Tasks!$G:$G,$A273)="TBD"),INDEX(Tasks!$F:$F,$A273),INDEX(Tasks!$G:$G,$A273)))</f>
        <v/>
      </c>
      <c r="E273" s="16" t="str">
        <f aca="false">IF($A273="","",IF(INDEX(Tasks!$H:$H,$A273)="","",INDEX(Tasks!$H:$H,$A273)))</f>
        <v/>
      </c>
      <c r="F273" s="17" t="str">
        <f aca="false">IF($A273="","",IF(INDEX(Tasks!$I:$I,$A273)="","",INDEX(Tasks!$I:$I,$A273)))</f>
        <v/>
      </c>
      <c r="G273" s="17" t="str">
        <f aca="false">IF($A273="","",IF(INDEX(Tasks!$K:$K,$A273)="","",INDEX(Tasks!$K:$K,$A273)))</f>
        <v/>
      </c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  <c r="AG273" s="18"/>
      <c r="AH273" s="18"/>
      <c r="AI273" s="18"/>
      <c r="AJ273" s="18"/>
      <c r="AK273" s="18"/>
      <c r="AL273" s="18"/>
      <c r="AM273" s="18"/>
      <c r="AN273" s="18"/>
      <c r="AO273" s="18"/>
      <c r="AP273" s="18"/>
      <c r="AQ273" s="18"/>
      <c r="AR273" s="18"/>
      <c r="AS273" s="18"/>
      <c r="AT273" s="18"/>
      <c r="AU273" s="18"/>
      <c r="AV273" s="18"/>
      <c r="AW273" s="18"/>
      <c r="AX273" s="18"/>
      <c r="AY273" s="18"/>
    </row>
    <row r="274" customFormat="false" ht="15" hidden="false" customHeight="false" outlineLevel="0" collapsed="false">
      <c r="A274" s="15" t="str">
        <f aca="false">IFERROR(MATCH(ROW()-11,Tasks!$R$4:$R$403,0)+3,"")</f>
        <v/>
      </c>
      <c r="B274" s="16" t="str">
        <f aca="false">IF($A274="","",INDEX(Tasks!$A:$A,$A274))</f>
        <v/>
      </c>
      <c r="C274" s="16" t="str">
        <f aca="false">IF($A274="","",IF(ISERROR(FIND(".",INDEX(Tasks!$A:$A,$A274))),"","   ")&amp;INDEX(Tasks!$D:$D,$A274))</f>
        <v/>
      </c>
      <c r="D274" s="16" t="str">
        <f aca="false">IF($A274="","",IF(OR(INDEX(Tasks!$G:$G,$A274)="",INDEX(Tasks!$G:$G,$A274)="TBD"),INDEX(Tasks!$F:$F,$A274),INDEX(Tasks!$G:$G,$A274)))</f>
        <v/>
      </c>
      <c r="E274" s="16" t="str">
        <f aca="false">IF($A274="","",IF(INDEX(Tasks!$H:$H,$A274)="","",INDEX(Tasks!$H:$H,$A274)))</f>
        <v/>
      </c>
      <c r="F274" s="17" t="str">
        <f aca="false">IF($A274="","",IF(INDEX(Tasks!$I:$I,$A274)="","",INDEX(Tasks!$I:$I,$A274)))</f>
        <v/>
      </c>
      <c r="G274" s="17" t="str">
        <f aca="false">IF($A274="","",IF(INDEX(Tasks!$K:$K,$A274)="","",INDEX(Tasks!$K:$K,$A274)))</f>
        <v/>
      </c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  <c r="AG274" s="18"/>
      <c r="AH274" s="18"/>
      <c r="AI274" s="18"/>
      <c r="AJ274" s="18"/>
      <c r="AK274" s="18"/>
      <c r="AL274" s="18"/>
      <c r="AM274" s="18"/>
      <c r="AN274" s="18"/>
      <c r="AO274" s="18"/>
      <c r="AP274" s="18"/>
      <c r="AQ274" s="18"/>
      <c r="AR274" s="18"/>
      <c r="AS274" s="18"/>
      <c r="AT274" s="18"/>
      <c r="AU274" s="18"/>
      <c r="AV274" s="18"/>
      <c r="AW274" s="18"/>
      <c r="AX274" s="18"/>
      <c r="AY274" s="18"/>
    </row>
    <row r="275" customFormat="false" ht="15" hidden="false" customHeight="false" outlineLevel="0" collapsed="false">
      <c r="A275" s="15" t="str">
        <f aca="false">IFERROR(MATCH(ROW()-11,Tasks!$R$4:$R$403,0)+3,"")</f>
        <v/>
      </c>
      <c r="B275" s="16" t="str">
        <f aca="false">IF($A275="","",INDEX(Tasks!$A:$A,$A275))</f>
        <v/>
      </c>
      <c r="C275" s="16" t="str">
        <f aca="false">IF($A275="","",IF(ISERROR(FIND(".",INDEX(Tasks!$A:$A,$A275))),"","   ")&amp;INDEX(Tasks!$D:$D,$A275))</f>
        <v/>
      </c>
      <c r="D275" s="16" t="str">
        <f aca="false">IF($A275="","",IF(OR(INDEX(Tasks!$G:$G,$A275)="",INDEX(Tasks!$G:$G,$A275)="TBD"),INDEX(Tasks!$F:$F,$A275),INDEX(Tasks!$G:$G,$A275)))</f>
        <v/>
      </c>
      <c r="E275" s="16" t="str">
        <f aca="false">IF($A275="","",IF(INDEX(Tasks!$H:$H,$A275)="","",INDEX(Tasks!$H:$H,$A275)))</f>
        <v/>
      </c>
      <c r="F275" s="17" t="str">
        <f aca="false">IF($A275="","",IF(INDEX(Tasks!$I:$I,$A275)="","",INDEX(Tasks!$I:$I,$A275)))</f>
        <v/>
      </c>
      <c r="G275" s="17" t="str">
        <f aca="false">IF($A275="","",IF(INDEX(Tasks!$K:$K,$A275)="","",INDEX(Tasks!$K:$K,$A275)))</f>
        <v/>
      </c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  <c r="AG275" s="18"/>
      <c r="AH275" s="18"/>
      <c r="AI275" s="18"/>
      <c r="AJ275" s="18"/>
      <c r="AK275" s="18"/>
      <c r="AL275" s="18"/>
      <c r="AM275" s="18"/>
      <c r="AN275" s="18"/>
      <c r="AO275" s="18"/>
      <c r="AP275" s="18"/>
      <c r="AQ275" s="18"/>
      <c r="AR275" s="18"/>
      <c r="AS275" s="18"/>
      <c r="AT275" s="18"/>
      <c r="AU275" s="18"/>
      <c r="AV275" s="18"/>
      <c r="AW275" s="18"/>
      <c r="AX275" s="18"/>
      <c r="AY275" s="18"/>
    </row>
    <row r="276" customFormat="false" ht="15" hidden="false" customHeight="false" outlineLevel="0" collapsed="false">
      <c r="A276" s="15" t="str">
        <f aca="false">IFERROR(MATCH(ROW()-11,Tasks!$R$4:$R$403,0)+3,"")</f>
        <v/>
      </c>
      <c r="B276" s="16" t="str">
        <f aca="false">IF($A276="","",INDEX(Tasks!$A:$A,$A276))</f>
        <v/>
      </c>
      <c r="C276" s="16" t="str">
        <f aca="false">IF($A276="","",IF(ISERROR(FIND(".",INDEX(Tasks!$A:$A,$A276))),"","   ")&amp;INDEX(Tasks!$D:$D,$A276))</f>
        <v/>
      </c>
      <c r="D276" s="16" t="str">
        <f aca="false">IF($A276="","",IF(OR(INDEX(Tasks!$G:$G,$A276)="",INDEX(Tasks!$G:$G,$A276)="TBD"),INDEX(Tasks!$F:$F,$A276),INDEX(Tasks!$G:$G,$A276)))</f>
        <v/>
      </c>
      <c r="E276" s="16" t="str">
        <f aca="false">IF($A276="","",IF(INDEX(Tasks!$H:$H,$A276)="","",INDEX(Tasks!$H:$H,$A276)))</f>
        <v/>
      </c>
      <c r="F276" s="17" t="str">
        <f aca="false">IF($A276="","",IF(INDEX(Tasks!$I:$I,$A276)="","",INDEX(Tasks!$I:$I,$A276)))</f>
        <v/>
      </c>
      <c r="G276" s="17" t="str">
        <f aca="false">IF($A276="","",IF(INDEX(Tasks!$K:$K,$A276)="","",INDEX(Tasks!$K:$K,$A276)))</f>
        <v/>
      </c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J276" s="18"/>
      <c r="AK276" s="18"/>
      <c r="AL276" s="18"/>
      <c r="AM276" s="18"/>
      <c r="AN276" s="18"/>
      <c r="AO276" s="18"/>
      <c r="AP276" s="18"/>
      <c r="AQ276" s="18"/>
      <c r="AR276" s="18"/>
      <c r="AS276" s="18"/>
      <c r="AT276" s="18"/>
      <c r="AU276" s="18"/>
      <c r="AV276" s="18"/>
      <c r="AW276" s="18"/>
      <c r="AX276" s="18"/>
      <c r="AY276" s="18"/>
    </row>
    <row r="277" customFormat="false" ht="15" hidden="false" customHeight="false" outlineLevel="0" collapsed="false">
      <c r="A277" s="15" t="str">
        <f aca="false">IFERROR(MATCH(ROW()-11,Tasks!$R$4:$R$403,0)+3,"")</f>
        <v/>
      </c>
      <c r="B277" s="16" t="str">
        <f aca="false">IF($A277="","",INDEX(Tasks!$A:$A,$A277))</f>
        <v/>
      </c>
      <c r="C277" s="16" t="str">
        <f aca="false">IF($A277="","",IF(ISERROR(FIND(".",INDEX(Tasks!$A:$A,$A277))),"","   ")&amp;INDEX(Tasks!$D:$D,$A277))</f>
        <v/>
      </c>
      <c r="D277" s="16" t="str">
        <f aca="false">IF($A277="","",IF(OR(INDEX(Tasks!$G:$G,$A277)="",INDEX(Tasks!$G:$G,$A277)="TBD"),INDEX(Tasks!$F:$F,$A277),INDEX(Tasks!$G:$G,$A277)))</f>
        <v/>
      </c>
      <c r="E277" s="16" t="str">
        <f aca="false">IF($A277="","",IF(INDEX(Tasks!$H:$H,$A277)="","",INDEX(Tasks!$H:$H,$A277)))</f>
        <v/>
      </c>
      <c r="F277" s="17" t="str">
        <f aca="false">IF($A277="","",IF(INDEX(Tasks!$I:$I,$A277)="","",INDEX(Tasks!$I:$I,$A277)))</f>
        <v/>
      </c>
      <c r="G277" s="17" t="str">
        <f aca="false">IF($A277="","",IF(INDEX(Tasks!$K:$K,$A277)="","",INDEX(Tasks!$K:$K,$A277)))</f>
        <v/>
      </c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  <c r="AG277" s="18"/>
      <c r="AH277" s="18"/>
      <c r="AI277" s="18"/>
      <c r="AJ277" s="18"/>
      <c r="AK277" s="18"/>
      <c r="AL277" s="18"/>
      <c r="AM277" s="18"/>
      <c r="AN277" s="18"/>
      <c r="AO277" s="18"/>
      <c r="AP277" s="18"/>
      <c r="AQ277" s="18"/>
      <c r="AR277" s="18"/>
      <c r="AS277" s="18"/>
      <c r="AT277" s="18"/>
      <c r="AU277" s="18"/>
      <c r="AV277" s="18"/>
      <c r="AW277" s="18"/>
      <c r="AX277" s="18"/>
      <c r="AY277" s="18"/>
    </row>
    <row r="278" customFormat="false" ht="15" hidden="false" customHeight="false" outlineLevel="0" collapsed="false">
      <c r="A278" s="15" t="str">
        <f aca="false">IFERROR(MATCH(ROW()-11,Tasks!$R$4:$R$403,0)+3,"")</f>
        <v/>
      </c>
      <c r="B278" s="16" t="str">
        <f aca="false">IF($A278="","",INDEX(Tasks!$A:$A,$A278))</f>
        <v/>
      </c>
      <c r="C278" s="16" t="str">
        <f aca="false">IF($A278="","",IF(ISERROR(FIND(".",INDEX(Tasks!$A:$A,$A278))),"","   ")&amp;INDEX(Tasks!$D:$D,$A278))</f>
        <v/>
      </c>
      <c r="D278" s="16" t="str">
        <f aca="false">IF($A278="","",IF(OR(INDEX(Tasks!$G:$G,$A278)="",INDEX(Tasks!$G:$G,$A278)="TBD"),INDEX(Tasks!$F:$F,$A278),INDEX(Tasks!$G:$G,$A278)))</f>
        <v/>
      </c>
      <c r="E278" s="16" t="str">
        <f aca="false">IF($A278="","",IF(INDEX(Tasks!$H:$H,$A278)="","",INDEX(Tasks!$H:$H,$A278)))</f>
        <v/>
      </c>
      <c r="F278" s="17" t="str">
        <f aca="false">IF($A278="","",IF(INDEX(Tasks!$I:$I,$A278)="","",INDEX(Tasks!$I:$I,$A278)))</f>
        <v/>
      </c>
      <c r="G278" s="17" t="str">
        <f aca="false">IF($A278="","",IF(INDEX(Tasks!$K:$K,$A278)="","",INDEX(Tasks!$K:$K,$A278)))</f>
        <v/>
      </c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  <c r="AG278" s="18"/>
      <c r="AH278" s="18"/>
      <c r="AI278" s="18"/>
      <c r="AJ278" s="18"/>
      <c r="AK278" s="18"/>
      <c r="AL278" s="18"/>
      <c r="AM278" s="18"/>
      <c r="AN278" s="18"/>
      <c r="AO278" s="18"/>
      <c r="AP278" s="18"/>
      <c r="AQ278" s="18"/>
      <c r="AR278" s="18"/>
      <c r="AS278" s="18"/>
      <c r="AT278" s="18"/>
      <c r="AU278" s="18"/>
      <c r="AV278" s="18"/>
      <c r="AW278" s="18"/>
      <c r="AX278" s="18"/>
      <c r="AY278" s="18"/>
    </row>
    <row r="279" customFormat="false" ht="15" hidden="false" customHeight="false" outlineLevel="0" collapsed="false">
      <c r="A279" s="15" t="str">
        <f aca="false">IFERROR(MATCH(ROW()-11,Tasks!$R$4:$R$403,0)+3,"")</f>
        <v/>
      </c>
      <c r="B279" s="16" t="str">
        <f aca="false">IF($A279="","",INDEX(Tasks!$A:$A,$A279))</f>
        <v/>
      </c>
      <c r="C279" s="16" t="str">
        <f aca="false">IF($A279="","",IF(ISERROR(FIND(".",INDEX(Tasks!$A:$A,$A279))),"","   ")&amp;INDEX(Tasks!$D:$D,$A279))</f>
        <v/>
      </c>
      <c r="D279" s="16" t="str">
        <f aca="false">IF($A279="","",IF(OR(INDEX(Tasks!$G:$G,$A279)="",INDEX(Tasks!$G:$G,$A279)="TBD"),INDEX(Tasks!$F:$F,$A279),INDEX(Tasks!$G:$G,$A279)))</f>
        <v/>
      </c>
      <c r="E279" s="16" t="str">
        <f aca="false">IF($A279="","",IF(INDEX(Tasks!$H:$H,$A279)="","",INDEX(Tasks!$H:$H,$A279)))</f>
        <v/>
      </c>
      <c r="F279" s="17" t="str">
        <f aca="false">IF($A279="","",IF(INDEX(Tasks!$I:$I,$A279)="","",INDEX(Tasks!$I:$I,$A279)))</f>
        <v/>
      </c>
      <c r="G279" s="17" t="str">
        <f aca="false">IF($A279="","",IF(INDEX(Tasks!$K:$K,$A279)="","",INDEX(Tasks!$K:$K,$A279)))</f>
        <v/>
      </c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  <c r="AG279" s="18"/>
      <c r="AH279" s="18"/>
      <c r="AI279" s="18"/>
      <c r="AJ279" s="18"/>
      <c r="AK279" s="18"/>
      <c r="AL279" s="18"/>
      <c r="AM279" s="18"/>
      <c r="AN279" s="18"/>
      <c r="AO279" s="18"/>
      <c r="AP279" s="18"/>
      <c r="AQ279" s="18"/>
      <c r="AR279" s="18"/>
      <c r="AS279" s="18"/>
      <c r="AT279" s="18"/>
      <c r="AU279" s="18"/>
      <c r="AV279" s="18"/>
      <c r="AW279" s="18"/>
      <c r="AX279" s="18"/>
      <c r="AY279" s="18"/>
    </row>
    <row r="280" customFormat="false" ht="15" hidden="false" customHeight="false" outlineLevel="0" collapsed="false">
      <c r="A280" s="15" t="str">
        <f aca="false">IFERROR(MATCH(ROW()-11,Tasks!$R$4:$R$403,0)+3,"")</f>
        <v/>
      </c>
      <c r="B280" s="16" t="str">
        <f aca="false">IF($A280="","",INDEX(Tasks!$A:$A,$A280))</f>
        <v/>
      </c>
      <c r="C280" s="16" t="str">
        <f aca="false">IF($A280="","",IF(ISERROR(FIND(".",INDEX(Tasks!$A:$A,$A280))),"","   ")&amp;INDEX(Tasks!$D:$D,$A280))</f>
        <v/>
      </c>
      <c r="D280" s="16" t="str">
        <f aca="false">IF($A280="","",IF(OR(INDEX(Tasks!$G:$G,$A280)="",INDEX(Tasks!$G:$G,$A280)="TBD"),INDEX(Tasks!$F:$F,$A280),INDEX(Tasks!$G:$G,$A280)))</f>
        <v/>
      </c>
      <c r="E280" s="16" t="str">
        <f aca="false">IF($A280="","",IF(INDEX(Tasks!$H:$H,$A280)="","",INDEX(Tasks!$H:$H,$A280)))</f>
        <v/>
      </c>
      <c r="F280" s="17" t="str">
        <f aca="false">IF($A280="","",IF(INDEX(Tasks!$I:$I,$A280)="","",INDEX(Tasks!$I:$I,$A280)))</f>
        <v/>
      </c>
      <c r="G280" s="17" t="str">
        <f aca="false">IF($A280="","",IF(INDEX(Tasks!$K:$K,$A280)="","",INDEX(Tasks!$K:$K,$A280)))</f>
        <v/>
      </c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  <c r="AG280" s="18"/>
      <c r="AH280" s="18"/>
      <c r="AI280" s="18"/>
      <c r="AJ280" s="18"/>
      <c r="AK280" s="18"/>
      <c r="AL280" s="18"/>
      <c r="AM280" s="18"/>
      <c r="AN280" s="18"/>
      <c r="AO280" s="18"/>
      <c r="AP280" s="18"/>
      <c r="AQ280" s="18"/>
      <c r="AR280" s="18"/>
      <c r="AS280" s="18"/>
      <c r="AT280" s="18"/>
      <c r="AU280" s="18"/>
      <c r="AV280" s="18"/>
      <c r="AW280" s="18"/>
      <c r="AX280" s="18"/>
      <c r="AY280" s="18"/>
    </row>
    <row r="281" customFormat="false" ht="15" hidden="false" customHeight="false" outlineLevel="0" collapsed="false">
      <c r="A281" s="15" t="str">
        <f aca="false">IFERROR(MATCH(ROW()-11,Tasks!$R$4:$R$403,0)+3,"")</f>
        <v/>
      </c>
      <c r="B281" s="16" t="str">
        <f aca="false">IF($A281="","",INDEX(Tasks!$A:$A,$A281))</f>
        <v/>
      </c>
      <c r="C281" s="16" t="str">
        <f aca="false">IF($A281="","",IF(ISERROR(FIND(".",INDEX(Tasks!$A:$A,$A281))),"","   ")&amp;INDEX(Tasks!$D:$D,$A281))</f>
        <v/>
      </c>
      <c r="D281" s="16" t="str">
        <f aca="false">IF($A281="","",IF(OR(INDEX(Tasks!$G:$G,$A281)="",INDEX(Tasks!$G:$G,$A281)="TBD"),INDEX(Tasks!$F:$F,$A281),INDEX(Tasks!$G:$G,$A281)))</f>
        <v/>
      </c>
      <c r="E281" s="16" t="str">
        <f aca="false">IF($A281="","",IF(INDEX(Tasks!$H:$H,$A281)="","",INDEX(Tasks!$H:$H,$A281)))</f>
        <v/>
      </c>
      <c r="F281" s="17" t="str">
        <f aca="false">IF($A281="","",IF(INDEX(Tasks!$I:$I,$A281)="","",INDEX(Tasks!$I:$I,$A281)))</f>
        <v/>
      </c>
      <c r="G281" s="17" t="str">
        <f aca="false">IF($A281="","",IF(INDEX(Tasks!$K:$K,$A281)="","",INDEX(Tasks!$K:$K,$A281)))</f>
        <v/>
      </c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  <c r="AG281" s="18"/>
      <c r="AH281" s="18"/>
      <c r="AI281" s="18"/>
      <c r="AJ281" s="18"/>
      <c r="AK281" s="18"/>
      <c r="AL281" s="18"/>
      <c r="AM281" s="18"/>
      <c r="AN281" s="18"/>
      <c r="AO281" s="18"/>
      <c r="AP281" s="18"/>
      <c r="AQ281" s="18"/>
      <c r="AR281" s="18"/>
      <c r="AS281" s="18"/>
      <c r="AT281" s="18"/>
      <c r="AU281" s="18"/>
      <c r="AV281" s="18"/>
      <c r="AW281" s="18"/>
      <c r="AX281" s="18"/>
      <c r="AY281" s="18"/>
    </row>
    <row r="282" customFormat="false" ht="15" hidden="false" customHeight="false" outlineLevel="0" collapsed="false">
      <c r="A282" s="15" t="str">
        <f aca="false">IFERROR(MATCH(ROW()-11,Tasks!$R$4:$R$403,0)+3,"")</f>
        <v/>
      </c>
      <c r="B282" s="16" t="str">
        <f aca="false">IF($A282="","",INDEX(Tasks!$A:$A,$A282))</f>
        <v/>
      </c>
      <c r="C282" s="16" t="str">
        <f aca="false">IF($A282="","",IF(ISERROR(FIND(".",INDEX(Tasks!$A:$A,$A282))),"","   ")&amp;INDEX(Tasks!$D:$D,$A282))</f>
        <v/>
      </c>
      <c r="D282" s="16" t="str">
        <f aca="false">IF($A282="","",IF(OR(INDEX(Tasks!$G:$G,$A282)="",INDEX(Tasks!$G:$G,$A282)="TBD"),INDEX(Tasks!$F:$F,$A282),INDEX(Tasks!$G:$G,$A282)))</f>
        <v/>
      </c>
      <c r="E282" s="16" t="str">
        <f aca="false">IF($A282="","",IF(INDEX(Tasks!$H:$H,$A282)="","",INDEX(Tasks!$H:$H,$A282)))</f>
        <v/>
      </c>
      <c r="F282" s="17" t="str">
        <f aca="false">IF($A282="","",IF(INDEX(Tasks!$I:$I,$A282)="","",INDEX(Tasks!$I:$I,$A282)))</f>
        <v/>
      </c>
      <c r="G282" s="17" t="str">
        <f aca="false">IF($A282="","",IF(INDEX(Tasks!$K:$K,$A282)="","",INDEX(Tasks!$K:$K,$A282)))</f>
        <v/>
      </c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  <c r="AG282" s="18"/>
      <c r="AH282" s="18"/>
      <c r="AI282" s="18"/>
      <c r="AJ282" s="18"/>
      <c r="AK282" s="18"/>
      <c r="AL282" s="18"/>
      <c r="AM282" s="18"/>
      <c r="AN282" s="18"/>
      <c r="AO282" s="18"/>
      <c r="AP282" s="18"/>
      <c r="AQ282" s="18"/>
      <c r="AR282" s="18"/>
      <c r="AS282" s="18"/>
      <c r="AT282" s="18"/>
      <c r="AU282" s="18"/>
      <c r="AV282" s="18"/>
      <c r="AW282" s="18"/>
      <c r="AX282" s="18"/>
      <c r="AY282" s="18"/>
    </row>
    <row r="283" customFormat="false" ht="15" hidden="false" customHeight="false" outlineLevel="0" collapsed="false">
      <c r="A283" s="15" t="str">
        <f aca="false">IFERROR(MATCH(ROW()-11,Tasks!$R$4:$R$403,0)+3,"")</f>
        <v/>
      </c>
      <c r="B283" s="16" t="str">
        <f aca="false">IF($A283="","",INDEX(Tasks!$A:$A,$A283))</f>
        <v/>
      </c>
      <c r="C283" s="16" t="str">
        <f aca="false">IF($A283="","",IF(ISERROR(FIND(".",INDEX(Tasks!$A:$A,$A283))),"","   ")&amp;INDEX(Tasks!$D:$D,$A283))</f>
        <v/>
      </c>
      <c r="D283" s="16" t="str">
        <f aca="false">IF($A283="","",IF(OR(INDEX(Tasks!$G:$G,$A283)="",INDEX(Tasks!$G:$G,$A283)="TBD"),INDEX(Tasks!$F:$F,$A283),INDEX(Tasks!$G:$G,$A283)))</f>
        <v/>
      </c>
      <c r="E283" s="16" t="str">
        <f aca="false">IF($A283="","",IF(INDEX(Tasks!$H:$H,$A283)="","",INDEX(Tasks!$H:$H,$A283)))</f>
        <v/>
      </c>
      <c r="F283" s="17" t="str">
        <f aca="false">IF($A283="","",IF(INDEX(Tasks!$I:$I,$A283)="","",INDEX(Tasks!$I:$I,$A283)))</f>
        <v/>
      </c>
      <c r="G283" s="17" t="str">
        <f aca="false">IF($A283="","",IF(INDEX(Tasks!$K:$K,$A283)="","",INDEX(Tasks!$K:$K,$A283)))</f>
        <v/>
      </c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  <c r="AG283" s="18"/>
      <c r="AH283" s="18"/>
      <c r="AI283" s="18"/>
      <c r="AJ283" s="18"/>
      <c r="AK283" s="18"/>
      <c r="AL283" s="18"/>
      <c r="AM283" s="18"/>
      <c r="AN283" s="18"/>
      <c r="AO283" s="18"/>
      <c r="AP283" s="18"/>
      <c r="AQ283" s="18"/>
      <c r="AR283" s="18"/>
      <c r="AS283" s="18"/>
      <c r="AT283" s="18"/>
      <c r="AU283" s="18"/>
      <c r="AV283" s="18"/>
      <c r="AW283" s="18"/>
      <c r="AX283" s="18"/>
      <c r="AY283" s="18"/>
    </row>
    <row r="284" customFormat="false" ht="15" hidden="false" customHeight="false" outlineLevel="0" collapsed="false">
      <c r="A284" s="15" t="str">
        <f aca="false">IFERROR(MATCH(ROW()-11,Tasks!$R$4:$R$403,0)+3,"")</f>
        <v/>
      </c>
      <c r="B284" s="16" t="str">
        <f aca="false">IF($A284="","",INDEX(Tasks!$A:$A,$A284))</f>
        <v/>
      </c>
      <c r="C284" s="16" t="str">
        <f aca="false">IF($A284="","",IF(ISERROR(FIND(".",INDEX(Tasks!$A:$A,$A284))),"","   ")&amp;INDEX(Tasks!$D:$D,$A284))</f>
        <v/>
      </c>
      <c r="D284" s="16" t="str">
        <f aca="false">IF($A284="","",IF(OR(INDEX(Tasks!$G:$G,$A284)="",INDEX(Tasks!$G:$G,$A284)="TBD"),INDEX(Tasks!$F:$F,$A284),INDEX(Tasks!$G:$G,$A284)))</f>
        <v/>
      </c>
      <c r="E284" s="16" t="str">
        <f aca="false">IF($A284="","",IF(INDEX(Tasks!$H:$H,$A284)="","",INDEX(Tasks!$H:$H,$A284)))</f>
        <v/>
      </c>
      <c r="F284" s="17" t="str">
        <f aca="false">IF($A284="","",IF(INDEX(Tasks!$I:$I,$A284)="","",INDEX(Tasks!$I:$I,$A284)))</f>
        <v/>
      </c>
      <c r="G284" s="17" t="str">
        <f aca="false">IF($A284="","",IF(INDEX(Tasks!$K:$K,$A284)="","",INDEX(Tasks!$K:$K,$A284)))</f>
        <v/>
      </c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  <c r="AG284" s="18"/>
      <c r="AH284" s="18"/>
      <c r="AI284" s="18"/>
      <c r="AJ284" s="18"/>
      <c r="AK284" s="18"/>
      <c r="AL284" s="18"/>
      <c r="AM284" s="18"/>
      <c r="AN284" s="18"/>
      <c r="AO284" s="18"/>
      <c r="AP284" s="18"/>
      <c r="AQ284" s="18"/>
      <c r="AR284" s="18"/>
      <c r="AS284" s="18"/>
      <c r="AT284" s="18"/>
      <c r="AU284" s="18"/>
      <c r="AV284" s="18"/>
      <c r="AW284" s="18"/>
      <c r="AX284" s="18"/>
      <c r="AY284" s="18"/>
    </row>
    <row r="285" customFormat="false" ht="15" hidden="false" customHeight="false" outlineLevel="0" collapsed="false">
      <c r="A285" s="15" t="str">
        <f aca="false">IFERROR(MATCH(ROW()-11,Tasks!$R$4:$R$403,0)+3,"")</f>
        <v/>
      </c>
      <c r="B285" s="16" t="str">
        <f aca="false">IF($A285="","",INDEX(Tasks!$A:$A,$A285))</f>
        <v/>
      </c>
      <c r="C285" s="16" t="str">
        <f aca="false">IF($A285="","",IF(ISERROR(FIND(".",INDEX(Tasks!$A:$A,$A285))),"","   ")&amp;INDEX(Tasks!$D:$D,$A285))</f>
        <v/>
      </c>
      <c r="D285" s="16" t="str">
        <f aca="false">IF($A285="","",IF(OR(INDEX(Tasks!$G:$G,$A285)="",INDEX(Tasks!$G:$G,$A285)="TBD"),INDEX(Tasks!$F:$F,$A285),INDEX(Tasks!$G:$G,$A285)))</f>
        <v/>
      </c>
      <c r="E285" s="16" t="str">
        <f aca="false">IF($A285="","",IF(INDEX(Tasks!$H:$H,$A285)="","",INDEX(Tasks!$H:$H,$A285)))</f>
        <v/>
      </c>
      <c r="F285" s="17" t="str">
        <f aca="false">IF($A285="","",IF(INDEX(Tasks!$I:$I,$A285)="","",INDEX(Tasks!$I:$I,$A285)))</f>
        <v/>
      </c>
      <c r="G285" s="17" t="str">
        <f aca="false">IF($A285="","",IF(INDEX(Tasks!$K:$K,$A285)="","",INDEX(Tasks!$K:$K,$A285)))</f>
        <v/>
      </c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  <c r="AG285" s="18"/>
      <c r="AH285" s="18"/>
      <c r="AI285" s="18"/>
      <c r="AJ285" s="18"/>
      <c r="AK285" s="18"/>
      <c r="AL285" s="18"/>
      <c r="AM285" s="18"/>
      <c r="AN285" s="18"/>
      <c r="AO285" s="18"/>
      <c r="AP285" s="18"/>
      <c r="AQ285" s="18"/>
      <c r="AR285" s="18"/>
      <c r="AS285" s="18"/>
      <c r="AT285" s="18"/>
      <c r="AU285" s="18"/>
      <c r="AV285" s="18"/>
      <c r="AW285" s="18"/>
      <c r="AX285" s="18"/>
      <c r="AY285" s="18"/>
    </row>
    <row r="286" customFormat="false" ht="15" hidden="false" customHeight="false" outlineLevel="0" collapsed="false">
      <c r="A286" s="15" t="str">
        <f aca="false">IFERROR(MATCH(ROW()-11,Tasks!$R$4:$R$403,0)+3,"")</f>
        <v/>
      </c>
      <c r="B286" s="16" t="str">
        <f aca="false">IF($A286="","",INDEX(Tasks!$A:$A,$A286))</f>
        <v/>
      </c>
      <c r="C286" s="16" t="str">
        <f aca="false">IF($A286="","",IF(ISERROR(FIND(".",INDEX(Tasks!$A:$A,$A286))),"","   ")&amp;INDEX(Tasks!$D:$D,$A286))</f>
        <v/>
      </c>
      <c r="D286" s="16" t="str">
        <f aca="false">IF($A286="","",IF(OR(INDEX(Tasks!$G:$G,$A286)="",INDEX(Tasks!$G:$G,$A286)="TBD"),INDEX(Tasks!$F:$F,$A286),INDEX(Tasks!$G:$G,$A286)))</f>
        <v/>
      </c>
      <c r="E286" s="16" t="str">
        <f aca="false">IF($A286="","",IF(INDEX(Tasks!$H:$H,$A286)="","",INDEX(Tasks!$H:$H,$A286)))</f>
        <v/>
      </c>
      <c r="F286" s="17" t="str">
        <f aca="false">IF($A286="","",IF(INDEX(Tasks!$I:$I,$A286)="","",INDEX(Tasks!$I:$I,$A286)))</f>
        <v/>
      </c>
      <c r="G286" s="17" t="str">
        <f aca="false">IF($A286="","",IF(INDEX(Tasks!$K:$K,$A286)="","",INDEX(Tasks!$K:$K,$A286)))</f>
        <v/>
      </c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  <c r="AG286" s="18"/>
      <c r="AH286" s="18"/>
      <c r="AI286" s="18"/>
      <c r="AJ286" s="18"/>
      <c r="AK286" s="18"/>
      <c r="AL286" s="18"/>
      <c r="AM286" s="18"/>
      <c r="AN286" s="18"/>
      <c r="AO286" s="18"/>
      <c r="AP286" s="18"/>
      <c r="AQ286" s="18"/>
      <c r="AR286" s="18"/>
      <c r="AS286" s="18"/>
      <c r="AT286" s="18"/>
      <c r="AU286" s="18"/>
      <c r="AV286" s="18"/>
      <c r="AW286" s="18"/>
      <c r="AX286" s="18"/>
      <c r="AY286" s="18"/>
    </row>
    <row r="287" customFormat="false" ht="15" hidden="false" customHeight="false" outlineLevel="0" collapsed="false">
      <c r="A287" s="15" t="str">
        <f aca="false">IFERROR(MATCH(ROW()-11,Tasks!$R$4:$R$403,0)+3,"")</f>
        <v/>
      </c>
      <c r="B287" s="16" t="str">
        <f aca="false">IF($A287="","",INDEX(Tasks!$A:$A,$A287))</f>
        <v/>
      </c>
      <c r="C287" s="16" t="str">
        <f aca="false">IF($A287="","",IF(ISERROR(FIND(".",INDEX(Tasks!$A:$A,$A287))),"","   ")&amp;INDEX(Tasks!$D:$D,$A287))</f>
        <v/>
      </c>
      <c r="D287" s="16" t="str">
        <f aca="false">IF($A287="","",IF(OR(INDEX(Tasks!$G:$G,$A287)="",INDEX(Tasks!$G:$G,$A287)="TBD"),INDEX(Tasks!$F:$F,$A287),INDEX(Tasks!$G:$G,$A287)))</f>
        <v/>
      </c>
      <c r="E287" s="16" t="str">
        <f aca="false">IF($A287="","",IF(INDEX(Tasks!$H:$H,$A287)="","",INDEX(Tasks!$H:$H,$A287)))</f>
        <v/>
      </c>
      <c r="F287" s="17" t="str">
        <f aca="false">IF($A287="","",IF(INDEX(Tasks!$I:$I,$A287)="","",INDEX(Tasks!$I:$I,$A287)))</f>
        <v/>
      </c>
      <c r="G287" s="17" t="str">
        <f aca="false">IF($A287="","",IF(INDEX(Tasks!$K:$K,$A287)="","",INDEX(Tasks!$K:$K,$A287)))</f>
        <v/>
      </c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  <c r="AG287" s="18"/>
      <c r="AH287" s="18"/>
      <c r="AI287" s="18"/>
      <c r="AJ287" s="18"/>
      <c r="AK287" s="18"/>
      <c r="AL287" s="18"/>
      <c r="AM287" s="18"/>
      <c r="AN287" s="18"/>
      <c r="AO287" s="18"/>
      <c r="AP287" s="18"/>
      <c r="AQ287" s="18"/>
      <c r="AR287" s="18"/>
      <c r="AS287" s="18"/>
      <c r="AT287" s="18"/>
      <c r="AU287" s="18"/>
      <c r="AV287" s="18"/>
      <c r="AW287" s="18"/>
      <c r="AX287" s="18"/>
      <c r="AY287" s="18"/>
    </row>
    <row r="288" customFormat="false" ht="15" hidden="false" customHeight="false" outlineLevel="0" collapsed="false">
      <c r="A288" s="15" t="str">
        <f aca="false">IFERROR(MATCH(ROW()-11,Tasks!$R$4:$R$403,0)+3,"")</f>
        <v/>
      </c>
      <c r="B288" s="16" t="str">
        <f aca="false">IF($A288="","",INDEX(Tasks!$A:$A,$A288))</f>
        <v/>
      </c>
      <c r="C288" s="16" t="str">
        <f aca="false">IF($A288="","",IF(ISERROR(FIND(".",INDEX(Tasks!$A:$A,$A288))),"","   ")&amp;INDEX(Tasks!$D:$D,$A288))</f>
        <v/>
      </c>
      <c r="D288" s="16" t="str">
        <f aca="false">IF($A288="","",IF(OR(INDEX(Tasks!$G:$G,$A288)="",INDEX(Tasks!$G:$G,$A288)="TBD"),INDEX(Tasks!$F:$F,$A288),INDEX(Tasks!$G:$G,$A288)))</f>
        <v/>
      </c>
      <c r="E288" s="16" t="str">
        <f aca="false">IF($A288="","",IF(INDEX(Tasks!$H:$H,$A288)="","",INDEX(Tasks!$H:$H,$A288)))</f>
        <v/>
      </c>
      <c r="F288" s="17" t="str">
        <f aca="false">IF($A288="","",IF(INDEX(Tasks!$I:$I,$A288)="","",INDEX(Tasks!$I:$I,$A288)))</f>
        <v/>
      </c>
      <c r="G288" s="17" t="str">
        <f aca="false">IF($A288="","",IF(INDEX(Tasks!$K:$K,$A288)="","",INDEX(Tasks!$K:$K,$A288)))</f>
        <v/>
      </c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  <c r="AG288" s="18"/>
      <c r="AH288" s="18"/>
      <c r="AI288" s="18"/>
      <c r="AJ288" s="18"/>
      <c r="AK288" s="18"/>
      <c r="AL288" s="18"/>
      <c r="AM288" s="18"/>
      <c r="AN288" s="18"/>
      <c r="AO288" s="18"/>
      <c r="AP288" s="18"/>
      <c r="AQ288" s="18"/>
      <c r="AR288" s="18"/>
      <c r="AS288" s="18"/>
      <c r="AT288" s="18"/>
      <c r="AU288" s="18"/>
      <c r="AV288" s="18"/>
      <c r="AW288" s="18"/>
      <c r="AX288" s="18"/>
      <c r="AY288" s="18"/>
    </row>
    <row r="289" customFormat="false" ht="15" hidden="false" customHeight="false" outlineLevel="0" collapsed="false">
      <c r="A289" s="15" t="str">
        <f aca="false">IFERROR(MATCH(ROW()-11,Tasks!$R$4:$R$403,0)+3,"")</f>
        <v/>
      </c>
      <c r="B289" s="16" t="str">
        <f aca="false">IF($A289="","",INDEX(Tasks!$A:$A,$A289))</f>
        <v/>
      </c>
      <c r="C289" s="16" t="str">
        <f aca="false">IF($A289="","",IF(ISERROR(FIND(".",INDEX(Tasks!$A:$A,$A289))),"","   ")&amp;INDEX(Tasks!$D:$D,$A289))</f>
        <v/>
      </c>
      <c r="D289" s="16" t="str">
        <f aca="false">IF($A289="","",IF(OR(INDEX(Tasks!$G:$G,$A289)="",INDEX(Tasks!$G:$G,$A289)="TBD"),INDEX(Tasks!$F:$F,$A289),INDEX(Tasks!$G:$G,$A289)))</f>
        <v/>
      </c>
      <c r="E289" s="16" t="str">
        <f aca="false">IF($A289="","",IF(INDEX(Tasks!$H:$H,$A289)="","",INDEX(Tasks!$H:$H,$A289)))</f>
        <v/>
      </c>
      <c r="F289" s="17" t="str">
        <f aca="false">IF($A289="","",IF(INDEX(Tasks!$I:$I,$A289)="","",INDEX(Tasks!$I:$I,$A289)))</f>
        <v/>
      </c>
      <c r="G289" s="17" t="str">
        <f aca="false">IF($A289="","",IF(INDEX(Tasks!$K:$K,$A289)="","",INDEX(Tasks!$K:$K,$A289)))</f>
        <v/>
      </c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  <c r="AG289" s="18"/>
      <c r="AH289" s="18"/>
      <c r="AI289" s="18"/>
      <c r="AJ289" s="18"/>
      <c r="AK289" s="18"/>
      <c r="AL289" s="18"/>
      <c r="AM289" s="18"/>
      <c r="AN289" s="18"/>
      <c r="AO289" s="18"/>
      <c r="AP289" s="18"/>
      <c r="AQ289" s="18"/>
      <c r="AR289" s="18"/>
      <c r="AS289" s="18"/>
      <c r="AT289" s="18"/>
      <c r="AU289" s="18"/>
      <c r="AV289" s="18"/>
      <c r="AW289" s="18"/>
      <c r="AX289" s="18"/>
      <c r="AY289" s="18"/>
    </row>
    <row r="290" customFormat="false" ht="15" hidden="false" customHeight="false" outlineLevel="0" collapsed="false">
      <c r="A290" s="15" t="str">
        <f aca="false">IFERROR(MATCH(ROW()-11,Tasks!$R$4:$R$403,0)+3,"")</f>
        <v/>
      </c>
      <c r="B290" s="16" t="str">
        <f aca="false">IF($A290="","",INDEX(Tasks!$A:$A,$A290))</f>
        <v/>
      </c>
      <c r="C290" s="16" t="str">
        <f aca="false">IF($A290="","",IF(ISERROR(FIND(".",INDEX(Tasks!$A:$A,$A290))),"","   ")&amp;INDEX(Tasks!$D:$D,$A290))</f>
        <v/>
      </c>
      <c r="D290" s="16" t="str">
        <f aca="false">IF($A290="","",IF(OR(INDEX(Tasks!$G:$G,$A290)="",INDEX(Tasks!$G:$G,$A290)="TBD"),INDEX(Tasks!$F:$F,$A290),INDEX(Tasks!$G:$G,$A290)))</f>
        <v/>
      </c>
      <c r="E290" s="16" t="str">
        <f aca="false">IF($A290="","",IF(INDEX(Tasks!$H:$H,$A290)="","",INDEX(Tasks!$H:$H,$A290)))</f>
        <v/>
      </c>
      <c r="F290" s="17" t="str">
        <f aca="false">IF($A290="","",IF(INDEX(Tasks!$I:$I,$A290)="","",INDEX(Tasks!$I:$I,$A290)))</f>
        <v/>
      </c>
      <c r="G290" s="17" t="str">
        <f aca="false">IF($A290="","",IF(INDEX(Tasks!$K:$K,$A290)="","",INDEX(Tasks!$K:$K,$A290)))</f>
        <v/>
      </c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  <c r="AG290" s="18"/>
      <c r="AH290" s="18"/>
      <c r="AI290" s="18"/>
      <c r="AJ290" s="18"/>
      <c r="AK290" s="18"/>
      <c r="AL290" s="18"/>
      <c r="AM290" s="18"/>
      <c r="AN290" s="18"/>
      <c r="AO290" s="18"/>
      <c r="AP290" s="18"/>
      <c r="AQ290" s="18"/>
      <c r="AR290" s="18"/>
      <c r="AS290" s="18"/>
      <c r="AT290" s="18"/>
      <c r="AU290" s="18"/>
      <c r="AV290" s="18"/>
      <c r="AW290" s="18"/>
      <c r="AX290" s="18"/>
      <c r="AY290" s="18"/>
    </row>
    <row r="291" customFormat="false" ht="15" hidden="false" customHeight="false" outlineLevel="0" collapsed="false">
      <c r="A291" s="15" t="str">
        <f aca="false">IFERROR(MATCH(ROW()-11,Tasks!$R$4:$R$403,0)+3,"")</f>
        <v/>
      </c>
      <c r="B291" s="16" t="str">
        <f aca="false">IF($A291="","",INDEX(Tasks!$A:$A,$A291))</f>
        <v/>
      </c>
      <c r="C291" s="16" t="str">
        <f aca="false">IF($A291="","",IF(ISERROR(FIND(".",INDEX(Tasks!$A:$A,$A291))),"","   ")&amp;INDEX(Tasks!$D:$D,$A291))</f>
        <v/>
      </c>
      <c r="D291" s="16" t="str">
        <f aca="false">IF($A291="","",IF(OR(INDEX(Tasks!$G:$G,$A291)="",INDEX(Tasks!$G:$G,$A291)="TBD"),INDEX(Tasks!$F:$F,$A291),INDEX(Tasks!$G:$G,$A291)))</f>
        <v/>
      </c>
      <c r="E291" s="16" t="str">
        <f aca="false">IF($A291="","",IF(INDEX(Tasks!$H:$H,$A291)="","",INDEX(Tasks!$H:$H,$A291)))</f>
        <v/>
      </c>
      <c r="F291" s="17" t="str">
        <f aca="false">IF($A291="","",IF(INDEX(Tasks!$I:$I,$A291)="","",INDEX(Tasks!$I:$I,$A291)))</f>
        <v/>
      </c>
      <c r="G291" s="17" t="str">
        <f aca="false">IF($A291="","",IF(INDEX(Tasks!$K:$K,$A291)="","",INDEX(Tasks!$K:$K,$A291)))</f>
        <v/>
      </c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  <c r="AG291" s="18"/>
      <c r="AH291" s="18"/>
      <c r="AI291" s="18"/>
      <c r="AJ291" s="18"/>
      <c r="AK291" s="18"/>
      <c r="AL291" s="18"/>
      <c r="AM291" s="18"/>
      <c r="AN291" s="18"/>
      <c r="AO291" s="18"/>
      <c r="AP291" s="18"/>
      <c r="AQ291" s="18"/>
      <c r="AR291" s="18"/>
      <c r="AS291" s="18"/>
      <c r="AT291" s="18"/>
      <c r="AU291" s="18"/>
      <c r="AV291" s="18"/>
      <c r="AW291" s="18"/>
      <c r="AX291" s="18"/>
      <c r="AY291" s="18"/>
    </row>
    <row r="292" customFormat="false" ht="15" hidden="false" customHeight="false" outlineLevel="0" collapsed="false">
      <c r="A292" s="15" t="str">
        <f aca="false">IFERROR(MATCH(ROW()-11,Tasks!$R$4:$R$403,0)+3,"")</f>
        <v/>
      </c>
      <c r="B292" s="16" t="str">
        <f aca="false">IF($A292="","",INDEX(Tasks!$A:$A,$A292))</f>
        <v/>
      </c>
      <c r="C292" s="16" t="str">
        <f aca="false">IF($A292="","",IF(ISERROR(FIND(".",INDEX(Tasks!$A:$A,$A292))),"","   ")&amp;INDEX(Tasks!$D:$D,$A292))</f>
        <v/>
      </c>
      <c r="D292" s="16" t="str">
        <f aca="false">IF($A292="","",IF(OR(INDEX(Tasks!$G:$G,$A292)="",INDEX(Tasks!$G:$G,$A292)="TBD"),INDEX(Tasks!$F:$F,$A292),INDEX(Tasks!$G:$G,$A292)))</f>
        <v/>
      </c>
      <c r="E292" s="16" t="str">
        <f aca="false">IF($A292="","",IF(INDEX(Tasks!$H:$H,$A292)="","",INDEX(Tasks!$H:$H,$A292)))</f>
        <v/>
      </c>
      <c r="F292" s="17" t="str">
        <f aca="false">IF($A292="","",IF(INDEX(Tasks!$I:$I,$A292)="","",INDEX(Tasks!$I:$I,$A292)))</f>
        <v/>
      </c>
      <c r="G292" s="17" t="str">
        <f aca="false">IF($A292="","",IF(INDEX(Tasks!$K:$K,$A292)="","",INDEX(Tasks!$K:$K,$A292)))</f>
        <v/>
      </c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  <c r="AG292" s="18"/>
      <c r="AH292" s="18"/>
      <c r="AI292" s="18"/>
      <c r="AJ292" s="18"/>
      <c r="AK292" s="18"/>
      <c r="AL292" s="18"/>
      <c r="AM292" s="18"/>
      <c r="AN292" s="18"/>
      <c r="AO292" s="18"/>
      <c r="AP292" s="18"/>
      <c r="AQ292" s="18"/>
      <c r="AR292" s="18"/>
      <c r="AS292" s="18"/>
      <c r="AT292" s="18"/>
      <c r="AU292" s="18"/>
      <c r="AV292" s="18"/>
      <c r="AW292" s="18"/>
      <c r="AX292" s="18"/>
      <c r="AY292" s="18"/>
    </row>
    <row r="293" customFormat="false" ht="15" hidden="false" customHeight="false" outlineLevel="0" collapsed="false">
      <c r="A293" s="15" t="str">
        <f aca="false">IFERROR(MATCH(ROW()-11,Tasks!$R$4:$R$403,0)+3,"")</f>
        <v/>
      </c>
      <c r="B293" s="16" t="str">
        <f aca="false">IF($A293="","",INDEX(Tasks!$A:$A,$A293))</f>
        <v/>
      </c>
      <c r="C293" s="16" t="str">
        <f aca="false">IF($A293="","",IF(ISERROR(FIND(".",INDEX(Tasks!$A:$A,$A293))),"","   ")&amp;INDEX(Tasks!$D:$D,$A293))</f>
        <v/>
      </c>
      <c r="D293" s="16" t="str">
        <f aca="false">IF($A293="","",IF(OR(INDEX(Tasks!$G:$G,$A293)="",INDEX(Tasks!$G:$G,$A293)="TBD"),INDEX(Tasks!$F:$F,$A293),INDEX(Tasks!$G:$G,$A293)))</f>
        <v/>
      </c>
      <c r="E293" s="16" t="str">
        <f aca="false">IF($A293="","",IF(INDEX(Tasks!$H:$H,$A293)="","",INDEX(Tasks!$H:$H,$A293)))</f>
        <v/>
      </c>
      <c r="F293" s="17" t="str">
        <f aca="false">IF($A293="","",IF(INDEX(Tasks!$I:$I,$A293)="","",INDEX(Tasks!$I:$I,$A293)))</f>
        <v/>
      </c>
      <c r="G293" s="17" t="str">
        <f aca="false">IF($A293="","",IF(INDEX(Tasks!$K:$K,$A293)="","",INDEX(Tasks!$K:$K,$A293)))</f>
        <v/>
      </c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  <c r="AG293" s="18"/>
      <c r="AH293" s="18"/>
      <c r="AI293" s="18"/>
      <c r="AJ293" s="18"/>
      <c r="AK293" s="18"/>
      <c r="AL293" s="18"/>
      <c r="AM293" s="18"/>
      <c r="AN293" s="18"/>
      <c r="AO293" s="18"/>
      <c r="AP293" s="18"/>
      <c r="AQ293" s="18"/>
      <c r="AR293" s="18"/>
      <c r="AS293" s="18"/>
      <c r="AT293" s="18"/>
      <c r="AU293" s="18"/>
      <c r="AV293" s="18"/>
      <c r="AW293" s="18"/>
      <c r="AX293" s="18"/>
      <c r="AY293" s="18"/>
    </row>
    <row r="294" customFormat="false" ht="15" hidden="false" customHeight="false" outlineLevel="0" collapsed="false">
      <c r="A294" s="15" t="str">
        <f aca="false">IFERROR(MATCH(ROW()-11,Tasks!$R$4:$R$403,0)+3,"")</f>
        <v/>
      </c>
      <c r="B294" s="16" t="str">
        <f aca="false">IF($A294="","",INDEX(Tasks!$A:$A,$A294))</f>
        <v/>
      </c>
      <c r="C294" s="16" t="str">
        <f aca="false">IF($A294="","",IF(ISERROR(FIND(".",INDEX(Tasks!$A:$A,$A294))),"","   ")&amp;INDEX(Tasks!$D:$D,$A294))</f>
        <v/>
      </c>
      <c r="D294" s="16" t="str">
        <f aca="false">IF($A294="","",IF(OR(INDEX(Tasks!$G:$G,$A294)="",INDEX(Tasks!$G:$G,$A294)="TBD"),INDEX(Tasks!$F:$F,$A294),INDEX(Tasks!$G:$G,$A294)))</f>
        <v/>
      </c>
      <c r="E294" s="16" t="str">
        <f aca="false">IF($A294="","",IF(INDEX(Tasks!$H:$H,$A294)="","",INDEX(Tasks!$H:$H,$A294)))</f>
        <v/>
      </c>
      <c r="F294" s="17" t="str">
        <f aca="false">IF($A294="","",IF(INDEX(Tasks!$I:$I,$A294)="","",INDEX(Tasks!$I:$I,$A294)))</f>
        <v/>
      </c>
      <c r="G294" s="17" t="str">
        <f aca="false">IF($A294="","",IF(INDEX(Tasks!$K:$K,$A294)="","",INDEX(Tasks!$K:$K,$A294)))</f>
        <v/>
      </c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  <c r="AG294" s="18"/>
      <c r="AH294" s="18"/>
      <c r="AI294" s="18"/>
      <c r="AJ294" s="18"/>
      <c r="AK294" s="18"/>
      <c r="AL294" s="18"/>
      <c r="AM294" s="18"/>
      <c r="AN294" s="18"/>
      <c r="AO294" s="18"/>
      <c r="AP294" s="18"/>
      <c r="AQ294" s="18"/>
      <c r="AR294" s="18"/>
      <c r="AS294" s="18"/>
      <c r="AT294" s="18"/>
      <c r="AU294" s="18"/>
      <c r="AV294" s="18"/>
      <c r="AW294" s="18"/>
      <c r="AX294" s="18"/>
      <c r="AY294" s="18"/>
    </row>
    <row r="295" customFormat="false" ht="15" hidden="false" customHeight="false" outlineLevel="0" collapsed="false">
      <c r="A295" s="15" t="str">
        <f aca="false">IFERROR(MATCH(ROW()-11,Tasks!$R$4:$R$403,0)+3,"")</f>
        <v/>
      </c>
      <c r="B295" s="16" t="str">
        <f aca="false">IF($A295="","",INDEX(Tasks!$A:$A,$A295))</f>
        <v/>
      </c>
      <c r="C295" s="16" t="str">
        <f aca="false">IF($A295="","",IF(ISERROR(FIND(".",INDEX(Tasks!$A:$A,$A295))),"","   ")&amp;INDEX(Tasks!$D:$D,$A295))</f>
        <v/>
      </c>
      <c r="D295" s="16" t="str">
        <f aca="false">IF($A295="","",IF(OR(INDEX(Tasks!$G:$G,$A295)="",INDEX(Tasks!$G:$G,$A295)="TBD"),INDEX(Tasks!$F:$F,$A295),INDEX(Tasks!$G:$G,$A295)))</f>
        <v/>
      </c>
      <c r="E295" s="16" t="str">
        <f aca="false">IF($A295="","",IF(INDEX(Tasks!$H:$H,$A295)="","",INDEX(Tasks!$H:$H,$A295)))</f>
        <v/>
      </c>
      <c r="F295" s="17" t="str">
        <f aca="false">IF($A295="","",IF(INDEX(Tasks!$I:$I,$A295)="","",INDEX(Tasks!$I:$I,$A295)))</f>
        <v/>
      </c>
      <c r="G295" s="17" t="str">
        <f aca="false">IF($A295="","",IF(INDEX(Tasks!$K:$K,$A295)="","",INDEX(Tasks!$K:$K,$A295)))</f>
        <v/>
      </c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  <c r="AG295" s="18"/>
      <c r="AH295" s="18"/>
      <c r="AI295" s="18"/>
      <c r="AJ295" s="18"/>
      <c r="AK295" s="18"/>
      <c r="AL295" s="18"/>
      <c r="AM295" s="18"/>
      <c r="AN295" s="18"/>
      <c r="AO295" s="18"/>
      <c r="AP295" s="18"/>
      <c r="AQ295" s="18"/>
      <c r="AR295" s="18"/>
      <c r="AS295" s="18"/>
      <c r="AT295" s="18"/>
      <c r="AU295" s="18"/>
      <c r="AV295" s="18"/>
      <c r="AW295" s="18"/>
      <c r="AX295" s="18"/>
      <c r="AY295" s="18"/>
    </row>
    <row r="296" customFormat="false" ht="15" hidden="false" customHeight="false" outlineLevel="0" collapsed="false">
      <c r="A296" s="15" t="str">
        <f aca="false">IFERROR(MATCH(ROW()-11,Tasks!$R$4:$R$403,0)+3,"")</f>
        <v/>
      </c>
      <c r="B296" s="16" t="str">
        <f aca="false">IF($A296="","",INDEX(Tasks!$A:$A,$A296))</f>
        <v/>
      </c>
      <c r="C296" s="16" t="str">
        <f aca="false">IF($A296="","",IF(ISERROR(FIND(".",INDEX(Tasks!$A:$A,$A296))),"","   ")&amp;INDEX(Tasks!$D:$D,$A296))</f>
        <v/>
      </c>
      <c r="D296" s="16" t="str">
        <f aca="false">IF($A296="","",IF(OR(INDEX(Tasks!$G:$G,$A296)="",INDEX(Tasks!$G:$G,$A296)="TBD"),INDEX(Tasks!$F:$F,$A296),INDEX(Tasks!$G:$G,$A296)))</f>
        <v/>
      </c>
      <c r="E296" s="16" t="str">
        <f aca="false">IF($A296="","",IF(INDEX(Tasks!$H:$H,$A296)="","",INDEX(Tasks!$H:$H,$A296)))</f>
        <v/>
      </c>
      <c r="F296" s="17" t="str">
        <f aca="false">IF($A296="","",IF(INDEX(Tasks!$I:$I,$A296)="","",INDEX(Tasks!$I:$I,$A296)))</f>
        <v/>
      </c>
      <c r="G296" s="17" t="str">
        <f aca="false">IF($A296="","",IF(INDEX(Tasks!$K:$K,$A296)="","",INDEX(Tasks!$K:$K,$A296)))</f>
        <v/>
      </c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  <c r="AG296" s="18"/>
      <c r="AH296" s="18"/>
      <c r="AI296" s="18"/>
      <c r="AJ296" s="18"/>
      <c r="AK296" s="18"/>
      <c r="AL296" s="18"/>
      <c r="AM296" s="18"/>
      <c r="AN296" s="18"/>
      <c r="AO296" s="18"/>
      <c r="AP296" s="18"/>
      <c r="AQ296" s="18"/>
      <c r="AR296" s="18"/>
      <c r="AS296" s="18"/>
      <c r="AT296" s="18"/>
      <c r="AU296" s="18"/>
      <c r="AV296" s="18"/>
      <c r="AW296" s="18"/>
      <c r="AX296" s="18"/>
      <c r="AY296" s="18"/>
    </row>
    <row r="297" customFormat="false" ht="15" hidden="false" customHeight="false" outlineLevel="0" collapsed="false">
      <c r="A297" s="15" t="str">
        <f aca="false">IFERROR(MATCH(ROW()-11,Tasks!$R$4:$R$403,0)+3,"")</f>
        <v/>
      </c>
      <c r="B297" s="16" t="str">
        <f aca="false">IF($A297="","",INDEX(Tasks!$A:$A,$A297))</f>
        <v/>
      </c>
      <c r="C297" s="16" t="str">
        <f aca="false">IF($A297="","",IF(ISERROR(FIND(".",INDEX(Tasks!$A:$A,$A297))),"","   ")&amp;INDEX(Tasks!$D:$D,$A297))</f>
        <v/>
      </c>
      <c r="D297" s="16" t="str">
        <f aca="false">IF($A297="","",IF(OR(INDEX(Tasks!$G:$G,$A297)="",INDEX(Tasks!$G:$G,$A297)="TBD"),INDEX(Tasks!$F:$F,$A297),INDEX(Tasks!$G:$G,$A297)))</f>
        <v/>
      </c>
      <c r="E297" s="16" t="str">
        <f aca="false">IF($A297="","",IF(INDEX(Tasks!$H:$H,$A297)="","",INDEX(Tasks!$H:$H,$A297)))</f>
        <v/>
      </c>
      <c r="F297" s="17" t="str">
        <f aca="false">IF($A297="","",IF(INDEX(Tasks!$I:$I,$A297)="","",INDEX(Tasks!$I:$I,$A297)))</f>
        <v/>
      </c>
      <c r="G297" s="17" t="str">
        <f aca="false">IF($A297="","",IF(INDEX(Tasks!$K:$K,$A297)="","",INDEX(Tasks!$K:$K,$A297)))</f>
        <v/>
      </c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  <c r="AG297" s="18"/>
      <c r="AH297" s="18"/>
      <c r="AI297" s="18"/>
      <c r="AJ297" s="18"/>
      <c r="AK297" s="18"/>
      <c r="AL297" s="18"/>
      <c r="AM297" s="18"/>
      <c r="AN297" s="18"/>
      <c r="AO297" s="18"/>
      <c r="AP297" s="18"/>
      <c r="AQ297" s="18"/>
      <c r="AR297" s="18"/>
      <c r="AS297" s="18"/>
      <c r="AT297" s="18"/>
      <c r="AU297" s="18"/>
      <c r="AV297" s="18"/>
      <c r="AW297" s="18"/>
      <c r="AX297" s="18"/>
      <c r="AY297" s="18"/>
    </row>
    <row r="298" customFormat="false" ht="15" hidden="false" customHeight="false" outlineLevel="0" collapsed="false">
      <c r="A298" s="15" t="str">
        <f aca="false">IFERROR(MATCH(ROW()-11,Tasks!$R$4:$R$403,0)+3,"")</f>
        <v/>
      </c>
      <c r="B298" s="16" t="str">
        <f aca="false">IF($A298="","",INDEX(Tasks!$A:$A,$A298))</f>
        <v/>
      </c>
      <c r="C298" s="16" t="str">
        <f aca="false">IF($A298="","",IF(ISERROR(FIND(".",INDEX(Tasks!$A:$A,$A298))),"","   ")&amp;INDEX(Tasks!$D:$D,$A298))</f>
        <v/>
      </c>
      <c r="D298" s="16" t="str">
        <f aca="false">IF($A298="","",IF(OR(INDEX(Tasks!$G:$G,$A298)="",INDEX(Tasks!$G:$G,$A298)="TBD"),INDEX(Tasks!$F:$F,$A298),INDEX(Tasks!$G:$G,$A298)))</f>
        <v/>
      </c>
      <c r="E298" s="16" t="str">
        <f aca="false">IF($A298="","",IF(INDEX(Tasks!$H:$H,$A298)="","",INDEX(Tasks!$H:$H,$A298)))</f>
        <v/>
      </c>
      <c r="F298" s="17" t="str">
        <f aca="false">IF($A298="","",IF(INDEX(Tasks!$I:$I,$A298)="","",INDEX(Tasks!$I:$I,$A298)))</f>
        <v/>
      </c>
      <c r="G298" s="17" t="str">
        <f aca="false">IF($A298="","",IF(INDEX(Tasks!$K:$K,$A298)="","",INDEX(Tasks!$K:$K,$A298)))</f>
        <v/>
      </c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  <c r="AG298" s="18"/>
      <c r="AH298" s="18"/>
      <c r="AI298" s="18"/>
      <c r="AJ298" s="18"/>
      <c r="AK298" s="18"/>
      <c r="AL298" s="18"/>
      <c r="AM298" s="18"/>
      <c r="AN298" s="18"/>
      <c r="AO298" s="18"/>
      <c r="AP298" s="18"/>
      <c r="AQ298" s="18"/>
      <c r="AR298" s="18"/>
      <c r="AS298" s="18"/>
      <c r="AT298" s="18"/>
      <c r="AU298" s="18"/>
      <c r="AV298" s="18"/>
      <c r="AW298" s="18"/>
      <c r="AX298" s="18"/>
      <c r="AY298" s="18"/>
    </row>
    <row r="299" customFormat="false" ht="15" hidden="false" customHeight="false" outlineLevel="0" collapsed="false">
      <c r="A299" s="15" t="str">
        <f aca="false">IFERROR(MATCH(ROW()-11,Tasks!$R$4:$R$403,0)+3,"")</f>
        <v/>
      </c>
      <c r="B299" s="16" t="str">
        <f aca="false">IF($A299="","",INDEX(Tasks!$A:$A,$A299))</f>
        <v/>
      </c>
      <c r="C299" s="16" t="str">
        <f aca="false">IF($A299="","",IF(ISERROR(FIND(".",INDEX(Tasks!$A:$A,$A299))),"","   ")&amp;INDEX(Tasks!$D:$D,$A299))</f>
        <v/>
      </c>
      <c r="D299" s="16" t="str">
        <f aca="false">IF($A299="","",IF(OR(INDEX(Tasks!$G:$G,$A299)="",INDEX(Tasks!$G:$G,$A299)="TBD"),INDEX(Tasks!$F:$F,$A299),INDEX(Tasks!$G:$G,$A299)))</f>
        <v/>
      </c>
      <c r="E299" s="16" t="str">
        <f aca="false">IF($A299="","",IF(INDEX(Tasks!$H:$H,$A299)="","",INDEX(Tasks!$H:$H,$A299)))</f>
        <v/>
      </c>
      <c r="F299" s="17" t="str">
        <f aca="false">IF($A299="","",IF(INDEX(Tasks!$I:$I,$A299)="","",INDEX(Tasks!$I:$I,$A299)))</f>
        <v/>
      </c>
      <c r="G299" s="17" t="str">
        <f aca="false">IF($A299="","",IF(INDEX(Tasks!$K:$K,$A299)="","",INDEX(Tasks!$K:$K,$A299)))</f>
        <v/>
      </c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  <c r="AG299" s="18"/>
      <c r="AH299" s="18"/>
      <c r="AI299" s="18"/>
      <c r="AJ299" s="18"/>
      <c r="AK299" s="18"/>
      <c r="AL299" s="18"/>
      <c r="AM299" s="18"/>
      <c r="AN299" s="18"/>
      <c r="AO299" s="18"/>
      <c r="AP299" s="18"/>
      <c r="AQ299" s="18"/>
      <c r="AR299" s="18"/>
      <c r="AS299" s="18"/>
      <c r="AT299" s="18"/>
      <c r="AU299" s="18"/>
      <c r="AV299" s="18"/>
      <c r="AW299" s="18"/>
      <c r="AX299" s="18"/>
      <c r="AY299" s="18"/>
    </row>
    <row r="300" customFormat="false" ht="15" hidden="false" customHeight="false" outlineLevel="0" collapsed="false">
      <c r="A300" s="15" t="str">
        <f aca="false">IFERROR(MATCH(ROW()-11,Tasks!$R$4:$R$403,0)+3,"")</f>
        <v/>
      </c>
      <c r="B300" s="16" t="str">
        <f aca="false">IF($A300="","",INDEX(Tasks!$A:$A,$A300))</f>
        <v/>
      </c>
      <c r="C300" s="16" t="str">
        <f aca="false">IF($A300="","",IF(ISERROR(FIND(".",INDEX(Tasks!$A:$A,$A300))),"","   ")&amp;INDEX(Tasks!$D:$D,$A300))</f>
        <v/>
      </c>
      <c r="D300" s="16" t="str">
        <f aca="false">IF($A300="","",IF(OR(INDEX(Tasks!$G:$G,$A300)="",INDEX(Tasks!$G:$G,$A300)="TBD"),INDEX(Tasks!$F:$F,$A300),INDEX(Tasks!$G:$G,$A300)))</f>
        <v/>
      </c>
      <c r="E300" s="16" t="str">
        <f aca="false">IF($A300="","",IF(INDEX(Tasks!$H:$H,$A300)="","",INDEX(Tasks!$H:$H,$A300)))</f>
        <v/>
      </c>
      <c r="F300" s="17" t="str">
        <f aca="false">IF($A300="","",IF(INDEX(Tasks!$I:$I,$A300)="","",INDEX(Tasks!$I:$I,$A300)))</f>
        <v/>
      </c>
      <c r="G300" s="17" t="str">
        <f aca="false">IF($A300="","",IF(INDEX(Tasks!$K:$K,$A300)="","",INDEX(Tasks!$K:$K,$A300)))</f>
        <v/>
      </c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  <c r="AG300" s="18"/>
      <c r="AH300" s="18"/>
      <c r="AI300" s="18"/>
      <c r="AJ300" s="18"/>
      <c r="AK300" s="18"/>
      <c r="AL300" s="18"/>
      <c r="AM300" s="18"/>
      <c r="AN300" s="18"/>
      <c r="AO300" s="18"/>
      <c r="AP300" s="18"/>
      <c r="AQ300" s="18"/>
      <c r="AR300" s="18"/>
      <c r="AS300" s="18"/>
      <c r="AT300" s="18"/>
      <c r="AU300" s="18"/>
      <c r="AV300" s="18"/>
      <c r="AW300" s="18"/>
      <c r="AX300" s="18"/>
      <c r="AY300" s="18"/>
    </row>
    <row r="301" customFormat="false" ht="15" hidden="false" customHeight="false" outlineLevel="0" collapsed="false">
      <c r="A301" s="15" t="str">
        <f aca="false">IFERROR(MATCH(ROW()-11,Tasks!$R$4:$R$403,0)+3,"")</f>
        <v/>
      </c>
      <c r="B301" s="16" t="str">
        <f aca="false">IF($A301="","",INDEX(Tasks!$A:$A,$A301))</f>
        <v/>
      </c>
      <c r="C301" s="16" t="str">
        <f aca="false">IF($A301="","",IF(ISERROR(FIND(".",INDEX(Tasks!$A:$A,$A301))),"","   ")&amp;INDEX(Tasks!$D:$D,$A301))</f>
        <v/>
      </c>
      <c r="D301" s="16" t="str">
        <f aca="false">IF($A301="","",IF(OR(INDEX(Tasks!$G:$G,$A301)="",INDEX(Tasks!$G:$G,$A301)="TBD"),INDEX(Tasks!$F:$F,$A301),INDEX(Tasks!$G:$G,$A301)))</f>
        <v/>
      </c>
      <c r="E301" s="16" t="str">
        <f aca="false">IF($A301="","",IF(INDEX(Tasks!$H:$H,$A301)="","",INDEX(Tasks!$H:$H,$A301)))</f>
        <v/>
      </c>
      <c r="F301" s="17" t="str">
        <f aca="false">IF($A301="","",IF(INDEX(Tasks!$I:$I,$A301)="","",INDEX(Tasks!$I:$I,$A301)))</f>
        <v/>
      </c>
      <c r="G301" s="17" t="str">
        <f aca="false">IF($A301="","",IF(INDEX(Tasks!$K:$K,$A301)="","",INDEX(Tasks!$K:$K,$A301)))</f>
        <v/>
      </c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  <c r="AG301" s="18"/>
      <c r="AH301" s="18"/>
      <c r="AI301" s="18"/>
      <c r="AJ301" s="18"/>
      <c r="AK301" s="18"/>
      <c r="AL301" s="18"/>
      <c r="AM301" s="18"/>
      <c r="AN301" s="18"/>
      <c r="AO301" s="18"/>
      <c r="AP301" s="18"/>
      <c r="AQ301" s="18"/>
      <c r="AR301" s="18"/>
      <c r="AS301" s="18"/>
      <c r="AT301" s="18"/>
      <c r="AU301" s="18"/>
      <c r="AV301" s="18"/>
      <c r="AW301" s="18"/>
      <c r="AX301" s="18"/>
      <c r="AY301" s="18"/>
    </row>
    <row r="302" customFormat="false" ht="15" hidden="false" customHeight="false" outlineLevel="0" collapsed="false">
      <c r="A302" s="15" t="str">
        <f aca="false">IFERROR(MATCH(ROW()-11,Tasks!$R$4:$R$403,0)+3,"")</f>
        <v/>
      </c>
      <c r="B302" s="16" t="str">
        <f aca="false">IF($A302="","",INDEX(Tasks!$A:$A,$A302))</f>
        <v/>
      </c>
      <c r="C302" s="16" t="str">
        <f aca="false">IF($A302="","",IF(ISERROR(FIND(".",INDEX(Tasks!$A:$A,$A302))),"","   ")&amp;INDEX(Tasks!$D:$D,$A302))</f>
        <v/>
      </c>
      <c r="D302" s="16" t="str">
        <f aca="false">IF($A302="","",IF(OR(INDEX(Tasks!$G:$G,$A302)="",INDEX(Tasks!$G:$G,$A302)="TBD"),INDEX(Tasks!$F:$F,$A302),INDEX(Tasks!$G:$G,$A302)))</f>
        <v/>
      </c>
      <c r="E302" s="16" t="str">
        <f aca="false">IF($A302="","",IF(INDEX(Tasks!$H:$H,$A302)="","",INDEX(Tasks!$H:$H,$A302)))</f>
        <v/>
      </c>
      <c r="F302" s="17" t="str">
        <f aca="false">IF($A302="","",IF(INDEX(Tasks!$I:$I,$A302)="","",INDEX(Tasks!$I:$I,$A302)))</f>
        <v/>
      </c>
      <c r="G302" s="17" t="str">
        <f aca="false">IF($A302="","",IF(INDEX(Tasks!$K:$K,$A302)="","",INDEX(Tasks!$K:$K,$A302)))</f>
        <v/>
      </c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  <c r="AG302" s="18"/>
      <c r="AH302" s="18"/>
      <c r="AI302" s="18"/>
      <c r="AJ302" s="18"/>
      <c r="AK302" s="18"/>
      <c r="AL302" s="18"/>
      <c r="AM302" s="18"/>
      <c r="AN302" s="18"/>
      <c r="AO302" s="18"/>
      <c r="AP302" s="18"/>
      <c r="AQ302" s="18"/>
      <c r="AR302" s="18"/>
      <c r="AS302" s="18"/>
      <c r="AT302" s="18"/>
      <c r="AU302" s="18"/>
      <c r="AV302" s="18"/>
      <c r="AW302" s="18"/>
      <c r="AX302" s="18"/>
      <c r="AY302" s="18"/>
    </row>
    <row r="303" customFormat="false" ht="15" hidden="false" customHeight="false" outlineLevel="0" collapsed="false">
      <c r="A303" s="15" t="str">
        <f aca="false">IFERROR(MATCH(ROW()-11,Tasks!$R$4:$R$403,0)+3,"")</f>
        <v/>
      </c>
      <c r="B303" s="16" t="str">
        <f aca="false">IF($A303="","",INDEX(Tasks!$A:$A,$A303))</f>
        <v/>
      </c>
      <c r="C303" s="16" t="str">
        <f aca="false">IF($A303="","",IF(ISERROR(FIND(".",INDEX(Tasks!$A:$A,$A303))),"","   ")&amp;INDEX(Tasks!$D:$D,$A303))</f>
        <v/>
      </c>
      <c r="D303" s="16" t="str">
        <f aca="false">IF($A303="","",IF(OR(INDEX(Tasks!$G:$G,$A303)="",INDEX(Tasks!$G:$G,$A303)="TBD"),INDEX(Tasks!$F:$F,$A303),INDEX(Tasks!$G:$G,$A303)))</f>
        <v/>
      </c>
      <c r="E303" s="16" t="str">
        <f aca="false">IF($A303="","",IF(INDEX(Tasks!$H:$H,$A303)="","",INDEX(Tasks!$H:$H,$A303)))</f>
        <v/>
      </c>
      <c r="F303" s="17" t="str">
        <f aca="false">IF($A303="","",IF(INDEX(Tasks!$I:$I,$A303)="","",INDEX(Tasks!$I:$I,$A303)))</f>
        <v/>
      </c>
      <c r="G303" s="17" t="str">
        <f aca="false">IF($A303="","",IF(INDEX(Tasks!$K:$K,$A303)="","",INDEX(Tasks!$K:$K,$A303)))</f>
        <v/>
      </c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  <c r="AG303" s="18"/>
      <c r="AH303" s="18"/>
      <c r="AI303" s="18"/>
      <c r="AJ303" s="18"/>
      <c r="AK303" s="18"/>
      <c r="AL303" s="18"/>
      <c r="AM303" s="18"/>
      <c r="AN303" s="18"/>
      <c r="AO303" s="18"/>
      <c r="AP303" s="18"/>
      <c r="AQ303" s="18"/>
      <c r="AR303" s="18"/>
      <c r="AS303" s="18"/>
      <c r="AT303" s="18"/>
      <c r="AU303" s="18"/>
      <c r="AV303" s="18"/>
      <c r="AW303" s="18"/>
      <c r="AX303" s="18"/>
      <c r="AY303" s="18"/>
    </row>
    <row r="304" customFormat="false" ht="15" hidden="false" customHeight="false" outlineLevel="0" collapsed="false">
      <c r="A304" s="15" t="str">
        <f aca="false">IFERROR(MATCH(ROW()-11,Tasks!$R$4:$R$403,0)+3,"")</f>
        <v/>
      </c>
      <c r="B304" s="16" t="str">
        <f aca="false">IF($A304="","",INDEX(Tasks!$A:$A,$A304))</f>
        <v/>
      </c>
      <c r="C304" s="16" t="str">
        <f aca="false">IF($A304="","",IF(ISERROR(FIND(".",INDEX(Tasks!$A:$A,$A304))),"","   ")&amp;INDEX(Tasks!$D:$D,$A304))</f>
        <v/>
      </c>
      <c r="D304" s="16" t="str">
        <f aca="false">IF($A304="","",IF(OR(INDEX(Tasks!$G:$G,$A304)="",INDEX(Tasks!$G:$G,$A304)="TBD"),INDEX(Tasks!$F:$F,$A304),INDEX(Tasks!$G:$G,$A304)))</f>
        <v/>
      </c>
      <c r="E304" s="16" t="str">
        <f aca="false">IF($A304="","",IF(INDEX(Tasks!$H:$H,$A304)="","",INDEX(Tasks!$H:$H,$A304)))</f>
        <v/>
      </c>
      <c r="F304" s="17" t="str">
        <f aca="false">IF($A304="","",IF(INDEX(Tasks!$I:$I,$A304)="","",INDEX(Tasks!$I:$I,$A304)))</f>
        <v/>
      </c>
      <c r="G304" s="17" t="str">
        <f aca="false">IF($A304="","",IF(INDEX(Tasks!$K:$K,$A304)="","",INDEX(Tasks!$K:$K,$A304)))</f>
        <v/>
      </c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  <c r="AG304" s="18"/>
      <c r="AH304" s="18"/>
      <c r="AI304" s="18"/>
      <c r="AJ304" s="18"/>
      <c r="AK304" s="18"/>
      <c r="AL304" s="18"/>
      <c r="AM304" s="18"/>
      <c r="AN304" s="18"/>
      <c r="AO304" s="18"/>
      <c r="AP304" s="18"/>
      <c r="AQ304" s="18"/>
      <c r="AR304" s="18"/>
      <c r="AS304" s="18"/>
      <c r="AT304" s="18"/>
      <c r="AU304" s="18"/>
      <c r="AV304" s="18"/>
      <c r="AW304" s="18"/>
      <c r="AX304" s="18"/>
      <c r="AY304" s="18"/>
    </row>
    <row r="305" customFormat="false" ht="15" hidden="false" customHeight="false" outlineLevel="0" collapsed="false">
      <c r="A305" s="15" t="str">
        <f aca="false">IFERROR(MATCH(ROW()-11,Tasks!$R$4:$R$403,0)+3,"")</f>
        <v/>
      </c>
      <c r="B305" s="16" t="str">
        <f aca="false">IF($A305="","",INDEX(Tasks!$A:$A,$A305))</f>
        <v/>
      </c>
      <c r="C305" s="16" t="str">
        <f aca="false">IF($A305="","",IF(ISERROR(FIND(".",INDEX(Tasks!$A:$A,$A305))),"","   ")&amp;INDEX(Tasks!$D:$D,$A305))</f>
        <v/>
      </c>
      <c r="D305" s="16" t="str">
        <f aca="false">IF($A305="","",IF(OR(INDEX(Tasks!$G:$G,$A305)="",INDEX(Tasks!$G:$G,$A305)="TBD"),INDEX(Tasks!$F:$F,$A305),INDEX(Tasks!$G:$G,$A305)))</f>
        <v/>
      </c>
      <c r="E305" s="16" t="str">
        <f aca="false">IF($A305="","",IF(INDEX(Tasks!$H:$H,$A305)="","",INDEX(Tasks!$H:$H,$A305)))</f>
        <v/>
      </c>
      <c r="F305" s="17" t="str">
        <f aca="false">IF($A305="","",IF(INDEX(Tasks!$I:$I,$A305)="","",INDEX(Tasks!$I:$I,$A305)))</f>
        <v/>
      </c>
      <c r="G305" s="17" t="str">
        <f aca="false">IF($A305="","",IF(INDEX(Tasks!$K:$K,$A305)="","",INDEX(Tasks!$K:$K,$A305)))</f>
        <v/>
      </c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  <c r="AG305" s="18"/>
      <c r="AH305" s="18"/>
      <c r="AI305" s="18"/>
      <c r="AJ305" s="18"/>
      <c r="AK305" s="18"/>
      <c r="AL305" s="18"/>
      <c r="AM305" s="18"/>
      <c r="AN305" s="18"/>
      <c r="AO305" s="18"/>
      <c r="AP305" s="18"/>
      <c r="AQ305" s="18"/>
      <c r="AR305" s="18"/>
      <c r="AS305" s="18"/>
      <c r="AT305" s="18"/>
      <c r="AU305" s="18"/>
      <c r="AV305" s="18"/>
      <c r="AW305" s="18"/>
      <c r="AX305" s="18"/>
      <c r="AY305" s="18"/>
    </row>
    <row r="306" customFormat="false" ht="15" hidden="false" customHeight="false" outlineLevel="0" collapsed="false">
      <c r="A306" s="15" t="str">
        <f aca="false">IFERROR(MATCH(ROW()-11,Tasks!$R$4:$R$403,0)+3,"")</f>
        <v/>
      </c>
      <c r="B306" s="16" t="str">
        <f aca="false">IF($A306="","",INDEX(Tasks!$A:$A,$A306))</f>
        <v/>
      </c>
      <c r="C306" s="16" t="str">
        <f aca="false">IF($A306="","",IF(ISERROR(FIND(".",INDEX(Tasks!$A:$A,$A306))),"","   ")&amp;INDEX(Tasks!$D:$D,$A306))</f>
        <v/>
      </c>
      <c r="D306" s="16" t="str">
        <f aca="false">IF($A306="","",IF(OR(INDEX(Tasks!$G:$G,$A306)="",INDEX(Tasks!$G:$G,$A306)="TBD"),INDEX(Tasks!$F:$F,$A306),INDEX(Tasks!$G:$G,$A306)))</f>
        <v/>
      </c>
      <c r="E306" s="16" t="str">
        <f aca="false">IF($A306="","",IF(INDEX(Tasks!$H:$H,$A306)="","",INDEX(Tasks!$H:$H,$A306)))</f>
        <v/>
      </c>
      <c r="F306" s="17" t="str">
        <f aca="false">IF($A306="","",IF(INDEX(Tasks!$I:$I,$A306)="","",INDEX(Tasks!$I:$I,$A306)))</f>
        <v/>
      </c>
      <c r="G306" s="17" t="str">
        <f aca="false">IF($A306="","",IF(INDEX(Tasks!$K:$K,$A306)="","",INDEX(Tasks!$K:$K,$A306)))</f>
        <v/>
      </c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  <c r="AG306" s="18"/>
      <c r="AH306" s="18"/>
      <c r="AI306" s="18"/>
      <c r="AJ306" s="18"/>
      <c r="AK306" s="18"/>
      <c r="AL306" s="18"/>
      <c r="AM306" s="18"/>
      <c r="AN306" s="18"/>
      <c r="AO306" s="18"/>
      <c r="AP306" s="18"/>
      <c r="AQ306" s="18"/>
      <c r="AR306" s="18"/>
      <c r="AS306" s="18"/>
      <c r="AT306" s="18"/>
      <c r="AU306" s="18"/>
      <c r="AV306" s="18"/>
      <c r="AW306" s="18"/>
      <c r="AX306" s="18"/>
      <c r="AY306" s="18"/>
    </row>
    <row r="307" customFormat="false" ht="15" hidden="false" customHeight="false" outlineLevel="0" collapsed="false">
      <c r="A307" s="15" t="str">
        <f aca="false">IFERROR(MATCH(ROW()-11,Tasks!$R$4:$R$403,0)+3,"")</f>
        <v/>
      </c>
      <c r="B307" s="16" t="str">
        <f aca="false">IF($A307="","",INDEX(Tasks!$A:$A,$A307))</f>
        <v/>
      </c>
      <c r="C307" s="16" t="str">
        <f aca="false">IF($A307="","",IF(ISERROR(FIND(".",INDEX(Tasks!$A:$A,$A307))),"","   ")&amp;INDEX(Tasks!$D:$D,$A307))</f>
        <v/>
      </c>
      <c r="D307" s="16" t="str">
        <f aca="false">IF($A307="","",IF(OR(INDEX(Tasks!$G:$G,$A307)="",INDEX(Tasks!$G:$G,$A307)="TBD"),INDEX(Tasks!$F:$F,$A307),INDEX(Tasks!$G:$G,$A307)))</f>
        <v/>
      </c>
      <c r="E307" s="16" t="str">
        <f aca="false">IF($A307="","",IF(INDEX(Tasks!$H:$H,$A307)="","",INDEX(Tasks!$H:$H,$A307)))</f>
        <v/>
      </c>
      <c r="F307" s="17" t="str">
        <f aca="false">IF($A307="","",IF(INDEX(Tasks!$I:$I,$A307)="","",INDEX(Tasks!$I:$I,$A307)))</f>
        <v/>
      </c>
      <c r="G307" s="17" t="str">
        <f aca="false">IF($A307="","",IF(INDEX(Tasks!$K:$K,$A307)="","",INDEX(Tasks!$K:$K,$A307)))</f>
        <v/>
      </c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  <c r="AG307" s="18"/>
      <c r="AH307" s="18"/>
      <c r="AI307" s="18"/>
      <c r="AJ307" s="18"/>
      <c r="AK307" s="18"/>
      <c r="AL307" s="18"/>
      <c r="AM307" s="18"/>
      <c r="AN307" s="18"/>
      <c r="AO307" s="18"/>
      <c r="AP307" s="18"/>
      <c r="AQ307" s="18"/>
      <c r="AR307" s="18"/>
      <c r="AS307" s="18"/>
      <c r="AT307" s="18"/>
      <c r="AU307" s="18"/>
      <c r="AV307" s="18"/>
      <c r="AW307" s="18"/>
      <c r="AX307" s="18"/>
      <c r="AY307" s="18"/>
    </row>
    <row r="308" customFormat="false" ht="15" hidden="false" customHeight="false" outlineLevel="0" collapsed="false">
      <c r="A308" s="15" t="str">
        <f aca="false">IFERROR(MATCH(ROW()-11,Tasks!$R$4:$R$403,0)+3,"")</f>
        <v/>
      </c>
      <c r="B308" s="16" t="str">
        <f aca="false">IF($A308="","",INDEX(Tasks!$A:$A,$A308))</f>
        <v/>
      </c>
      <c r="C308" s="16" t="str">
        <f aca="false">IF($A308="","",IF(ISERROR(FIND(".",INDEX(Tasks!$A:$A,$A308))),"","   ")&amp;INDEX(Tasks!$D:$D,$A308))</f>
        <v/>
      </c>
      <c r="D308" s="16" t="str">
        <f aca="false">IF($A308="","",IF(OR(INDEX(Tasks!$G:$G,$A308)="",INDEX(Tasks!$G:$G,$A308)="TBD"),INDEX(Tasks!$F:$F,$A308),INDEX(Tasks!$G:$G,$A308)))</f>
        <v/>
      </c>
      <c r="E308" s="16" t="str">
        <f aca="false">IF($A308="","",IF(INDEX(Tasks!$H:$H,$A308)="","",INDEX(Tasks!$H:$H,$A308)))</f>
        <v/>
      </c>
      <c r="F308" s="17" t="str">
        <f aca="false">IF($A308="","",IF(INDEX(Tasks!$I:$I,$A308)="","",INDEX(Tasks!$I:$I,$A308)))</f>
        <v/>
      </c>
      <c r="G308" s="17" t="str">
        <f aca="false">IF($A308="","",IF(INDEX(Tasks!$K:$K,$A308)="","",INDEX(Tasks!$K:$K,$A308)))</f>
        <v/>
      </c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  <c r="AG308" s="18"/>
      <c r="AH308" s="18"/>
      <c r="AI308" s="18"/>
      <c r="AJ308" s="18"/>
      <c r="AK308" s="18"/>
      <c r="AL308" s="18"/>
      <c r="AM308" s="18"/>
      <c r="AN308" s="18"/>
      <c r="AO308" s="18"/>
      <c r="AP308" s="18"/>
      <c r="AQ308" s="18"/>
      <c r="AR308" s="18"/>
      <c r="AS308" s="18"/>
      <c r="AT308" s="18"/>
      <c r="AU308" s="18"/>
      <c r="AV308" s="18"/>
      <c r="AW308" s="18"/>
      <c r="AX308" s="18"/>
      <c r="AY308" s="18"/>
    </row>
    <row r="309" customFormat="false" ht="15" hidden="false" customHeight="false" outlineLevel="0" collapsed="false">
      <c r="A309" s="15" t="str">
        <f aca="false">IFERROR(MATCH(ROW()-11,Tasks!$R$4:$R$403,0)+3,"")</f>
        <v/>
      </c>
      <c r="B309" s="16" t="str">
        <f aca="false">IF($A309="","",INDEX(Tasks!$A:$A,$A309))</f>
        <v/>
      </c>
      <c r="C309" s="16" t="str">
        <f aca="false">IF($A309="","",IF(ISERROR(FIND(".",INDEX(Tasks!$A:$A,$A309))),"","   ")&amp;INDEX(Tasks!$D:$D,$A309))</f>
        <v/>
      </c>
      <c r="D309" s="16" t="str">
        <f aca="false">IF($A309="","",IF(OR(INDEX(Tasks!$G:$G,$A309)="",INDEX(Tasks!$G:$G,$A309)="TBD"),INDEX(Tasks!$F:$F,$A309),INDEX(Tasks!$G:$G,$A309)))</f>
        <v/>
      </c>
      <c r="E309" s="16" t="str">
        <f aca="false">IF($A309="","",IF(INDEX(Tasks!$H:$H,$A309)="","",INDEX(Tasks!$H:$H,$A309)))</f>
        <v/>
      </c>
      <c r="F309" s="17" t="str">
        <f aca="false">IF($A309="","",IF(INDEX(Tasks!$I:$I,$A309)="","",INDEX(Tasks!$I:$I,$A309)))</f>
        <v/>
      </c>
      <c r="G309" s="17" t="str">
        <f aca="false">IF($A309="","",IF(INDEX(Tasks!$K:$K,$A309)="","",INDEX(Tasks!$K:$K,$A309)))</f>
        <v/>
      </c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  <c r="AG309" s="18"/>
      <c r="AH309" s="18"/>
      <c r="AI309" s="18"/>
      <c r="AJ309" s="18"/>
      <c r="AK309" s="18"/>
      <c r="AL309" s="18"/>
      <c r="AM309" s="18"/>
      <c r="AN309" s="18"/>
      <c r="AO309" s="18"/>
      <c r="AP309" s="18"/>
      <c r="AQ309" s="18"/>
      <c r="AR309" s="18"/>
      <c r="AS309" s="18"/>
      <c r="AT309" s="18"/>
      <c r="AU309" s="18"/>
      <c r="AV309" s="18"/>
      <c r="AW309" s="18"/>
      <c r="AX309" s="18"/>
      <c r="AY309" s="18"/>
    </row>
    <row r="310" customFormat="false" ht="15" hidden="false" customHeight="false" outlineLevel="0" collapsed="false">
      <c r="A310" s="15" t="str">
        <f aca="false">IFERROR(MATCH(ROW()-11,Tasks!$R$4:$R$403,0)+3,"")</f>
        <v/>
      </c>
      <c r="B310" s="16" t="str">
        <f aca="false">IF($A310="","",INDEX(Tasks!$A:$A,$A310))</f>
        <v/>
      </c>
      <c r="C310" s="16" t="str">
        <f aca="false">IF($A310="","",IF(ISERROR(FIND(".",INDEX(Tasks!$A:$A,$A310))),"","   ")&amp;INDEX(Tasks!$D:$D,$A310))</f>
        <v/>
      </c>
      <c r="D310" s="16" t="str">
        <f aca="false">IF($A310="","",IF(OR(INDEX(Tasks!$G:$G,$A310)="",INDEX(Tasks!$G:$G,$A310)="TBD"),INDEX(Tasks!$F:$F,$A310),INDEX(Tasks!$G:$G,$A310)))</f>
        <v/>
      </c>
      <c r="E310" s="16" t="str">
        <f aca="false">IF($A310="","",IF(INDEX(Tasks!$H:$H,$A310)="","",INDEX(Tasks!$H:$H,$A310)))</f>
        <v/>
      </c>
      <c r="F310" s="17" t="str">
        <f aca="false">IF($A310="","",IF(INDEX(Tasks!$I:$I,$A310)="","",INDEX(Tasks!$I:$I,$A310)))</f>
        <v/>
      </c>
      <c r="G310" s="17" t="str">
        <f aca="false">IF($A310="","",IF(INDEX(Tasks!$K:$K,$A310)="","",INDEX(Tasks!$K:$K,$A310)))</f>
        <v/>
      </c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  <c r="AG310" s="18"/>
      <c r="AH310" s="18"/>
      <c r="AI310" s="18"/>
      <c r="AJ310" s="18"/>
      <c r="AK310" s="18"/>
      <c r="AL310" s="18"/>
      <c r="AM310" s="18"/>
      <c r="AN310" s="18"/>
      <c r="AO310" s="18"/>
      <c r="AP310" s="18"/>
      <c r="AQ310" s="18"/>
      <c r="AR310" s="18"/>
      <c r="AS310" s="18"/>
      <c r="AT310" s="18"/>
      <c r="AU310" s="18"/>
      <c r="AV310" s="18"/>
      <c r="AW310" s="18"/>
      <c r="AX310" s="18"/>
      <c r="AY310" s="18"/>
    </row>
    <row r="311" customFormat="false" ht="15" hidden="false" customHeight="false" outlineLevel="0" collapsed="false">
      <c r="A311" s="15" t="str">
        <f aca="false">IFERROR(MATCH(ROW()-11,Tasks!$R$4:$R$403,0)+3,"")</f>
        <v/>
      </c>
      <c r="B311" s="16" t="str">
        <f aca="false">IF($A311="","",INDEX(Tasks!$A:$A,$A311))</f>
        <v/>
      </c>
      <c r="C311" s="16" t="str">
        <f aca="false">IF($A311="","",IF(ISERROR(FIND(".",INDEX(Tasks!$A:$A,$A311))),"","   ")&amp;INDEX(Tasks!$D:$D,$A311))</f>
        <v/>
      </c>
      <c r="D311" s="16" t="str">
        <f aca="false">IF($A311="","",IF(OR(INDEX(Tasks!$G:$G,$A311)="",INDEX(Tasks!$G:$G,$A311)="TBD"),INDEX(Tasks!$F:$F,$A311),INDEX(Tasks!$G:$G,$A311)))</f>
        <v/>
      </c>
      <c r="E311" s="16" t="str">
        <f aca="false">IF($A311="","",IF(INDEX(Tasks!$H:$H,$A311)="","",INDEX(Tasks!$H:$H,$A311)))</f>
        <v/>
      </c>
      <c r="F311" s="17" t="str">
        <f aca="false">IF($A311="","",IF(INDEX(Tasks!$I:$I,$A311)="","",INDEX(Tasks!$I:$I,$A311)))</f>
        <v/>
      </c>
      <c r="G311" s="17" t="str">
        <f aca="false">IF($A311="","",IF(INDEX(Tasks!$K:$K,$A311)="","",INDEX(Tasks!$K:$K,$A311)))</f>
        <v/>
      </c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  <c r="AG311" s="18"/>
      <c r="AH311" s="18"/>
      <c r="AI311" s="18"/>
      <c r="AJ311" s="18"/>
      <c r="AK311" s="18"/>
      <c r="AL311" s="18"/>
      <c r="AM311" s="18"/>
      <c r="AN311" s="18"/>
      <c r="AO311" s="18"/>
      <c r="AP311" s="18"/>
      <c r="AQ311" s="18"/>
      <c r="AR311" s="18"/>
      <c r="AS311" s="18"/>
      <c r="AT311" s="18"/>
      <c r="AU311" s="18"/>
      <c r="AV311" s="18"/>
      <c r="AW311" s="18"/>
      <c r="AX311" s="18"/>
      <c r="AY311" s="18"/>
    </row>
    <row r="312" customFormat="false" ht="15" hidden="false" customHeight="false" outlineLevel="0" collapsed="false">
      <c r="A312" s="15" t="str">
        <f aca="false">IFERROR(MATCH(ROW()-11,Tasks!$R$4:$R$403,0)+3,"")</f>
        <v/>
      </c>
      <c r="B312" s="16" t="str">
        <f aca="false">IF($A312="","",INDEX(Tasks!$A:$A,$A312))</f>
        <v/>
      </c>
      <c r="C312" s="16" t="str">
        <f aca="false">IF($A312="","",IF(ISERROR(FIND(".",INDEX(Tasks!$A:$A,$A312))),"","   ")&amp;INDEX(Tasks!$D:$D,$A312))</f>
        <v/>
      </c>
      <c r="D312" s="16" t="str">
        <f aca="false">IF($A312="","",IF(OR(INDEX(Tasks!$G:$G,$A312)="",INDEX(Tasks!$G:$G,$A312)="TBD"),INDEX(Tasks!$F:$F,$A312),INDEX(Tasks!$G:$G,$A312)))</f>
        <v/>
      </c>
      <c r="E312" s="16" t="str">
        <f aca="false">IF($A312="","",IF(INDEX(Tasks!$H:$H,$A312)="","",INDEX(Tasks!$H:$H,$A312)))</f>
        <v/>
      </c>
      <c r="F312" s="17" t="str">
        <f aca="false">IF($A312="","",IF(INDEX(Tasks!$I:$I,$A312)="","",INDEX(Tasks!$I:$I,$A312)))</f>
        <v/>
      </c>
      <c r="G312" s="17" t="str">
        <f aca="false">IF($A312="","",IF(INDEX(Tasks!$K:$K,$A312)="","",INDEX(Tasks!$K:$K,$A312)))</f>
        <v/>
      </c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  <c r="AG312" s="18"/>
      <c r="AH312" s="18"/>
      <c r="AI312" s="18"/>
      <c r="AJ312" s="18"/>
      <c r="AK312" s="18"/>
      <c r="AL312" s="18"/>
      <c r="AM312" s="18"/>
      <c r="AN312" s="18"/>
      <c r="AO312" s="18"/>
      <c r="AP312" s="18"/>
      <c r="AQ312" s="18"/>
      <c r="AR312" s="18"/>
      <c r="AS312" s="18"/>
      <c r="AT312" s="18"/>
      <c r="AU312" s="18"/>
      <c r="AV312" s="18"/>
      <c r="AW312" s="18"/>
      <c r="AX312" s="18"/>
      <c r="AY312" s="18"/>
    </row>
    <row r="313" customFormat="false" ht="15" hidden="false" customHeight="false" outlineLevel="0" collapsed="false">
      <c r="A313" s="15" t="str">
        <f aca="false">IFERROR(MATCH(ROW()-11,Tasks!$R$4:$R$403,0)+3,"")</f>
        <v/>
      </c>
      <c r="B313" s="16" t="str">
        <f aca="false">IF($A313="","",INDEX(Tasks!$A:$A,$A313))</f>
        <v/>
      </c>
      <c r="C313" s="16" t="str">
        <f aca="false">IF($A313="","",IF(ISERROR(FIND(".",INDEX(Tasks!$A:$A,$A313))),"","   ")&amp;INDEX(Tasks!$D:$D,$A313))</f>
        <v/>
      </c>
      <c r="D313" s="16" t="str">
        <f aca="false">IF($A313="","",IF(OR(INDEX(Tasks!$G:$G,$A313)="",INDEX(Tasks!$G:$G,$A313)="TBD"),INDEX(Tasks!$F:$F,$A313),INDEX(Tasks!$G:$G,$A313)))</f>
        <v/>
      </c>
      <c r="E313" s="16" t="str">
        <f aca="false">IF($A313="","",IF(INDEX(Tasks!$H:$H,$A313)="","",INDEX(Tasks!$H:$H,$A313)))</f>
        <v/>
      </c>
      <c r="F313" s="17" t="str">
        <f aca="false">IF($A313="","",IF(INDEX(Tasks!$I:$I,$A313)="","",INDEX(Tasks!$I:$I,$A313)))</f>
        <v/>
      </c>
      <c r="G313" s="17" t="str">
        <f aca="false">IF($A313="","",IF(INDEX(Tasks!$K:$K,$A313)="","",INDEX(Tasks!$K:$K,$A313)))</f>
        <v/>
      </c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  <c r="AG313" s="18"/>
      <c r="AH313" s="18"/>
      <c r="AI313" s="18"/>
      <c r="AJ313" s="18"/>
      <c r="AK313" s="18"/>
      <c r="AL313" s="18"/>
      <c r="AM313" s="18"/>
      <c r="AN313" s="18"/>
      <c r="AO313" s="18"/>
      <c r="AP313" s="18"/>
      <c r="AQ313" s="18"/>
      <c r="AR313" s="18"/>
      <c r="AS313" s="18"/>
      <c r="AT313" s="18"/>
      <c r="AU313" s="18"/>
      <c r="AV313" s="18"/>
      <c r="AW313" s="18"/>
      <c r="AX313" s="18"/>
      <c r="AY313" s="18"/>
    </row>
    <row r="314" customFormat="false" ht="15" hidden="false" customHeight="false" outlineLevel="0" collapsed="false">
      <c r="A314" s="15" t="str">
        <f aca="false">IFERROR(MATCH(ROW()-11,Tasks!$R$4:$R$403,0)+3,"")</f>
        <v/>
      </c>
      <c r="B314" s="16" t="str">
        <f aca="false">IF($A314="","",INDEX(Tasks!$A:$A,$A314))</f>
        <v/>
      </c>
      <c r="C314" s="16" t="str">
        <f aca="false">IF($A314="","",IF(ISERROR(FIND(".",INDEX(Tasks!$A:$A,$A314))),"","   ")&amp;INDEX(Tasks!$D:$D,$A314))</f>
        <v/>
      </c>
      <c r="D314" s="16" t="str">
        <f aca="false">IF($A314="","",IF(OR(INDEX(Tasks!$G:$G,$A314)="",INDEX(Tasks!$G:$G,$A314)="TBD"),INDEX(Tasks!$F:$F,$A314),INDEX(Tasks!$G:$G,$A314)))</f>
        <v/>
      </c>
      <c r="E314" s="16" t="str">
        <f aca="false">IF($A314="","",IF(INDEX(Tasks!$H:$H,$A314)="","",INDEX(Tasks!$H:$H,$A314)))</f>
        <v/>
      </c>
      <c r="F314" s="17" t="str">
        <f aca="false">IF($A314="","",IF(INDEX(Tasks!$I:$I,$A314)="","",INDEX(Tasks!$I:$I,$A314)))</f>
        <v/>
      </c>
      <c r="G314" s="17" t="str">
        <f aca="false">IF($A314="","",IF(INDEX(Tasks!$K:$K,$A314)="","",INDEX(Tasks!$K:$K,$A314)))</f>
        <v/>
      </c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  <c r="AG314" s="18"/>
      <c r="AH314" s="18"/>
      <c r="AI314" s="18"/>
      <c r="AJ314" s="18"/>
      <c r="AK314" s="18"/>
      <c r="AL314" s="18"/>
      <c r="AM314" s="18"/>
      <c r="AN314" s="18"/>
      <c r="AO314" s="18"/>
      <c r="AP314" s="18"/>
      <c r="AQ314" s="18"/>
      <c r="AR314" s="18"/>
      <c r="AS314" s="18"/>
      <c r="AT314" s="18"/>
      <c r="AU314" s="18"/>
      <c r="AV314" s="18"/>
      <c r="AW314" s="18"/>
      <c r="AX314" s="18"/>
      <c r="AY314" s="18"/>
    </row>
    <row r="315" customFormat="false" ht="15" hidden="false" customHeight="false" outlineLevel="0" collapsed="false">
      <c r="A315" s="15" t="str">
        <f aca="false">IFERROR(MATCH(ROW()-11,Tasks!$R$4:$R$403,0)+3,"")</f>
        <v/>
      </c>
      <c r="B315" s="16" t="str">
        <f aca="false">IF($A315="","",INDEX(Tasks!$A:$A,$A315))</f>
        <v/>
      </c>
      <c r="C315" s="16" t="str">
        <f aca="false">IF($A315="","",IF(ISERROR(FIND(".",INDEX(Tasks!$A:$A,$A315))),"","   ")&amp;INDEX(Tasks!$D:$D,$A315))</f>
        <v/>
      </c>
      <c r="D315" s="16" t="str">
        <f aca="false">IF($A315="","",IF(OR(INDEX(Tasks!$G:$G,$A315)="",INDEX(Tasks!$G:$G,$A315)="TBD"),INDEX(Tasks!$F:$F,$A315),INDEX(Tasks!$G:$G,$A315)))</f>
        <v/>
      </c>
      <c r="E315" s="16" t="str">
        <f aca="false">IF($A315="","",IF(INDEX(Tasks!$H:$H,$A315)="","",INDEX(Tasks!$H:$H,$A315)))</f>
        <v/>
      </c>
      <c r="F315" s="17" t="str">
        <f aca="false">IF($A315="","",IF(INDEX(Tasks!$I:$I,$A315)="","",INDEX(Tasks!$I:$I,$A315)))</f>
        <v/>
      </c>
      <c r="G315" s="17" t="str">
        <f aca="false">IF($A315="","",IF(INDEX(Tasks!$K:$K,$A315)="","",INDEX(Tasks!$K:$K,$A315)))</f>
        <v/>
      </c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  <c r="AG315" s="18"/>
      <c r="AH315" s="18"/>
      <c r="AI315" s="18"/>
      <c r="AJ315" s="18"/>
      <c r="AK315" s="18"/>
      <c r="AL315" s="18"/>
      <c r="AM315" s="18"/>
      <c r="AN315" s="18"/>
      <c r="AO315" s="18"/>
      <c r="AP315" s="18"/>
      <c r="AQ315" s="18"/>
      <c r="AR315" s="18"/>
      <c r="AS315" s="18"/>
      <c r="AT315" s="18"/>
      <c r="AU315" s="18"/>
      <c r="AV315" s="18"/>
      <c r="AW315" s="18"/>
      <c r="AX315" s="18"/>
      <c r="AY315" s="18"/>
    </row>
    <row r="316" customFormat="false" ht="15" hidden="false" customHeight="false" outlineLevel="0" collapsed="false">
      <c r="A316" s="15" t="str">
        <f aca="false">IFERROR(MATCH(ROW()-11,Tasks!$R$4:$R$403,0)+3,"")</f>
        <v/>
      </c>
      <c r="B316" s="16" t="str">
        <f aca="false">IF($A316="","",INDEX(Tasks!$A:$A,$A316))</f>
        <v/>
      </c>
      <c r="C316" s="16" t="str">
        <f aca="false">IF($A316="","",IF(ISERROR(FIND(".",INDEX(Tasks!$A:$A,$A316))),"","   ")&amp;INDEX(Tasks!$D:$D,$A316))</f>
        <v/>
      </c>
      <c r="D316" s="16" t="str">
        <f aca="false">IF($A316="","",IF(OR(INDEX(Tasks!$G:$G,$A316)="",INDEX(Tasks!$G:$G,$A316)="TBD"),INDEX(Tasks!$F:$F,$A316),INDEX(Tasks!$G:$G,$A316)))</f>
        <v/>
      </c>
      <c r="E316" s="16" t="str">
        <f aca="false">IF($A316="","",IF(INDEX(Tasks!$H:$H,$A316)="","",INDEX(Tasks!$H:$H,$A316)))</f>
        <v/>
      </c>
      <c r="F316" s="17" t="str">
        <f aca="false">IF($A316="","",IF(INDEX(Tasks!$I:$I,$A316)="","",INDEX(Tasks!$I:$I,$A316)))</f>
        <v/>
      </c>
      <c r="G316" s="17" t="str">
        <f aca="false">IF($A316="","",IF(INDEX(Tasks!$K:$K,$A316)="","",INDEX(Tasks!$K:$K,$A316)))</f>
        <v/>
      </c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  <c r="AG316" s="18"/>
      <c r="AH316" s="18"/>
      <c r="AI316" s="18"/>
      <c r="AJ316" s="18"/>
      <c r="AK316" s="18"/>
      <c r="AL316" s="18"/>
      <c r="AM316" s="18"/>
      <c r="AN316" s="18"/>
      <c r="AO316" s="18"/>
      <c r="AP316" s="18"/>
      <c r="AQ316" s="18"/>
      <c r="AR316" s="18"/>
      <c r="AS316" s="18"/>
      <c r="AT316" s="18"/>
      <c r="AU316" s="18"/>
      <c r="AV316" s="18"/>
      <c r="AW316" s="18"/>
      <c r="AX316" s="18"/>
      <c r="AY316" s="18"/>
    </row>
    <row r="317" customFormat="false" ht="15" hidden="false" customHeight="false" outlineLevel="0" collapsed="false">
      <c r="A317" s="15" t="str">
        <f aca="false">IFERROR(MATCH(ROW()-11,Tasks!$R$4:$R$403,0)+3,"")</f>
        <v/>
      </c>
      <c r="B317" s="16" t="str">
        <f aca="false">IF($A317="","",INDEX(Tasks!$A:$A,$A317))</f>
        <v/>
      </c>
      <c r="C317" s="16" t="str">
        <f aca="false">IF($A317="","",IF(ISERROR(FIND(".",INDEX(Tasks!$A:$A,$A317))),"","   ")&amp;INDEX(Tasks!$D:$D,$A317))</f>
        <v/>
      </c>
      <c r="D317" s="16" t="str">
        <f aca="false">IF($A317="","",IF(OR(INDEX(Tasks!$G:$G,$A317)="",INDEX(Tasks!$G:$G,$A317)="TBD"),INDEX(Tasks!$F:$F,$A317),INDEX(Tasks!$G:$G,$A317)))</f>
        <v/>
      </c>
      <c r="E317" s="16" t="str">
        <f aca="false">IF($A317="","",IF(INDEX(Tasks!$H:$H,$A317)="","",INDEX(Tasks!$H:$H,$A317)))</f>
        <v/>
      </c>
      <c r="F317" s="17" t="str">
        <f aca="false">IF($A317="","",IF(INDEX(Tasks!$I:$I,$A317)="","",INDEX(Tasks!$I:$I,$A317)))</f>
        <v/>
      </c>
      <c r="G317" s="17" t="str">
        <f aca="false">IF($A317="","",IF(INDEX(Tasks!$K:$K,$A317)="","",INDEX(Tasks!$K:$K,$A317)))</f>
        <v/>
      </c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  <c r="AG317" s="18"/>
      <c r="AH317" s="18"/>
      <c r="AI317" s="18"/>
      <c r="AJ317" s="18"/>
      <c r="AK317" s="18"/>
      <c r="AL317" s="18"/>
      <c r="AM317" s="18"/>
      <c r="AN317" s="18"/>
      <c r="AO317" s="18"/>
      <c r="AP317" s="18"/>
      <c r="AQ317" s="18"/>
      <c r="AR317" s="18"/>
      <c r="AS317" s="18"/>
      <c r="AT317" s="18"/>
      <c r="AU317" s="18"/>
      <c r="AV317" s="18"/>
      <c r="AW317" s="18"/>
      <c r="AX317" s="18"/>
      <c r="AY317" s="18"/>
    </row>
    <row r="318" customFormat="false" ht="15" hidden="false" customHeight="false" outlineLevel="0" collapsed="false">
      <c r="A318" s="15" t="str">
        <f aca="false">IFERROR(MATCH(ROW()-11,Tasks!$R$4:$R$403,0)+3,"")</f>
        <v/>
      </c>
      <c r="B318" s="16" t="str">
        <f aca="false">IF($A318="","",INDEX(Tasks!$A:$A,$A318))</f>
        <v/>
      </c>
      <c r="C318" s="16" t="str">
        <f aca="false">IF($A318="","",IF(ISERROR(FIND(".",INDEX(Tasks!$A:$A,$A318))),"","   ")&amp;INDEX(Tasks!$D:$D,$A318))</f>
        <v/>
      </c>
      <c r="D318" s="16" t="str">
        <f aca="false">IF($A318="","",IF(OR(INDEX(Tasks!$G:$G,$A318)="",INDEX(Tasks!$G:$G,$A318)="TBD"),INDEX(Tasks!$F:$F,$A318),INDEX(Tasks!$G:$G,$A318)))</f>
        <v/>
      </c>
      <c r="E318" s="16" t="str">
        <f aca="false">IF($A318="","",IF(INDEX(Tasks!$H:$H,$A318)="","",INDEX(Tasks!$H:$H,$A318)))</f>
        <v/>
      </c>
      <c r="F318" s="17" t="str">
        <f aca="false">IF($A318="","",IF(INDEX(Tasks!$I:$I,$A318)="","",INDEX(Tasks!$I:$I,$A318)))</f>
        <v/>
      </c>
      <c r="G318" s="17" t="str">
        <f aca="false">IF($A318="","",IF(INDEX(Tasks!$K:$K,$A318)="","",INDEX(Tasks!$K:$K,$A318)))</f>
        <v/>
      </c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  <c r="AG318" s="18"/>
      <c r="AH318" s="18"/>
      <c r="AI318" s="18"/>
      <c r="AJ318" s="18"/>
      <c r="AK318" s="18"/>
      <c r="AL318" s="18"/>
      <c r="AM318" s="18"/>
      <c r="AN318" s="18"/>
      <c r="AO318" s="18"/>
      <c r="AP318" s="18"/>
      <c r="AQ318" s="18"/>
      <c r="AR318" s="18"/>
      <c r="AS318" s="18"/>
      <c r="AT318" s="18"/>
      <c r="AU318" s="18"/>
      <c r="AV318" s="18"/>
      <c r="AW318" s="18"/>
      <c r="AX318" s="18"/>
      <c r="AY318" s="18"/>
    </row>
    <row r="319" customFormat="false" ht="15" hidden="false" customHeight="false" outlineLevel="0" collapsed="false">
      <c r="A319" s="15" t="str">
        <f aca="false">IFERROR(MATCH(ROW()-11,Tasks!$R$4:$R$403,0)+3,"")</f>
        <v/>
      </c>
      <c r="B319" s="16" t="str">
        <f aca="false">IF($A319="","",INDEX(Tasks!$A:$A,$A319))</f>
        <v/>
      </c>
      <c r="C319" s="16" t="str">
        <f aca="false">IF($A319="","",IF(ISERROR(FIND(".",INDEX(Tasks!$A:$A,$A319))),"","   ")&amp;INDEX(Tasks!$D:$D,$A319))</f>
        <v/>
      </c>
      <c r="D319" s="16" t="str">
        <f aca="false">IF($A319="","",IF(OR(INDEX(Tasks!$G:$G,$A319)="",INDEX(Tasks!$G:$G,$A319)="TBD"),INDEX(Tasks!$F:$F,$A319),INDEX(Tasks!$G:$G,$A319)))</f>
        <v/>
      </c>
      <c r="E319" s="16" t="str">
        <f aca="false">IF($A319="","",IF(INDEX(Tasks!$H:$H,$A319)="","",INDEX(Tasks!$H:$H,$A319)))</f>
        <v/>
      </c>
      <c r="F319" s="17" t="str">
        <f aca="false">IF($A319="","",IF(INDEX(Tasks!$I:$I,$A319)="","",INDEX(Tasks!$I:$I,$A319)))</f>
        <v/>
      </c>
      <c r="G319" s="17" t="str">
        <f aca="false">IF($A319="","",IF(INDEX(Tasks!$K:$K,$A319)="","",INDEX(Tasks!$K:$K,$A319)))</f>
        <v/>
      </c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  <c r="AG319" s="18"/>
      <c r="AH319" s="18"/>
      <c r="AI319" s="18"/>
      <c r="AJ319" s="18"/>
      <c r="AK319" s="18"/>
      <c r="AL319" s="18"/>
      <c r="AM319" s="18"/>
      <c r="AN319" s="18"/>
      <c r="AO319" s="18"/>
      <c r="AP319" s="18"/>
      <c r="AQ319" s="18"/>
      <c r="AR319" s="18"/>
      <c r="AS319" s="18"/>
      <c r="AT319" s="18"/>
      <c r="AU319" s="18"/>
      <c r="AV319" s="18"/>
      <c r="AW319" s="18"/>
      <c r="AX319" s="18"/>
      <c r="AY319" s="18"/>
    </row>
    <row r="320" customFormat="false" ht="15" hidden="false" customHeight="false" outlineLevel="0" collapsed="false">
      <c r="A320" s="15" t="str">
        <f aca="false">IFERROR(MATCH(ROW()-11,Tasks!$R$4:$R$403,0)+3,"")</f>
        <v/>
      </c>
      <c r="B320" s="16" t="str">
        <f aca="false">IF($A320="","",INDEX(Tasks!$A:$A,$A320))</f>
        <v/>
      </c>
      <c r="C320" s="16" t="str">
        <f aca="false">IF($A320="","",IF(ISERROR(FIND(".",INDEX(Tasks!$A:$A,$A320))),"","   ")&amp;INDEX(Tasks!$D:$D,$A320))</f>
        <v/>
      </c>
      <c r="D320" s="16" t="str">
        <f aca="false">IF($A320="","",IF(OR(INDEX(Tasks!$G:$G,$A320)="",INDEX(Tasks!$G:$G,$A320)="TBD"),INDEX(Tasks!$F:$F,$A320),INDEX(Tasks!$G:$G,$A320)))</f>
        <v/>
      </c>
      <c r="E320" s="16" t="str">
        <f aca="false">IF($A320="","",IF(INDEX(Tasks!$H:$H,$A320)="","",INDEX(Tasks!$H:$H,$A320)))</f>
        <v/>
      </c>
      <c r="F320" s="17" t="str">
        <f aca="false">IF($A320="","",IF(INDEX(Tasks!$I:$I,$A320)="","",INDEX(Tasks!$I:$I,$A320)))</f>
        <v/>
      </c>
      <c r="G320" s="17" t="str">
        <f aca="false">IF($A320="","",IF(INDEX(Tasks!$K:$K,$A320)="","",INDEX(Tasks!$K:$K,$A320)))</f>
        <v/>
      </c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  <c r="AG320" s="18"/>
      <c r="AH320" s="18"/>
      <c r="AI320" s="18"/>
      <c r="AJ320" s="18"/>
      <c r="AK320" s="18"/>
      <c r="AL320" s="18"/>
      <c r="AM320" s="18"/>
      <c r="AN320" s="18"/>
      <c r="AO320" s="18"/>
      <c r="AP320" s="18"/>
      <c r="AQ320" s="18"/>
      <c r="AR320" s="18"/>
      <c r="AS320" s="18"/>
      <c r="AT320" s="18"/>
      <c r="AU320" s="18"/>
      <c r="AV320" s="18"/>
      <c r="AW320" s="18"/>
      <c r="AX320" s="18"/>
      <c r="AY320" s="18"/>
    </row>
    <row r="321" customFormat="false" ht="15" hidden="false" customHeight="false" outlineLevel="0" collapsed="false">
      <c r="A321" s="15" t="str">
        <f aca="false">IFERROR(MATCH(ROW()-11,Tasks!$R$4:$R$403,0)+3,"")</f>
        <v/>
      </c>
      <c r="B321" s="16" t="str">
        <f aca="false">IF($A321="","",INDEX(Tasks!$A:$A,$A321))</f>
        <v/>
      </c>
      <c r="C321" s="16" t="str">
        <f aca="false">IF($A321="","",IF(ISERROR(FIND(".",INDEX(Tasks!$A:$A,$A321))),"","   ")&amp;INDEX(Tasks!$D:$D,$A321))</f>
        <v/>
      </c>
      <c r="D321" s="16" t="str">
        <f aca="false">IF($A321="","",IF(OR(INDEX(Tasks!$G:$G,$A321)="",INDEX(Tasks!$G:$G,$A321)="TBD"),INDEX(Tasks!$F:$F,$A321),INDEX(Tasks!$G:$G,$A321)))</f>
        <v/>
      </c>
      <c r="E321" s="16" t="str">
        <f aca="false">IF($A321="","",IF(INDEX(Tasks!$H:$H,$A321)="","",INDEX(Tasks!$H:$H,$A321)))</f>
        <v/>
      </c>
      <c r="F321" s="17" t="str">
        <f aca="false">IF($A321="","",IF(INDEX(Tasks!$I:$I,$A321)="","",INDEX(Tasks!$I:$I,$A321)))</f>
        <v/>
      </c>
      <c r="G321" s="17" t="str">
        <f aca="false">IF($A321="","",IF(INDEX(Tasks!$K:$K,$A321)="","",INDEX(Tasks!$K:$K,$A321)))</f>
        <v/>
      </c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  <c r="AG321" s="18"/>
      <c r="AH321" s="18"/>
      <c r="AI321" s="18"/>
      <c r="AJ321" s="18"/>
      <c r="AK321" s="18"/>
      <c r="AL321" s="18"/>
      <c r="AM321" s="18"/>
      <c r="AN321" s="18"/>
      <c r="AO321" s="18"/>
      <c r="AP321" s="18"/>
      <c r="AQ321" s="18"/>
      <c r="AR321" s="18"/>
      <c r="AS321" s="18"/>
      <c r="AT321" s="18"/>
      <c r="AU321" s="18"/>
      <c r="AV321" s="18"/>
      <c r="AW321" s="18"/>
      <c r="AX321" s="18"/>
      <c r="AY321" s="18"/>
    </row>
    <row r="322" customFormat="false" ht="15" hidden="false" customHeight="false" outlineLevel="0" collapsed="false">
      <c r="A322" s="15" t="str">
        <f aca="false">IFERROR(MATCH(ROW()-11,Tasks!$R$4:$R$403,0)+3,"")</f>
        <v/>
      </c>
      <c r="B322" s="16" t="str">
        <f aca="false">IF($A322="","",INDEX(Tasks!$A:$A,$A322))</f>
        <v/>
      </c>
      <c r="C322" s="16" t="str">
        <f aca="false">IF($A322="","",IF(ISERROR(FIND(".",INDEX(Tasks!$A:$A,$A322))),"","   ")&amp;INDEX(Tasks!$D:$D,$A322))</f>
        <v/>
      </c>
      <c r="D322" s="16" t="str">
        <f aca="false">IF($A322="","",IF(OR(INDEX(Tasks!$G:$G,$A322)="",INDEX(Tasks!$G:$G,$A322)="TBD"),INDEX(Tasks!$F:$F,$A322),INDEX(Tasks!$G:$G,$A322)))</f>
        <v/>
      </c>
      <c r="E322" s="16" t="str">
        <f aca="false">IF($A322="","",IF(INDEX(Tasks!$H:$H,$A322)="","",INDEX(Tasks!$H:$H,$A322)))</f>
        <v/>
      </c>
      <c r="F322" s="17" t="str">
        <f aca="false">IF($A322="","",IF(INDEX(Tasks!$I:$I,$A322)="","",INDEX(Tasks!$I:$I,$A322)))</f>
        <v/>
      </c>
      <c r="G322" s="17" t="str">
        <f aca="false">IF($A322="","",IF(INDEX(Tasks!$K:$K,$A322)="","",INDEX(Tasks!$K:$K,$A322)))</f>
        <v/>
      </c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  <c r="AG322" s="18"/>
      <c r="AH322" s="18"/>
      <c r="AI322" s="18"/>
      <c r="AJ322" s="18"/>
      <c r="AK322" s="18"/>
      <c r="AL322" s="18"/>
      <c r="AM322" s="18"/>
      <c r="AN322" s="18"/>
      <c r="AO322" s="18"/>
      <c r="AP322" s="18"/>
      <c r="AQ322" s="18"/>
      <c r="AR322" s="18"/>
      <c r="AS322" s="18"/>
      <c r="AT322" s="18"/>
      <c r="AU322" s="18"/>
      <c r="AV322" s="18"/>
      <c r="AW322" s="18"/>
      <c r="AX322" s="18"/>
      <c r="AY322" s="18"/>
    </row>
    <row r="323" customFormat="false" ht="15" hidden="false" customHeight="false" outlineLevel="0" collapsed="false">
      <c r="A323" s="15" t="str">
        <f aca="false">IFERROR(MATCH(ROW()-11,Tasks!$R$4:$R$403,0)+3,"")</f>
        <v/>
      </c>
      <c r="B323" s="16" t="str">
        <f aca="false">IF($A323="","",INDEX(Tasks!$A:$A,$A323))</f>
        <v/>
      </c>
      <c r="C323" s="16" t="str">
        <f aca="false">IF($A323="","",IF(ISERROR(FIND(".",INDEX(Tasks!$A:$A,$A323))),"","   ")&amp;INDEX(Tasks!$D:$D,$A323))</f>
        <v/>
      </c>
      <c r="D323" s="16" t="str">
        <f aca="false">IF($A323="","",IF(OR(INDEX(Tasks!$G:$G,$A323)="",INDEX(Tasks!$G:$G,$A323)="TBD"),INDEX(Tasks!$F:$F,$A323),INDEX(Tasks!$G:$G,$A323)))</f>
        <v/>
      </c>
      <c r="E323" s="16" t="str">
        <f aca="false">IF($A323="","",IF(INDEX(Tasks!$H:$H,$A323)="","",INDEX(Tasks!$H:$H,$A323)))</f>
        <v/>
      </c>
      <c r="F323" s="17" t="str">
        <f aca="false">IF($A323="","",IF(INDEX(Tasks!$I:$I,$A323)="","",INDEX(Tasks!$I:$I,$A323)))</f>
        <v/>
      </c>
      <c r="G323" s="17" t="str">
        <f aca="false">IF($A323="","",IF(INDEX(Tasks!$K:$K,$A323)="","",INDEX(Tasks!$K:$K,$A323)))</f>
        <v/>
      </c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  <c r="AG323" s="18"/>
      <c r="AH323" s="18"/>
      <c r="AI323" s="18"/>
      <c r="AJ323" s="18"/>
      <c r="AK323" s="18"/>
      <c r="AL323" s="18"/>
      <c r="AM323" s="18"/>
      <c r="AN323" s="18"/>
      <c r="AO323" s="18"/>
      <c r="AP323" s="18"/>
      <c r="AQ323" s="18"/>
      <c r="AR323" s="18"/>
      <c r="AS323" s="18"/>
      <c r="AT323" s="18"/>
      <c r="AU323" s="18"/>
      <c r="AV323" s="18"/>
      <c r="AW323" s="18"/>
      <c r="AX323" s="18"/>
      <c r="AY323" s="18"/>
    </row>
    <row r="324" customFormat="false" ht="15" hidden="false" customHeight="false" outlineLevel="0" collapsed="false">
      <c r="A324" s="15" t="str">
        <f aca="false">IFERROR(MATCH(ROW()-11,Tasks!$R$4:$R$403,0)+3,"")</f>
        <v/>
      </c>
      <c r="B324" s="16" t="str">
        <f aca="false">IF($A324="","",INDEX(Tasks!$A:$A,$A324))</f>
        <v/>
      </c>
      <c r="C324" s="16" t="str">
        <f aca="false">IF($A324="","",IF(ISERROR(FIND(".",INDEX(Tasks!$A:$A,$A324))),"","   ")&amp;INDEX(Tasks!$D:$D,$A324))</f>
        <v/>
      </c>
      <c r="D324" s="16" t="str">
        <f aca="false">IF($A324="","",IF(OR(INDEX(Tasks!$G:$G,$A324)="",INDEX(Tasks!$G:$G,$A324)="TBD"),INDEX(Tasks!$F:$F,$A324),INDEX(Tasks!$G:$G,$A324)))</f>
        <v/>
      </c>
      <c r="E324" s="16" t="str">
        <f aca="false">IF($A324="","",IF(INDEX(Tasks!$H:$H,$A324)="","",INDEX(Tasks!$H:$H,$A324)))</f>
        <v/>
      </c>
      <c r="F324" s="17" t="str">
        <f aca="false">IF($A324="","",IF(INDEX(Tasks!$I:$I,$A324)="","",INDEX(Tasks!$I:$I,$A324)))</f>
        <v/>
      </c>
      <c r="G324" s="17" t="str">
        <f aca="false">IF($A324="","",IF(INDEX(Tasks!$K:$K,$A324)="","",INDEX(Tasks!$K:$K,$A324)))</f>
        <v/>
      </c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  <c r="AG324" s="18"/>
      <c r="AH324" s="18"/>
      <c r="AI324" s="18"/>
      <c r="AJ324" s="18"/>
      <c r="AK324" s="18"/>
      <c r="AL324" s="18"/>
      <c r="AM324" s="18"/>
      <c r="AN324" s="18"/>
      <c r="AO324" s="18"/>
      <c r="AP324" s="18"/>
      <c r="AQ324" s="18"/>
      <c r="AR324" s="18"/>
      <c r="AS324" s="18"/>
      <c r="AT324" s="18"/>
      <c r="AU324" s="18"/>
      <c r="AV324" s="18"/>
      <c r="AW324" s="18"/>
      <c r="AX324" s="18"/>
      <c r="AY324" s="18"/>
    </row>
    <row r="325" customFormat="false" ht="15" hidden="false" customHeight="false" outlineLevel="0" collapsed="false">
      <c r="A325" s="15" t="str">
        <f aca="false">IFERROR(MATCH(ROW()-11,Tasks!$R$4:$R$403,0)+3,"")</f>
        <v/>
      </c>
      <c r="B325" s="16" t="str">
        <f aca="false">IF($A325="","",INDEX(Tasks!$A:$A,$A325))</f>
        <v/>
      </c>
      <c r="C325" s="16" t="str">
        <f aca="false">IF($A325="","",IF(ISERROR(FIND(".",INDEX(Tasks!$A:$A,$A325))),"","   ")&amp;INDEX(Tasks!$D:$D,$A325))</f>
        <v/>
      </c>
      <c r="D325" s="16" t="str">
        <f aca="false">IF($A325="","",IF(OR(INDEX(Tasks!$G:$G,$A325)="",INDEX(Tasks!$G:$G,$A325)="TBD"),INDEX(Tasks!$F:$F,$A325),INDEX(Tasks!$G:$G,$A325)))</f>
        <v/>
      </c>
      <c r="E325" s="16" t="str">
        <f aca="false">IF($A325="","",IF(INDEX(Tasks!$H:$H,$A325)="","",INDEX(Tasks!$H:$H,$A325)))</f>
        <v/>
      </c>
      <c r="F325" s="17" t="str">
        <f aca="false">IF($A325="","",IF(INDEX(Tasks!$I:$I,$A325)="","",INDEX(Tasks!$I:$I,$A325)))</f>
        <v/>
      </c>
      <c r="G325" s="17" t="str">
        <f aca="false">IF($A325="","",IF(INDEX(Tasks!$K:$K,$A325)="","",INDEX(Tasks!$K:$K,$A325)))</f>
        <v/>
      </c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  <c r="AG325" s="18"/>
      <c r="AH325" s="18"/>
      <c r="AI325" s="18"/>
      <c r="AJ325" s="18"/>
      <c r="AK325" s="18"/>
      <c r="AL325" s="18"/>
      <c r="AM325" s="18"/>
      <c r="AN325" s="18"/>
      <c r="AO325" s="18"/>
      <c r="AP325" s="18"/>
      <c r="AQ325" s="18"/>
      <c r="AR325" s="18"/>
      <c r="AS325" s="18"/>
      <c r="AT325" s="18"/>
      <c r="AU325" s="18"/>
      <c r="AV325" s="18"/>
      <c r="AW325" s="18"/>
      <c r="AX325" s="18"/>
      <c r="AY325" s="18"/>
    </row>
    <row r="326" customFormat="false" ht="15" hidden="false" customHeight="false" outlineLevel="0" collapsed="false">
      <c r="A326" s="15" t="str">
        <f aca="false">IFERROR(MATCH(ROW()-11,Tasks!$R$4:$R$403,0)+3,"")</f>
        <v/>
      </c>
      <c r="B326" s="16" t="str">
        <f aca="false">IF($A326="","",INDEX(Tasks!$A:$A,$A326))</f>
        <v/>
      </c>
      <c r="C326" s="16" t="str">
        <f aca="false">IF($A326="","",IF(ISERROR(FIND(".",INDEX(Tasks!$A:$A,$A326))),"","   ")&amp;INDEX(Tasks!$D:$D,$A326))</f>
        <v/>
      </c>
      <c r="D326" s="16" t="str">
        <f aca="false">IF($A326="","",IF(OR(INDEX(Tasks!$G:$G,$A326)="",INDEX(Tasks!$G:$G,$A326)="TBD"),INDEX(Tasks!$F:$F,$A326),INDEX(Tasks!$G:$G,$A326)))</f>
        <v/>
      </c>
      <c r="E326" s="16" t="str">
        <f aca="false">IF($A326="","",IF(INDEX(Tasks!$H:$H,$A326)="","",INDEX(Tasks!$H:$H,$A326)))</f>
        <v/>
      </c>
      <c r="F326" s="17" t="str">
        <f aca="false">IF($A326="","",IF(INDEX(Tasks!$I:$I,$A326)="","",INDEX(Tasks!$I:$I,$A326)))</f>
        <v/>
      </c>
      <c r="G326" s="17" t="str">
        <f aca="false">IF($A326="","",IF(INDEX(Tasks!$K:$K,$A326)="","",INDEX(Tasks!$K:$K,$A326)))</f>
        <v/>
      </c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  <c r="AG326" s="18"/>
      <c r="AH326" s="18"/>
      <c r="AI326" s="18"/>
      <c r="AJ326" s="18"/>
      <c r="AK326" s="18"/>
      <c r="AL326" s="18"/>
      <c r="AM326" s="18"/>
      <c r="AN326" s="18"/>
      <c r="AO326" s="18"/>
      <c r="AP326" s="18"/>
      <c r="AQ326" s="18"/>
      <c r="AR326" s="18"/>
      <c r="AS326" s="18"/>
      <c r="AT326" s="18"/>
      <c r="AU326" s="18"/>
      <c r="AV326" s="18"/>
      <c r="AW326" s="18"/>
      <c r="AX326" s="18"/>
      <c r="AY326" s="18"/>
    </row>
    <row r="327" customFormat="false" ht="15" hidden="false" customHeight="false" outlineLevel="0" collapsed="false">
      <c r="A327" s="15" t="str">
        <f aca="false">IFERROR(MATCH(ROW()-11,Tasks!$R$4:$R$403,0)+3,"")</f>
        <v/>
      </c>
      <c r="B327" s="16" t="str">
        <f aca="false">IF($A327="","",INDEX(Tasks!$A:$A,$A327))</f>
        <v/>
      </c>
      <c r="C327" s="16" t="str">
        <f aca="false">IF($A327="","",IF(ISERROR(FIND(".",INDEX(Tasks!$A:$A,$A327))),"","   ")&amp;INDEX(Tasks!$D:$D,$A327))</f>
        <v/>
      </c>
      <c r="D327" s="16" t="str">
        <f aca="false">IF($A327="","",IF(OR(INDEX(Tasks!$G:$G,$A327)="",INDEX(Tasks!$G:$G,$A327)="TBD"),INDEX(Tasks!$F:$F,$A327),INDEX(Tasks!$G:$G,$A327)))</f>
        <v/>
      </c>
      <c r="E327" s="16" t="str">
        <f aca="false">IF($A327="","",IF(INDEX(Tasks!$H:$H,$A327)="","",INDEX(Tasks!$H:$H,$A327)))</f>
        <v/>
      </c>
      <c r="F327" s="17" t="str">
        <f aca="false">IF($A327="","",IF(INDEX(Tasks!$I:$I,$A327)="","",INDEX(Tasks!$I:$I,$A327)))</f>
        <v/>
      </c>
      <c r="G327" s="17" t="str">
        <f aca="false">IF($A327="","",IF(INDEX(Tasks!$K:$K,$A327)="","",INDEX(Tasks!$K:$K,$A327)))</f>
        <v/>
      </c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  <c r="AG327" s="18"/>
      <c r="AH327" s="18"/>
      <c r="AI327" s="18"/>
      <c r="AJ327" s="18"/>
      <c r="AK327" s="18"/>
      <c r="AL327" s="18"/>
      <c r="AM327" s="18"/>
      <c r="AN327" s="18"/>
      <c r="AO327" s="18"/>
      <c r="AP327" s="18"/>
      <c r="AQ327" s="18"/>
      <c r="AR327" s="18"/>
      <c r="AS327" s="18"/>
      <c r="AT327" s="18"/>
      <c r="AU327" s="18"/>
      <c r="AV327" s="18"/>
      <c r="AW327" s="18"/>
      <c r="AX327" s="18"/>
      <c r="AY327" s="18"/>
    </row>
    <row r="328" customFormat="false" ht="15" hidden="false" customHeight="false" outlineLevel="0" collapsed="false">
      <c r="A328" s="15" t="str">
        <f aca="false">IFERROR(MATCH(ROW()-11,Tasks!$R$4:$R$403,0)+3,"")</f>
        <v/>
      </c>
      <c r="B328" s="16" t="str">
        <f aca="false">IF($A328="","",INDEX(Tasks!$A:$A,$A328))</f>
        <v/>
      </c>
      <c r="C328" s="16" t="str">
        <f aca="false">IF($A328="","",IF(ISERROR(FIND(".",INDEX(Tasks!$A:$A,$A328))),"","   ")&amp;INDEX(Tasks!$D:$D,$A328))</f>
        <v/>
      </c>
      <c r="D328" s="16" t="str">
        <f aca="false">IF($A328="","",IF(OR(INDEX(Tasks!$G:$G,$A328)="",INDEX(Tasks!$G:$G,$A328)="TBD"),INDEX(Tasks!$F:$F,$A328),INDEX(Tasks!$G:$G,$A328)))</f>
        <v/>
      </c>
      <c r="E328" s="16" t="str">
        <f aca="false">IF($A328="","",IF(INDEX(Tasks!$H:$H,$A328)="","",INDEX(Tasks!$H:$H,$A328)))</f>
        <v/>
      </c>
      <c r="F328" s="17" t="str">
        <f aca="false">IF($A328="","",IF(INDEX(Tasks!$I:$I,$A328)="","",INDEX(Tasks!$I:$I,$A328)))</f>
        <v/>
      </c>
      <c r="G328" s="17" t="str">
        <f aca="false">IF($A328="","",IF(INDEX(Tasks!$K:$K,$A328)="","",INDEX(Tasks!$K:$K,$A328)))</f>
        <v/>
      </c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  <c r="AG328" s="18"/>
      <c r="AH328" s="18"/>
      <c r="AI328" s="18"/>
      <c r="AJ328" s="18"/>
      <c r="AK328" s="18"/>
      <c r="AL328" s="18"/>
      <c r="AM328" s="18"/>
      <c r="AN328" s="18"/>
      <c r="AO328" s="18"/>
      <c r="AP328" s="18"/>
      <c r="AQ328" s="18"/>
      <c r="AR328" s="18"/>
      <c r="AS328" s="18"/>
      <c r="AT328" s="18"/>
      <c r="AU328" s="18"/>
      <c r="AV328" s="18"/>
      <c r="AW328" s="18"/>
      <c r="AX328" s="18"/>
      <c r="AY328" s="18"/>
    </row>
    <row r="329" customFormat="false" ht="15" hidden="false" customHeight="false" outlineLevel="0" collapsed="false">
      <c r="A329" s="15" t="str">
        <f aca="false">IFERROR(MATCH(ROW()-11,Tasks!$R$4:$R$403,0)+3,"")</f>
        <v/>
      </c>
      <c r="B329" s="16" t="str">
        <f aca="false">IF($A329="","",INDEX(Tasks!$A:$A,$A329))</f>
        <v/>
      </c>
      <c r="C329" s="16" t="str">
        <f aca="false">IF($A329="","",IF(ISERROR(FIND(".",INDEX(Tasks!$A:$A,$A329))),"","   ")&amp;INDEX(Tasks!$D:$D,$A329))</f>
        <v/>
      </c>
      <c r="D329" s="16" t="str">
        <f aca="false">IF($A329="","",IF(OR(INDEX(Tasks!$G:$G,$A329)="",INDEX(Tasks!$G:$G,$A329)="TBD"),INDEX(Tasks!$F:$F,$A329),INDEX(Tasks!$G:$G,$A329)))</f>
        <v/>
      </c>
      <c r="E329" s="16" t="str">
        <f aca="false">IF($A329="","",IF(INDEX(Tasks!$H:$H,$A329)="","",INDEX(Tasks!$H:$H,$A329)))</f>
        <v/>
      </c>
      <c r="F329" s="17" t="str">
        <f aca="false">IF($A329="","",IF(INDEX(Tasks!$I:$I,$A329)="","",INDEX(Tasks!$I:$I,$A329)))</f>
        <v/>
      </c>
      <c r="G329" s="17" t="str">
        <f aca="false">IF($A329="","",IF(INDEX(Tasks!$K:$K,$A329)="","",INDEX(Tasks!$K:$K,$A329)))</f>
        <v/>
      </c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  <c r="AG329" s="18"/>
      <c r="AH329" s="18"/>
      <c r="AI329" s="18"/>
      <c r="AJ329" s="18"/>
      <c r="AK329" s="18"/>
      <c r="AL329" s="18"/>
      <c r="AM329" s="18"/>
      <c r="AN329" s="18"/>
      <c r="AO329" s="18"/>
      <c r="AP329" s="18"/>
      <c r="AQ329" s="18"/>
      <c r="AR329" s="18"/>
      <c r="AS329" s="18"/>
      <c r="AT329" s="18"/>
      <c r="AU329" s="18"/>
      <c r="AV329" s="18"/>
      <c r="AW329" s="18"/>
      <c r="AX329" s="18"/>
      <c r="AY329" s="18"/>
    </row>
    <row r="330" customFormat="false" ht="15" hidden="false" customHeight="false" outlineLevel="0" collapsed="false">
      <c r="A330" s="15" t="str">
        <f aca="false">IFERROR(MATCH(ROW()-11,Tasks!$R$4:$R$403,0)+3,"")</f>
        <v/>
      </c>
      <c r="B330" s="16" t="str">
        <f aca="false">IF($A330="","",INDEX(Tasks!$A:$A,$A330))</f>
        <v/>
      </c>
      <c r="C330" s="16" t="str">
        <f aca="false">IF($A330="","",IF(ISERROR(FIND(".",INDEX(Tasks!$A:$A,$A330))),"","   ")&amp;INDEX(Tasks!$D:$D,$A330))</f>
        <v/>
      </c>
      <c r="D330" s="16" t="str">
        <f aca="false">IF($A330="","",IF(OR(INDEX(Tasks!$G:$G,$A330)="",INDEX(Tasks!$G:$G,$A330)="TBD"),INDEX(Tasks!$F:$F,$A330),INDEX(Tasks!$G:$G,$A330)))</f>
        <v/>
      </c>
      <c r="E330" s="16" t="str">
        <f aca="false">IF($A330="","",IF(INDEX(Tasks!$H:$H,$A330)="","",INDEX(Tasks!$H:$H,$A330)))</f>
        <v/>
      </c>
      <c r="F330" s="17" t="str">
        <f aca="false">IF($A330="","",IF(INDEX(Tasks!$I:$I,$A330)="","",INDEX(Tasks!$I:$I,$A330)))</f>
        <v/>
      </c>
      <c r="G330" s="17" t="str">
        <f aca="false">IF($A330="","",IF(INDEX(Tasks!$K:$K,$A330)="","",INDEX(Tasks!$K:$K,$A330)))</f>
        <v/>
      </c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  <c r="AG330" s="18"/>
      <c r="AH330" s="18"/>
      <c r="AI330" s="18"/>
      <c r="AJ330" s="18"/>
      <c r="AK330" s="18"/>
      <c r="AL330" s="18"/>
      <c r="AM330" s="18"/>
      <c r="AN330" s="18"/>
      <c r="AO330" s="18"/>
      <c r="AP330" s="18"/>
      <c r="AQ330" s="18"/>
      <c r="AR330" s="18"/>
      <c r="AS330" s="18"/>
      <c r="AT330" s="18"/>
      <c r="AU330" s="18"/>
      <c r="AV330" s="18"/>
      <c r="AW330" s="18"/>
      <c r="AX330" s="18"/>
      <c r="AY330" s="18"/>
    </row>
    <row r="331" customFormat="false" ht="15" hidden="false" customHeight="false" outlineLevel="0" collapsed="false">
      <c r="A331" s="15" t="str">
        <f aca="false">IFERROR(MATCH(ROW()-11,Tasks!$R$4:$R$403,0)+3,"")</f>
        <v/>
      </c>
      <c r="B331" s="16" t="str">
        <f aca="false">IF($A331="","",INDEX(Tasks!$A:$A,$A331))</f>
        <v/>
      </c>
      <c r="C331" s="16" t="str">
        <f aca="false">IF($A331="","",IF(ISERROR(FIND(".",INDEX(Tasks!$A:$A,$A331))),"","   ")&amp;INDEX(Tasks!$D:$D,$A331))</f>
        <v/>
      </c>
      <c r="D331" s="16" t="str">
        <f aca="false">IF($A331="","",IF(OR(INDEX(Tasks!$G:$G,$A331)="",INDEX(Tasks!$G:$G,$A331)="TBD"),INDEX(Tasks!$F:$F,$A331),INDEX(Tasks!$G:$G,$A331)))</f>
        <v/>
      </c>
      <c r="E331" s="16" t="str">
        <f aca="false">IF($A331="","",IF(INDEX(Tasks!$H:$H,$A331)="","",INDEX(Tasks!$H:$H,$A331)))</f>
        <v/>
      </c>
      <c r="F331" s="17" t="str">
        <f aca="false">IF($A331="","",IF(INDEX(Tasks!$I:$I,$A331)="","",INDEX(Tasks!$I:$I,$A331)))</f>
        <v/>
      </c>
      <c r="G331" s="17" t="str">
        <f aca="false">IF($A331="","",IF(INDEX(Tasks!$K:$K,$A331)="","",INDEX(Tasks!$K:$K,$A331)))</f>
        <v/>
      </c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J331" s="18"/>
      <c r="AK331" s="18"/>
      <c r="AL331" s="18"/>
      <c r="AM331" s="18"/>
      <c r="AN331" s="18"/>
      <c r="AO331" s="18"/>
      <c r="AP331" s="18"/>
      <c r="AQ331" s="18"/>
      <c r="AR331" s="18"/>
      <c r="AS331" s="18"/>
      <c r="AT331" s="18"/>
      <c r="AU331" s="18"/>
      <c r="AV331" s="18"/>
      <c r="AW331" s="18"/>
      <c r="AX331" s="18"/>
      <c r="AY331" s="18"/>
    </row>
    <row r="332" customFormat="false" ht="15" hidden="false" customHeight="false" outlineLevel="0" collapsed="false">
      <c r="A332" s="15" t="str">
        <f aca="false">IFERROR(MATCH(ROW()-11,Tasks!$R$4:$R$403,0)+3,"")</f>
        <v/>
      </c>
      <c r="B332" s="16" t="str">
        <f aca="false">IF($A332="","",INDEX(Tasks!$A:$A,$A332))</f>
        <v/>
      </c>
      <c r="C332" s="16" t="str">
        <f aca="false">IF($A332="","",IF(ISERROR(FIND(".",INDEX(Tasks!$A:$A,$A332))),"","   ")&amp;INDEX(Tasks!$D:$D,$A332))</f>
        <v/>
      </c>
      <c r="D332" s="16" t="str">
        <f aca="false">IF($A332="","",IF(OR(INDEX(Tasks!$G:$G,$A332)="",INDEX(Tasks!$G:$G,$A332)="TBD"),INDEX(Tasks!$F:$F,$A332),INDEX(Tasks!$G:$G,$A332)))</f>
        <v/>
      </c>
      <c r="E332" s="16" t="str">
        <f aca="false">IF($A332="","",IF(INDEX(Tasks!$H:$H,$A332)="","",INDEX(Tasks!$H:$H,$A332)))</f>
        <v/>
      </c>
      <c r="F332" s="17" t="str">
        <f aca="false">IF($A332="","",IF(INDEX(Tasks!$I:$I,$A332)="","",INDEX(Tasks!$I:$I,$A332)))</f>
        <v/>
      </c>
      <c r="G332" s="17" t="str">
        <f aca="false">IF($A332="","",IF(INDEX(Tasks!$K:$K,$A332)="","",INDEX(Tasks!$K:$K,$A332)))</f>
        <v/>
      </c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  <c r="AG332" s="18"/>
      <c r="AH332" s="18"/>
      <c r="AI332" s="18"/>
      <c r="AJ332" s="18"/>
      <c r="AK332" s="18"/>
      <c r="AL332" s="18"/>
      <c r="AM332" s="18"/>
      <c r="AN332" s="18"/>
      <c r="AO332" s="18"/>
      <c r="AP332" s="18"/>
      <c r="AQ332" s="18"/>
      <c r="AR332" s="18"/>
      <c r="AS332" s="18"/>
      <c r="AT332" s="18"/>
      <c r="AU332" s="18"/>
      <c r="AV332" s="18"/>
      <c r="AW332" s="18"/>
      <c r="AX332" s="18"/>
      <c r="AY332" s="18"/>
    </row>
    <row r="333" customFormat="false" ht="15" hidden="false" customHeight="false" outlineLevel="0" collapsed="false">
      <c r="A333" s="15" t="str">
        <f aca="false">IFERROR(MATCH(ROW()-11,Tasks!$R$4:$R$403,0)+3,"")</f>
        <v/>
      </c>
      <c r="B333" s="16" t="str">
        <f aca="false">IF($A333="","",INDEX(Tasks!$A:$A,$A333))</f>
        <v/>
      </c>
      <c r="C333" s="16" t="str">
        <f aca="false">IF($A333="","",IF(ISERROR(FIND(".",INDEX(Tasks!$A:$A,$A333))),"","   ")&amp;INDEX(Tasks!$D:$D,$A333))</f>
        <v/>
      </c>
      <c r="D333" s="16" t="str">
        <f aca="false">IF($A333="","",IF(OR(INDEX(Tasks!$G:$G,$A333)="",INDEX(Tasks!$G:$G,$A333)="TBD"),INDEX(Tasks!$F:$F,$A333),INDEX(Tasks!$G:$G,$A333)))</f>
        <v/>
      </c>
      <c r="E333" s="16" t="str">
        <f aca="false">IF($A333="","",IF(INDEX(Tasks!$H:$H,$A333)="","",INDEX(Tasks!$H:$H,$A333)))</f>
        <v/>
      </c>
      <c r="F333" s="17" t="str">
        <f aca="false">IF($A333="","",IF(INDEX(Tasks!$I:$I,$A333)="","",INDEX(Tasks!$I:$I,$A333)))</f>
        <v/>
      </c>
      <c r="G333" s="17" t="str">
        <f aca="false">IF($A333="","",IF(INDEX(Tasks!$K:$K,$A333)="","",INDEX(Tasks!$K:$K,$A333)))</f>
        <v/>
      </c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  <c r="AG333" s="18"/>
      <c r="AH333" s="18"/>
      <c r="AI333" s="18"/>
      <c r="AJ333" s="18"/>
      <c r="AK333" s="18"/>
      <c r="AL333" s="18"/>
      <c r="AM333" s="18"/>
      <c r="AN333" s="18"/>
      <c r="AO333" s="18"/>
      <c r="AP333" s="18"/>
      <c r="AQ333" s="18"/>
      <c r="AR333" s="18"/>
      <c r="AS333" s="18"/>
      <c r="AT333" s="18"/>
      <c r="AU333" s="18"/>
      <c r="AV333" s="18"/>
      <c r="AW333" s="18"/>
      <c r="AX333" s="18"/>
      <c r="AY333" s="18"/>
    </row>
    <row r="334" customFormat="false" ht="15" hidden="false" customHeight="false" outlineLevel="0" collapsed="false">
      <c r="A334" s="15" t="str">
        <f aca="false">IFERROR(MATCH(ROW()-11,Tasks!$R$4:$R$403,0)+3,"")</f>
        <v/>
      </c>
      <c r="B334" s="16" t="str">
        <f aca="false">IF($A334="","",INDEX(Tasks!$A:$A,$A334))</f>
        <v/>
      </c>
      <c r="C334" s="16" t="str">
        <f aca="false">IF($A334="","",IF(ISERROR(FIND(".",INDEX(Tasks!$A:$A,$A334))),"","   ")&amp;INDEX(Tasks!$D:$D,$A334))</f>
        <v/>
      </c>
      <c r="D334" s="16" t="str">
        <f aca="false">IF($A334="","",IF(OR(INDEX(Tasks!$G:$G,$A334)="",INDEX(Tasks!$G:$G,$A334)="TBD"),INDEX(Tasks!$F:$F,$A334),INDEX(Tasks!$G:$G,$A334)))</f>
        <v/>
      </c>
      <c r="E334" s="16" t="str">
        <f aca="false">IF($A334="","",IF(INDEX(Tasks!$H:$H,$A334)="","",INDEX(Tasks!$H:$H,$A334)))</f>
        <v/>
      </c>
      <c r="F334" s="17" t="str">
        <f aca="false">IF($A334="","",IF(INDEX(Tasks!$I:$I,$A334)="","",INDEX(Tasks!$I:$I,$A334)))</f>
        <v/>
      </c>
      <c r="G334" s="17" t="str">
        <f aca="false">IF($A334="","",IF(INDEX(Tasks!$K:$K,$A334)="","",INDEX(Tasks!$K:$K,$A334)))</f>
        <v/>
      </c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  <c r="AG334" s="18"/>
      <c r="AH334" s="18"/>
      <c r="AI334" s="18"/>
      <c r="AJ334" s="18"/>
      <c r="AK334" s="18"/>
      <c r="AL334" s="18"/>
      <c r="AM334" s="18"/>
      <c r="AN334" s="18"/>
      <c r="AO334" s="18"/>
      <c r="AP334" s="18"/>
      <c r="AQ334" s="18"/>
      <c r="AR334" s="18"/>
      <c r="AS334" s="18"/>
      <c r="AT334" s="18"/>
      <c r="AU334" s="18"/>
      <c r="AV334" s="18"/>
      <c r="AW334" s="18"/>
      <c r="AX334" s="18"/>
      <c r="AY334" s="18"/>
    </row>
    <row r="335" customFormat="false" ht="15" hidden="false" customHeight="false" outlineLevel="0" collapsed="false">
      <c r="A335" s="15" t="str">
        <f aca="false">IFERROR(MATCH(ROW()-11,Tasks!$R$4:$R$403,0)+3,"")</f>
        <v/>
      </c>
      <c r="B335" s="16" t="str">
        <f aca="false">IF($A335="","",INDEX(Tasks!$A:$A,$A335))</f>
        <v/>
      </c>
      <c r="C335" s="16" t="str">
        <f aca="false">IF($A335="","",IF(ISERROR(FIND(".",INDEX(Tasks!$A:$A,$A335))),"","   ")&amp;INDEX(Tasks!$D:$D,$A335))</f>
        <v/>
      </c>
      <c r="D335" s="16" t="str">
        <f aca="false">IF($A335="","",IF(OR(INDEX(Tasks!$G:$G,$A335)="",INDEX(Tasks!$G:$G,$A335)="TBD"),INDEX(Tasks!$F:$F,$A335),INDEX(Tasks!$G:$G,$A335)))</f>
        <v/>
      </c>
      <c r="E335" s="16" t="str">
        <f aca="false">IF($A335="","",IF(INDEX(Tasks!$H:$H,$A335)="","",INDEX(Tasks!$H:$H,$A335)))</f>
        <v/>
      </c>
      <c r="F335" s="17" t="str">
        <f aca="false">IF($A335="","",IF(INDEX(Tasks!$I:$I,$A335)="","",INDEX(Tasks!$I:$I,$A335)))</f>
        <v/>
      </c>
      <c r="G335" s="17" t="str">
        <f aca="false">IF($A335="","",IF(INDEX(Tasks!$K:$K,$A335)="","",INDEX(Tasks!$K:$K,$A335)))</f>
        <v/>
      </c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  <c r="AG335" s="18"/>
      <c r="AH335" s="18"/>
      <c r="AI335" s="18"/>
      <c r="AJ335" s="18"/>
      <c r="AK335" s="18"/>
      <c r="AL335" s="18"/>
      <c r="AM335" s="18"/>
      <c r="AN335" s="18"/>
      <c r="AO335" s="18"/>
      <c r="AP335" s="18"/>
      <c r="AQ335" s="18"/>
      <c r="AR335" s="18"/>
      <c r="AS335" s="18"/>
      <c r="AT335" s="18"/>
      <c r="AU335" s="18"/>
      <c r="AV335" s="18"/>
      <c r="AW335" s="18"/>
      <c r="AX335" s="18"/>
      <c r="AY335" s="18"/>
    </row>
    <row r="336" customFormat="false" ht="15" hidden="false" customHeight="false" outlineLevel="0" collapsed="false">
      <c r="A336" s="15" t="str">
        <f aca="false">IFERROR(MATCH(ROW()-11,Tasks!$R$4:$R$403,0)+3,"")</f>
        <v/>
      </c>
      <c r="B336" s="16" t="str">
        <f aca="false">IF($A336="","",INDEX(Tasks!$A:$A,$A336))</f>
        <v/>
      </c>
      <c r="C336" s="16" t="str">
        <f aca="false">IF($A336="","",IF(ISERROR(FIND(".",INDEX(Tasks!$A:$A,$A336))),"","   ")&amp;INDEX(Tasks!$D:$D,$A336))</f>
        <v/>
      </c>
      <c r="D336" s="16" t="str">
        <f aca="false">IF($A336="","",IF(OR(INDEX(Tasks!$G:$G,$A336)="",INDEX(Tasks!$G:$G,$A336)="TBD"),INDEX(Tasks!$F:$F,$A336),INDEX(Tasks!$G:$G,$A336)))</f>
        <v/>
      </c>
      <c r="E336" s="16" t="str">
        <f aca="false">IF($A336="","",IF(INDEX(Tasks!$H:$H,$A336)="","",INDEX(Tasks!$H:$H,$A336)))</f>
        <v/>
      </c>
      <c r="F336" s="17" t="str">
        <f aca="false">IF($A336="","",IF(INDEX(Tasks!$I:$I,$A336)="","",INDEX(Tasks!$I:$I,$A336)))</f>
        <v/>
      </c>
      <c r="G336" s="17" t="str">
        <f aca="false">IF($A336="","",IF(INDEX(Tasks!$K:$K,$A336)="","",INDEX(Tasks!$K:$K,$A336)))</f>
        <v/>
      </c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  <c r="AG336" s="18"/>
      <c r="AH336" s="18"/>
      <c r="AI336" s="18"/>
      <c r="AJ336" s="18"/>
      <c r="AK336" s="18"/>
      <c r="AL336" s="18"/>
      <c r="AM336" s="18"/>
      <c r="AN336" s="18"/>
      <c r="AO336" s="18"/>
      <c r="AP336" s="18"/>
      <c r="AQ336" s="18"/>
      <c r="AR336" s="18"/>
      <c r="AS336" s="18"/>
      <c r="AT336" s="18"/>
      <c r="AU336" s="18"/>
      <c r="AV336" s="18"/>
      <c r="AW336" s="18"/>
      <c r="AX336" s="18"/>
      <c r="AY336" s="18"/>
    </row>
    <row r="337" customFormat="false" ht="15" hidden="false" customHeight="false" outlineLevel="0" collapsed="false">
      <c r="A337" s="15" t="str">
        <f aca="false">IFERROR(MATCH(ROW()-11,Tasks!$R$4:$R$403,0)+3,"")</f>
        <v/>
      </c>
      <c r="B337" s="16" t="str">
        <f aca="false">IF($A337="","",INDEX(Tasks!$A:$A,$A337))</f>
        <v/>
      </c>
      <c r="C337" s="16" t="str">
        <f aca="false">IF($A337="","",IF(ISERROR(FIND(".",INDEX(Tasks!$A:$A,$A337))),"","   ")&amp;INDEX(Tasks!$D:$D,$A337))</f>
        <v/>
      </c>
      <c r="D337" s="16" t="str">
        <f aca="false">IF($A337="","",IF(OR(INDEX(Tasks!$G:$G,$A337)="",INDEX(Tasks!$G:$G,$A337)="TBD"),INDEX(Tasks!$F:$F,$A337),INDEX(Tasks!$G:$G,$A337)))</f>
        <v/>
      </c>
      <c r="E337" s="16" t="str">
        <f aca="false">IF($A337="","",IF(INDEX(Tasks!$H:$H,$A337)="","",INDEX(Tasks!$H:$H,$A337)))</f>
        <v/>
      </c>
      <c r="F337" s="17" t="str">
        <f aca="false">IF($A337="","",IF(INDEX(Tasks!$I:$I,$A337)="","",INDEX(Tasks!$I:$I,$A337)))</f>
        <v/>
      </c>
      <c r="G337" s="17" t="str">
        <f aca="false">IF($A337="","",IF(INDEX(Tasks!$K:$K,$A337)="","",INDEX(Tasks!$K:$K,$A337)))</f>
        <v/>
      </c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  <c r="AG337" s="18"/>
      <c r="AH337" s="18"/>
      <c r="AI337" s="18"/>
      <c r="AJ337" s="18"/>
      <c r="AK337" s="18"/>
      <c r="AL337" s="18"/>
      <c r="AM337" s="18"/>
      <c r="AN337" s="18"/>
      <c r="AO337" s="18"/>
      <c r="AP337" s="18"/>
      <c r="AQ337" s="18"/>
      <c r="AR337" s="18"/>
      <c r="AS337" s="18"/>
      <c r="AT337" s="18"/>
      <c r="AU337" s="18"/>
      <c r="AV337" s="18"/>
      <c r="AW337" s="18"/>
      <c r="AX337" s="18"/>
      <c r="AY337" s="18"/>
    </row>
    <row r="338" customFormat="false" ht="15" hidden="false" customHeight="false" outlineLevel="0" collapsed="false">
      <c r="A338" s="15" t="str">
        <f aca="false">IFERROR(MATCH(ROW()-11,Tasks!$R$4:$R$403,0)+3,"")</f>
        <v/>
      </c>
      <c r="B338" s="16" t="str">
        <f aca="false">IF($A338="","",INDEX(Tasks!$A:$A,$A338))</f>
        <v/>
      </c>
      <c r="C338" s="16" t="str">
        <f aca="false">IF($A338="","",IF(ISERROR(FIND(".",INDEX(Tasks!$A:$A,$A338))),"","   ")&amp;INDEX(Tasks!$D:$D,$A338))</f>
        <v/>
      </c>
      <c r="D338" s="16" t="str">
        <f aca="false">IF($A338="","",IF(OR(INDEX(Tasks!$G:$G,$A338)="",INDEX(Tasks!$G:$G,$A338)="TBD"),INDEX(Tasks!$F:$F,$A338),INDEX(Tasks!$G:$G,$A338)))</f>
        <v/>
      </c>
      <c r="E338" s="16" t="str">
        <f aca="false">IF($A338="","",IF(INDEX(Tasks!$H:$H,$A338)="","",INDEX(Tasks!$H:$H,$A338)))</f>
        <v/>
      </c>
      <c r="F338" s="17" t="str">
        <f aca="false">IF($A338="","",IF(INDEX(Tasks!$I:$I,$A338)="","",INDEX(Tasks!$I:$I,$A338)))</f>
        <v/>
      </c>
      <c r="G338" s="17" t="str">
        <f aca="false">IF($A338="","",IF(INDEX(Tasks!$K:$K,$A338)="","",INDEX(Tasks!$K:$K,$A338)))</f>
        <v/>
      </c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  <c r="AG338" s="18"/>
      <c r="AH338" s="18"/>
      <c r="AI338" s="18"/>
      <c r="AJ338" s="18"/>
      <c r="AK338" s="18"/>
      <c r="AL338" s="18"/>
      <c r="AM338" s="18"/>
      <c r="AN338" s="18"/>
      <c r="AO338" s="18"/>
      <c r="AP338" s="18"/>
      <c r="AQ338" s="18"/>
      <c r="AR338" s="18"/>
      <c r="AS338" s="18"/>
      <c r="AT338" s="18"/>
      <c r="AU338" s="18"/>
      <c r="AV338" s="18"/>
      <c r="AW338" s="18"/>
      <c r="AX338" s="18"/>
      <c r="AY338" s="18"/>
    </row>
    <row r="339" customFormat="false" ht="15" hidden="false" customHeight="false" outlineLevel="0" collapsed="false">
      <c r="A339" s="15" t="str">
        <f aca="false">IFERROR(MATCH(ROW()-11,Tasks!$R$4:$R$403,0)+3,"")</f>
        <v/>
      </c>
      <c r="B339" s="16" t="str">
        <f aca="false">IF($A339="","",INDEX(Tasks!$A:$A,$A339))</f>
        <v/>
      </c>
      <c r="C339" s="16" t="str">
        <f aca="false">IF($A339="","",IF(ISERROR(FIND(".",INDEX(Tasks!$A:$A,$A339))),"","   ")&amp;INDEX(Tasks!$D:$D,$A339))</f>
        <v/>
      </c>
      <c r="D339" s="16" t="str">
        <f aca="false">IF($A339="","",IF(OR(INDEX(Tasks!$G:$G,$A339)="",INDEX(Tasks!$G:$G,$A339)="TBD"),INDEX(Tasks!$F:$F,$A339),INDEX(Tasks!$G:$G,$A339)))</f>
        <v/>
      </c>
      <c r="E339" s="16" t="str">
        <f aca="false">IF($A339="","",IF(INDEX(Tasks!$H:$H,$A339)="","",INDEX(Tasks!$H:$H,$A339)))</f>
        <v/>
      </c>
      <c r="F339" s="17" t="str">
        <f aca="false">IF($A339="","",IF(INDEX(Tasks!$I:$I,$A339)="","",INDEX(Tasks!$I:$I,$A339)))</f>
        <v/>
      </c>
      <c r="G339" s="17" t="str">
        <f aca="false">IF($A339="","",IF(INDEX(Tasks!$K:$K,$A339)="","",INDEX(Tasks!$K:$K,$A339)))</f>
        <v/>
      </c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  <c r="AG339" s="18"/>
      <c r="AH339" s="18"/>
      <c r="AI339" s="18"/>
      <c r="AJ339" s="18"/>
      <c r="AK339" s="18"/>
      <c r="AL339" s="18"/>
      <c r="AM339" s="18"/>
      <c r="AN339" s="18"/>
      <c r="AO339" s="18"/>
      <c r="AP339" s="18"/>
      <c r="AQ339" s="18"/>
      <c r="AR339" s="18"/>
      <c r="AS339" s="18"/>
      <c r="AT339" s="18"/>
      <c r="AU339" s="18"/>
      <c r="AV339" s="18"/>
      <c r="AW339" s="18"/>
      <c r="AX339" s="18"/>
      <c r="AY339" s="18"/>
    </row>
    <row r="340" customFormat="false" ht="15" hidden="false" customHeight="false" outlineLevel="0" collapsed="false">
      <c r="A340" s="15" t="str">
        <f aca="false">IFERROR(MATCH(ROW()-11,Tasks!$R$4:$R$403,0)+3,"")</f>
        <v/>
      </c>
      <c r="B340" s="16" t="str">
        <f aca="false">IF($A340="","",INDEX(Tasks!$A:$A,$A340))</f>
        <v/>
      </c>
      <c r="C340" s="16" t="str">
        <f aca="false">IF($A340="","",IF(ISERROR(FIND(".",INDEX(Tasks!$A:$A,$A340))),"","   ")&amp;INDEX(Tasks!$D:$D,$A340))</f>
        <v/>
      </c>
      <c r="D340" s="16" t="str">
        <f aca="false">IF($A340="","",IF(OR(INDEX(Tasks!$G:$G,$A340)="",INDEX(Tasks!$G:$G,$A340)="TBD"),INDEX(Tasks!$F:$F,$A340),INDEX(Tasks!$G:$G,$A340)))</f>
        <v/>
      </c>
      <c r="E340" s="16" t="str">
        <f aca="false">IF($A340="","",IF(INDEX(Tasks!$H:$H,$A340)="","",INDEX(Tasks!$H:$H,$A340)))</f>
        <v/>
      </c>
      <c r="F340" s="17" t="str">
        <f aca="false">IF($A340="","",IF(INDEX(Tasks!$I:$I,$A340)="","",INDEX(Tasks!$I:$I,$A340)))</f>
        <v/>
      </c>
      <c r="G340" s="17" t="str">
        <f aca="false">IF($A340="","",IF(INDEX(Tasks!$K:$K,$A340)="","",INDEX(Tasks!$K:$K,$A340)))</f>
        <v/>
      </c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  <c r="AG340" s="18"/>
      <c r="AH340" s="18"/>
      <c r="AI340" s="18"/>
      <c r="AJ340" s="18"/>
      <c r="AK340" s="18"/>
      <c r="AL340" s="18"/>
      <c r="AM340" s="18"/>
      <c r="AN340" s="18"/>
      <c r="AO340" s="18"/>
      <c r="AP340" s="18"/>
      <c r="AQ340" s="18"/>
      <c r="AR340" s="18"/>
      <c r="AS340" s="18"/>
      <c r="AT340" s="18"/>
      <c r="AU340" s="18"/>
      <c r="AV340" s="18"/>
      <c r="AW340" s="18"/>
      <c r="AX340" s="18"/>
      <c r="AY340" s="18"/>
    </row>
    <row r="341" customFormat="false" ht="15" hidden="false" customHeight="false" outlineLevel="0" collapsed="false">
      <c r="A341" s="15" t="str">
        <f aca="false">IFERROR(MATCH(ROW()-11,Tasks!$R$4:$R$403,0)+3,"")</f>
        <v/>
      </c>
      <c r="B341" s="16" t="str">
        <f aca="false">IF($A341="","",INDEX(Tasks!$A:$A,$A341))</f>
        <v/>
      </c>
      <c r="C341" s="16" t="str">
        <f aca="false">IF($A341="","",IF(ISERROR(FIND(".",INDEX(Tasks!$A:$A,$A341))),"","   ")&amp;INDEX(Tasks!$D:$D,$A341))</f>
        <v/>
      </c>
      <c r="D341" s="16" t="str">
        <f aca="false">IF($A341="","",IF(OR(INDEX(Tasks!$G:$G,$A341)="",INDEX(Tasks!$G:$G,$A341)="TBD"),INDEX(Tasks!$F:$F,$A341),INDEX(Tasks!$G:$G,$A341)))</f>
        <v/>
      </c>
      <c r="E341" s="16" t="str">
        <f aca="false">IF($A341="","",IF(INDEX(Tasks!$H:$H,$A341)="","",INDEX(Tasks!$H:$H,$A341)))</f>
        <v/>
      </c>
      <c r="F341" s="17" t="str">
        <f aca="false">IF($A341="","",IF(INDEX(Tasks!$I:$I,$A341)="","",INDEX(Tasks!$I:$I,$A341)))</f>
        <v/>
      </c>
      <c r="G341" s="17" t="str">
        <f aca="false">IF($A341="","",IF(INDEX(Tasks!$K:$K,$A341)="","",INDEX(Tasks!$K:$K,$A341)))</f>
        <v/>
      </c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  <c r="AG341" s="18"/>
      <c r="AH341" s="18"/>
      <c r="AI341" s="18"/>
      <c r="AJ341" s="18"/>
      <c r="AK341" s="18"/>
      <c r="AL341" s="18"/>
      <c r="AM341" s="18"/>
      <c r="AN341" s="18"/>
      <c r="AO341" s="18"/>
      <c r="AP341" s="18"/>
      <c r="AQ341" s="18"/>
      <c r="AR341" s="18"/>
      <c r="AS341" s="18"/>
      <c r="AT341" s="18"/>
      <c r="AU341" s="18"/>
      <c r="AV341" s="18"/>
      <c r="AW341" s="18"/>
      <c r="AX341" s="18"/>
      <c r="AY341" s="18"/>
    </row>
    <row r="342" customFormat="false" ht="15" hidden="false" customHeight="false" outlineLevel="0" collapsed="false">
      <c r="A342" s="15" t="str">
        <f aca="false">IFERROR(MATCH(ROW()-11,Tasks!$R$4:$R$403,0)+3,"")</f>
        <v/>
      </c>
      <c r="B342" s="16" t="str">
        <f aca="false">IF($A342="","",INDEX(Tasks!$A:$A,$A342))</f>
        <v/>
      </c>
      <c r="C342" s="16" t="str">
        <f aca="false">IF($A342="","",IF(ISERROR(FIND(".",INDEX(Tasks!$A:$A,$A342))),"","   ")&amp;INDEX(Tasks!$D:$D,$A342))</f>
        <v/>
      </c>
      <c r="D342" s="16" t="str">
        <f aca="false">IF($A342="","",IF(OR(INDEX(Tasks!$G:$G,$A342)="",INDEX(Tasks!$G:$G,$A342)="TBD"),INDEX(Tasks!$F:$F,$A342),INDEX(Tasks!$G:$G,$A342)))</f>
        <v/>
      </c>
      <c r="E342" s="16" t="str">
        <f aca="false">IF($A342="","",IF(INDEX(Tasks!$H:$H,$A342)="","",INDEX(Tasks!$H:$H,$A342)))</f>
        <v/>
      </c>
      <c r="F342" s="17" t="str">
        <f aca="false">IF($A342="","",IF(INDEX(Tasks!$I:$I,$A342)="","",INDEX(Tasks!$I:$I,$A342)))</f>
        <v/>
      </c>
      <c r="G342" s="17" t="str">
        <f aca="false">IF($A342="","",IF(INDEX(Tasks!$K:$K,$A342)="","",INDEX(Tasks!$K:$K,$A342)))</f>
        <v/>
      </c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  <c r="AG342" s="18"/>
      <c r="AH342" s="18"/>
      <c r="AI342" s="18"/>
      <c r="AJ342" s="18"/>
      <c r="AK342" s="18"/>
      <c r="AL342" s="18"/>
      <c r="AM342" s="18"/>
      <c r="AN342" s="18"/>
      <c r="AO342" s="18"/>
      <c r="AP342" s="18"/>
      <c r="AQ342" s="18"/>
      <c r="AR342" s="18"/>
      <c r="AS342" s="18"/>
      <c r="AT342" s="18"/>
      <c r="AU342" s="18"/>
      <c r="AV342" s="18"/>
      <c r="AW342" s="18"/>
      <c r="AX342" s="18"/>
      <c r="AY342" s="18"/>
    </row>
    <row r="343" customFormat="false" ht="15" hidden="false" customHeight="false" outlineLevel="0" collapsed="false">
      <c r="A343" s="15" t="str">
        <f aca="false">IFERROR(MATCH(ROW()-11,Tasks!$R$4:$R$403,0)+3,"")</f>
        <v/>
      </c>
      <c r="B343" s="16" t="str">
        <f aca="false">IF($A343="","",INDEX(Tasks!$A:$A,$A343))</f>
        <v/>
      </c>
      <c r="C343" s="16" t="str">
        <f aca="false">IF($A343="","",IF(ISERROR(FIND(".",INDEX(Tasks!$A:$A,$A343))),"","   ")&amp;INDEX(Tasks!$D:$D,$A343))</f>
        <v/>
      </c>
      <c r="D343" s="16" t="str">
        <f aca="false">IF($A343="","",IF(OR(INDEX(Tasks!$G:$G,$A343)="",INDEX(Tasks!$G:$G,$A343)="TBD"),INDEX(Tasks!$F:$F,$A343),INDEX(Tasks!$G:$G,$A343)))</f>
        <v/>
      </c>
      <c r="E343" s="16" t="str">
        <f aca="false">IF($A343="","",IF(INDEX(Tasks!$H:$H,$A343)="","",INDEX(Tasks!$H:$H,$A343)))</f>
        <v/>
      </c>
      <c r="F343" s="17" t="str">
        <f aca="false">IF($A343="","",IF(INDEX(Tasks!$I:$I,$A343)="","",INDEX(Tasks!$I:$I,$A343)))</f>
        <v/>
      </c>
      <c r="G343" s="17" t="str">
        <f aca="false">IF($A343="","",IF(INDEX(Tasks!$K:$K,$A343)="","",INDEX(Tasks!$K:$K,$A343)))</f>
        <v/>
      </c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  <c r="AG343" s="18"/>
      <c r="AH343" s="18"/>
      <c r="AI343" s="18"/>
      <c r="AJ343" s="18"/>
      <c r="AK343" s="18"/>
      <c r="AL343" s="18"/>
      <c r="AM343" s="18"/>
      <c r="AN343" s="18"/>
      <c r="AO343" s="18"/>
      <c r="AP343" s="18"/>
      <c r="AQ343" s="18"/>
      <c r="AR343" s="18"/>
      <c r="AS343" s="18"/>
      <c r="AT343" s="18"/>
      <c r="AU343" s="18"/>
      <c r="AV343" s="18"/>
      <c r="AW343" s="18"/>
      <c r="AX343" s="18"/>
      <c r="AY343" s="18"/>
    </row>
    <row r="344" customFormat="false" ht="15" hidden="false" customHeight="false" outlineLevel="0" collapsed="false">
      <c r="A344" s="15" t="str">
        <f aca="false">IFERROR(MATCH(ROW()-11,Tasks!$R$4:$R$403,0)+3,"")</f>
        <v/>
      </c>
      <c r="B344" s="16" t="str">
        <f aca="false">IF($A344="","",INDEX(Tasks!$A:$A,$A344))</f>
        <v/>
      </c>
      <c r="C344" s="16" t="str">
        <f aca="false">IF($A344="","",IF(ISERROR(FIND(".",INDEX(Tasks!$A:$A,$A344))),"","   ")&amp;INDEX(Tasks!$D:$D,$A344))</f>
        <v/>
      </c>
      <c r="D344" s="16" t="str">
        <f aca="false">IF($A344="","",IF(OR(INDEX(Tasks!$G:$G,$A344)="",INDEX(Tasks!$G:$G,$A344)="TBD"),INDEX(Tasks!$F:$F,$A344),INDEX(Tasks!$G:$G,$A344)))</f>
        <v/>
      </c>
      <c r="E344" s="16" t="str">
        <f aca="false">IF($A344="","",IF(INDEX(Tasks!$H:$H,$A344)="","",INDEX(Tasks!$H:$H,$A344)))</f>
        <v/>
      </c>
      <c r="F344" s="17" t="str">
        <f aca="false">IF($A344="","",IF(INDEX(Tasks!$I:$I,$A344)="","",INDEX(Tasks!$I:$I,$A344)))</f>
        <v/>
      </c>
      <c r="G344" s="17" t="str">
        <f aca="false">IF($A344="","",IF(INDEX(Tasks!$K:$K,$A344)="","",INDEX(Tasks!$K:$K,$A344)))</f>
        <v/>
      </c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  <c r="AG344" s="18"/>
      <c r="AH344" s="18"/>
      <c r="AI344" s="18"/>
      <c r="AJ344" s="18"/>
      <c r="AK344" s="18"/>
      <c r="AL344" s="18"/>
      <c r="AM344" s="18"/>
      <c r="AN344" s="18"/>
      <c r="AO344" s="18"/>
      <c r="AP344" s="18"/>
      <c r="AQ344" s="18"/>
      <c r="AR344" s="18"/>
      <c r="AS344" s="18"/>
      <c r="AT344" s="18"/>
      <c r="AU344" s="18"/>
      <c r="AV344" s="18"/>
      <c r="AW344" s="18"/>
      <c r="AX344" s="18"/>
      <c r="AY344" s="18"/>
    </row>
    <row r="345" customFormat="false" ht="15" hidden="false" customHeight="false" outlineLevel="0" collapsed="false">
      <c r="A345" s="15" t="str">
        <f aca="false">IFERROR(MATCH(ROW()-11,Tasks!$R$4:$R$403,0)+3,"")</f>
        <v/>
      </c>
      <c r="B345" s="16" t="str">
        <f aca="false">IF($A345="","",INDEX(Tasks!$A:$A,$A345))</f>
        <v/>
      </c>
      <c r="C345" s="16" t="str">
        <f aca="false">IF($A345="","",IF(ISERROR(FIND(".",INDEX(Tasks!$A:$A,$A345))),"","   ")&amp;INDEX(Tasks!$D:$D,$A345))</f>
        <v/>
      </c>
      <c r="D345" s="16" t="str">
        <f aca="false">IF($A345="","",IF(OR(INDEX(Tasks!$G:$G,$A345)="",INDEX(Tasks!$G:$G,$A345)="TBD"),INDEX(Tasks!$F:$F,$A345),INDEX(Tasks!$G:$G,$A345)))</f>
        <v/>
      </c>
      <c r="E345" s="16" t="str">
        <f aca="false">IF($A345="","",IF(INDEX(Tasks!$H:$H,$A345)="","",INDEX(Tasks!$H:$H,$A345)))</f>
        <v/>
      </c>
      <c r="F345" s="17" t="str">
        <f aca="false">IF($A345="","",IF(INDEX(Tasks!$I:$I,$A345)="","",INDEX(Tasks!$I:$I,$A345)))</f>
        <v/>
      </c>
      <c r="G345" s="17" t="str">
        <f aca="false">IF($A345="","",IF(INDEX(Tasks!$K:$K,$A345)="","",INDEX(Tasks!$K:$K,$A345)))</f>
        <v/>
      </c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  <c r="AG345" s="18"/>
      <c r="AH345" s="18"/>
      <c r="AI345" s="18"/>
      <c r="AJ345" s="18"/>
      <c r="AK345" s="18"/>
      <c r="AL345" s="18"/>
      <c r="AM345" s="18"/>
      <c r="AN345" s="18"/>
      <c r="AO345" s="18"/>
      <c r="AP345" s="18"/>
      <c r="AQ345" s="18"/>
      <c r="AR345" s="18"/>
      <c r="AS345" s="18"/>
      <c r="AT345" s="18"/>
      <c r="AU345" s="18"/>
      <c r="AV345" s="18"/>
      <c r="AW345" s="18"/>
      <c r="AX345" s="18"/>
      <c r="AY345" s="18"/>
    </row>
    <row r="346" customFormat="false" ht="15" hidden="false" customHeight="false" outlineLevel="0" collapsed="false">
      <c r="A346" s="15" t="str">
        <f aca="false">IFERROR(MATCH(ROW()-11,Tasks!$R$4:$R$403,0)+3,"")</f>
        <v/>
      </c>
      <c r="B346" s="16" t="str">
        <f aca="false">IF($A346="","",INDEX(Tasks!$A:$A,$A346))</f>
        <v/>
      </c>
      <c r="C346" s="16" t="str">
        <f aca="false">IF($A346="","",IF(ISERROR(FIND(".",INDEX(Tasks!$A:$A,$A346))),"","   ")&amp;INDEX(Tasks!$D:$D,$A346))</f>
        <v/>
      </c>
      <c r="D346" s="16" t="str">
        <f aca="false">IF($A346="","",IF(OR(INDEX(Tasks!$G:$G,$A346)="",INDEX(Tasks!$G:$G,$A346)="TBD"),INDEX(Tasks!$F:$F,$A346),INDEX(Tasks!$G:$G,$A346)))</f>
        <v/>
      </c>
      <c r="E346" s="16" t="str">
        <f aca="false">IF($A346="","",IF(INDEX(Tasks!$H:$H,$A346)="","",INDEX(Tasks!$H:$H,$A346)))</f>
        <v/>
      </c>
      <c r="F346" s="17" t="str">
        <f aca="false">IF($A346="","",IF(INDEX(Tasks!$I:$I,$A346)="","",INDEX(Tasks!$I:$I,$A346)))</f>
        <v/>
      </c>
      <c r="G346" s="17" t="str">
        <f aca="false">IF($A346="","",IF(INDEX(Tasks!$K:$K,$A346)="","",INDEX(Tasks!$K:$K,$A346)))</f>
        <v/>
      </c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  <c r="AG346" s="18"/>
      <c r="AH346" s="18"/>
      <c r="AI346" s="18"/>
      <c r="AJ346" s="18"/>
      <c r="AK346" s="18"/>
      <c r="AL346" s="18"/>
      <c r="AM346" s="18"/>
      <c r="AN346" s="18"/>
      <c r="AO346" s="18"/>
      <c r="AP346" s="18"/>
      <c r="AQ346" s="18"/>
      <c r="AR346" s="18"/>
      <c r="AS346" s="18"/>
      <c r="AT346" s="18"/>
      <c r="AU346" s="18"/>
      <c r="AV346" s="18"/>
      <c r="AW346" s="18"/>
      <c r="AX346" s="18"/>
      <c r="AY346" s="18"/>
    </row>
    <row r="347" customFormat="false" ht="15" hidden="false" customHeight="false" outlineLevel="0" collapsed="false">
      <c r="A347" s="15" t="str">
        <f aca="false">IFERROR(MATCH(ROW()-11,Tasks!$R$4:$R$403,0)+3,"")</f>
        <v/>
      </c>
      <c r="B347" s="16" t="str">
        <f aca="false">IF($A347="","",INDEX(Tasks!$A:$A,$A347))</f>
        <v/>
      </c>
      <c r="C347" s="16" t="str">
        <f aca="false">IF($A347="","",IF(ISERROR(FIND(".",INDEX(Tasks!$A:$A,$A347))),"","   ")&amp;INDEX(Tasks!$D:$D,$A347))</f>
        <v/>
      </c>
      <c r="D347" s="16" t="str">
        <f aca="false">IF($A347="","",IF(OR(INDEX(Tasks!$G:$G,$A347)="",INDEX(Tasks!$G:$G,$A347)="TBD"),INDEX(Tasks!$F:$F,$A347),INDEX(Tasks!$G:$G,$A347)))</f>
        <v/>
      </c>
      <c r="E347" s="16" t="str">
        <f aca="false">IF($A347="","",IF(INDEX(Tasks!$H:$H,$A347)="","",INDEX(Tasks!$H:$H,$A347)))</f>
        <v/>
      </c>
      <c r="F347" s="17" t="str">
        <f aca="false">IF($A347="","",IF(INDEX(Tasks!$I:$I,$A347)="","",INDEX(Tasks!$I:$I,$A347)))</f>
        <v/>
      </c>
      <c r="G347" s="17" t="str">
        <f aca="false">IF($A347="","",IF(INDEX(Tasks!$K:$K,$A347)="","",INDEX(Tasks!$K:$K,$A347)))</f>
        <v/>
      </c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  <c r="AG347" s="18"/>
      <c r="AH347" s="18"/>
      <c r="AI347" s="18"/>
      <c r="AJ347" s="18"/>
      <c r="AK347" s="18"/>
      <c r="AL347" s="18"/>
      <c r="AM347" s="18"/>
      <c r="AN347" s="18"/>
      <c r="AO347" s="18"/>
      <c r="AP347" s="18"/>
      <c r="AQ347" s="18"/>
      <c r="AR347" s="18"/>
      <c r="AS347" s="18"/>
      <c r="AT347" s="18"/>
      <c r="AU347" s="18"/>
      <c r="AV347" s="18"/>
      <c r="AW347" s="18"/>
      <c r="AX347" s="18"/>
      <c r="AY347" s="18"/>
    </row>
    <row r="348" customFormat="false" ht="15" hidden="false" customHeight="false" outlineLevel="0" collapsed="false">
      <c r="A348" s="15" t="str">
        <f aca="false">IFERROR(MATCH(ROW()-11,Tasks!$R$4:$R$403,0)+3,"")</f>
        <v/>
      </c>
      <c r="B348" s="16" t="str">
        <f aca="false">IF($A348="","",INDEX(Tasks!$A:$A,$A348))</f>
        <v/>
      </c>
      <c r="C348" s="16" t="str">
        <f aca="false">IF($A348="","",IF(ISERROR(FIND(".",INDEX(Tasks!$A:$A,$A348))),"","   ")&amp;INDEX(Tasks!$D:$D,$A348))</f>
        <v/>
      </c>
      <c r="D348" s="16" t="str">
        <f aca="false">IF($A348="","",IF(OR(INDEX(Tasks!$G:$G,$A348)="",INDEX(Tasks!$G:$G,$A348)="TBD"),INDEX(Tasks!$F:$F,$A348),INDEX(Tasks!$G:$G,$A348)))</f>
        <v/>
      </c>
      <c r="E348" s="16" t="str">
        <f aca="false">IF($A348="","",IF(INDEX(Tasks!$H:$H,$A348)="","",INDEX(Tasks!$H:$H,$A348)))</f>
        <v/>
      </c>
      <c r="F348" s="17" t="str">
        <f aca="false">IF($A348="","",IF(INDEX(Tasks!$I:$I,$A348)="","",INDEX(Tasks!$I:$I,$A348)))</f>
        <v/>
      </c>
      <c r="G348" s="17" t="str">
        <f aca="false">IF($A348="","",IF(INDEX(Tasks!$K:$K,$A348)="","",INDEX(Tasks!$K:$K,$A348)))</f>
        <v/>
      </c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  <c r="AG348" s="18"/>
      <c r="AH348" s="18"/>
      <c r="AI348" s="18"/>
      <c r="AJ348" s="18"/>
      <c r="AK348" s="18"/>
      <c r="AL348" s="18"/>
      <c r="AM348" s="18"/>
      <c r="AN348" s="18"/>
      <c r="AO348" s="18"/>
      <c r="AP348" s="18"/>
      <c r="AQ348" s="18"/>
      <c r="AR348" s="18"/>
      <c r="AS348" s="18"/>
      <c r="AT348" s="18"/>
      <c r="AU348" s="18"/>
      <c r="AV348" s="18"/>
      <c r="AW348" s="18"/>
      <c r="AX348" s="18"/>
      <c r="AY348" s="18"/>
    </row>
    <row r="349" customFormat="false" ht="15" hidden="false" customHeight="false" outlineLevel="0" collapsed="false">
      <c r="A349" s="15" t="str">
        <f aca="false">IFERROR(MATCH(ROW()-11,Tasks!$R$4:$R$403,0)+3,"")</f>
        <v/>
      </c>
      <c r="B349" s="16" t="str">
        <f aca="false">IF($A349="","",INDEX(Tasks!$A:$A,$A349))</f>
        <v/>
      </c>
      <c r="C349" s="16" t="str">
        <f aca="false">IF($A349="","",IF(ISERROR(FIND(".",INDEX(Tasks!$A:$A,$A349))),"","   ")&amp;INDEX(Tasks!$D:$D,$A349))</f>
        <v/>
      </c>
      <c r="D349" s="16" t="str">
        <f aca="false">IF($A349="","",IF(OR(INDEX(Tasks!$G:$G,$A349)="",INDEX(Tasks!$G:$G,$A349)="TBD"),INDEX(Tasks!$F:$F,$A349),INDEX(Tasks!$G:$G,$A349)))</f>
        <v/>
      </c>
      <c r="E349" s="16" t="str">
        <f aca="false">IF($A349="","",IF(INDEX(Tasks!$H:$H,$A349)="","",INDEX(Tasks!$H:$H,$A349)))</f>
        <v/>
      </c>
      <c r="F349" s="17" t="str">
        <f aca="false">IF($A349="","",IF(INDEX(Tasks!$I:$I,$A349)="","",INDEX(Tasks!$I:$I,$A349)))</f>
        <v/>
      </c>
      <c r="G349" s="17" t="str">
        <f aca="false">IF($A349="","",IF(INDEX(Tasks!$K:$K,$A349)="","",INDEX(Tasks!$K:$K,$A349)))</f>
        <v/>
      </c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  <c r="AG349" s="18"/>
      <c r="AH349" s="18"/>
      <c r="AI349" s="18"/>
      <c r="AJ349" s="18"/>
      <c r="AK349" s="18"/>
      <c r="AL349" s="18"/>
      <c r="AM349" s="18"/>
      <c r="AN349" s="18"/>
      <c r="AO349" s="18"/>
      <c r="AP349" s="18"/>
      <c r="AQ349" s="18"/>
      <c r="AR349" s="18"/>
      <c r="AS349" s="18"/>
      <c r="AT349" s="18"/>
      <c r="AU349" s="18"/>
      <c r="AV349" s="18"/>
      <c r="AW349" s="18"/>
      <c r="AX349" s="18"/>
      <c r="AY349" s="18"/>
    </row>
    <row r="350" customFormat="false" ht="15" hidden="false" customHeight="false" outlineLevel="0" collapsed="false">
      <c r="A350" s="15" t="str">
        <f aca="false">IFERROR(MATCH(ROW()-11,Tasks!$R$4:$R$403,0)+3,"")</f>
        <v/>
      </c>
      <c r="B350" s="16" t="str">
        <f aca="false">IF($A350="","",INDEX(Tasks!$A:$A,$A350))</f>
        <v/>
      </c>
      <c r="C350" s="16" t="str">
        <f aca="false">IF($A350="","",IF(ISERROR(FIND(".",INDEX(Tasks!$A:$A,$A350))),"","   ")&amp;INDEX(Tasks!$D:$D,$A350))</f>
        <v/>
      </c>
      <c r="D350" s="16" t="str">
        <f aca="false">IF($A350="","",IF(OR(INDEX(Tasks!$G:$G,$A350)="",INDEX(Tasks!$G:$G,$A350)="TBD"),INDEX(Tasks!$F:$F,$A350),INDEX(Tasks!$G:$G,$A350)))</f>
        <v/>
      </c>
      <c r="E350" s="16" t="str">
        <f aca="false">IF($A350="","",IF(INDEX(Tasks!$H:$H,$A350)="","",INDEX(Tasks!$H:$H,$A350)))</f>
        <v/>
      </c>
      <c r="F350" s="17" t="str">
        <f aca="false">IF($A350="","",IF(INDEX(Tasks!$I:$I,$A350)="","",INDEX(Tasks!$I:$I,$A350)))</f>
        <v/>
      </c>
      <c r="G350" s="17" t="str">
        <f aca="false">IF($A350="","",IF(INDEX(Tasks!$K:$K,$A350)="","",INDEX(Tasks!$K:$K,$A350)))</f>
        <v/>
      </c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  <c r="AG350" s="18"/>
      <c r="AH350" s="18"/>
      <c r="AI350" s="18"/>
      <c r="AJ350" s="18"/>
      <c r="AK350" s="18"/>
      <c r="AL350" s="18"/>
      <c r="AM350" s="18"/>
      <c r="AN350" s="18"/>
      <c r="AO350" s="18"/>
      <c r="AP350" s="18"/>
      <c r="AQ350" s="18"/>
      <c r="AR350" s="18"/>
      <c r="AS350" s="18"/>
      <c r="AT350" s="18"/>
      <c r="AU350" s="18"/>
      <c r="AV350" s="18"/>
      <c r="AW350" s="18"/>
      <c r="AX350" s="18"/>
      <c r="AY350" s="18"/>
    </row>
    <row r="351" customFormat="false" ht="15" hidden="false" customHeight="false" outlineLevel="0" collapsed="false">
      <c r="A351" s="15" t="str">
        <f aca="false">IFERROR(MATCH(ROW()-11,Tasks!$R$4:$R$403,0)+3,"")</f>
        <v/>
      </c>
      <c r="B351" s="16" t="str">
        <f aca="false">IF($A351="","",INDEX(Tasks!$A:$A,$A351))</f>
        <v/>
      </c>
      <c r="C351" s="16" t="str">
        <f aca="false">IF($A351="","",IF(ISERROR(FIND(".",INDEX(Tasks!$A:$A,$A351))),"","   ")&amp;INDEX(Tasks!$D:$D,$A351))</f>
        <v/>
      </c>
      <c r="D351" s="16" t="str">
        <f aca="false">IF($A351="","",IF(OR(INDEX(Tasks!$G:$G,$A351)="",INDEX(Tasks!$G:$G,$A351)="TBD"),INDEX(Tasks!$F:$F,$A351),INDEX(Tasks!$G:$G,$A351)))</f>
        <v/>
      </c>
      <c r="E351" s="16" t="str">
        <f aca="false">IF($A351="","",IF(INDEX(Tasks!$H:$H,$A351)="","",INDEX(Tasks!$H:$H,$A351)))</f>
        <v/>
      </c>
      <c r="F351" s="17" t="str">
        <f aca="false">IF($A351="","",IF(INDEX(Tasks!$I:$I,$A351)="","",INDEX(Tasks!$I:$I,$A351)))</f>
        <v/>
      </c>
      <c r="G351" s="17" t="str">
        <f aca="false">IF($A351="","",IF(INDEX(Tasks!$K:$K,$A351)="","",INDEX(Tasks!$K:$K,$A351)))</f>
        <v/>
      </c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  <c r="AG351" s="18"/>
      <c r="AH351" s="18"/>
      <c r="AI351" s="18"/>
      <c r="AJ351" s="18"/>
      <c r="AK351" s="18"/>
      <c r="AL351" s="18"/>
      <c r="AM351" s="18"/>
      <c r="AN351" s="18"/>
      <c r="AO351" s="18"/>
      <c r="AP351" s="18"/>
      <c r="AQ351" s="18"/>
      <c r="AR351" s="18"/>
      <c r="AS351" s="18"/>
      <c r="AT351" s="18"/>
      <c r="AU351" s="18"/>
      <c r="AV351" s="18"/>
      <c r="AW351" s="18"/>
      <c r="AX351" s="18"/>
      <c r="AY351" s="18"/>
    </row>
    <row r="352" customFormat="false" ht="15" hidden="false" customHeight="false" outlineLevel="0" collapsed="false">
      <c r="A352" s="15" t="str">
        <f aca="false">IFERROR(MATCH(ROW()-11,Tasks!$R$4:$R$403,0)+3,"")</f>
        <v/>
      </c>
      <c r="B352" s="16" t="str">
        <f aca="false">IF($A352="","",INDEX(Tasks!$A:$A,$A352))</f>
        <v/>
      </c>
      <c r="C352" s="16" t="str">
        <f aca="false">IF($A352="","",IF(ISERROR(FIND(".",INDEX(Tasks!$A:$A,$A352))),"","   ")&amp;INDEX(Tasks!$D:$D,$A352))</f>
        <v/>
      </c>
      <c r="D352" s="16" t="str">
        <f aca="false">IF($A352="","",IF(OR(INDEX(Tasks!$G:$G,$A352)="",INDEX(Tasks!$G:$G,$A352)="TBD"),INDEX(Tasks!$F:$F,$A352),INDEX(Tasks!$G:$G,$A352)))</f>
        <v/>
      </c>
      <c r="E352" s="16" t="str">
        <f aca="false">IF($A352="","",IF(INDEX(Tasks!$H:$H,$A352)="","",INDEX(Tasks!$H:$H,$A352)))</f>
        <v/>
      </c>
      <c r="F352" s="17" t="str">
        <f aca="false">IF($A352="","",IF(INDEX(Tasks!$I:$I,$A352)="","",INDEX(Tasks!$I:$I,$A352)))</f>
        <v/>
      </c>
      <c r="G352" s="17" t="str">
        <f aca="false">IF($A352="","",IF(INDEX(Tasks!$K:$K,$A352)="","",INDEX(Tasks!$K:$K,$A352)))</f>
        <v/>
      </c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  <c r="AG352" s="18"/>
      <c r="AH352" s="18"/>
      <c r="AI352" s="18"/>
      <c r="AJ352" s="18"/>
      <c r="AK352" s="18"/>
      <c r="AL352" s="18"/>
      <c r="AM352" s="18"/>
      <c r="AN352" s="18"/>
      <c r="AO352" s="18"/>
      <c r="AP352" s="18"/>
      <c r="AQ352" s="18"/>
      <c r="AR352" s="18"/>
      <c r="AS352" s="18"/>
      <c r="AT352" s="18"/>
      <c r="AU352" s="18"/>
      <c r="AV352" s="18"/>
      <c r="AW352" s="18"/>
      <c r="AX352" s="18"/>
      <c r="AY352" s="18"/>
    </row>
    <row r="353" customFormat="false" ht="15" hidden="false" customHeight="false" outlineLevel="0" collapsed="false">
      <c r="A353" s="15" t="str">
        <f aca="false">IFERROR(MATCH(ROW()-11,Tasks!$R$4:$R$403,0)+3,"")</f>
        <v/>
      </c>
      <c r="B353" s="16" t="str">
        <f aca="false">IF($A353="","",INDEX(Tasks!$A:$A,$A353))</f>
        <v/>
      </c>
      <c r="C353" s="16" t="str">
        <f aca="false">IF($A353="","",IF(ISERROR(FIND(".",INDEX(Tasks!$A:$A,$A353))),"","   ")&amp;INDEX(Tasks!$D:$D,$A353))</f>
        <v/>
      </c>
      <c r="D353" s="16" t="str">
        <f aca="false">IF($A353="","",IF(OR(INDEX(Tasks!$G:$G,$A353)="",INDEX(Tasks!$G:$G,$A353)="TBD"),INDEX(Tasks!$F:$F,$A353),INDEX(Tasks!$G:$G,$A353)))</f>
        <v/>
      </c>
      <c r="E353" s="16" t="str">
        <f aca="false">IF($A353="","",IF(INDEX(Tasks!$H:$H,$A353)="","",INDEX(Tasks!$H:$H,$A353)))</f>
        <v/>
      </c>
      <c r="F353" s="17" t="str">
        <f aca="false">IF($A353="","",IF(INDEX(Tasks!$I:$I,$A353)="","",INDEX(Tasks!$I:$I,$A353)))</f>
        <v/>
      </c>
      <c r="G353" s="17" t="str">
        <f aca="false">IF($A353="","",IF(INDEX(Tasks!$K:$K,$A353)="","",INDEX(Tasks!$K:$K,$A353)))</f>
        <v/>
      </c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  <c r="AG353" s="18"/>
      <c r="AH353" s="18"/>
      <c r="AI353" s="18"/>
      <c r="AJ353" s="18"/>
      <c r="AK353" s="18"/>
      <c r="AL353" s="18"/>
      <c r="AM353" s="18"/>
      <c r="AN353" s="18"/>
      <c r="AO353" s="18"/>
      <c r="AP353" s="18"/>
      <c r="AQ353" s="18"/>
      <c r="AR353" s="18"/>
      <c r="AS353" s="18"/>
      <c r="AT353" s="18"/>
      <c r="AU353" s="18"/>
      <c r="AV353" s="18"/>
      <c r="AW353" s="18"/>
      <c r="AX353" s="18"/>
      <c r="AY353" s="18"/>
    </row>
    <row r="354" customFormat="false" ht="15" hidden="false" customHeight="false" outlineLevel="0" collapsed="false">
      <c r="A354" s="15" t="str">
        <f aca="false">IFERROR(MATCH(ROW()-11,Tasks!$R$4:$R$403,0)+3,"")</f>
        <v/>
      </c>
      <c r="B354" s="16" t="str">
        <f aca="false">IF($A354="","",INDEX(Tasks!$A:$A,$A354))</f>
        <v/>
      </c>
      <c r="C354" s="16" t="str">
        <f aca="false">IF($A354="","",IF(ISERROR(FIND(".",INDEX(Tasks!$A:$A,$A354))),"","   ")&amp;INDEX(Tasks!$D:$D,$A354))</f>
        <v/>
      </c>
      <c r="D354" s="16" t="str">
        <f aca="false">IF($A354="","",IF(OR(INDEX(Tasks!$G:$G,$A354)="",INDEX(Tasks!$G:$G,$A354)="TBD"),INDEX(Tasks!$F:$F,$A354),INDEX(Tasks!$G:$G,$A354)))</f>
        <v/>
      </c>
      <c r="E354" s="16" t="str">
        <f aca="false">IF($A354="","",IF(INDEX(Tasks!$H:$H,$A354)="","",INDEX(Tasks!$H:$H,$A354)))</f>
        <v/>
      </c>
      <c r="F354" s="17" t="str">
        <f aca="false">IF($A354="","",IF(INDEX(Tasks!$I:$I,$A354)="","",INDEX(Tasks!$I:$I,$A354)))</f>
        <v/>
      </c>
      <c r="G354" s="17" t="str">
        <f aca="false">IF($A354="","",IF(INDEX(Tasks!$K:$K,$A354)="","",INDEX(Tasks!$K:$K,$A354)))</f>
        <v/>
      </c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  <c r="AG354" s="18"/>
      <c r="AH354" s="18"/>
      <c r="AI354" s="18"/>
      <c r="AJ354" s="18"/>
      <c r="AK354" s="18"/>
      <c r="AL354" s="18"/>
      <c r="AM354" s="18"/>
      <c r="AN354" s="18"/>
      <c r="AO354" s="18"/>
      <c r="AP354" s="18"/>
      <c r="AQ354" s="18"/>
      <c r="AR354" s="18"/>
      <c r="AS354" s="18"/>
      <c r="AT354" s="18"/>
      <c r="AU354" s="18"/>
      <c r="AV354" s="18"/>
      <c r="AW354" s="18"/>
      <c r="AX354" s="18"/>
      <c r="AY354" s="18"/>
    </row>
    <row r="355" customFormat="false" ht="15" hidden="false" customHeight="false" outlineLevel="0" collapsed="false">
      <c r="A355" s="15" t="str">
        <f aca="false">IFERROR(MATCH(ROW()-11,Tasks!$R$4:$R$403,0)+3,"")</f>
        <v/>
      </c>
      <c r="B355" s="16" t="str">
        <f aca="false">IF($A355="","",INDEX(Tasks!$A:$A,$A355))</f>
        <v/>
      </c>
      <c r="C355" s="16" t="str">
        <f aca="false">IF($A355="","",IF(ISERROR(FIND(".",INDEX(Tasks!$A:$A,$A355))),"","   ")&amp;INDEX(Tasks!$D:$D,$A355))</f>
        <v/>
      </c>
      <c r="D355" s="16" t="str">
        <f aca="false">IF($A355="","",IF(OR(INDEX(Tasks!$G:$G,$A355)="",INDEX(Tasks!$G:$G,$A355)="TBD"),INDEX(Tasks!$F:$F,$A355),INDEX(Tasks!$G:$G,$A355)))</f>
        <v/>
      </c>
      <c r="E355" s="16" t="str">
        <f aca="false">IF($A355="","",IF(INDEX(Tasks!$H:$H,$A355)="","",INDEX(Tasks!$H:$H,$A355)))</f>
        <v/>
      </c>
      <c r="F355" s="17" t="str">
        <f aca="false">IF($A355="","",IF(INDEX(Tasks!$I:$I,$A355)="","",INDEX(Tasks!$I:$I,$A355)))</f>
        <v/>
      </c>
      <c r="G355" s="17" t="str">
        <f aca="false">IF($A355="","",IF(INDEX(Tasks!$K:$K,$A355)="","",INDEX(Tasks!$K:$K,$A355)))</f>
        <v/>
      </c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  <c r="AG355" s="18"/>
      <c r="AH355" s="18"/>
      <c r="AI355" s="18"/>
      <c r="AJ355" s="18"/>
      <c r="AK355" s="18"/>
      <c r="AL355" s="18"/>
      <c r="AM355" s="18"/>
      <c r="AN355" s="18"/>
      <c r="AO355" s="18"/>
      <c r="AP355" s="18"/>
      <c r="AQ355" s="18"/>
      <c r="AR355" s="18"/>
      <c r="AS355" s="18"/>
      <c r="AT355" s="18"/>
      <c r="AU355" s="18"/>
      <c r="AV355" s="18"/>
      <c r="AW355" s="18"/>
      <c r="AX355" s="18"/>
      <c r="AY355" s="18"/>
    </row>
    <row r="356" customFormat="false" ht="15" hidden="false" customHeight="false" outlineLevel="0" collapsed="false">
      <c r="A356" s="15" t="str">
        <f aca="false">IFERROR(MATCH(ROW()-11,Tasks!$R$4:$R$403,0)+3,"")</f>
        <v/>
      </c>
      <c r="B356" s="16" t="str">
        <f aca="false">IF($A356="","",INDEX(Tasks!$A:$A,$A356))</f>
        <v/>
      </c>
      <c r="C356" s="16" t="str">
        <f aca="false">IF($A356="","",IF(ISERROR(FIND(".",INDEX(Tasks!$A:$A,$A356))),"","   ")&amp;INDEX(Tasks!$D:$D,$A356))</f>
        <v/>
      </c>
      <c r="D356" s="16" t="str">
        <f aca="false">IF($A356="","",IF(OR(INDEX(Tasks!$G:$G,$A356)="",INDEX(Tasks!$G:$G,$A356)="TBD"),INDEX(Tasks!$F:$F,$A356),INDEX(Tasks!$G:$G,$A356)))</f>
        <v/>
      </c>
      <c r="E356" s="16" t="str">
        <f aca="false">IF($A356="","",IF(INDEX(Tasks!$H:$H,$A356)="","",INDEX(Tasks!$H:$H,$A356)))</f>
        <v/>
      </c>
      <c r="F356" s="17" t="str">
        <f aca="false">IF($A356="","",IF(INDEX(Tasks!$I:$I,$A356)="","",INDEX(Tasks!$I:$I,$A356)))</f>
        <v/>
      </c>
      <c r="G356" s="17" t="str">
        <f aca="false">IF($A356="","",IF(INDEX(Tasks!$K:$K,$A356)="","",INDEX(Tasks!$K:$K,$A356)))</f>
        <v/>
      </c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  <c r="AG356" s="18"/>
      <c r="AH356" s="18"/>
      <c r="AI356" s="18"/>
      <c r="AJ356" s="18"/>
      <c r="AK356" s="18"/>
      <c r="AL356" s="18"/>
      <c r="AM356" s="18"/>
      <c r="AN356" s="18"/>
      <c r="AO356" s="18"/>
      <c r="AP356" s="18"/>
      <c r="AQ356" s="18"/>
      <c r="AR356" s="18"/>
      <c r="AS356" s="18"/>
      <c r="AT356" s="18"/>
      <c r="AU356" s="18"/>
      <c r="AV356" s="18"/>
      <c r="AW356" s="18"/>
      <c r="AX356" s="18"/>
      <c r="AY356" s="18"/>
    </row>
    <row r="357" customFormat="false" ht="15" hidden="false" customHeight="false" outlineLevel="0" collapsed="false">
      <c r="A357" s="15" t="str">
        <f aca="false">IFERROR(MATCH(ROW()-11,Tasks!$R$4:$R$403,0)+3,"")</f>
        <v/>
      </c>
      <c r="B357" s="16" t="str">
        <f aca="false">IF($A357="","",INDEX(Tasks!$A:$A,$A357))</f>
        <v/>
      </c>
      <c r="C357" s="16" t="str">
        <f aca="false">IF($A357="","",IF(ISERROR(FIND(".",INDEX(Tasks!$A:$A,$A357))),"","   ")&amp;INDEX(Tasks!$D:$D,$A357))</f>
        <v/>
      </c>
      <c r="D357" s="16" t="str">
        <f aca="false">IF($A357="","",IF(OR(INDEX(Tasks!$G:$G,$A357)="",INDEX(Tasks!$G:$G,$A357)="TBD"),INDEX(Tasks!$F:$F,$A357),INDEX(Tasks!$G:$G,$A357)))</f>
        <v/>
      </c>
      <c r="E357" s="16" t="str">
        <f aca="false">IF($A357="","",IF(INDEX(Tasks!$H:$H,$A357)="","",INDEX(Tasks!$H:$H,$A357)))</f>
        <v/>
      </c>
      <c r="F357" s="17" t="str">
        <f aca="false">IF($A357="","",IF(INDEX(Tasks!$I:$I,$A357)="","",INDEX(Tasks!$I:$I,$A357)))</f>
        <v/>
      </c>
      <c r="G357" s="17" t="str">
        <f aca="false">IF($A357="","",IF(INDEX(Tasks!$K:$K,$A357)="","",INDEX(Tasks!$K:$K,$A357)))</f>
        <v/>
      </c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  <c r="AG357" s="18"/>
      <c r="AH357" s="18"/>
      <c r="AI357" s="18"/>
      <c r="AJ357" s="18"/>
      <c r="AK357" s="18"/>
      <c r="AL357" s="18"/>
      <c r="AM357" s="18"/>
      <c r="AN357" s="18"/>
      <c r="AO357" s="18"/>
      <c r="AP357" s="18"/>
      <c r="AQ357" s="18"/>
      <c r="AR357" s="18"/>
      <c r="AS357" s="18"/>
      <c r="AT357" s="18"/>
      <c r="AU357" s="18"/>
      <c r="AV357" s="18"/>
      <c r="AW357" s="18"/>
      <c r="AX357" s="18"/>
      <c r="AY357" s="18"/>
    </row>
    <row r="358" customFormat="false" ht="15" hidden="false" customHeight="false" outlineLevel="0" collapsed="false">
      <c r="A358" s="15" t="str">
        <f aca="false">IFERROR(MATCH(ROW()-11,Tasks!$R$4:$R$403,0)+3,"")</f>
        <v/>
      </c>
      <c r="B358" s="16" t="str">
        <f aca="false">IF($A358="","",INDEX(Tasks!$A:$A,$A358))</f>
        <v/>
      </c>
      <c r="C358" s="16" t="str">
        <f aca="false">IF($A358="","",IF(ISERROR(FIND(".",INDEX(Tasks!$A:$A,$A358))),"","   ")&amp;INDEX(Tasks!$D:$D,$A358))</f>
        <v/>
      </c>
      <c r="D358" s="16" t="str">
        <f aca="false">IF($A358="","",IF(OR(INDEX(Tasks!$G:$G,$A358)="",INDEX(Tasks!$G:$G,$A358)="TBD"),INDEX(Tasks!$F:$F,$A358),INDEX(Tasks!$G:$G,$A358)))</f>
        <v/>
      </c>
      <c r="E358" s="16" t="str">
        <f aca="false">IF($A358="","",IF(INDEX(Tasks!$H:$H,$A358)="","",INDEX(Tasks!$H:$H,$A358)))</f>
        <v/>
      </c>
      <c r="F358" s="17" t="str">
        <f aca="false">IF($A358="","",IF(INDEX(Tasks!$I:$I,$A358)="","",INDEX(Tasks!$I:$I,$A358)))</f>
        <v/>
      </c>
      <c r="G358" s="17" t="str">
        <f aca="false">IF($A358="","",IF(INDEX(Tasks!$K:$K,$A358)="","",INDEX(Tasks!$K:$K,$A358)))</f>
        <v/>
      </c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  <c r="AG358" s="18"/>
      <c r="AH358" s="18"/>
      <c r="AI358" s="18"/>
      <c r="AJ358" s="18"/>
      <c r="AK358" s="18"/>
      <c r="AL358" s="18"/>
      <c r="AM358" s="18"/>
      <c r="AN358" s="18"/>
      <c r="AO358" s="18"/>
      <c r="AP358" s="18"/>
      <c r="AQ358" s="18"/>
      <c r="AR358" s="18"/>
      <c r="AS358" s="18"/>
      <c r="AT358" s="18"/>
      <c r="AU358" s="18"/>
      <c r="AV358" s="18"/>
      <c r="AW358" s="18"/>
      <c r="AX358" s="18"/>
      <c r="AY358" s="18"/>
    </row>
    <row r="359" customFormat="false" ht="15" hidden="false" customHeight="false" outlineLevel="0" collapsed="false">
      <c r="A359" s="15" t="str">
        <f aca="false">IFERROR(MATCH(ROW()-11,Tasks!$R$4:$R$403,0)+3,"")</f>
        <v/>
      </c>
      <c r="B359" s="16" t="str">
        <f aca="false">IF($A359="","",INDEX(Tasks!$A:$A,$A359))</f>
        <v/>
      </c>
      <c r="C359" s="16" t="str">
        <f aca="false">IF($A359="","",IF(ISERROR(FIND(".",INDEX(Tasks!$A:$A,$A359))),"","   ")&amp;INDEX(Tasks!$D:$D,$A359))</f>
        <v/>
      </c>
      <c r="D359" s="16" t="str">
        <f aca="false">IF($A359="","",IF(OR(INDEX(Tasks!$G:$G,$A359)="",INDEX(Tasks!$G:$G,$A359)="TBD"),INDEX(Tasks!$F:$F,$A359),INDEX(Tasks!$G:$G,$A359)))</f>
        <v/>
      </c>
      <c r="E359" s="16" t="str">
        <f aca="false">IF($A359="","",IF(INDEX(Tasks!$H:$H,$A359)="","",INDEX(Tasks!$H:$H,$A359)))</f>
        <v/>
      </c>
      <c r="F359" s="17" t="str">
        <f aca="false">IF($A359="","",IF(INDEX(Tasks!$I:$I,$A359)="","",INDEX(Tasks!$I:$I,$A359)))</f>
        <v/>
      </c>
      <c r="G359" s="17" t="str">
        <f aca="false">IF($A359="","",IF(INDEX(Tasks!$K:$K,$A359)="","",INDEX(Tasks!$K:$K,$A359)))</f>
        <v/>
      </c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  <c r="AG359" s="18"/>
      <c r="AH359" s="18"/>
      <c r="AI359" s="18"/>
      <c r="AJ359" s="18"/>
      <c r="AK359" s="18"/>
      <c r="AL359" s="18"/>
      <c r="AM359" s="18"/>
      <c r="AN359" s="18"/>
      <c r="AO359" s="18"/>
      <c r="AP359" s="18"/>
      <c r="AQ359" s="18"/>
      <c r="AR359" s="18"/>
      <c r="AS359" s="18"/>
      <c r="AT359" s="18"/>
      <c r="AU359" s="18"/>
      <c r="AV359" s="18"/>
      <c r="AW359" s="18"/>
      <c r="AX359" s="18"/>
      <c r="AY359" s="18"/>
    </row>
    <row r="360" customFormat="false" ht="15" hidden="false" customHeight="false" outlineLevel="0" collapsed="false">
      <c r="A360" s="15" t="str">
        <f aca="false">IFERROR(MATCH(ROW()-11,Tasks!$R$4:$R$403,0)+3,"")</f>
        <v/>
      </c>
      <c r="B360" s="16" t="str">
        <f aca="false">IF($A360="","",INDEX(Tasks!$A:$A,$A360))</f>
        <v/>
      </c>
      <c r="C360" s="16" t="str">
        <f aca="false">IF($A360="","",IF(ISERROR(FIND(".",INDEX(Tasks!$A:$A,$A360))),"","   ")&amp;INDEX(Tasks!$D:$D,$A360))</f>
        <v/>
      </c>
      <c r="D360" s="16" t="str">
        <f aca="false">IF($A360="","",IF(OR(INDEX(Tasks!$G:$G,$A360)="",INDEX(Tasks!$G:$G,$A360)="TBD"),INDEX(Tasks!$F:$F,$A360),INDEX(Tasks!$G:$G,$A360)))</f>
        <v/>
      </c>
      <c r="E360" s="16" t="str">
        <f aca="false">IF($A360="","",IF(INDEX(Tasks!$H:$H,$A360)="","",INDEX(Tasks!$H:$H,$A360)))</f>
        <v/>
      </c>
      <c r="F360" s="17" t="str">
        <f aca="false">IF($A360="","",IF(INDEX(Tasks!$I:$I,$A360)="","",INDEX(Tasks!$I:$I,$A360)))</f>
        <v/>
      </c>
      <c r="G360" s="17" t="str">
        <f aca="false">IF($A360="","",IF(INDEX(Tasks!$K:$K,$A360)="","",INDEX(Tasks!$K:$K,$A360)))</f>
        <v/>
      </c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  <c r="AG360" s="18"/>
      <c r="AH360" s="18"/>
      <c r="AI360" s="18"/>
      <c r="AJ360" s="18"/>
      <c r="AK360" s="18"/>
      <c r="AL360" s="18"/>
      <c r="AM360" s="18"/>
      <c r="AN360" s="18"/>
      <c r="AO360" s="18"/>
      <c r="AP360" s="18"/>
      <c r="AQ360" s="18"/>
      <c r="AR360" s="18"/>
      <c r="AS360" s="18"/>
      <c r="AT360" s="18"/>
      <c r="AU360" s="18"/>
      <c r="AV360" s="18"/>
      <c r="AW360" s="18"/>
      <c r="AX360" s="18"/>
      <c r="AY360" s="18"/>
    </row>
    <row r="361" customFormat="false" ht="15" hidden="false" customHeight="false" outlineLevel="0" collapsed="false">
      <c r="A361" s="15" t="str">
        <f aca="false">IFERROR(MATCH(ROW()-11,Tasks!$R$4:$R$403,0)+3,"")</f>
        <v/>
      </c>
      <c r="B361" s="16" t="str">
        <f aca="false">IF($A361="","",INDEX(Tasks!$A:$A,$A361))</f>
        <v/>
      </c>
      <c r="C361" s="16" t="str">
        <f aca="false">IF($A361="","",IF(ISERROR(FIND(".",INDEX(Tasks!$A:$A,$A361))),"","   ")&amp;INDEX(Tasks!$D:$D,$A361))</f>
        <v/>
      </c>
      <c r="D361" s="16" t="str">
        <f aca="false">IF($A361="","",IF(OR(INDEX(Tasks!$G:$G,$A361)="",INDEX(Tasks!$G:$G,$A361)="TBD"),INDEX(Tasks!$F:$F,$A361),INDEX(Tasks!$G:$G,$A361)))</f>
        <v/>
      </c>
      <c r="E361" s="16" t="str">
        <f aca="false">IF($A361="","",IF(INDEX(Tasks!$H:$H,$A361)="","",INDEX(Tasks!$H:$H,$A361)))</f>
        <v/>
      </c>
      <c r="F361" s="17" t="str">
        <f aca="false">IF($A361="","",IF(INDEX(Tasks!$I:$I,$A361)="","",INDEX(Tasks!$I:$I,$A361)))</f>
        <v/>
      </c>
      <c r="G361" s="17" t="str">
        <f aca="false">IF($A361="","",IF(INDEX(Tasks!$K:$K,$A361)="","",INDEX(Tasks!$K:$K,$A361)))</f>
        <v/>
      </c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  <c r="AG361" s="18"/>
      <c r="AH361" s="18"/>
      <c r="AI361" s="18"/>
      <c r="AJ361" s="18"/>
      <c r="AK361" s="18"/>
      <c r="AL361" s="18"/>
      <c r="AM361" s="18"/>
      <c r="AN361" s="18"/>
      <c r="AO361" s="18"/>
      <c r="AP361" s="18"/>
      <c r="AQ361" s="18"/>
      <c r="AR361" s="18"/>
      <c r="AS361" s="18"/>
      <c r="AT361" s="18"/>
      <c r="AU361" s="18"/>
      <c r="AV361" s="18"/>
      <c r="AW361" s="18"/>
      <c r="AX361" s="18"/>
      <c r="AY361" s="18"/>
    </row>
    <row r="362" customFormat="false" ht="15" hidden="false" customHeight="false" outlineLevel="0" collapsed="false">
      <c r="A362" s="15" t="str">
        <f aca="false">IFERROR(MATCH(ROW()-11,Tasks!$R$4:$R$403,0)+3,"")</f>
        <v/>
      </c>
      <c r="B362" s="16" t="str">
        <f aca="false">IF($A362="","",INDEX(Tasks!$A:$A,$A362))</f>
        <v/>
      </c>
      <c r="C362" s="16" t="str">
        <f aca="false">IF($A362="","",IF(ISERROR(FIND(".",INDEX(Tasks!$A:$A,$A362))),"","   ")&amp;INDEX(Tasks!$D:$D,$A362))</f>
        <v/>
      </c>
      <c r="D362" s="16" t="str">
        <f aca="false">IF($A362="","",IF(OR(INDEX(Tasks!$G:$G,$A362)="",INDEX(Tasks!$G:$G,$A362)="TBD"),INDEX(Tasks!$F:$F,$A362),INDEX(Tasks!$G:$G,$A362)))</f>
        <v/>
      </c>
      <c r="E362" s="16" t="str">
        <f aca="false">IF($A362="","",IF(INDEX(Tasks!$H:$H,$A362)="","",INDEX(Tasks!$H:$H,$A362)))</f>
        <v/>
      </c>
      <c r="F362" s="17" t="str">
        <f aca="false">IF($A362="","",IF(INDEX(Tasks!$I:$I,$A362)="","",INDEX(Tasks!$I:$I,$A362)))</f>
        <v/>
      </c>
      <c r="G362" s="17" t="str">
        <f aca="false">IF($A362="","",IF(INDEX(Tasks!$K:$K,$A362)="","",INDEX(Tasks!$K:$K,$A362)))</f>
        <v/>
      </c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  <c r="AG362" s="18"/>
      <c r="AH362" s="18"/>
      <c r="AI362" s="18"/>
      <c r="AJ362" s="18"/>
      <c r="AK362" s="18"/>
      <c r="AL362" s="18"/>
      <c r="AM362" s="18"/>
      <c r="AN362" s="18"/>
      <c r="AO362" s="18"/>
      <c r="AP362" s="18"/>
      <c r="AQ362" s="18"/>
      <c r="AR362" s="18"/>
      <c r="AS362" s="18"/>
      <c r="AT362" s="18"/>
      <c r="AU362" s="18"/>
      <c r="AV362" s="18"/>
      <c r="AW362" s="18"/>
      <c r="AX362" s="18"/>
      <c r="AY362" s="18"/>
    </row>
    <row r="363" customFormat="false" ht="15" hidden="false" customHeight="false" outlineLevel="0" collapsed="false">
      <c r="A363" s="15" t="str">
        <f aca="false">IFERROR(MATCH(ROW()-11,Tasks!$R$4:$R$403,0)+3,"")</f>
        <v/>
      </c>
      <c r="B363" s="16" t="str">
        <f aca="false">IF($A363="","",INDEX(Tasks!$A:$A,$A363))</f>
        <v/>
      </c>
      <c r="C363" s="16" t="str">
        <f aca="false">IF($A363="","",IF(ISERROR(FIND(".",INDEX(Tasks!$A:$A,$A363))),"","   ")&amp;INDEX(Tasks!$D:$D,$A363))</f>
        <v/>
      </c>
      <c r="D363" s="16" t="str">
        <f aca="false">IF($A363="","",IF(OR(INDEX(Tasks!$G:$G,$A363)="",INDEX(Tasks!$G:$G,$A363)="TBD"),INDEX(Tasks!$F:$F,$A363),INDEX(Tasks!$G:$G,$A363)))</f>
        <v/>
      </c>
      <c r="E363" s="16" t="str">
        <f aca="false">IF($A363="","",IF(INDEX(Tasks!$H:$H,$A363)="","",INDEX(Tasks!$H:$H,$A363)))</f>
        <v/>
      </c>
      <c r="F363" s="17" t="str">
        <f aca="false">IF($A363="","",IF(INDEX(Tasks!$I:$I,$A363)="","",INDEX(Tasks!$I:$I,$A363)))</f>
        <v/>
      </c>
      <c r="G363" s="17" t="str">
        <f aca="false">IF($A363="","",IF(INDEX(Tasks!$K:$K,$A363)="","",INDEX(Tasks!$K:$K,$A363)))</f>
        <v/>
      </c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  <c r="AG363" s="18"/>
      <c r="AH363" s="18"/>
      <c r="AI363" s="18"/>
      <c r="AJ363" s="18"/>
      <c r="AK363" s="18"/>
      <c r="AL363" s="18"/>
      <c r="AM363" s="18"/>
      <c r="AN363" s="18"/>
      <c r="AO363" s="18"/>
      <c r="AP363" s="18"/>
      <c r="AQ363" s="18"/>
      <c r="AR363" s="18"/>
      <c r="AS363" s="18"/>
      <c r="AT363" s="18"/>
      <c r="AU363" s="18"/>
      <c r="AV363" s="18"/>
      <c r="AW363" s="18"/>
      <c r="AX363" s="18"/>
      <c r="AY363" s="18"/>
    </row>
    <row r="364" customFormat="false" ht="15" hidden="false" customHeight="false" outlineLevel="0" collapsed="false">
      <c r="A364" s="15" t="str">
        <f aca="false">IFERROR(MATCH(ROW()-11,Tasks!$R$4:$R$403,0)+3,"")</f>
        <v/>
      </c>
      <c r="B364" s="16" t="str">
        <f aca="false">IF($A364="","",INDEX(Tasks!$A:$A,$A364))</f>
        <v/>
      </c>
      <c r="C364" s="16" t="str">
        <f aca="false">IF($A364="","",IF(ISERROR(FIND(".",INDEX(Tasks!$A:$A,$A364))),"","   ")&amp;INDEX(Tasks!$D:$D,$A364))</f>
        <v/>
      </c>
      <c r="D364" s="16" t="str">
        <f aca="false">IF($A364="","",IF(OR(INDEX(Tasks!$G:$G,$A364)="",INDEX(Tasks!$G:$G,$A364)="TBD"),INDEX(Tasks!$F:$F,$A364),INDEX(Tasks!$G:$G,$A364)))</f>
        <v/>
      </c>
      <c r="E364" s="16" t="str">
        <f aca="false">IF($A364="","",IF(INDEX(Tasks!$H:$H,$A364)="","",INDEX(Tasks!$H:$H,$A364)))</f>
        <v/>
      </c>
      <c r="F364" s="17" t="str">
        <f aca="false">IF($A364="","",IF(INDEX(Tasks!$I:$I,$A364)="","",INDEX(Tasks!$I:$I,$A364)))</f>
        <v/>
      </c>
      <c r="G364" s="17" t="str">
        <f aca="false">IF($A364="","",IF(INDEX(Tasks!$K:$K,$A364)="","",INDEX(Tasks!$K:$K,$A364)))</f>
        <v/>
      </c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  <c r="AG364" s="18"/>
      <c r="AH364" s="18"/>
      <c r="AI364" s="18"/>
      <c r="AJ364" s="18"/>
      <c r="AK364" s="18"/>
      <c r="AL364" s="18"/>
      <c r="AM364" s="18"/>
      <c r="AN364" s="18"/>
      <c r="AO364" s="18"/>
      <c r="AP364" s="18"/>
      <c r="AQ364" s="18"/>
      <c r="AR364" s="18"/>
      <c r="AS364" s="18"/>
      <c r="AT364" s="18"/>
      <c r="AU364" s="18"/>
      <c r="AV364" s="18"/>
      <c r="AW364" s="18"/>
      <c r="AX364" s="18"/>
      <c r="AY364" s="18"/>
    </row>
    <row r="365" customFormat="false" ht="15" hidden="false" customHeight="false" outlineLevel="0" collapsed="false">
      <c r="A365" s="15" t="str">
        <f aca="false">IFERROR(MATCH(ROW()-11,Tasks!$R$4:$R$403,0)+3,"")</f>
        <v/>
      </c>
      <c r="B365" s="16" t="str">
        <f aca="false">IF($A365="","",INDEX(Tasks!$A:$A,$A365))</f>
        <v/>
      </c>
      <c r="C365" s="16" t="str">
        <f aca="false">IF($A365="","",IF(ISERROR(FIND(".",INDEX(Tasks!$A:$A,$A365))),"","   ")&amp;INDEX(Tasks!$D:$D,$A365))</f>
        <v/>
      </c>
      <c r="D365" s="16" t="str">
        <f aca="false">IF($A365="","",IF(OR(INDEX(Tasks!$G:$G,$A365)="",INDEX(Tasks!$G:$G,$A365)="TBD"),INDEX(Tasks!$F:$F,$A365),INDEX(Tasks!$G:$G,$A365)))</f>
        <v/>
      </c>
      <c r="E365" s="16" t="str">
        <f aca="false">IF($A365="","",IF(INDEX(Tasks!$H:$H,$A365)="","",INDEX(Tasks!$H:$H,$A365)))</f>
        <v/>
      </c>
      <c r="F365" s="17" t="str">
        <f aca="false">IF($A365="","",IF(INDEX(Tasks!$I:$I,$A365)="","",INDEX(Tasks!$I:$I,$A365)))</f>
        <v/>
      </c>
      <c r="G365" s="17" t="str">
        <f aca="false">IF($A365="","",IF(INDEX(Tasks!$K:$K,$A365)="","",INDEX(Tasks!$K:$K,$A365)))</f>
        <v/>
      </c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  <c r="AG365" s="18"/>
      <c r="AH365" s="18"/>
      <c r="AI365" s="18"/>
      <c r="AJ365" s="18"/>
      <c r="AK365" s="18"/>
      <c r="AL365" s="18"/>
      <c r="AM365" s="18"/>
      <c r="AN365" s="18"/>
      <c r="AO365" s="18"/>
      <c r="AP365" s="18"/>
      <c r="AQ365" s="18"/>
      <c r="AR365" s="18"/>
      <c r="AS365" s="18"/>
      <c r="AT365" s="18"/>
      <c r="AU365" s="18"/>
      <c r="AV365" s="18"/>
      <c r="AW365" s="18"/>
      <c r="AX365" s="18"/>
      <c r="AY365" s="18"/>
    </row>
    <row r="366" customFormat="false" ht="15" hidden="false" customHeight="false" outlineLevel="0" collapsed="false">
      <c r="A366" s="15" t="str">
        <f aca="false">IFERROR(MATCH(ROW()-11,Tasks!$R$4:$R$403,0)+3,"")</f>
        <v/>
      </c>
      <c r="B366" s="16" t="str">
        <f aca="false">IF($A366="","",INDEX(Tasks!$A:$A,$A366))</f>
        <v/>
      </c>
      <c r="C366" s="16" t="str">
        <f aca="false">IF($A366="","",IF(ISERROR(FIND(".",INDEX(Tasks!$A:$A,$A366))),"","   ")&amp;INDEX(Tasks!$D:$D,$A366))</f>
        <v/>
      </c>
      <c r="D366" s="16" t="str">
        <f aca="false">IF($A366="","",IF(OR(INDEX(Tasks!$G:$G,$A366)="",INDEX(Tasks!$G:$G,$A366)="TBD"),INDEX(Tasks!$F:$F,$A366),INDEX(Tasks!$G:$G,$A366)))</f>
        <v/>
      </c>
      <c r="E366" s="16" t="str">
        <f aca="false">IF($A366="","",IF(INDEX(Tasks!$H:$H,$A366)="","",INDEX(Tasks!$H:$H,$A366)))</f>
        <v/>
      </c>
      <c r="F366" s="17" t="str">
        <f aca="false">IF($A366="","",IF(INDEX(Tasks!$I:$I,$A366)="","",INDEX(Tasks!$I:$I,$A366)))</f>
        <v/>
      </c>
      <c r="G366" s="17" t="str">
        <f aca="false">IF($A366="","",IF(INDEX(Tasks!$K:$K,$A366)="","",INDEX(Tasks!$K:$K,$A366)))</f>
        <v/>
      </c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  <c r="AG366" s="18"/>
      <c r="AH366" s="18"/>
      <c r="AI366" s="18"/>
      <c r="AJ366" s="18"/>
      <c r="AK366" s="18"/>
      <c r="AL366" s="18"/>
      <c r="AM366" s="18"/>
      <c r="AN366" s="18"/>
      <c r="AO366" s="18"/>
      <c r="AP366" s="18"/>
      <c r="AQ366" s="18"/>
      <c r="AR366" s="18"/>
      <c r="AS366" s="18"/>
      <c r="AT366" s="18"/>
      <c r="AU366" s="18"/>
      <c r="AV366" s="18"/>
      <c r="AW366" s="18"/>
      <c r="AX366" s="18"/>
      <c r="AY366" s="18"/>
    </row>
    <row r="367" customFormat="false" ht="15" hidden="false" customHeight="false" outlineLevel="0" collapsed="false">
      <c r="A367" s="15" t="str">
        <f aca="false">IFERROR(MATCH(ROW()-11,Tasks!$R$4:$R$403,0)+3,"")</f>
        <v/>
      </c>
      <c r="B367" s="16" t="str">
        <f aca="false">IF($A367="","",INDEX(Tasks!$A:$A,$A367))</f>
        <v/>
      </c>
      <c r="C367" s="16" t="str">
        <f aca="false">IF($A367="","",IF(ISERROR(FIND(".",INDEX(Tasks!$A:$A,$A367))),"","   ")&amp;INDEX(Tasks!$D:$D,$A367))</f>
        <v/>
      </c>
      <c r="D367" s="16" t="str">
        <f aca="false">IF($A367="","",IF(OR(INDEX(Tasks!$G:$G,$A367)="",INDEX(Tasks!$G:$G,$A367)="TBD"),INDEX(Tasks!$F:$F,$A367),INDEX(Tasks!$G:$G,$A367)))</f>
        <v/>
      </c>
      <c r="E367" s="16" t="str">
        <f aca="false">IF($A367="","",IF(INDEX(Tasks!$H:$H,$A367)="","",INDEX(Tasks!$H:$H,$A367)))</f>
        <v/>
      </c>
      <c r="F367" s="17" t="str">
        <f aca="false">IF($A367="","",IF(INDEX(Tasks!$I:$I,$A367)="","",INDEX(Tasks!$I:$I,$A367)))</f>
        <v/>
      </c>
      <c r="G367" s="17" t="str">
        <f aca="false">IF($A367="","",IF(INDEX(Tasks!$K:$K,$A367)="","",INDEX(Tasks!$K:$K,$A367)))</f>
        <v/>
      </c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  <c r="AG367" s="18"/>
      <c r="AH367" s="18"/>
      <c r="AI367" s="18"/>
      <c r="AJ367" s="18"/>
      <c r="AK367" s="18"/>
      <c r="AL367" s="18"/>
      <c r="AM367" s="18"/>
      <c r="AN367" s="18"/>
      <c r="AO367" s="18"/>
      <c r="AP367" s="18"/>
      <c r="AQ367" s="18"/>
      <c r="AR367" s="18"/>
      <c r="AS367" s="18"/>
      <c r="AT367" s="18"/>
      <c r="AU367" s="18"/>
      <c r="AV367" s="18"/>
      <c r="AW367" s="18"/>
      <c r="AX367" s="18"/>
      <c r="AY367" s="18"/>
    </row>
    <row r="368" customFormat="false" ht="15" hidden="false" customHeight="false" outlineLevel="0" collapsed="false">
      <c r="A368" s="15" t="str">
        <f aca="false">IFERROR(MATCH(ROW()-11,Tasks!$R$4:$R$403,0)+3,"")</f>
        <v/>
      </c>
      <c r="B368" s="16" t="str">
        <f aca="false">IF($A368="","",INDEX(Tasks!$A:$A,$A368))</f>
        <v/>
      </c>
      <c r="C368" s="16" t="str">
        <f aca="false">IF($A368="","",IF(ISERROR(FIND(".",INDEX(Tasks!$A:$A,$A368))),"","   ")&amp;INDEX(Tasks!$D:$D,$A368))</f>
        <v/>
      </c>
      <c r="D368" s="16" t="str">
        <f aca="false">IF($A368="","",IF(OR(INDEX(Tasks!$G:$G,$A368)="",INDEX(Tasks!$G:$G,$A368)="TBD"),INDEX(Tasks!$F:$F,$A368),INDEX(Tasks!$G:$G,$A368)))</f>
        <v/>
      </c>
      <c r="E368" s="16" t="str">
        <f aca="false">IF($A368="","",IF(INDEX(Tasks!$H:$H,$A368)="","",INDEX(Tasks!$H:$H,$A368)))</f>
        <v/>
      </c>
      <c r="F368" s="17" t="str">
        <f aca="false">IF($A368="","",IF(INDEX(Tasks!$I:$I,$A368)="","",INDEX(Tasks!$I:$I,$A368)))</f>
        <v/>
      </c>
      <c r="G368" s="17" t="str">
        <f aca="false">IF($A368="","",IF(INDEX(Tasks!$K:$K,$A368)="","",INDEX(Tasks!$K:$K,$A368)))</f>
        <v/>
      </c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  <c r="AG368" s="18"/>
      <c r="AH368" s="18"/>
      <c r="AI368" s="18"/>
      <c r="AJ368" s="18"/>
      <c r="AK368" s="18"/>
      <c r="AL368" s="18"/>
      <c r="AM368" s="18"/>
      <c r="AN368" s="18"/>
      <c r="AO368" s="18"/>
      <c r="AP368" s="18"/>
      <c r="AQ368" s="18"/>
      <c r="AR368" s="18"/>
      <c r="AS368" s="18"/>
      <c r="AT368" s="18"/>
      <c r="AU368" s="18"/>
      <c r="AV368" s="18"/>
      <c r="AW368" s="18"/>
      <c r="AX368" s="18"/>
      <c r="AY368" s="18"/>
    </row>
    <row r="369" customFormat="false" ht="15" hidden="false" customHeight="false" outlineLevel="0" collapsed="false">
      <c r="A369" s="15" t="str">
        <f aca="false">IFERROR(MATCH(ROW()-11,Tasks!$R$4:$R$403,0)+3,"")</f>
        <v/>
      </c>
      <c r="B369" s="16" t="str">
        <f aca="false">IF($A369="","",INDEX(Tasks!$A:$A,$A369))</f>
        <v/>
      </c>
      <c r="C369" s="16" t="str">
        <f aca="false">IF($A369="","",IF(ISERROR(FIND(".",INDEX(Tasks!$A:$A,$A369))),"","   ")&amp;INDEX(Tasks!$D:$D,$A369))</f>
        <v/>
      </c>
      <c r="D369" s="16" t="str">
        <f aca="false">IF($A369="","",IF(OR(INDEX(Tasks!$G:$G,$A369)="",INDEX(Tasks!$G:$G,$A369)="TBD"),INDEX(Tasks!$F:$F,$A369),INDEX(Tasks!$G:$G,$A369)))</f>
        <v/>
      </c>
      <c r="E369" s="16" t="str">
        <f aca="false">IF($A369="","",IF(INDEX(Tasks!$H:$H,$A369)="","",INDEX(Tasks!$H:$H,$A369)))</f>
        <v/>
      </c>
      <c r="F369" s="17" t="str">
        <f aca="false">IF($A369="","",IF(INDEX(Tasks!$I:$I,$A369)="","",INDEX(Tasks!$I:$I,$A369)))</f>
        <v/>
      </c>
      <c r="G369" s="17" t="str">
        <f aca="false">IF($A369="","",IF(INDEX(Tasks!$K:$K,$A369)="","",INDEX(Tasks!$K:$K,$A369)))</f>
        <v/>
      </c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  <c r="AG369" s="18"/>
      <c r="AH369" s="18"/>
      <c r="AI369" s="18"/>
      <c r="AJ369" s="18"/>
      <c r="AK369" s="18"/>
      <c r="AL369" s="18"/>
      <c r="AM369" s="18"/>
      <c r="AN369" s="18"/>
      <c r="AO369" s="18"/>
      <c r="AP369" s="18"/>
      <c r="AQ369" s="18"/>
      <c r="AR369" s="18"/>
      <c r="AS369" s="18"/>
      <c r="AT369" s="18"/>
      <c r="AU369" s="18"/>
      <c r="AV369" s="18"/>
      <c r="AW369" s="18"/>
      <c r="AX369" s="18"/>
      <c r="AY369" s="18"/>
    </row>
    <row r="370" customFormat="false" ht="15" hidden="false" customHeight="false" outlineLevel="0" collapsed="false">
      <c r="A370" s="15" t="str">
        <f aca="false">IFERROR(MATCH(ROW()-11,Tasks!$R$4:$R$403,0)+3,"")</f>
        <v/>
      </c>
      <c r="B370" s="16" t="str">
        <f aca="false">IF($A370="","",INDEX(Tasks!$A:$A,$A370))</f>
        <v/>
      </c>
      <c r="C370" s="16" t="str">
        <f aca="false">IF($A370="","",IF(ISERROR(FIND(".",INDEX(Tasks!$A:$A,$A370))),"","   ")&amp;INDEX(Tasks!$D:$D,$A370))</f>
        <v/>
      </c>
      <c r="D370" s="16" t="str">
        <f aca="false">IF($A370="","",IF(OR(INDEX(Tasks!$G:$G,$A370)="",INDEX(Tasks!$G:$G,$A370)="TBD"),INDEX(Tasks!$F:$F,$A370),INDEX(Tasks!$G:$G,$A370)))</f>
        <v/>
      </c>
      <c r="E370" s="16" t="str">
        <f aca="false">IF($A370="","",IF(INDEX(Tasks!$H:$H,$A370)="","",INDEX(Tasks!$H:$H,$A370)))</f>
        <v/>
      </c>
      <c r="F370" s="17" t="str">
        <f aca="false">IF($A370="","",IF(INDEX(Tasks!$I:$I,$A370)="","",INDEX(Tasks!$I:$I,$A370)))</f>
        <v/>
      </c>
      <c r="G370" s="17" t="str">
        <f aca="false">IF($A370="","",IF(INDEX(Tasks!$K:$K,$A370)="","",INDEX(Tasks!$K:$K,$A370)))</f>
        <v/>
      </c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  <c r="AG370" s="18"/>
      <c r="AH370" s="18"/>
      <c r="AI370" s="18"/>
      <c r="AJ370" s="18"/>
      <c r="AK370" s="18"/>
      <c r="AL370" s="18"/>
      <c r="AM370" s="18"/>
      <c r="AN370" s="18"/>
      <c r="AO370" s="18"/>
      <c r="AP370" s="18"/>
      <c r="AQ370" s="18"/>
      <c r="AR370" s="18"/>
      <c r="AS370" s="18"/>
      <c r="AT370" s="18"/>
      <c r="AU370" s="18"/>
      <c r="AV370" s="18"/>
      <c r="AW370" s="18"/>
      <c r="AX370" s="18"/>
      <c r="AY370" s="18"/>
    </row>
    <row r="371" customFormat="false" ht="15" hidden="false" customHeight="false" outlineLevel="0" collapsed="false">
      <c r="A371" s="15" t="str">
        <f aca="false">IFERROR(MATCH(ROW()-11,Tasks!$R$4:$R$403,0)+3,"")</f>
        <v/>
      </c>
      <c r="B371" s="16" t="str">
        <f aca="false">IF($A371="","",INDEX(Tasks!$A:$A,$A371))</f>
        <v/>
      </c>
      <c r="C371" s="16" t="str">
        <f aca="false">IF($A371="","",IF(ISERROR(FIND(".",INDEX(Tasks!$A:$A,$A371))),"","   ")&amp;INDEX(Tasks!$D:$D,$A371))</f>
        <v/>
      </c>
      <c r="D371" s="16" t="str">
        <f aca="false">IF($A371="","",IF(OR(INDEX(Tasks!$G:$G,$A371)="",INDEX(Tasks!$G:$G,$A371)="TBD"),INDEX(Tasks!$F:$F,$A371),INDEX(Tasks!$G:$G,$A371)))</f>
        <v/>
      </c>
      <c r="E371" s="16" t="str">
        <f aca="false">IF($A371="","",IF(INDEX(Tasks!$H:$H,$A371)="","",INDEX(Tasks!$H:$H,$A371)))</f>
        <v/>
      </c>
      <c r="F371" s="17" t="str">
        <f aca="false">IF($A371="","",IF(INDEX(Tasks!$I:$I,$A371)="","",INDEX(Tasks!$I:$I,$A371)))</f>
        <v/>
      </c>
      <c r="G371" s="17" t="str">
        <f aca="false">IF($A371="","",IF(INDEX(Tasks!$K:$K,$A371)="","",INDEX(Tasks!$K:$K,$A371)))</f>
        <v/>
      </c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  <c r="AG371" s="18"/>
      <c r="AH371" s="18"/>
      <c r="AI371" s="18"/>
      <c r="AJ371" s="18"/>
      <c r="AK371" s="18"/>
      <c r="AL371" s="18"/>
      <c r="AM371" s="18"/>
      <c r="AN371" s="18"/>
      <c r="AO371" s="18"/>
      <c r="AP371" s="18"/>
      <c r="AQ371" s="18"/>
      <c r="AR371" s="18"/>
      <c r="AS371" s="18"/>
      <c r="AT371" s="18"/>
      <c r="AU371" s="18"/>
      <c r="AV371" s="18"/>
      <c r="AW371" s="18"/>
      <c r="AX371" s="18"/>
      <c r="AY371" s="18"/>
    </row>
    <row r="372" customFormat="false" ht="15" hidden="false" customHeight="false" outlineLevel="0" collapsed="false">
      <c r="A372" s="15" t="str">
        <f aca="false">IFERROR(MATCH(ROW()-11,Tasks!$R$4:$R$403,0)+3,"")</f>
        <v/>
      </c>
      <c r="B372" s="16" t="str">
        <f aca="false">IF($A372="","",INDEX(Tasks!$A:$A,$A372))</f>
        <v/>
      </c>
      <c r="C372" s="16" t="str">
        <f aca="false">IF($A372="","",IF(ISERROR(FIND(".",INDEX(Tasks!$A:$A,$A372))),"","   ")&amp;INDEX(Tasks!$D:$D,$A372))</f>
        <v/>
      </c>
      <c r="D372" s="16" t="str">
        <f aca="false">IF($A372="","",IF(OR(INDEX(Tasks!$G:$G,$A372)="",INDEX(Tasks!$G:$G,$A372)="TBD"),INDEX(Tasks!$F:$F,$A372),INDEX(Tasks!$G:$G,$A372)))</f>
        <v/>
      </c>
      <c r="E372" s="16" t="str">
        <f aca="false">IF($A372="","",IF(INDEX(Tasks!$H:$H,$A372)="","",INDEX(Tasks!$H:$H,$A372)))</f>
        <v/>
      </c>
      <c r="F372" s="17" t="str">
        <f aca="false">IF($A372="","",IF(INDEX(Tasks!$I:$I,$A372)="","",INDEX(Tasks!$I:$I,$A372)))</f>
        <v/>
      </c>
      <c r="G372" s="17" t="str">
        <f aca="false">IF($A372="","",IF(INDEX(Tasks!$K:$K,$A372)="","",INDEX(Tasks!$K:$K,$A372)))</f>
        <v/>
      </c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  <c r="AG372" s="18"/>
      <c r="AH372" s="18"/>
      <c r="AI372" s="18"/>
      <c r="AJ372" s="18"/>
      <c r="AK372" s="18"/>
      <c r="AL372" s="18"/>
      <c r="AM372" s="18"/>
      <c r="AN372" s="18"/>
      <c r="AO372" s="18"/>
      <c r="AP372" s="18"/>
      <c r="AQ372" s="18"/>
      <c r="AR372" s="18"/>
      <c r="AS372" s="18"/>
      <c r="AT372" s="18"/>
      <c r="AU372" s="18"/>
      <c r="AV372" s="18"/>
      <c r="AW372" s="18"/>
      <c r="AX372" s="18"/>
      <c r="AY372" s="18"/>
    </row>
    <row r="373" customFormat="false" ht="15" hidden="false" customHeight="false" outlineLevel="0" collapsed="false">
      <c r="A373" s="15" t="str">
        <f aca="false">IFERROR(MATCH(ROW()-11,Tasks!$R$4:$R$403,0)+3,"")</f>
        <v/>
      </c>
      <c r="B373" s="16" t="str">
        <f aca="false">IF($A373="","",INDEX(Tasks!$A:$A,$A373))</f>
        <v/>
      </c>
      <c r="C373" s="16" t="str">
        <f aca="false">IF($A373="","",IF(ISERROR(FIND(".",INDEX(Tasks!$A:$A,$A373))),"","   ")&amp;INDEX(Tasks!$D:$D,$A373))</f>
        <v/>
      </c>
      <c r="D373" s="16" t="str">
        <f aca="false">IF($A373="","",IF(OR(INDEX(Tasks!$G:$G,$A373)="",INDEX(Tasks!$G:$G,$A373)="TBD"),INDEX(Tasks!$F:$F,$A373),INDEX(Tasks!$G:$G,$A373)))</f>
        <v/>
      </c>
      <c r="E373" s="16" t="str">
        <f aca="false">IF($A373="","",IF(INDEX(Tasks!$H:$H,$A373)="","",INDEX(Tasks!$H:$H,$A373)))</f>
        <v/>
      </c>
      <c r="F373" s="17" t="str">
        <f aca="false">IF($A373="","",IF(INDEX(Tasks!$I:$I,$A373)="","",INDEX(Tasks!$I:$I,$A373)))</f>
        <v/>
      </c>
      <c r="G373" s="17" t="str">
        <f aca="false">IF($A373="","",IF(INDEX(Tasks!$K:$K,$A373)="","",INDEX(Tasks!$K:$K,$A373)))</f>
        <v/>
      </c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  <c r="AG373" s="18"/>
      <c r="AH373" s="18"/>
      <c r="AI373" s="18"/>
      <c r="AJ373" s="18"/>
      <c r="AK373" s="18"/>
      <c r="AL373" s="18"/>
      <c r="AM373" s="18"/>
      <c r="AN373" s="18"/>
      <c r="AO373" s="18"/>
      <c r="AP373" s="18"/>
      <c r="AQ373" s="18"/>
      <c r="AR373" s="18"/>
      <c r="AS373" s="18"/>
      <c r="AT373" s="18"/>
      <c r="AU373" s="18"/>
      <c r="AV373" s="18"/>
      <c r="AW373" s="18"/>
      <c r="AX373" s="18"/>
      <c r="AY373" s="18"/>
    </row>
    <row r="374" customFormat="false" ht="15" hidden="false" customHeight="false" outlineLevel="0" collapsed="false">
      <c r="A374" s="15" t="str">
        <f aca="false">IFERROR(MATCH(ROW()-11,Tasks!$R$4:$R$403,0)+3,"")</f>
        <v/>
      </c>
      <c r="B374" s="16" t="str">
        <f aca="false">IF($A374="","",INDEX(Tasks!$A:$A,$A374))</f>
        <v/>
      </c>
      <c r="C374" s="16" t="str">
        <f aca="false">IF($A374="","",IF(ISERROR(FIND(".",INDEX(Tasks!$A:$A,$A374))),"","   ")&amp;INDEX(Tasks!$D:$D,$A374))</f>
        <v/>
      </c>
      <c r="D374" s="16" t="str">
        <f aca="false">IF($A374="","",IF(OR(INDEX(Tasks!$G:$G,$A374)="",INDEX(Tasks!$G:$G,$A374)="TBD"),INDEX(Tasks!$F:$F,$A374),INDEX(Tasks!$G:$G,$A374)))</f>
        <v/>
      </c>
      <c r="E374" s="16" t="str">
        <f aca="false">IF($A374="","",IF(INDEX(Tasks!$H:$H,$A374)="","",INDEX(Tasks!$H:$H,$A374)))</f>
        <v/>
      </c>
      <c r="F374" s="17" t="str">
        <f aca="false">IF($A374="","",IF(INDEX(Tasks!$I:$I,$A374)="","",INDEX(Tasks!$I:$I,$A374)))</f>
        <v/>
      </c>
      <c r="G374" s="17" t="str">
        <f aca="false">IF($A374="","",IF(INDEX(Tasks!$K:$K,$A374)="","",INDEX(Tasks!$K:$K,$A374)))</f>
        <v/>
      </c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  <c r="AG374" s="18"/>
      <c r="AH374" s="18"/>
      <c r="AI374" s="18"/>
      <c r="AJ374" s="18"/>
      <c r="AK374" s="18"/>
      <c r="AL374" s="18"/>
      <c r="AM374" s="18"/>
      <c r="AN374" s="18"/>
      <c r="AO374" s="18"/>
      <c r="AP374" s="18"/>
      <c r="AQ374" s="18"/>
      <c r="AR374" s="18"/>
      <c r="AS374" s="18"/>
      <c r="AT374" s="18"/>
      <c r="AU374" s="18"/>
      <c r="AV374" s="18"/>
      <c r="AW374" s="18"/>
      <c r="AX374" s="18"/>
      <c r="AY374" s="18"/>
    </row>
    <row r="375" customFormat="false" ht="15" hidden="false" customHeight="false" outlineLevel="0" collapsed="false">
      <c r="A375" s="15" t="str">
        <f aca="false">IFERROR(MATCH(ROW()-11,Tasks!$R$4:$R$403,0)+3,"")</f>
        <v/>
      </c>
      <c r="B375" s="16" t="str">
        <f aca="false">IF($A375="","",INDEX(Tasks!$A:$A,$A375))</f>
        <v/>
      </c>
      <c r="C375" s="16" t="str">
        <f aca="false">IF($A375="","",IF(ISERROR(FIND(".",INDEX(Tasks!$A:$A,$A375))),"","   ")&amp;INDEX(Tasks!$D:$D,$A375))</f>
        <v/>
      </c>
      <c r="D375" s="16" t="str">
        <f aca="false">IF($A375="","",IF(OR(INDEX(Tasks!$G:$G,$A375)="",INDEX(Tasks!$G:$G,$A375)="TBD"),INDEX(Tasks!$F:$F,$A375),INDEX(Tasks!$G:$G,$A375)))</f>
        <v/>
      </c>
      <c r="E375" s="16" t="str">
        <f aca="false">IF($A375="","",IF(INDEX(Tasks!$H:$H,$A375)="","",INDEX(Tasks!$H:$H,$A375)))</f>
        <v/>
      </c>
      <c r="F375" s="17" t="str">
        <f aca="false">IF($A375="","",IF(INDEX(Tasks!$I:$I,$A375)="","",INDEX(Tasks!$I:$I,$A375)))</f>
        <v/>
      </c>
      <c r="G375" s="17" t="str">
        <f aca="false">IF($A375="","",IF(INDEX(Tasks!$K:$K,$A375)="","",INDEX(Tasks!$K:$K,$A375)))</f>
        <v/>
      </c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  <c r="AG375" s="18"/>
      <c r="AH375" s="18"/>
      <c r="AI375" s="18"/>
      <c r="AJ375" s="18"/>
      <c r="AK375" s="18"/>
      <c r="AL375" s="18"/>
      <c r="AM375" s="18"/>
      <c r="AN375" s="18"/>
      <c r="AO375" s="18"/>
      <c r="AP375" s="18"/>
      <c r="AQ375" s="18"/>
      <c r="AR375" s="18"/>
      <c r="AS375" s="18"/>
      <c r="AT375" s="18"/>
      <c r="AU375" s="18"/>
      <c r="AV375" s="18"/>
      <c r="AW375" s="18"/>
      <c r="AX375" s="18"/>
      <c r="AY375" s="18"/>
    </row>
    <row r="376" customFormat="false" ht="15" hidden="false" customHeight="false" outlineLevel="0" collapsed="false">
      <c r="A376" s="15" t="str">
        <f aca="false">IFERROR(MATCH(ROW()-11,Tasks!$R$4:$R$403,0)+3,"")</f>
        <v/>
      </c>
      <c r="B376" s="16" t="str">
        <f aca="false">IF($A376="","",INDEX(Tasks!$A:$A,$A376))</f>
        <v/>
      </c>
      <c r="C376" s="16" t="str">
        <f aca="false">IF($A376="","",IF(ISERROR(FIND(".",INDEX(Tasks!$A:$A,$A376))),"","   ")&amp;INDEX(Tasks!$D:$D,$A376))</f>
        <v/>
      </c>
      <c r="D376" s="16" t="str">
        <f aca="false">IF($A376="","",IF(OR(INDEX(Tasks!$G:$G,$A376)="",INDEX(Tasks!$G:$G,$A376)="TBD"),INDEX(Tasks!$F:$F,$A376),INDEX(Tasks!$G:$G,$A376)))</f>
        <v/>
      </c>
      <c r="E376" s="16" t="str">
        <f aca="false">IF($A376="","",IF(INDEX(Tasks!$H:$H,$A376)="","",INDEX(Tasks!$H:$H,$A376)))</f>
        <v/>
      </c>
      <c r="F376" s="17" t="str">
        <f aca="false">IF($A376="","",IF(INDEX(Tasks!$I:$I,$A376)="","",INDEX(Tasks!$I:$I,$A376)))</f>
        <v/>
      </c>
      <c r="G376" s="17" t="str">
        <f aca="false">IF($A376="","",IF(INDEX(Tasks!$K:$K,$A376)="","",INDEX(Tasks!$K:$K,$A376)))</f>
        <v/>
      </c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  <c r="AG376" s="18"/>
      <c r="AH376" s="18"/>
      <c r="AI376" s="18"/>
      <c r="AJ376" s="18"/>
      <c r="AK376" s="18"/>
      <c r="AL376" s="18"/>
      <c r="AM376" s="18"/>
      <c r="AN376" s="18"/>
      <c r="AO376" s="18"/>
      <c r="AP376" s="18"/>
      <c r="AQ376" s="18"/>
      <c r="AR376" s="18"/>
      <c r="AS376" s="18"/>
      <c r="AT376" s="18"/>
      <c r="AU376" s="18"/>
      <c r="AV376" s="18"/>
      <c r="AW376" s="18"/>
      <c r="AX376" s="18"/>
      <c r="AY376" s="18"/>
    </row>
    <row r="377" customFormat="false" ht="15" hidden="false" customHeight="false" outlineLevel="0" collapsed="false">
      <c r="A377" s="15" t="str">
        <f aca="false">IFERROR(MATCH(ROW()-11,Tasks!$R$4:$R$403,0)+3,"")</f>
        <v/>
      </c>
      <c r="B377" s="16" t="str">
        <f aca="false">IF($A377="","",INDEX(Tasks!$A:$A,$A377))</f>
        <v/>
      </c>
      <c r="C377" s="16" t="str">
        <f aca="false">IF($A377="","",IF(ISERROR(FIND(".",INDEX(Tasks!$A:$A,$A377))),"","   ")&amp;INDEX(Tasks!$D:$D,$A377))</f>
        <v/>
      </c>
      <c r="D377" s="16" t="str">
        <f aca="false">IF($A377="","",IF(OR(INDEX(Tasks!$G:$G,$A377)="",INDEX(Tasks!$G:$G,$A377)="TBD"),INDEX(Tasks!$F:$F,$A377),INDEX(Tasks!$G:$G,$A377)))</f>
        <v/>
      </c>
      <c r="E377" s="16" t="str">
        <f aca="false">IF($A377="","",IF(INDEX(Tasks!$H:$H,$A377)="","",INDEX(Tasks!$H:$H,$A377)))</f>
        <v/>
      </c>
      <c r="F377" s="17" t="str">
        <f aca="false">IF($A377="","",IF(INDEX(Tasks!$I:$I,$A377)="","",INDEX(Tasks!$I:$I,$A377)))</f>
        <v/>
      </c>
      <c r="G377" s="17" t="str">
        <f aca="false">IF($A377="","",IF(INDEX(Tasks!$K:$K,$A377)="","",INDEX(Tasks!$K:$K,$A377)))</f>
        <v/>
      </c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  <c r="AG377" s="18"/>
      <c r="AH377" s="18"/>
      <c r="AI377" s="18"/>
      <c r="AJ377" s="18"/>
      <c r="AK377" s="18"/>
      <c r="AL377" s="18"/>
      <c r="AM377" s="18"/>
      <c r="AN377" s="18"/>
      <c r="AO377" s="18"/>
      <c r="AP377" s="18"/>
      <c r="AQ377" s="18"/>
      <c r="AR377" s="18"/>
      <c r="AS377" s="18"/>
      <c r="AT377" s="18"/>
      <c r="AU377" s="18"/>
      <c r="AV377" s="18"/>
      <c r="AW377" s="18"/>
      <c r="AX377" s="18"/>
      <c r="AY377" s="18"/>
    </row>
    <row r="378" customFormat="false" ht="15" hidden="false" customHeight="false" outlineLevel="0" collapsed="false">
      <c r="A378" s="15" t="str">
        <f aca="false">IFERROR(MATCH(ROW()-11,Tasks!$R$4:$R$403,0)+3,"")</f>
        <v/>
      </c>
      <c r="B378" s="16" t="str">
        <f aca="false">IF($A378="","",INDEX(Tasks!$A:$A,$A378))</f>
        <v/>
      </c>
      <c r="C378" s="16" t="str">
        <f aca="false">IF($A378="","",IF(ISERROR(FIND(".",INDEX(Tasks!$A:$A,$A378))),"","   ")&amp;INDEX(Tasks!$D:$D,$A378))</f>
        <v/>
      </c>
      <c r="D378" s="16" t="str">
        <f aca="false">IF($A378="","",IF(OR(INDEX(Tasks!$G:$G,$A378)="",INDEX(Tasks!$G:$G,$A378)="TBD"),INDEX(Tasks!$F:$F,$A378),INDEX(Tasks!$G:$G,$A378)))</f>
        <v/>
      </c>
      <c r="E378" s="16" t="str">
        <f aca="false">IF($A378="","",IF(INDEX(Tasks!$H:$H,$A378)="","",INDEX(Tasks!$H:$H,$A378)))</f>
        <v/>
      </c>
      <c r="F378" s="17" t="str">
        <f aca="false">IF($A378="","",IF(INDEX(Tasks!$I:$I,$A378)="","",INDEX(Tasks!$I:$I,$A378)))</f>
        <v/>
      </c>
      <c r="G378" s="17" t="str">
        <f aca="false">IF($A378="","",IF(INDEX(Tasks!$K:$K,$A378)="","",INDEX(Tasks!$K:$K,$A378)))</f>
        <v/>
      </c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  <c r="AG378" s="18"/>
      <c r="AH378" s="18"/>
      <c r="AI378" s="18"/>
      <c r="AJ378" s="18"/>
      <c r="AK378" s="18"/>
      <c r="AL378" s="18"/>
      <c r="AM378" s="18"/>
      <c r="AN378" s="18"/>
      <c r="AO378" s="18"/>
      <c r="AP378" s="18"/>
      <c r="AQ378" s="18"/>
      <c r="AR378" s="18"/>
      <c r="AS378" s="18"/>
      <c r="AT378" s="18"/>
      <c r="AU378" s="18"/>
      <c r="AV378" s="18"/>
      <c r="AW378" s="18"/>
      <c r="AX378" s="18"/>
      <c r="AY378" s="18"/>
    </row>
    <row r="379" customFormat="false" ht="15" hidden="false" customHeight="false" outlineLevel="0" collapsed="false">
      <c r="A379" s="15" t="str">
        <f aca="false">IFERROR(MATCH(ROW()-11,Tasks!$R$4:$R$403,0)+3,"")</f>
        <v/>
      </c>
      <c r="B379" s="16" t="str">
        <f aca="false">IF($A379="","",INDEX(Tasks!$A:$A,$A379))</f>
        <v/>
      </c>
      <c r="C379" s="16" t="str">
        <f aca="false">IF($A379="","",IF(ISERROR(FIND(".",INDEX(Tasks!$A:$A,$A379))),"","   ")&amp;INDEX(Tasks!$D:$D,$A379))</f>
        <v/>
      </c>
      <c r="D379" s="16" t="str">
        <f aca="false">IF($A379="","",IF(OR(INDEX(Tasks!$G:$G,$A379)="",INDEX(Tasks!$G:$G,$A379)="TBD"),INDEX(Tasks!$F:$F,$A379),INDEX(Tasks!$G:$G,$A379)))</f>
        <v/>
      </c>
      <c r="E379" s="16" t="str">
        <f aca="false">IF($A379="","",IF(INDEX(Tasks!$H:$H,$A379)="","",INDEX(Tasks!$H:$H,$A379)))</f>
        <v/>
      </c>
      <c r="F379" s="17" t="str">
        <f aca="false">IF($A379="","",IF(INDEX(Tasks!$I:$I,$A379)="","",INDEX(Tasks!$I:$I,$A379)))</f>
        <v/>
      </c>
      <c r="G379" s="17" t="str">
        <f aca="false">IF($A379="","",IF(INDEX(Tasks!$K:$K,$A379)="","",INDEX(Tasks!$K:$K,$A379)))</f>
        <v/>
      </c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  <c r="AG379" s="18"/>
      <c r="AH379" s="18"/>
      <c r="AI379" s="18"/>
      <c r="AJ379" s="18"/>
      <c r="AK379" s="18"/>
      <c r="AL379" s="18"/>
      <c r="AM379" s="18"/>
      <c r="AN379" s="18"/>
      <c r="AO379" s="18"/>
      <c r="AP379" s="18"/>
      <c r="AQ379" s="18"/>
      <c r="AR379" s="18"/>
      <c r="AS379" s="18"/>
      <c r="AT379" s="18"/>
      <c r="AU379" s="18"/>
      <c r="AV379" s="18"/>
      <c r="AW379" s="18"/>
      <c r="AX379" s="18"/>
      <c r="AY379" s="18"/>
    </row>
    <row r="380" customFormat="false" ht="15" hidden="false" customHeight="false" outlineLevel="0" collapsed="false">
      <c r="A380" s="15" t="str">
        <f aca="false">IFERROR(MATCH(ROW()-11,Tasks!$R$4:$R$403,0)+3,"")</f>
        <v/>
      </c>
      <c r="B380" s="16" t="str">
        <f aca="false">IF($A380="","",INDEX(Tasks!$A:$A,$A380))</f>
        <v/>
      </c>
      <c r="C380" s="16" t="str">
        <f aca="false">IF($A380="","",IF(ISERROR(FIND(".",INDEX(Tasks!$A:$A,$A380))),"","   ")&amp;INDEX(Tasks!$D:$D,$A380))</f>
        <v/>
      </c>
      <c r="D380" s="16" t="str">
        <f aca="false">IF($A380="","",IF(OR(INDEX(Tasks!$G:$G,$A380)="",INDEX(Tasks!$G:$G,$A380)="TBD"),INDEX(Tasks!$F:$F,$A380),INDEX(Tasks!$G:$G,$A380)))</f>
        <v/>
      </c>
      <c r="E380" s="16" t="str">
        <f aca="false">IF($A380="","",IF(INDEX(Tasks!$H:$H,$A380)="","",INDEX(Tasks!$H:$H,$A380)))</f>
        <v/>
      </c>
      <c r="F380" s="17" t="str">
        <f aca="false">IF($A380="","",IF(INDEX(Tasks!$I:$I,$A380)="","",INDEX(Tasks!$I:$I,$A380)))</f>
        <v/>
      </c>
      <c r="G380" s="17" t="str">
        <f aca="false">IF($A380="","",IF(INDEX(Tasks!$K:$K,$A380)="","",INDEX(Tasks!$K:$K,$A380)))</f>
        <v/>
      </c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  <c r="AG380" s="18"/>
      <c r="AH380" s="18"/>
      <c r="AI380" s="18"/>
      <c r="AJ380" s="18"/>
      <c r="AK380" s="18"/>
      <c r="AL380" s="18"/>
      <c r="AM380" s="18"/>
      <c r="AN380" s="18"/>
      <c r="AO380" s="18"/>
      <c r="AP380" s="18"/>
      <c r="AQ380" s="18"/>
      <c r="AR380" s="18"/>
      <c r="AS380" s="18"/>
      <c r="AT380" s="18"/>
      <c r="AU380" s="18"/>
      <c r="AV380" s="18"/>
      <c r="AW380" s="18"/>
      <c r="AX380" s="18"/>
      <c r="AY380" s="18"/>
    </row>
    <row r="381" customFormat="false" ht="15" hidden="false" customHeight="false" outlineLevel="0" collapsed="false">
      <c r="A381" s="15" t="str">
        <f aca="false">IFERROR(MATCH(ROW()-11,Tasks!$R$4:$R$403,0)+3,"")</f>
        <v/>
      </c>
      <c r="B381" s="16" t="str">
        <f aca="false">IF($A381="","",INDEX(Tasks!$A:$A,$A381))</f>
        <v/>
      </c>
      <c r="C381" s="16" t="str">
        <f aca="false">IF($A381="","",IF(ISERROR(FIND(".",INDEX(Tasks!$A:$A,$A381))),"","   ")&amp;INDEX(Tasks!$D:$D,$A381))</f>
        <v/>
      </c>
      <c r="D381" s="16" t="str">
        <f aca="false">IF($A381="","",IF(OR(INDEX(Tasks!$G:$G,$A381)="",INDEX(Tasks!$G:$G,$A381)="TBD"),INDEX(Tasks!$F:$F,$A381),INDEX(Tasks!$G:$G,$A381)))</f>
        <v/>
      </c>
      <c r="E381" s="16" t="str">
        <f aca="false">IF($A381="","",IF(INDEX(Tasks!$H:$H,$A381)="","",INDEX(Tasks!$H:$H,$A381)))</f>
        <v/>
      </c>
      <c r="F381" s="17" t="str">
        <f aca="false">IF($A381="","",IF(INDEX(Tasks!$I:$I,$A381)="","",INDEX(Tasks!$I:$I,$A381)))</f>
        <v/>
      </c>
      <c r="G381" s="17" t="str">
        <f aca="false">IF($A381="","",IF(INDEX(Tasks!$K:$K,$A381)="","",INDEX(Tasks!$K:$K,$A381)))</f>
        <v/>
      </c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  <c r="AG381" s="18"/>
      <c r="AH381" s="18"/>
      <c r="AI381" s="18"/>
      <c r="AJ381" s="18"/>
      <c r="AK381" s="18"/>
      <c r="AL381" s="18"/>
      <c r="AM381" s="18"/>
      <c r="AN381" s="18"/>
      <c r="AO381" s="18"/>
      <c r="AP381" s="18"/>
      <c r="AQ381" s="18"/>
      <c r="AR381" s="18"/>
      <c r="AS381" s="18"/>
      <c r="AT381" s="18"/>
      <c r="AU381" s="18"/>
      <c r="AV381" s="18"/>
      <c r="AW381" s="18"/>
      <c r="AX381" s="18"/>
      <c r="AY381" s="18"/>
    </row>
    <row r="382" customFormat="false" ht="15" hidden="false" customHeight="false" outlineLevel="0" collapsed="false">
      <c r="A382" s="15" t="str">
        <f aca="false">IFERROR(MATCH(ROW()-11,Tasks!$R$4:$R$403,0)+3,"")</f>
        <v/>
      </c>
      <c r="B382" s="16" t="str">
        <f aca="false">IF($A382="","",INDEX(Tasks!$A:$A,$A382))</f>
        <v/>
      </c>
      <c r="C382" s="16" t="str">
        <f aca="false">IF($A382="","",IF(ISERROR(FIND(".",INDEX(Tasks!$A:$A,$A382))),"","   ")&amp;INDEX(Tasks!$D:$D,$A382))</f>
        <v/>
      </c>
      <c r="D382" s="16" t="str">
        <f aca="false">IF($A382="","",IF(OR(INDEX(Tasks!$G:$G,$A382)="",INDEX(Tasks!$G:$G,$A382)="TBD"),INDEX(Tasks!$F:$F,$A382),INDEX(Tasks!$G:$G,$A382)))</f>
        <v/>
      </c>
      <c r="E382" s="16" t="str">
        <f aca="false">IF($A382="","",IF(INDEX(Tasks!$H:$H,$A382)="","",INDEX(Tasks!$H:$H,$A382)))</f>
        <v/>
      </c>
      <c r="F382" s="17" t="str">
        <f aca="false">IF($A382="","",IF(INDEX(Tasks!$I:$I,$A382)="","",INDEX(Tasks!$I:$I,$A382)))</f>
        <v/>
      </c>
      <c r="G382" s="17" t="str">
        <f aca="false">IF($A382="","",IF(INDEX(Tasks!$K:$K,$A382)="","",INDEX(Tasks!$K:$K,$A382)))</f>
        <v/>
      </c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  <c r="AG382" s="18"/>
      <c r="AH382" s="18"/>
      <c r="AI382" s="18"/>
      <c r="AJ382" s="18"/>
      <c r="AK382" s="18"/>
      <c r="AL382" s="18"/>
      <c r="AM382" s="18"/>
      <c r="AN382" s="18"/>
      <c r="AO382" s="18"/>
      <c r="AP382" s="18"/>
      <c r="AQ382" s="18"/>
      <c r="AR382" s="18"/>
      <c r="AS382" s="18"/>
      <c r="AT382" s="18"/>
      <c r="AU382" s="18"/>
      <c r="AV382" s="18"/>
      <c r="AW382" s="18"/>
      <c r="AX382" s="18"/>
      <c r="AY382" s="18"/>
    </row>
    <row r="383" customFormat="false" ht="15" hidden="false" customHeight="false" outlineLevel="0" collapsed="false">
      <c r="A383" s="15" t="str">
        <f aca="false">IFERROR(MATCH(ROW()-11,Tasks!$R$4:$R$403,0)+3,"")</f>
        <v/>
      </c>
      <c r="B383" s="16" t="str">
        <f aca="false">IF($A383="","",INDEX(Tasks!$A:$A,$A383))</f>
        <v/>
      </c>
      <c r="C383" s="16" t="str">
        <f aca="false">IF($A383="","",IF(ISERROR(FIND(".",INDEX(Tasks!$A:$A,$A383))),"","   ")&amp;INDEX(Tasks!$D:$D,$A383))</f>
        <v/>
      </c>
      <c r="D383" s="16" t="str">
        <f aca="false">IF($A383="","",IF(OR(INDEX(Tasks!$G:$G,$A383)="",INDEX(Tasks!$G:$G,$A383)="TBD"),INDEX(Tasks!$F:$F,$A383),INDEX(Tasks!$G:$G,$A383)))</f>
        <v/>
      </c>
      <c r="E383" s="16" t="str">
        <f aca="false">IF($A383="","",IF(INDEX(Tasks!$H:$H,$A383)="","",INDEX(Tasks!$H:$H,$A383)))</f>
        <v/>
      </c>
      <c r="F383" s="17" t="str">
        <f aca="false">IF($A383="","",IF(INDEX(Tasks!$I:$I,$A383)="","",INDEX(Tasks!$I:$I,$A383)))</f>
        <v/>
      </c>
      <c r="G383" s="17" t="str">
        <f aca="false">IF($A383="","",IF(INDEX(Tasks!$K:$K,$A383)="","",INDEX(Tasks!$K:$K,$A383)))</f>
        <v/>
      </c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  <c r="AG383" s="18"/>
      <c r="AH383" s="18"/>
      <c r="AI383" s="18"/>
      <c r="AJ383" s="18"/>
      <c r="AK383" s="18"/>
      <c r="AL383" s="18"/>
      <c r="AM383" s="18"/>
      <c r="AN383" s="18"/>
      <c r="AO383" s="18"/>
      <c r="AP383" s="18"/>
      <c r="AQ383" s="18"/>
      <c r="AR383" s="18"/>
      <c r="AS383" s="18"/>
      <c r="AT383" s="18"/>
      <c r="AU383" s="18"/>
      <c r="AV383" s="18"/>
      <c r="AW383" s="18"/>
      <c r="AX383" s="18"/>
      <c r="AY383" s="18"/>
    </row>
    <row r="384" customFormat="false" ht="15" hidden="false" customHeight="false" outlineLevel="0" collapsed="false">
      <c r="A384" s="15" t="str">
        <f aca="false">IFERROR(MATCH(ROW()-11,Tasks!$R$4:$R$403,0)+3,"")</f>
        <v/>
      </c>
      <c r="B384" s="16" t="str">
        <f aca="false">IF($A384="","",INDEX(Tasks!$A:$A,$A384))</f>
        <v/>
      </c>
      <c r="C384" s="16" t="str">
        <f aca="false">IF($A384="","",IF(ISERROR(FIND(".",INDEX(Tasks!$A:$A,$A384))),"","   ")&amp;INDEX(Tasks!$D:$D,$A384))</f>
        <v/>
      </c>
      <c r="D384" s="16" t="str">
        <f aca="false">IF($A384="","",IF(OR(INDEX(Tasks!$G:$G,$A384)="",INDEX(Tasks!$G:$G,$A384)="TBD"),INDEX(Tasks!$F:$F,$A384),INDEX(Tasks!$G:$G,$A384)))</f>
        <v/>
      </c>
      <c r="E384" s="16" t="str">
        <f aca="false">IF($A384="","",IF(INDEX(Tasks!$H:$H,$A384)="","",INDEX(Tasks!$H:$H,$A384)))</f>
        <v/>
      </c>
      <c r="F384" s="17" t="str">
        <f aca="false">IF($A384="","",IF(INDEX(Tasks!$I:$I,$A384)="","",INDEX(Tasks!$I:$I,$A384)))</f>
        <v/>
      </c>
      <c r="G384" s="17" t="str">
        <f aca="false">IF($A384="","",IF(INDEX(Tasks!$K:$K,$A384)="","",INDEX(Tasks!$K:$K,$A384)))</f>
        <v/>
      </c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  <c r="AG384" s="18"/>
      <c r="AH384" s="18"/>
      <c r="AI384" s="18"/>
      <c r="AJ384" s="18"/>
      <c r="AK384" s="18"/>
      <c r="AL384" s="18"/>
      <c r="AM384" s="18"/>
      <c r="AN384" s="18"/>
      <c r="AO384" s="18"/>
      <c r="AP384" s="18"/>
      <c r="AQ384" s="18"/>
      <c r="AR384" s="18"/>
      <c r="AS384" s="18"/>
      <c r="AT384" s="18"/>
      <c r="AU384" s="18"/>
      <c r="AV384" s="18"/>
      <c r="AW384" s="18"/>
      <c r="AX384" s="18"/>
      <c r="AY384" s="18"/>
    </row>
    <row r="385" customFormat="false" ht="15" hidden="false" customHeight="false" outlineLevel="0" collapsed="false">
      <c r="A385" s="15" t="str">
        <f aca="false">IFERROR(MATCH(ROW()-11,Tasks!$R$4:$R$403,0)+3,"")</f>
        <v/>
      </c>
      <c r="B385" s="16" t="str">
        <f aca="false">IF($A385="","",INDEX(Tasks!$A:$A,$A385))</f>
        <v/>
      </c>
      <c r="C385" s="16" t="str">
        <f aca="false">IF($A385="","",IF(ISERROR(FIND(".",INDEX(Tasks!$A:$A,$A385))),"","   ")&amp;INDEX(Tasks!$D:$D,$A385))</f>
        <v/>
      </c>
      <c r="D385" s="16" t="str">
        <f aca="false">IF($A385="","",IF(OR(INDEX(Tasks!$G:$G,$A385)="",INDEX(Tasks!$G:$G,$A385)="TBD"),INDEX(Tasks!$F:$F,$A385),INDEX(Tasks!$G:$G,$A385)))</f>
        <v/>
      </c>
      <c r="E385" s="16" t="str">
        <f aca="false">IF($A385="","",IF(INDEX(Tasks!$H:$H,$A385)="","",INDEX(Tasks!$H:$H,$A385)))</f>
        <v/>
      </c>
      <c r="F385" s="17" t="str">
        <f aca="false">IF($A385="","",IF(INDEX(Tasks!$I:$I,$A385)="","",INDEX(Tasks!$I:$I,$A385)))</f>
        <v/>
      </c>
      <c r="G385" s="17" t="str">
        <f aca="false">IF($A385="","",IF(INDEX(Tasks!$K:$K,$A385)="","",INDEX(Tasks!$K:$K,$A385)))</f>
        <v/>
      </c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  <c r="AG385" s="18"/>
      <c r="AH385" s="18"/>
      <c r="AI385" s="18"/>
      <c r="AJ385" s="18"/>
      <c r="AK385" s="18"/>
      <c r="AL385" s="18"/>
      <c r="AM385" s="18"/>
      <c r="AN385" s="18"/>
      <c r="AO385" s="18"/>
      <c r="AP385" s="18"/>
      <c r="AQ385" s="18"/>
      <c r="AR385" s="18"/>
      <c r="AS385" s="18"/>
      <c r="AT385" s="18"/>
      <c r="AU385" s="18"/>
      <c r="AV385" s="18"/>
      <c r="AW385" s="18"/>
      <c r="AX385" s="18"/>
      <c r="AY385" s="18"/>
    </row>
    <row r="386" customFormat="false" ht="15" hidden="false" customHeight="false" outlineLevel="0" collapsed="false">
      <c r="A386" s="15" t="str">
        <f aca="false">IFERROR(MATCH(ROW()-11,Tasks!$R$4:$R$403,0)+3,"")</f>
        <v/>
      </c>
      <c r="B386" s="16" t="str">
        <f aca="false">IF($A386="","",INDEX(Tasks!$A:$A,$A386))</f>
        <v/>
      </c>
      <c r="C386" s="16" t="str">
        <f aca="false">IF($A386="","",IF(ISERROR(FIND(".",INDEX(Tasks!$A:$A,$A386))),"","   ")&amp;INDEX(Tasks!$D:$D,$A386))</f>
        <v/>
      </c>
      <c r="D386" s="16" t="str">
        <f aca="false">IF($A386="","",IF(OR(INDEX(Tasks!$G:$G,$A386)="",INDEX(Tasks!$G:$G,$A386)="TBD"),INDEX(Tasks!$F:$F,$A386),INDEX(Tasks!$G:$G,$A386)))</f>
        <v/>
      </c>
      <c r="E386" s="16" t="str">
        <f aca="false">IF($A386="","",IF(INDEX(Tasks!$H:$H,$A386)="","",INDEX(Tasks!$H:$H,$A386)))</f>
        <v/>
      </c>
      <c r="F386" s="17" t="str">
        <f aca="false">IF($A386="","",IF(INDEX(Tasks!$I:$I,$A386)="","",INDEX(Tasks!$I:$I,$A386)))</f>
        <v/>
      </c>
      <c r="G386" s="17" t="str">
        <f aca="false">IF($A386="","",IF(INDEX(Tasks!$K:$K,$A386)="","",INDEX(Tasks!$K:$K,$A386)))</f>
        <v/>
      </c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J386" s="18"/>
      <c r="AK386" s="18"/>
      <c r="AL386" s="18"/>
      <c r="AM386" s="18"/>
      <c r="AN386" s="18"/>
      <c r="AO386" s="18"/>
      <c r="AP386" s="18"/>
      <c r="AQ386" s="18"/>
      <c r="AR386" s="18"/>
      <c r="AS386" s="18"/>
      <c r="AT386" s="18"/>
      <c r="AU386" s="18"/>
      <c r="AV386" s="18"/>
      <c r="AW386" s="18"/>
      <c r="AX386" s="18"/>
      <c r="AY386" s="18"/>
    </row>
    <row r="387" customFormat="false" ht="15" hidden="false" customHeight="false" outlineLevel="0" collapsed="false">
      <c r="A387" s="15" t="str">
        <f aca="false">IFERROR(MATCH(ROW()-11,Tasks!$R$4:$R$403,0)+3,"")</f>
        <v/>
      </c>
      <c r="B387" s="16" t="str">
        <f aca="false">IF($A387="","",INDEX(Tasks!$A:$A,$A387))</f>
        <v/>
      </c>
      <c r="C387" s="16" t="str">
        <f aca="false">IF($A387="","",IF(ISERROR(FIND(".",INDEX(Tasks!$A:$A,$A387))),"","   ")&amp;INDEX(Tasks!$D:$D,$A387))</f>
        <v/>
      </c>
      <c r="D387" s="16" t="str">
        <f aca="false">IF($A387="","",IF(OR(INDEX(Tasks!$G:$G,$A387)="",INDEX(Tasks!$G:$G,$A387)="TBD"),INDEX(Tasks!$F:$F,$A387),INDEX(Tasks!$G:$G,$A387)))</f>
        <v/>
      </c>
      <c r="E387" s="16" t="str">
        <f aca="false">IF($A387="","",IF(INDEX(Tasks!$H:$H,$A387)="","",INDEX(Tasks!$H:$H,$A387)))</f>
        <v/>
      </c>
      <c r="F387" s="17" t="str">
        <f aca="false">IF($A387="","",IF(INDEX(Tasks!$I:$I,$A387)="","",INDEX(Tasks!$I:$I,$A387)))</f>
        <v/>
      </c>
      <c r="G387" s="17" t="str">
        <f aca="false">IF($A387="","",IF(INDEX(Tasks!$K:$K,$A387)="","",INDEX(Tasks!$K:$K,$A387)))</f>
        <v/>
      </c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  <c r="AG387" s="18"/>
      <c r="AH387" s="18"/>
      <c r="AI387" s="18"/>
      <c r="AJ387" s="18"/>
      <c r="AK387" s="18"/>
      <c r="AL387" s="18"/>
      <c r="AM387" s="18"/>
      <c r="AN387" s="18"/>
      <c r="AO387" s="18"/>
      <c r="AP387" s="18"/>
      <c r="AQ387" s="18"/>
      <c r="AR387" s="18"/>
      <c r="AS387" s="18"/>
      <c r="AT387" s="18"/>
      <c r="AU387" s="18"/>
      <c r="AV387" s="18"/>
      <c r="AW387" s="18"/>
      <c r="AX387" s="18"/>
      <c r="AY387" s="18"/>
    </row>
    <row r="388" customFormat="false" ht="15" hidden="false" customHeight="false" outlineLevel="0" collapsed="false">
      <c r="A388" s="15" t="str">
        <f aca="false">IFERROR(MATCH(ROW()-11,Tasks!$R$4:$R$403,0)+3,"")</f>
        <v/>
      </c>
      <c r="B388" s="16" t="str">
        <f aca="false">IF($A388="","",INDEX(Tasks!$A:$A,$A388))</f>
        <v/>
      </c>
      <c r="C388" s="16" t="str">
        <f aca="false">IF($A388="","",IF(ISERROR(FIND(".",INDEX(Tasks!$A:$A,$A388))),"","   ")&amp;INDEX(Tasks!$D:$D,$A388))</f>
        <v/>
      </c>
      <c r="D388" s="16" t="str">
        <f aca="false">IF($A388="","",IF(OR(INDEX(Tasks!$G:$G,$A388)="",INDEX(Tasks!$G:$G,$A388)="TBD"),INDEX(Tasks!$F:$F,$A388),INDEX(Tasks!$G:$G,$A388)))</f>
        <v/>
      </c>
      <c r="E388" s="16" t="str">
        <f aca="false">IF($A388="","",IF(INDEX(Tasks!$H:$H,$A388)="","",INDEX(Tasks!$H:$H,$A388)))</f>
        <v/>
      </c>
      <c r="F388" s="17" t="str">
        <f aca="false">IF($A388="","",IF(INDEX(Tasks!$I:$I,$A388)="","",INDEX(Tasks!$I:$I,$A388)))</f>
        <v/>
      </c>
      <c r="G388" s="17" t="str">
        <f aca="false">IF($A388="","",IF(INDEX(Tasks!$K:$K,$A388)="","",INDEX(Tasks!$K:$K,$A388)))</f>
        <v/>
      </c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  <c r="AG388" s="18"/>
      <c r="AH388" s="18"/>
      <c r="AI388" s="18"/>
      <c r="AJ388" s="18"/>
      <c r="AK388" s="18"/>
      <c r="AL388" s="18"/>
      <c r="AM388" s="18"/>
      <c r="AN388" s="18"/>
      <c r="AO388" s="18"/>
      <c r="AP388" s="18"/>
      <c r="AQ388" s="18"/>
      <c r="AR388" s="18"/>
      <c r="AS388" s="18"/>
      <c r="AT388" s="18"/>
      <c r="AU388" s="18"/>
      <c r="AV388" s="18"/>
      <c r="AW388" s="18"/>
      <c r="AX388" s="18"/>
      <c r="AY388" s="18"/>
    </row>
    <row r="389" customFormat="false" ht="15" hidden="false" customHeight="false" outlineLevel="0" collapsed="false">
      <c r="A389" s="15" t="str">
        <f aca="false">IFERROR(MATCH(ROW()-11,Tasks!$R$4:$R$403,0)+3,"")</f>
        <v/>
      </c>
      <c r="B389" s="16" t="str">
        <f aca="false">IF($A389="","",INDEX(Tasks!$A:$A,$A389))</f>
        <v/>
      </c>
      <c r="C389" s="16" t="str">
        <f aca="false">IF($A389="","",IF(ISERROR(FIND(".",INDEX(Tasks!$A:$A,$A389))),"","   ")&amp;INDEX(Tasks!$D:$D,$A389))</f>
        <v/>
      </c>
      <c r="D389" s="16" t="str">
        <f aca="false">IF($A389="","",IF(OR(INDEX(Tasks!$G:$G,$A389)="",INDEX(Tasks!$G:$G,$A389)="TBD"),INDEX(Tasks!$F:$F,$A389),INDEX(Tasks!$G:$G,$A389)))</f>
        <v/>
      </c>
      <c r="E389" s="16" t="str">
        <f aca="false">IF($A389="","",IF(INDEX(Tasks!$H:$H,$A389)="","",INDEX(Tasks!$H:$H,$A389)))</f>
        <v/>
      </c>
      <c r="F389" s="17" t="str">
        <f aca="false">IF($A389="","",IF(INDEX(Tasks!$I:$I,$A389)="","",INDEX(Tasks!$I:$I,$A389)))</f>
        <v/>
      </c>
      <c r="G389" s="17" t="str">
        <f aca="false">IF($A389="","",IF(INDEX(Tasks!$K:$K,$A389)="","",INDEX(Tasks!$K:$K,$A389)))</f>
        <v/>
      </c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  <c r="AG389" s="18"/>
      <c r="AH389" s="18"/>
      <c r="AI389" s="18"/>
      <c r="AJ389" s="18"/>
      <c r="AK389" s="18"/>
      <c r="AL389" s="18"/>
      <c r="AM389" s="18"/>
      <c r="AN389" s="18"/>
      <c r="AO389" s="18"/>
      <c r="AP389" s="18"/>
      <c r="AQ389" s="18"/>
      <c r="AR389" s="18"/>
      <c r="AS389" s="18"/>
      <c r="AT389" s="18"/>
      <c r="AU389" s="18"/>
      <c r="AV389" s="18"/>
      <c r="AW389" s="18"/>
      <c r="AX389" s="18"/>
      <c r="AY389" s="18"/>
    </row>
    <row r="390" customFormat="false" ht="15" hidden="false" customHeight="false" outlineLevel="0" collapsed="false">
      <c r="A390" s="15" t="str">
        <f aca="false">IFERROR(MATCH(ROW()-11,Tasks!$R$4:$R$403,0)+3,"")</f>
        <v/>
      </c>
      <c r="B390" s="16" t="str">
        <f aca="false">IF($A390="","",INDEX(Tasks!$A:$A,$A390))</f>
        <v/>
      </c>
      <c r="C390" s="16" t="str">
        <f aca="false">IF($A390="","",IF(ISERROR(FIND(".",INDEX(Tasks!$A:$A,$A390))),"","   ")&amp;INDEX(Tasks!$D:$D,$A390))</f>
        <v/>
      </c>
      <c r="D390" s="16" t="str">
        <f aca="false">IF($A390="","",IF(OR(INDEX(Tasks!$G:$G,$A390)="",INDEX(Tasks!$G:$G,$A390)="TBD"),INDEX(Tasks!$F:$F,$A390),INDEX(Tasks!$G:$G,$A390)))</f>
        <v/>
      </c>
      <c r="E390" s="16" t="str">
        <f aca="false">IF($A390="","",IF(INDEX(Tasks!$H:$H,$A390)="","",INDEX(Tasks!$H:$H,$A390)))</f>
        <v/>
      </c>
      <c r="F390" s="17" t="str">
        <f aca="false">IF($A390="","",IF(INDEX(Tasks!$I:$I,$A390)="","",INDEX(Tasks!$I:$I,$A390)))</f>
        <v/>
      </c>
      <c r="G390" s="17" t="str">
        <f aca="false">IF($A390="","",IF(INDEX(Tasks!$K:$K,$A390)="","",INDEX(Tasks!$K:$K,$A390)))</f>
        <v/>
      </c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  <c r="AG390" s="18"/>
      <c r="AH390" s="18"/>
      <c r="AI390" s="18"/>
      <c r="AJ390" s="18"/>
      <c r="AK390" s="18"/>
      <c r="AL390" s="18"/>
      <c r="AM390" s="18"/>
      <c r="AN390" s="18"/>
      <c r="AO390" s="18"/>
      <c r="AP390" s="18"/>
      <c r="AQ390" s="18"/>
      <c r="AR390" s="18"/>
      <c r="AS390" s="18"/>
      <c r="AT390" s="18"/>
      <c r="AU390" s="18"/>
      <c r="AV390" s="18"/>
      <c r="AW390" s="18"/>
      <c r="AX390" s="18"/>
      <c r="AY390" s="18"/>
    </row>
    <row r="391" customFormat="false" ht="15" hidden="false" customHeight="false" outlineLevel="0" collapsed="false">
      <c r="A391" s="15" t="str">
        <f aca="false">IFERROR(MATCH(ROW()-11,Tasks!$R$4:$R$403,0)+3,"")</f>
        <v/>
      </c>
      <c r="B391" s="16" t="str">
        <f aca="false">IF($A391="","",INDEX(Tasks!$A:$A,$A391))</f>
        <v/>
      </c>
      <c r="C391" s="16" t="str">
        <f aca="false">IF($A391="","",IF(ISERROR(FIND(".",INDEX(Tasks!$A:$A,$A391))),"","   ")&amp;INDEX(Tasks!$D:$D,$A391))</f>
        <v/>
      </c>
      <c r="D391" s="16" t="str">
        <f aca="false">IF($A391="","",IF(OR(INDEX(Tasks!$G:$G,$A391)="",INDEX(Tasks!$G:$G,$A391)="TBD"),INDEX(Tasks!$F:$F,$A391),INDEX(Tasks!$G:$G,$A391)))</f>
        <v/>
      </c>
      <c r="E391" s="16" t="str">
        <f aca="false">IF($A391="","",IF(INDEX(Tasks!$H:$H,$A391)="","",INDEX(Tasks!$H:$H,$A391)))</f>
        <v/>
      </c>
      <c r="F391" s="17" t="str">
        <f aca="false">IF($A391="","",IF(INDEX(Tasks!$I:$I,$A391)="","",INDEX(Tasks!$I:$I,$A391)))</f>
        <v/>
      </c>
      <c r="G391" s="17" t="str">
        <f aca="false">IF($A391="","",IF(INDEX(Tasks!$K:$K,$A391)="","",INDEX(Tasks!$K:$K,$A391)))</f>
        <v/>
      </c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  <c r="AG391" s="18"/>
      <c r="AH391" s="18"/>
      <c r="AI391" s="18"/>
      <c r="AJ391" s="18"/>
      <c r="AK391" s="18"/>
      <c r="AL391" s="18"/>
      <c r="AM391" s="18"/>
      <c r="AN391" s="18"/>
      <c r="AO391" s="18"/>
      <c r="AP391" s="18"/>
      <c r="AQ391" s="18"/>
      <c r="AR391" s="18"/>
      <c r="AS391" s="18"/>
      <c r="AT391" s="18"/>
      <c r="AU391" s="18"/>
      <c r="AV391" s="18"/>
      <c r="AW391" s="18"/>
      <c r="AX391" s="18"/>
      <c r="AY391" s="18"/>
    </row>
    <row r="392" customFormat="false" ht="15" hidden="false" customHeight="false" outlineLevel="0" collapsed="false">
      <c r="A392" s="15" t="str">
        <f aca="false">IFERROR(MATCH(ROW()-11,Tasks!$R$4:$R$403,0)+3,"")</f>
        <v/>
      </c>
      <c r="B392" s="16" t="str">
        <f aca="false">IF($A392="","",INDEX(Tasks!$A:$A,$A392))</f>
        <v/>
      </c>
      <c r="C392" s="16" t="str">
        <f aca="false">IF($A392="","",IF(ISERROR(FIND(".",INDEX(Tasks!$A:$A,$A392))),"","   ")&amp;INDEX(Tasks!$D:$D,$A392))</f>
        <v/>
      </c>
      <c r="D392" s="16" t="str">
        <f aca="false">IF($A392="","",IF(OR(INDEX(Tasks!$G:$G,$A392)="",INDEX(Tasks!$G:$G,$A392)="TBD"),INDEX(Tasks!$F:$F,$A392),INDEX(Tasks!$G:$G,$A392)))</f>
        <v/>
      </c>
      <c r="E392" s="16" t="str">
        <f aca="false">IF($A392="","",IF(INDEX(Tasks!$H:$H,$A392)="","",INDEX(Tasks!$H:$H,$A392)))</f>
        <v/>
      </c>
      <c r="F392" s="17" t="str">
        <f aca="false">IF($A392="","",IF(INDEX(Tasks!$I:$I,$A392)="","",INDEX(Tasks!$I:$I,$A392)))</f>
        <v/>
      </c>
      <c r="G392" s="17" t="str">
        <f aca="false">IF($A392="","",IF(INDEX(Tasks!$K:$K,$A392)="","",INDEX(Tasks!$K:$K,$A392)))</f>
        <v/>
      </c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  <c r="AG392" s="18"/>
      <c r="AH392" s="18"/>
      <c r="AI392" s="18"/>
      <c r="AJ392" s="18"/>
      <c r="AK392" s="18"/>
      <c r="AL392" s="18"/>
      <c r="AM392" s="18"/>
      <c r="AN392" s="18"/>
      <c r="AO392" s="18"/>
      <c r="AP392" s="18"/>
      <c r="AQ392" s="18"/>
      <c r="AR392" s="18"/>
      <c r="AS392" s="18"/>
      <c r="AT392" s="18"/>
      <c r="AU392" s="18"/>
      <c r="AV392" s="18"/>
      <c r="AW392" s="18"/>
      <c r="AX392" s="18"/>
      <c r="AY392" s="18"/>
    </row>
    <row r="393" customFormat="false" ht="15" hidden="false" customHeight="false" outlineLevel="0" collapsed="false">
      <c r="A393" s="15" t="str">
        <f aca="false">IFERROR(MATCH(ROW()-11,Tasks!$R$4:$R$403,0)+3,"")</f>
        <v/>
      </c>
      <c r="B393" s="16" t="str">
        <f aca="false">IF($A393="","",INDEX(Tasks!$A:$A,$A393))</f>
        <v/>
      </c>
      <c r="C393" s="16" t="str">
        <f aca="false">IF($A393="","",IF(ISERROR(FIND(".",INDEX(Tasks!$A:$A,$A393))),"","   ")&amp;INDEX(Tasks!$D:$D,$A393))</f>
        <v/>
      </c>
      <c r="D393" s="16" t="str">
        <f aca="false">IF($A393="","",IF(OR(INDEX(Tasks!$G:$G,$A393)="",INDEX(Tasks!$G:$G,$A393)="TBD"),INDEX(Tasks!$F:$F,$A393),INDEX(Tasks!$G:$G,$A393)))</f>
        <v/>
      </c>
      <c r="E393" s="16" t="str">
        <f aca="false">IF($A393="","",IF(INDEX(Tasks!$H:$H,$A393)="","",INDEX(Tasks!$H:$H,$A393)))</f>
        <v/>
      </c>
      <c r="F393" s="17" t="str">
        <f aca="false">IF($A393="","",IF(INDEX(Tasks!$I:$I,$A393)="","",INDEX(Tasks!$I:$I,$A393)))</f>
        <v/>
      </c>
      <c r="G393" s="17" t="str">
        <f aca="false">IF($A393="","",IF(INDEX(Tasks!$K:$K,$A393)="","",INDEX(Tasks!$K:$K,$A393)))</f>
        <v/>
      </c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  <c r="AG393" s="18"/>
      <c r="AH393" s="18"/>
      <c r="AI393" s="18"/>
      <c r="AJ393" s="18"/>
      <c r="AK393" s="18"/>
      <c r="AL393" s="18"/>
      <c r="AM393" s="18"/>
      <c r="AN393" s="18"/>
      <c r="AO393" s="18"/>
      <c r="AP393" s="18"/>
      <c r="AQ393" s="18"/>
      <c r="AR393" s="18"/>
      <c r="AS393" s="18"/>
      <c r="AT393" s="18"/>
      <c r="AU393" s="18"/>
      <c r="AV393" s="18"/>
      <c r="AW393" s="18"/>
      <c r="AX393" s="18"/>
      <c r="AY393" s="18"/>
    </row>
    <row r="394" customFormat="false" ht="15" hidden="false" customHeight="false" outlineLevel="0" collapsed="false">
      <c r="A394" s="15" t="str">
        <f aca="false">IFERROR(MATCH(ROW()-11,Tasks!$R$4:$R$403,0)+3,"")</f>
        <v/>
      </c>
      <c r="B394" s="16" t="str">
        <f aca="false">IF($A394="","",INDEX(Tasks!$A:$A,$A394))</f>
        <v/>
      </c>
      <c r="C394" s="16" t="str">
        <f aca="false">IF($A394="","",IF(ISERROR(FIND(".",INDEX(Tasks!$A:$A,$A394))),"","   ")&amp;INDEX(Tasks!$D:$D,$A394))</f>
        <v/>
      </c>
      <c r="D394" s="16" t="str">
        <f aca="false">IF($A394="","",IF(OR(INDEX(Tasks!$G:$G,$A394)="",INDEX(Tasks!$G:$G,$A394)="TBD"),INDEX(Tasks!$F:$F,$A394),INDEX(Tasks!$G:$G,$A394)))</f>
        <v/>
      </c>
      <c r="E394" s="16" t="str">
        <f aca="false">IF($A394="","",IF(INDEX(Tasks!$H:$H,$A394)="","",INDEX(Tasks!$H:$H,$A394)))</f>
        <v/>
      </c>
      <c r="F394" s="17" t="str">
        <f aca="false">IF($A394="","",IF(INDEX(Tasks!$I:$I,$A394)="","",INDEX(Tasks!$I:$I,$A394)))</f>
        <v/>
      </c>
      <c r="G394" s="17" t="str">
        <f aca="false">IF($A394="","",IF(INDEX(Tasks!$K:$K,$A394)="","",INDEX(Tasks!$K:$K,$A394)))</f>
        <v/>
      </c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  <c r="AG394" s="18"/>
      <c r="AH394" s="18"/>
      <c r="AI394" s="18"/>
      <c r="AJ394" s="18"/>
      <c r="AK394" s="18"/>
      <c r="AL394" s="18"/>
      <c r="AM394" s="18"/>
      <c r="AN394" s="18"/>
      <c r="AO394" s="18"/>
      <c r="AP394" s="18"/>
      <c r="AQ394" s="18"/>
      <c r="AR394" s="18"/>
      <c r="AS394" s="18"/>
      <c r="AT394" s="18"/>
      <c r="AU394" s="18"/>
      <c r="AV394" s="18"/>
      <c r="AW394" s="18"/>
      <c r="AX394" s="18"/>
      <c r="AY394" s="18"/>
    </row>
    <row r="395" customFormat="false" ht="15" hidden="false" customHeight="false" outlineLevel="0" collapsed="false">
      <c r="A395" s="15" t="str">
        <f aca="false">IFERROR(MATCH(ROW()-11,Tasks!$R$4:$R$403,0)+3,"")</f>
        <v/>
      </c>
      <c r="B395" s="16" t="str">
        <f aca="false">IF($A395="","",INDEX(Tasks!$A:$A,$A395))</f>
        <v/>
      </c>
      <c r="C395" s="16" t="str">
        <f aca="false">IF($A395="","",IF(ISERROR(FIND(".",INDEX(Tasks!$A:$A,$A395))),"","   ")&amp;INDEX(Tasks!$D:$D,$A395))</f>
        <v/>
      </c>
      <c r="D395" s="16" t="str">
        <f aca="false">IF($A395="","",IF(OR(INDEX(Tasks!$G:$G,$A395)="",INDEX(Tasks!$G:$G,$A395)="TBD"),INDEX(Tasks!$F:$F,$A395),INDEX(Tasks!$G:$G,$A395)))</f>
        <v/>
      </c>
      <c r="E395" s="16" t="str">
        <f aca="false">IF($A395="","",IF(INDEX(Tasks!$H:$H,$A395)="","",INDEX(Tasks!$H:$H,$A395)))</f>
        <v/>
      </c>
      <c r="F395" s="17" t="str">
        <f aca="false">IF($A395="","",IF(INDEX(Tasks!$I:$I,$A395)="","",INDEX(Tasks!$I:$I,$A395)))</f>
        <v/>
      </c>
      <c r="G395" s="17" t="str">
        <f aca="false">IF($A395="","",IF(INDEX(Tasks!$K:$K,$A395)="","",INDEX(Tasks!$K:$K,$A395)))</f>
        <v/>
      </c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  <c r="AG395" s="18"/>
      <c r="AH395" s="18"/>
      <c r="AI395" s="18"/>
      <c r="AJ395" s="18"/>
      <c r="AK395" s="18"/>
      <c r="AL395" s="18"/>
      <c r="AM395" s="18"/>
      <c r="AN395" s="18"/>
      <c r="AO395" s="18"/>
      <c r="AP395" s="18"/>
      <c r="AQ395" s="18"/>
      <c r="AR395" s="18"/>
      <c r="AS395" s="18"/>
      <c r="AT395" s="18"/>
      <c r="AU395" s="18"/>
      <c r="AV395" s="18"/>
      <c r="AW395" s="18"/>
      <c r="AX395" s="18"/>
      <c r="AY395" s="18"/>
    </row>
    <row r="396" customFormat="false" ht="15" hidden="false" customHeight="false" outlineLevel="0" collapsed="false">
      <c r="A396" s="15" t="str">
        <f aca="false">IFERROR(MATCH(ROW()-11,Tasks!$R$4:$R$403,0)+3,"")</f>
        <v/>
      </c>
      <c r="B396" s="16" t="str">
        <f aca="false">IF($A396="","",INDEX(Tasks!$A:$A,$A396))</f>
        <v/>
      </c>
      <c r="C396" s="16" t="str">
        <f aca="false">IF($A396="","",IF(ISERROR(FIND(".",INDEX(Tasks!$A:$A,$A396))),"","   ")&amp;INDEX(Tasks!$D:$D,$A396))</f>
        <v/>
      </c>
      <c r="D396" s="16" t="str">
        <f aca="false">IF($A396="","",IF(OR(INDEX(Tasks!$G:$G,$A396)="",INDEX(Tasks!$G:$G,$A396)="TBD"),INDEX(Tasks!$F:$F,$A396),INDEX(Tasks!$G:$G,$A396)))</f>
        <v/>
      </c>
      <c r="E396" s="16" t="str">
        <f aca="false">IF($A396="","",IF(INDEX(Tasks!$H:$H,$A396)="","",INDEX(Tasks!$H:$H,$A396)))</f>
        <v/>
      </c>
      <c r="F396" s="17" t="str">
        <f aca="false">IF($A396="","",IF(INDEX(Tasks!$I:$I,$A396)="","",INDEX(Tasks!$I:$I,$A396)))</f>
        <v/>
      </c>
      <c r="G396" s="17" t="str">
        <f aca="false">IF($A396="","",IF(INDEX(Tasks!$K:$K,$A396)="","",INDEX(Tasks!$K:$K,$A396)))</f>
        <v/>
      </c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  <c r="AG396" s="18"/>
      <c r="AH396" s="18"/>
      <c r="AI396" s="18"/>
      <c r="AJ396" s="18"/>
      <c r="AK396" s="18"/>
      <c r="AL396" s="18"/>
      <c r="AM396" s="18"/>
      <c r="AN396" s="18"/>
      <c r="AO396" s="18"/>
      <c r="AP396" s="18"/>
      <c r="AQ396" s="18"/>
      <c r="AR396" s="18"/>
      <c r="AS396" s="18"/>
      <c r="AT396" s="18"/>
      <c r="AU396" s="18"/>
      <c r="AV396" s="18"/>
      <c r="AW396" s="18"/>
      <c r="AX396" s="18"/>
      <c r="AY396" s="18"/>
    </row>
    <row r="397" customFormat="false" ht="15" hidden="false" customHeight="false" outlineLevel="0" collapsed="false">
      <c r="A397" s="15" t="str">
        <f aca="false">IFERROR(MATCH(ROW()-11,Tasks!$R$4:$R$403,0)+3,"")</f>
        <v/>
      </c>
      <c r="B397" s="16" t="str">
        <f aca="false">IF($A397="","",INDEX(Tasks!$A:$A,$A397))</f>
        <v/>
      </c>
      <c r="C397" s="16" t="str">
        <f aca="false">IF($A397="","",IF(ISERROR(FIND(".",INDEX(Tasks!$A:$A,$A397))),"","   ")&amp;INDEX(Tasks!$D:$D,$A397))</f>
        <v/>
      </c>
      <c r="D397" s="16" t="str">
        <f aca="false">IF($A397="","",IF(OR(INDEX(Tasks!$G:$G,$A397)="",INDEX(Tasks!$G:$G,$A397)="TBD"),INDEX(Tasks!$F:$F,$A397),INDEX(Tasks!$G:$G,$A397)))</f>
        <v/>
      </c>
      <c r="E397" s="16" t="str">
        <f aca="false">IF($A397="","",IF(INDEX(Tasks!$H:$H,$A397)="","",INDEX(Tasks!$H:$H,$A397)))</f>
        <v/>
      </c>
      <c r="F397" s="17" t="str">
        <f aca="false">IF($A397="","",IF(INDEX(Tasks!$I:$I,$A397)="","",INDEX(Tasks!$I:$I,$A397)))</f>
        <v/>
      </c>
      <c r="G397" s="17" t="str">
        <f aca="false">IF($A397="","",IF(INDEX(Tasks!$K:$K,$A397)="","",INDEX(Tasks!$K:$K,$A397)))</f>
        <v/>
      </c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  <c r="AG397" s="18"/>
      <c r="AH397" s="18"/>
      <c r="AI397" s="18"/>
      <c r="AJ397" s="18"/>
      <c r="AK397" s="18"/>
      <c r="AL397" s="18"/>
      <c r="AM397" s="18"/>
      <c r="AN397" s="18"/>
      <c r="AO397" s="18"/>
      <c r="AP397" s="18"/>
      <c r="AQ397" s="18"/>
      <c r="AR397" s="18"/>
      <c r="AS397" s="18"/>
      <c r="AT397" s="18"/>
      <c r="AU397" s="18"/>
      <c r="AV397" s="18"/>
      <c r="AW397" s="18"/>
      <c r="AX397" s="18"/>
      <c r="AY397" s="18"/>
    </row>
    <row r="398" customFormat="false" ht="15" hidden="false" customHeight="false" outlineLevel="0" collapsed="false">
      <c r="A398" s="15" t="str">
        <f aca="false">IFERROR(MATCH(ROW()-11,Tasks!$R$4:$R$403,0)+3,"")</f>
        <v/>
      </c>
      <c r="B398" s="16" t="str">
        <f aca="false">IF($A398="","",INDEX(Tasks!$A:$A,$A398))</f>
        <v/>
      </c>
      <c r="C398" s="16" t="str">
        <f aca="false">IF($A398="","",IF(ISERROR(FIND(".",INDEX(Tasks!$A:$A,$A398))),"","   ")&amp;INDEX(Tasks!$D:$D,$A398))</f>
        <v/>
      </c>
      <c r="D398" s="16" t="str">
        <f aca="false">IF($A398="","",IF(OR(INDEX(Tasks!$G:$G,$A398)="",INDEX(Tasks!$G:$G,$A398)="TBD"),INDEX(Tasks!$F:$F,$A398),INDEX(Tasks!$G:$G,$A398)))</f>
        <v/>
      </c>
      <c r="E398" s="16" t="str">
        <f aca="false">IF($A398="","",IF(INDEX(Tasks!$H:$H,$A398)="","",INDEX(Tasks!$H:$H,$A398)))</f>
        <v/>
      </c>
      <c r="F398" s="17" t="str">
        <f aca="false">IF($A398="","",IF(INDEX(Tasks!$I:$I,$A398)="","",INDEX(Tasks!$I:$I,$A398)))</f>
        <v/>
      </c>
      <c r="G398" s="17" t="str">
        <f aca="false">IF($A398="","",IF(INDEX(Tasks!$K:$K,$A398)="","",INDEX(Tasks!$K:$K,$A398)))</f>
        <v/>
      </c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  <c r="AG398" s="18"/>
      <c r="AH398" s="18"/>
      <c r="AI398" s="18"/>
      <c r="AJ398" s="18"/>
      <c r="AK398" s="18"/>
      <c r="AL398" s="18"/>
      <c r="AM398" s="18"/>
      <c r="AN398" s="18"/>
      <c r="AO398" s="18"/>
      <c r="AP398" s="18"/>
      <c r="AQ398" s="18"/>
      <c r="AR398" s="18"/>
      <c r="AS398" s="18"/>
      <c r="AT398" s="18"/>
      <c r="AU398" s="18"/>
      <c r="AV398" s="18"/>
      <c r="AW398" s="18"/>
      <c r="AX398" s="18"/>
      <c r="AY398" s="18"/>
    </row>
    <row r="399" customFormat="false" ht="15" hidden="false" customHeight="false" outlineLevel="0" collapsed="false">
      <c r="A399" s="15" t="str">
        <f aca="false">IFERROR(MATCH(ROW()-11,Tasks!$R$4:$R$403,0)+3,"")</f>
        <v/>
      </c>
      <c r="B399" s="16" t="str">
        <f aca="false">IF($A399="","",INDEX(Tasks!$A:$A,$A399))</f>
        <v/>
      </c>
      <c r="C399" s="16" t="str">
        <f aca="false">IF($A399="","",IF(ISERROR(FIND(".",INDEX(Tasks!$A:$A,$A399))),"","   ")&amp;INDEX(Tasks!$D:$D,$A399))</f>
        <v/>
      </c>
      <c r="D399" s="16" t="str">
        <f aca="false">IF($A399="","",IF(OR(INDEX(Tasks!$G:$G,$A399)="",INDEX(Tasks!$G:$G,$A399)="TBD"),INDEX(Tasks!$F:$F,$A399),INDEX(Tasks!$G:$G,$A399)))</f>
        <v/>
      </c>
      <c r="E399" s="16" t="str">
        <f aca="false">IF($A399="","",IF(INDEX(Tasks!$H:$H,$A399)="","",INDEX(Tasks!$H:$H,$A399)))</f>
        <v/>
      </c>
      <c r="F399" s="17" t="str">
        <f aca="false">IF($A399="","",IF(INDEX(Tasks!$I:$I,$A399)="","",INDEX(Tasks!$I:$I,$A399)))</f>
        <v/>
      </c>
      <c r="G399" s="17" t="str">
        <f aca="false">IF($A399="","",IF(INDEX(Tasks!$K:$K,$A399)="","",INDEX(Tasks!$K:$K,$A399)))</f>
        <v/>
      </c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  <c r="AG399" s="18"/>
      <c r="AH399" s="18"/>
      <c r="AI399" s="18"/>
      <c r="AJ399" s="18"/>
      <c r="AK399" s="18"/>
      <c r="AL399" s="18"/>
      <c r="AM399" s="18"/>
      <c r="AN399" s="18"/>
      <c r="AO399" s="18"/>
      <c r="AP399" s="18"/>
      <c r="AQ399" s="18"/>
      <c r="AR399" s="18"/>
      <c r="AS399" s="18"/>
      <c r="AT399" s="18"/>
      <c r="AU399" s="18"/>
      <c r="AV399" s="18"/>
      <c r="AW399" s="18"/>
      <c r="AX399" s="18"/>
      <c r="AY399" s="18"/>
    </row>
    <row r="400" customFormat="false" ht="15" hidden="false" customHeight="false" outlineLevel="0" collapsed="false">
      <c r="A400" s="15" t="str">
        <f aca="false">IFERROR(MATCH(ROW()-11,Tasks!$R$4:$R$403,0)+3,"")</f>
        <v/>
      </c>
      <c r="B400" s="16" t="str">
        <f aca="false">IF($A400="","",INDEX(Tasks!$A:$A,$A400))</f>
        <v/>
      </c>
      <c r="C400" s="16" t="str">
        <f aca="false">IF($A400="","",IF(ISERROR(FIND(".",INDEX(Tasks!$A:$A,$A400))),"","   ")&amp;INDEX(Tasks!$D:$D,$A400))</f>
        <v/>
      </c>
      <c r="D400" s="16" t="str">
        <f aca="false">IF($A400="","",IF(OR(INDEX(Tasks!$G:$G,$A400)="",INDEX(Tasks!$G:$G,$A400)="TBD"),INDEX(Tasks!$F:$F,$A400),INDEX(Tasks!$G:$G,$A400)))</f>
        <v/>
      </c>
      <c r="E400" s="16" t="str">
        <f aca="false">IF($A400="","",IF(INDEX(Tasks!$H:$H,$A400)="","",INDEX(Tasks!$H:$H,$A400)))</f>
        <v/>
      </c>
      <c r="F400" s="17" t="str">
        <f aca="false">IF($A400="","",IF(INDEX(Tasks!$I:$I,$A400)="","",INDEX(Tasks!$I:$I,$A400)))</f>
        <v/>
      </c>
      <c r="G400" s="17" t="str">
        <f aca="false">IF($A400="","",IF(INDEX(Tasks!$K:$K,$A400)="","",INDEX(Tasks!$K:$K,$A400)))</f>
        <v/>
      </c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  <c r="AG400" s="18"/>
      <c r="AH400" s="18"/>
      <c r="AI400" s="18"/>
      <c r="AJ400" s="18"/>
      <c r="AK400" s="18"/>
      <c r="AL400" s="18"/>
      <c r="AM400" s="18"/>
      <c r="AN400" s="18"/>
      <c r="AO400" s="18"/>
      <c r="AP400" s="18"/>
      <c r="AQ400" s="18"/>
      <c r="AR400" s="18"/>
      <c r="AS400" s="18"/>
      <c r="AT400" s="18"/>
      <c r="AU400" s="18"/>
      <c r="AV400" s="18"/>
      <c r="AW400" s="18"/>
      <c r="AX400" s="18"/>
      <c r="AY400" s="18"/>
    </row>
    <row r="401" customFormat="false" ht="15" hidden="false" customHeight="false" outlineLevel="0" collapsed="false">
      <c r="A401" s="15" t="str">
        <f aca="false">IFERROR(MATCH(ROW()-11,Tasks!$R$4:$R$403,0)+3,"")</f>
        <v/>
      </c>
      <c r="B401" s="16" t="str">
        <f aca="false">IF($A401="","",INDEX(Tasks!$A:$A,$A401))</f>
        <v/>
      </c>
      <c r="C401" s="16" t="str">
        <f aca="false">IF($A401="","",IF(ISERROR(FIND(".",INDEX(Tasks!$A:$A,$A401))),"","   ")&amp;INDEX(Tasks!$D:$D,$A401))</f>
        <v/>
      </c>
      <c r="D401" s="16" t="str">
        <f aca="false">IF($A401="","",IF(OR(INDEX(Tasks!$G:$G,$A401)="",INDEX(Tasks!$G:$G,$A401)="TBD"),INDEX(Tasks!$F:$F,$A401),INDEX(Tasks!$G:$G,$A401)))</f>
        <v/>
      </c>
      <c r="E401" s="16" t="str">
        <f aca="false">IF($A401="","",IF(INDEX(Tasks!$H:$H,$A401)="","",INDEX(Tasks!$H:$H,$A401)))</f>
        <v/>
      </c>
      <c r="F401" s="17" t="str">
        <f aca="false">IF($A401="","",IF(INDEX(Tasks!$I:$I,$A401)="","",INDEX(Tasks!$I:$I,$A401)))</f>
        <v/>
      </c>
      <c r="G401" s="17" t="str">
        <f aca="false">IF($A401="","",IF(INDEX(Tasks!$K:$K,$A401)="","",INDEX(Tasks!$K:$K,$A401)))</f>
        <v/>
      </c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  <c r="AG401" s="18"/>
      <c r="AH401" s="18"/>
      <c r="AI401" s="18"/>
      <c r="AJ401" s="18"/>
      <c r="AK401" s="18"/>
      <c r="AL401" s="18"/>
      <c r="AM401" s="18"/>
      <c r="AN401" s="18"/>
      <c r="AO401" s="18"/>
      <c r="AP401" s="18"/>
      <c r="AQ401" s="18"/>
      <c r="AR401" s="18"/>
      <c r="AS401" s="18"/>
      <c r="AT401" s="18"/>
      <c r="AU401" s="18"/>
      <c r="AV401" s="18"/>
      <c r="AW401" s="18"/>
      <c r="AX401" s="18"/>
      <c r="AY401" s="18"/>
    </row>
    <row r="402" customFormat="false" ht="15" hidden="false" customHeight="false" outlineLevel="0" collapsed="false">
      <c r="A402" s="15" t="str">
        <f aca="false">IFERROR(MATCH(ROW()-11,Tasks!$R$4:$R$403,0)+3,"")</f>
        <v/>
      </c>
      <c r="B402" s="16" t="str">
        <f aca="false">IF($A402="","",INDEX(Tasks!$A:$A,$A402))</f>
        <v/>
      </c>
      <c r="C402" s="16" t="str">
        <f aca="false">IF($A402="","",IF(ISERROR(FIND(".",INDEX(Tasks!$A:$A,$A402))),"","   ")&amp;INDEX(Tasks!$D:$D,$A402))</f>
        <v/>
      </c>
      <c r="D402" s="16" t="str">
        <f aca="false">IF($A402="","",IF(OR(INDEX(Tasks!$G:$G,$A402)="",INDEX(Tasks!$G:$G,$A402)="TBD"),INDEX(Tasks!$F:$F,$A402),INDEX(Tasks!$G:$G,$A402)))</f>
        <v/>
      </c>
      <c r="E402" s="16" t="str">
        <f aca="false">IF($A402="","",IF(INDEX(Tasks!$H:$H,$A402)="","",INDEX(Tasks!$H:$H,$A402)))</f>
        <v/>
      </c>
      <c r="F402" s="17" t="str">
        <f aca="false">IF($A402="","",IF(INDEX(Tasks!$I:$I,$A402)="","",INDEX(Tasks!$I:$I,$A402)))</f>
        <v/>
      </c>
      <c r="G402" s="17" t="str">
        <f aca="false">IF($A402="","",IF(INDEX(Tasks!$K:$K,$A402)="","",INDEX(Tasks!$K:$K,$A402)))</f>
        <v/>
      </c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  <c r="AG402" s="18"/>
      <c r="AH402" s="18"/>
      <c r="AI402" s="18"/>
      <c r="AJ402" s="18"/>
      <c r="AK402" s="18"/>
      <c r="AL402" s="18"/>
      <c r="AM402" s="18"/>
      <c r="AN402" s="18"/>
      <c r="AO402" s="18"/>
      <c r="AP402" s="18"/>
      <c r="AQ402" s="18"/>
      <c r="AR402" s="18"/>
      <c r="AS402" s="18"/>
      <c r="AT402" s="18"/>
      <c r="AU402" s="18"/>
      <c r="AV402" s="18"/>
      <c r="AW402" s="18"/>
      <c r="AX402" s="18"/>
      <c r="AY402" s="18"/>
    </row>
    <row r="403" customFormat="false" ht="15" hidden="false" customHeight="false" outlineLevel="0" collapsed="false">
      <c r="A403" s="15" t="str">
        <f aca="false">IFERROR(MATCH(ROW()-11,Tasks!$R$4:$R$403,0)+3,"")</f>
        <v/>
      </c>
      <c r="B403" s="16" t="str">
        <f aca="false">IF($A403="","",INDEX(Tasks!$A:$A,$A403))</f>
        <v/>
      </c>
      <c r="C403" s="16" t="str">
        <f aca="false">IF($A403="","",IF(ISERROR(FIND(".",INDEX(Tasks!$A:$A,$A403))),"","   ")&amp;INDEX(Tasks!$D:$D,$A403))</f>
        <v/>
      </c>
      <c r="D403" s="16" t="str">
        <f aca="false">IF($A403="","",IF(OR(INDEX(Tasks!$G:$G,$A403)="",INDEX(Tasks!$G:$G,$A403)="TBD"),INDEX(Tasks!$F:$F,$A403),INDEX(Tasks!$G:$G,$A403)))</f>
        <v/>
      </c>
      <c r="E403" s="16" t="str">
        <f aca="false">IF($A403="","",IF(INDEX(Tasks!$H:$H,$A403)="","",INDEX(Tasks!$H:$H,$A403)))</f>
        <v/>
      </c>
      <c r="F403" s="17" t="str">
        <f aca="false">IF($A403="","",IF(INDEX(Tasks!$I:$I,$A403)="","",INDEX(Tasks!$I:$I,$A403)))</f>
        <v/>
      </c>
      <c r="G403" s="17" t="str">
        <f aca="false">IF($A403="","",IF(INDEX(Tasks!$K:$K,$A403)="","",INDEX(Tasks!$K:$K,$A403)))</f>
        <v/>
      </c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  <c r="AG403" s="18"/>
      <c r="AH403" s="18"/>
      <c r="AI403" s="18"/>
      <c r="AJ403" s="18"/>
      <c r="AK403" s="18"/>
      <c r="AL403" s="18"/>
      <c r="AM403" s="18"/>
      <c r="AN403" s="18"/>
      <c r="AO403" s="18"/>
      <c r="AP403" s="18"/>
      <c r="AQ403" s="18"/>
      <c r="AR403" s="18"/>
      <c r="AS403" s="18"/>
      <c r="AT403" s="18"/>
      <c r="AU403" s="18"/>
      <c r="AV403" s="18"/>
      <c r="AW403" s="18"/>
      <c r="AX403" s="18"/>
      <c r="AY403" s="18"/>
    </row>
    <row r="404" customFormat="false" ht="15" hidden="false" customHeight="false" outlineLevel="0" collapsed="false">
      <c r="A404" s="15" t="str">
        <f aca="false">IFERROR(MATCH(ROW()-11,Tasks!$R$4:$R$403,0)+3,"")</f>
        <v/>
      </c>
      <c r="B404" s="16" t="str">
        <f aca="false">IF($A404="","",INDEX(Tasks!$A:$A,$A404))</f>
        <v/>
      </c>
      <c r="C404" s="16" t="str">
        <f aca="false">IF($A404="","",IF(ISERROR(FIND(".",INDEX(Tasks!$A:$A,$A404))),"","   ")&amp;INDEX(Tasks!$D:$D,$A404))</f>
        <v/>
      </c>
      <c r="D404" s="16" t="str">
        <f aca="false">IF($A404="","",IF(OR(INDEX(Tasks!$G:$G,$A404)="",INDEX(Tasks!$G:$G,$A404)="TBD"),INDEX(Tasks!$F:$F,$A404),INDEX(Tasks!$G:$G,$A404)))</f>
        <v/>
      </c>
      <c r="E404" s="16" t="str">
        <f aca="false">IF($A404="","",IF(INDEX(Tasks!$H:$H,$A404)="","",INDEX(Tasks!$H:$H,$A404)))</f>
        <v/>
      </c>
      <c r="F404" s="17" t="str">
        <f aca="false">IF($A404="","",IF(INDEX(Tasks!$I:$I,$A404)="","",INDEX(Tasks!$I:$I,$A404)))</f>
        <v/>
      </c>
      <c r="G404" s="17" t="str">
        <f aca="false">IF($A404="","",IF(INDEX(Tasks!$K:$K,$A404)="","",INDEX(Tasks!$K:$K,$A404)))</f>
        <v/>
      </c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  <c r="AG404" s="18"/>
      <c r="AH404" s="18"/>
      <c r="AI404" s="18"/>
      <c r="AJ404" s="18"/>
      <c r="AK404" s="18"/>
      <c r="AL404" s="18"/>
      <c r="AM404" s="18"/>
      <c r="AN404" s="18"/>
      <c r="AO404" s="18"/>
      <c r="AP404" s="18"/>
      <c r="AQ404" s="18"/>
      <c r="AR404" s="18"/>
      <c r="AS404" s="18"/>
      <c r="AT404" s="18"/>
      <c r="AU404" s="18"/>
      <c r="AV404" s="18"/>
      <c r="AW404" s="18"/>
      <c r="AX404" s="18"/>
      <c r="AY404" s="18"/>
    </row>
    <row r="405" customFormat="false" ht="15" hidden="false" customHeight="false" outlineLevel="0" collapsed="false">
      <c r="A405" s="15" t="str">
        <f aca="false">IFERROR(MATCH(ROW()-11,Tasks!$R$4:$R$403,0)+3,"")</f>
        <v/>
      </c>
      <c r="B405" s="16" t="str">
        <f aca="false">IF($A405="","",INDEX(Tasks!$A:$A,$A405))</f>
        <v/>
      </c>
      <c r="C405" s="16" t="str">
        <f aca="false">IF($A405="","",IF(ISERROR(FIND(".",INDEX(Tasks!$A:$A,$A405))),"","   ")&amp;INDEX(Tasks!$D:$D,$A405))</f>
        <v/>
      </c>
      <c r="D405" s="16" t="str">
        <f aca="false">IF($A405="","",IF(OR(INDEX(Tasks!$G:$G,$A405)="",INDEX(Tasks!$G:$G,$A405)="TBD"),INDEX(Tasks!$F:$F,$A405),INDEX(Tasks!$G:$G,$A405)))</f>
        <v/>
      </c>
      <c r="E405" s="16" t="str">
        <f aca="false">IF($A405="","",IF(INDEX(Tasks!$H:$H,$A405)="","",INDEX(Tasks!$H:$H,$A405)))</f>
        <v/>
      </c>
      <c r="F405" s="17" t="str">
        <f aca="false">IF($A405="","",IF(INDEX(Tasks!$I:$I,$A405)="","",INDEX(Tasks!$I:$I,$A405)))</f>
        <v/>
      </c>
      <c r="G405" s="17" t="str">
        <f aca="false">IF($A405="","",IF(INDEX(Tasks!$K:$K,$A405)="","",INDEX(Tasks!$K:$K,$A405)))</f>
        <v/>
      </c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  <c r="AG405" s="18"/>
      <c r="AH405" s="18"/>
      <c r="AI405" s="18"/>
      <c r="AJ405" s="18"/>
      <c r="AK405" s="18"/>
      <c r="AL405" s="18"/>
      <c r="AM405" s="18"/>
      <c r="AN405" s="18"/>
      <c r="AO405" s="18"/>
      <c r="AP405" s="18"/>
      <c r="AQ405" s="18"/>
      <c r="AR405" s="18"/>
      <c r="AS405" s="18"/>
      <c r="AT405" s="18"/>
      <c r="AU405" s="18"/>
      <c r="AV405" s="18"/>
      <c r="AW405" s="18"/>
      <c r="AX405" s="18"/>
      <c r="AY405" s="18"/>
    </row>
    <row r="406" customFormat="false" ht="15" hidden="false" customHeight="false" outlineLevel="0" collapsed="false">
      <c r="A406" s="15" t="str">
        <f aca="false">IFERROR(MATCH(ROW()-11,Tasks!$R$4:$R$403,0)+3,"")</f>
        <v/>
      </c>
      <c r="B406" s="16" t="str">
        <f aca="false">IF($A406="","",INDEX(Tasks!$A:$A,$A406))</f>
        <v/>
      </c>
      <c r="C406" s="16" t="str">
        <f aca="false">IF($A406="","",IF(ISERROR(FIND(".",INDEX(Tasks!$A:$A,$A406))),"","   ")&amp;INDEX(Tasks!$D:$D,$A406))</f>
        <v/>
      </c>
      <c r="D406" s="16" t="str">
        <f aca="false">IF($A406="","",IF(OR(INDEX(Tasks!$G:$G,$A406)="",INDEX(Tasks!$G:$G,$A406)="TBD"),INDEX(Tasks!$F:$F,$A406),INDEX(Tasks!$G:$G,$A406)))</f>
        <v/>
      </c>
      <c r="E406" s="16" t="str">
        <f aca="false">IF($A406="","",IF(INDEX(Tasks!$H:$H,$A406)="","",INDEX(Tasks!$H:$H,$A406)))</f>
        <v/>
      </c>
      <c r="F406" s="17" t="str">
        <f aca="false">IF($A406="","",IF(INDEX(Tasks!$I:$I,$A406)="","",INDEX(Tasks!$I:$I,$A406)))</f>
        <v/>
      </c>
      <c r="G406" s="17" t="str">
        <f aca="false">IF($A406="","",IF(INDEX(Tasks!$K:$K,$A406)="","",INDEX(Tasks!$K:$K,$A406)))</f>
        <v/>
      </c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  <c r="AG406" s="18"/>
      <c r="AH406" s="18"/>
      <c r="AI406" s="18"/>
      <c r="AJ406" s="18"/>
      <c r="AK406" s="18"/>
      <c r="AL406" s="18"/>
      <c r="AM406" s="18"/>
      <c r="AN406" s="18"/>
      <c r="AO406" s="18"/>
      <c r="AP406" s="18"/>
      <c r="AQ406" s="18"/>
      <c r="AR406" s="18"/>
      <c r="AS406" s="18"/>
      <c r="AT406" s="18"/>
      <c r="AU406" s="18"/>
      <c r="AV406" s="18"/>
      <c r="AW406" s="18"/>
      <c r="AX406" s="18"/>
      <c r="AY406" s="18"/>
    </row>
    <row r="407" customFormat="false" ht="15" hidden="false" customHeight="false" outlineLevel="0" collapsed="false">
      <c r="A407" s="15" t="str">
        <f aca="false">IFERROR(MATCH(ROW()-11,Tasks!$R$4:$R$403,0)+3,"")</f>
        <v/>
      </c>
      <c r="B407" s="16" t="str">
        <f aca="false">IF($A407="","",INDEX(Tasks!$A:$A,$A407))</f>
        <v/>
      </c>
      <c r="C407" s="16" t="str">
        <f aca="false">IF($A407="","",IF(ISERROR(FIND(".",INDEX(Tasks!$A:$A,$A407))),"","   ")&amp;INDEX(Tasks!$D:$D,$A407))</f>
        <v/>
      </c>
      <c r="D407" s="16" t="str">
        <f aca="false">IF($A407="","",IF(OR(INDEX(Tasks!$G:$G,$A407)="",INDEX(Tasks!$G:$G,$A407)="TBD"),INDEX(Tasks!$F:$F,$A407),INDEX(Tasks!$G:$G,$A407)))</f>
        <v/>
      </c>
      <c r="E407" s="16" t="str">
        <f aca="false">IF($A407="","",IF(INDEX(Tasks!$H:$H,$A407)="","",INDEX(Tasks!$H:$H,$A407)))</f>
        <v/>
      </c>
      <c r="F407" s="17" t="str">
        <f aca="false">IF($A407="","",IF(INDEX(Tasks!$I:$I,$A407)="","",INDEX(Tasks!$I:$I,$A407)))</f>
        <v/>
      </c>
      <c r="G407" s="17" t="str">
        <f aca="false">IF($A407="","",IF(INDEX(Tasks!$K:$K,$A407)="","",INDEX(Tasks!$K:$K,$A407)))</f>
        <v/>
      </c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  <c r="AG407" s="18"/>
      <c r="AH407" s="18"/>
      <c r="AI407" s="18"/>
      <c r="AJ407" s="18"/>
      <c r="AK407" s="18"/>
      <c r="AL407" s="18"/>
      <c r="AM407" s="18"/>
      <c r="AN407" s="18"/>
      <c r="AO407" s="18"/>
      <c r="AP407" s="18"/>
      <c r="AQ407" s="18"/>
      <c r="AR407" s="18"/>
      <c r="AS407" s="18"/>
      <c r="AT407" s="18"/>
      <c r="AU407" s="18"/>
      <c r="AV407" s="18"/>
      <c r="AW407" s="18"/>
      <c r="AX407" s="18"/>
      <c r="AY407" s="18"/>
    </row>
    <row r="408" customFormat="false" ht="15" hidden="false" customHeight="false" outlineLevel="0" collapsed="false">
      <c r="A408" s="15" t="str">
        <f aca="false">IFERROR(MATCH(ROW()-11,Tasks!$R$4:$R$403,0)+3,"")</f>
        <v/>
      </c>
      <c r="B408" s="16" t="str">
        <f aca="false">IF($A408="","",INDEX(Tasks!$A:$A,$A408))</f>
        <v/>
      </c>
      <c r="C408" s="16" t="str">
        <f aca="false">IF($A408="","",IF(ISERROR(FIND(".",INDEX(Tasks!$A:$A,$A408))),"","   ")&amp;INDEX(Tasks!$D:$D,$A408))</f>
        <v/>
      </c>
      <c r="D408" s="16" t="str">
        <f aca="false">IF($A408="","",IF(OR(INDEX(Tasks!$G:$G,$A408)="",INDEX(Tasks!$G:$G,$A408)="TBD"),INDEX(Tasks!$F:$F,$A408),INDEX(Tasks!$G:$G,$A408)))</f>
        <v/>
      </c>
      <c r="E408" s="16" t="str">
        <f aca="false">IF($A408="","",IF(INDEX(Tasks!$H:$H,$A408)="","",INDEX(Tasks!$H:$H,$A408)))</f>
        <v/>
      </c>
      <c r="F408" s="17" t="str">
        <f aca="false">IF($A408="","",IF(INDEX(Tasks!$I:$I,$A408)="","",INDEX(Tasks!$I:$I,$A408)))</f>
        <v/>
      </c>
      <c r="G408" s="17" t="str">
        <f aca="false">IF($A408="","",IF(INDEX(Tasks!$K:$K,$A408)="","",INDEX(Tasks!$K:$K,$A408)))</f>
        <v/>
      </c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  <c r="AG408" s="18"/>
      <c r="AH408" s="18"/>
      <c r="AI408" s="18"/>
      <c r="AJ408" s="18"/>
      <c r="AK408" s="18"/>
      <c r="AL408" s="18"/>
      <c r="AM408" s="18"/>
      <c r="AN408" s="18"/>
      <c r="AO408" s="18"/>
      <c r="AP408" s="18"/>
      <c r="AQ408" s="18"/>
      <c r="AR408" s="18"/>
      <c r="AS408" s="18"/>
      <c r="AT408" s="18"/>
      <c r="AU408" s="18"/>
      <c r="AV408" s="18"/>
      <c r="AW408" s="18"/>
      <c r="AX408" s="18"/>
      <c r="AY408" s="18"/>
    </row>
    <row r="409" customFormat="false" ht="15" hidden="false" customHeight="false" outlineLevel="0" collapsed="false">
      <c r="A409" s="15" t="str">
        <f aca="false">IFERROR(MATCH(ROW()-11,Tasks!$R$4:$R$403,0)+3,"")</f>
        <v/>
      </c>
      <c r="B409" s="16" t="str">
        <f aca="false">IF($A409="","",INDEX(Tasks!$A:$A,$A409))</f>
        <v/>
      </c>
      <c r="C409" s="16" t="str">
        <f aca="false">IF($A409="","",IF(ISERROR(FIND(".",INDEX(Tasks!$A:$A,$A409))),"","   ")&amp;INDEX(Tasks!$D:$D,$A409))</f>
        <v/>
      </c>
      <c r="D409" s="16" t="str">
        <f aca="false">IF($A409="","",IF(OR(INDEX(Tasks!$G:$G,$A409)="",INDEX(Tasks!$G:$G,$A409)="TBD"),INDEX(Tasks!$F:$F,$A409),INDEX(Tasks!$G:$G,$A409)))</f>
        <v/>
      </c>
      <c r="E409" s="16" t="str">
        <f aca="false">IF($A409="","",IF(INDEX(Tasks!$H:$H,$A409)="","",INDEX(Tasks!$H:$H,$A409)))</f>
        <v/>
      </c>
      <c r="F409" s="17" t="str">
        <f aca="false">IF($A409="","",IF(INDEX(Tasks!$I:$I,$A409)="","",INDEX(Tasks!$I:$I,$A409)))</f>
        <v/>
      </c>
      <c r="G409" s="17" t="str">
        <f aca="false">IF($A409="","",IF(INDEX(Tasks!$K:$K,$A409)="","",INDEX(Tasks!$K:$K,$A409)))</f>
        <v/>
      </c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  <c r="AG409" s="18"/>
      <c r="AH409" s="18"/>
      <c r="AI409" s="18"/>
      <c r="AJ409" s="18"/>
      <c r="AK409" s="18"/>
      <c r="AL409" s="18"/>
      <c r="AM409" s="18"/>
      <c r="AN409" s="18"/>
      <c r="AO409" s="18"/>
      <c r="AP409" s="18"/>
      <c r="AQ409" s="18"/>
      <c r="AR409" s="18"/>
      <c r="AS409" s="18"/>
      <c r="AT409" s="18"/>
      <c r="AU409" s="18"/>
      <c r="AV409" s="18"/>
      <c r="AW409" s="18"/>
      <c r="AX409" s="18"/>
      <c r="AY409" s="18"/>
    </row>
    <row r="410" customFormat="false" ht="15" hidden="false" customHeight="false" outlineLevel="0" collapsed="false">
      <c r="A410" s="15" t="str">
        <f aca="false">IFERROR(MATCH(ROW()-11,Tasks!$R$4:$R$403,0)+3,"")</f>
        <v/>
      </c>
      <c r="B410" s="16" t="str">
        <f aca="false">IF($A410="","",INDEX(Tasks!$A:$A,$A410))</f>
        <v/>
      </c>
      <c r="C410" s="16" t="str">
        <f aca="false">IF($A410="","",IF(ISERROR(FIND(".",INDEX(Tasks!$A:$A,$A410))),"","   ")&amp;INDEX(Tasks!$D:$D,$A410))</f>
        <v/>
      </c>
      <c r="D410" s="16" t="str">
        <f aca="false">IF($A410="","",IF(OR(INDEX(Tasks!$G:$G,$A410)="",INDEX(Tasks!$G:$G,$A410)="TBD"),INDEX(Tasks!$F:$F,$A410),INDEX(Tasks!$G:$G,$A410)))</f>
        <v/>
      </c>
      <c r="E410" s="16" t="str">
        <f aca="false">IF($A410="","",IF(INDEX(Tasks!$H:$H,$A410)="","",INDEX(Tasks!$H:$H,$A410)))</f>
        <v/>
      </c>
      <c r="F410" s="17" t="str">
        <f aca="false">IF($A410="","",IF(INDEX(Tasks!$I:$I,$A410)="","",INDEX(Tasks!$I:$I,$A410)))</f>
        <v/>
      </c>
      <c r="G410" s="17" t="str">
        <f aca="false">IF($A410="","",IF(INDEX(Tasks!$K:$K,$A410)="","",INDEX(Tasks!$K:$K,$A410)))</f>
        <v/>
      </c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  <c r="AG410" s="18"/>
      <c r="AH410" s="18"/>
      <c r="AI410" s="18"/>
      <c r="AJ410" s="18"/>
      <c r="AK410" s="18"/>
      <c r="AL410" s="18"/>
      <c r="AM410" s="18"/>
      <c r="AN410" s="18"/>
      <c r="AO410" s="18"/>
      <c r="AP410" s="18"/>
      <c r="AQ410" s="18"/>
      <c r="AR410" s="18"/>
      <c r="AS410" s="18"/>
      <c r="AT410" s="18"/>
      <c r="AU410" s="18"/>
      <c r="AV410" s="18"/>
      <c r="AW410" s="18"/>
      <c r="AX410" s="18"/>
      <c r="AY410" s="18"/>
    </row>
    <row r="411" customFormat="false" ht="15" hidden="false" customHeight="false" outlineLevel="0" collapsed="false">
      <c r="A411" s="15" t="str">
        <f aca="false">IFERROR(MATCH(ROW()-11,Tasks!$R$4:$R$403,0)+3,"")</f>
        <v/>
      </c>
      <c r="B411" s="16" t="str">
        <f aca="false">IF($A411="","",INDEX(Tasks!$A:$A,$A411))</f>
        <v/>
      </c>
      <c r="C411" s="16" t="str">
        <f aca="false">IF($A411="","",IF(ISERROR(FIND(".",INDEX(Tasks!$A:$A,$A411))),"","   ")&amp;INDEX(Tasks!$D:$D,$A411))</f>
        <v/>
      </c>
      <c r="D411" s="16" t="str">
        <f aca="false">IF($A411="","",IF(OR(INDEX(Tasks!$G:$G,$A411)="",INDEX(Tasks!$G:$G,$A411)="TBD"),INDEX(Tasks!$F:$F,$A411),INDEX(Tasks!$G:$G,$A411)))</f>
        <v/>
      </c>
      <c r="E411" s="16" t="str">
        <f aca="false">IF($A411="","",IF(INDEX(Tasks!$H:$H,$A411)="","",INDEX(Tasks!$H:$H,$A411)))</f>
        <v/>
      </c>
      <c r="F411" s="17" t="str">
        <f aca="false">IF($A411="","",IF(INDEX(Tasks!$I:$I,$A411)="","",INDEX(Tasks!$I:$I,$A411)))</f>
        <v/>
      </c>
      <c r="G411" s="17" t="str">
        <f aca="false">IF($A411="","",IF(INDEX(Tasks!$K:$K,$A411)="","",INDEX(Tasks!$K:$K,$A411)))</f>
        <v/>
      </c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  <c r="AG411" s="18"/>
      <c r="AH411" s="18"/>
      <c r="AI411" s="18"/>
      <c r="AJ411" s="18"/>
      <c r="AK411" s="18"/>
      <c r="AL411" s="18"/>
      <c r="AM411" s="18"/>
      <c r="AN411" s="18"/>
      <c r="AO411" s="18"/>
      <c r="AP411" s="18"/>
      <c r="AQ411" s="18"/>
      <c r="AR411" s="18"/>
      <c r="AS411" s="18"/>
      <c r="AT411" s="18"/>
      <c r="AU411" s="18"/>
      <c r="AV411" s="18"/>
      <c r="AW411" s="18"/>
      <c r="AX411" s="18"/>
      <c r="AY411" s="18"/>
    </row>
  </sheetData>
  <conditionalFormatting sqref="H12:AY411">
    <cfRule type="expression" priority="2" aboveAverage="0" equalAverage="0" bottom="0" percent="0" rank="0" text="" dxfId="0">
      <formula>AND(AND(ISNUMBER($F12),ISNUMBER($G12),H$11&lt;=$G12,H$11+6&gt;=$F12),ISNUMBER(SEARCH("-M",$B12)))</formula>
    </cfRule>
    <cfRule type="expression" priority="3" aboveAverage="0" equalAverage="0" bottom="0" percent="0" rank="0" text="" dxfId="1">
      <formula>AND(AND(ISNUMBER($F12),ISNUMBER($G12),H$11&lt;=$G12,H$11+6&gt;=$F12),$E12="Complete",NOT(ISNUMBER(SEARCH("-M",$B12))))</formula>
    </cfRule>
    <cfRule type="expression" priority="4" aboveAverage="0" equalAverage="0" bottom="0" percent="0" rank="0" text="" dxfId="2">
      <formula>AND(AND(ISNUMBER($F12),ISNUMBER($G12),H$11&lt;=$G12,H$11+6&gt;=$F12),$E12="In Progress",NOT(ISNUMBER(SEARCH("-M",$B12))))</formula>
    </cfRule>
    <cfRule type="expression" priority="5" aboveAverage="0" equalAverage="0" bottom="0" percent="0" rank="0" text="" dxfId="3">
      <formula>AND(AND(ISNUMBER($F12),ISNUMBER($G12),H$11&lt;=$G12,H$11+6&gt;=$F12),$E12="Partially Completed",NOT(ISNUMBER(SEARCH("-M",$B12))))</formula>
    </cfRule>
    <cfRule type="expression" priority="6" aboveAverage="0" equalAverage="0" bottom="0" percent="0" rank="0" text="" dxfId="4">
      <formula>AND(AND(ISNUMBER($F12),ISNUMBER($G12),H$11&lt;=$G12,H$11+6&gt;=$F12),$E12="Blocked",NOT(ISNUMBER(SEARCH("-M",$B12))))</formula>
    </cfRule>
    <cfRule type="expression" priority="7" aboveAverage="0" equalAverage="0" bottom="0" percent="0" rank="0" text="" dxfId="5">
      <formula>AND(AND(ISNUMBER($F12),ISNUMBER($G12),H$11&lt;=$G12,H$11+6&gt;=$F12),OR($E12="Not Started",$E12=""),NOT(ISNUMBER(SEARCH("-M",$B12))))</formula>
    </cfRule>
    <cfRule type="expression" priority="8" aboveAverage="0" equalAverage="0" bottom="0" percent="0" rank="0" text="" dxfId="6">
      <formula>AND(AND(H$11&lt;=TODAY(),H$11+6&gt;=TODAY()),NOT(AND(ISNUMBER($F12),ISNUMBER($G12),H$11&lt;=$G12,H$11+6&gt;=$F12)),$B12&lt;&gt;"")</formula>
    </cfRule>
  </conditionalFormatting>
  <conditionalFormatting sqref="H11:AY11">
    <cfRule type="expression" priority="9" aboveAverage="0" equalAverage="0" bottom="0" percent="0" rank="0" text="" dxfId="4">
      <formula>AND(H$11&lt;=TODAY(),H$11+6&gt;=TODAY())</formula>
    </cfRule>
  </conditionalFormatting>
  <conditionalFormatting sqref="E12:E411">
    <cfRule type="expression" priority="10" aboveAverage="0" equalAverage="0" bottom="0" percent="0" rank="0" text="" dxfId="7">
      <formula>E12="Not Started"</formula>
    </cfRule>
    <cfRule type="expression" priority="11" aboveAverage="0" equalAverage="0" bottom="0" percent="0" rank="0" text="" dxfId="8">
      <formula>E12="In Progress"</formula>
    </cfRule>
    <cfRule type="expression" priority="12" aboveAverage="0" equalAverage="0" bottom="0" percent="0" rank="0" text="" dxfId="9">
      <formula>E12="Blocked"</formula>
    </cfRule>
    <cfRule type="expression" priority="13" aboveAverage="0" equalAverage="0" bottom="0" percent="0" rank="0" text="" dxfId="10">
      <formula>E12="Complete"</formula>
    </cfRule>
    <cfRule type="expression" priority="14" aboveAverage="0" equalAverage="0" bottom="0" percent="0" rank="0" text="" dxfId="6">
      <formula>E12="Partially Completed"</formula>
    </cfRule>
  </conditionalFormatting>
  <conditionalFormatting sqref="G12:G411">
    <cfRule type="expression" priority="15" aboveAverage="0" equalAverage="0" bottom="0" percent="0" rank="0" text="" dxfId="11">
      <formula>AND(ISNUMBER($G12),$G12&lt;TODAY(),$E12&lt;&gt;"Complete")</formula>
    </cfRule>
  </conditionalFormatting>
  <conditionalFormatting sqref="B12:D411 F12:G411">
    <cfRule type="expression" priority="16" aboveAverage="0" equalAverage="0" bottom="0" percent="0" rank="0" text="" dxfId="12">
      <formula>AND($B12&lt;&gt;"",ISERROR(FIND(".",$B12)))</formula>
    </cfRule>
  </conditionalFormatting>
  <dataValidations count="5">
    <dataValidation allowBlank="true" errorStyle="stop" operator="between" showDropDown="false" showErrorMessage="false" showInputMessage="false" sqref="C4" type="list">
      <formula1>"All,G1 ED305 live digital twin,G2 SCooP dataset &amp; paper,Shared SCooP testbed,Dual-Link Communication,Semantic Communication"</formula1>
      <formula2>0</formula2>
    </dataValidation>
    <dataValidation allowBlank="true" errorStyle="stop" operator="between" showDropDown="false" showErrorMessage="false" showInputMessage="false" sqref="C5" type="list">
      <formula1>"All,Testbed,SCooP dataset,SCooP paper &amp; benchmarks,Milestone,Sensors &amp; platform,GS-SLAM,Scene detection,Isaac Sim,Sionna RT,Dual-link,Semantic comm"</formula1>
      <formula2>0</formula2>
    </dataValidation>
    <dataValidation allowBlank="true" errorStyle="stop" operator="between" showDropDown="false" showErrorMessage="false" showInputMessage="false" sqref="C6" type="list">
      <formula1>"All,Sensors &amp; platform,GS-SLAM,Scene detection,Isaac Sim,Sionna RT,SCooP dataset,Dual-link comms,Semantic comms,All (integration)"</formula1>
      <formula2>0</formula2>
    </dataValidation>
    <dataValidation allowBlank="true" errorStyle="stop" operator="between" showDropDown="false" showErrorMessage="false" showInputMessage="false" sqref="C7" type="list">
      <formula1>Lists!$K$4:$K$13</formula1>
      <formula2>0</formula2>
    </dataValidation>
    <dataValidation allowBlank="true" errorStyle="stop" operator="between" showDropDown="false" showErrorMessage="false" showInputMessage="false" sqref="C8" type="list">
      <formula1>"All,Open (not Complete),Not Started,In Progress,Blocked,Complete,Partially Completed"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4" min="4" style="0" width="38"/>
    <col collapsed="false" customWidth="true" hidden="false" outlineLevel="0" max="5" min="5" style="0" width="44"/>
    <col collapsed="false" customWidth="true" hidden="false" outlineLevel="0" max="6" min="6" style="0" width="17"/>
    <col collapsed="false" customWidth="true" hidden="false" outlineLevel="0" max="7" min="7" style="0" width="13"/>
    <col collapsed="false" customWidth="true" hidden="false" outlineLevel="0" max="8" min="8" style="0" width="15"/>
    <col collapsed="false" customWidth="true" hidden="false" outlineLevel="0" max="9" min="9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18"/>
    <col collapsed="false" customWidth="true" hidden="false" outlineLevel="0" max="13" min="13" style="0" width="36"/>
    <col collapsed="false" customWidth="true" hidden="false" outlineLevel="0" max="14" min="14" style="0" width="20"/>
    <col collapsed="false" customWidth="true" hidden="false" outlineLevel="0" max="15" min="15" style="0" width="30"/>
    <col collapsed="false" customWidth="true" hidden="false" outlineLevel="0" max="16" min="16" style="0" width="26"/>
    <col collapsed="false" customWidth="true" hidden="true" outlineLevel="0" max="18" min="17" style="0" width="9"/>
  </cols>
  <sheetData>
    <row r="1" customFormat="false" ht="17.35" hidden="false" customHeight="false" outlineLevel="0" collapsed="false">
      <c r="A1" s="1" t="s">
        <v>3</v>
      </c>
    </row>
    <row r="2" customFormat="false" ht="15" hidden="false" customHeight="false" outlineLevel="0" collapsed="false">
      <c r="A2" s="2" t="s">
        <v>98</v>
      </c>
    </row>
    <row r="3" customFormat="false" ht="30" hidden="false" customHeight="true" outlineLevel="0" collapsed="false">
      <c r="A3" s="19" t="s">
        <v>93</v>
      </c>
      <c r="B3" s="19" t="s">
        <v>45</v>
      </c>
      <c r="C3" s="19" t="s">
        <v>87</v>
      </c>
      <c r="D3" s="19" t="s">
        <v>94</v>
      </c>
      <c r="E3" s="19" t="s">
        <v>99</v>
      </c>
      <c r="F3" s="19" t="s">
        <v>60</v>
      </c>
      <c r="G3" s="19" t="s">
        <v>61</v>
      </c>
      <c r="H3" s="19" t="s">
        <v>89</v>
      </c>
      <c r="I3" s="19" t="s">
        <v>96</v>
      </c>
      <c r="J3" s="19" t="s">
        <v>100</v>
      </c>
      <c r="K3" s="19" t="s">
        <v>97</v>
      </c>
      <c r="L3" s="19" t="s">
        <v>101</v>
      </c>
      <c r="M3" s="19" t="s">
        <v>102</v>
      </c>
      <c r="N3" s="19" t="s">
        <v>103</v>
      </c>
      <c r="O3" s="19" t="s">
        <v>104</v>
      </c>
      <c r="P3" s="19" t="s">
        <v>105</v>
      </c>
      <c r="Q3" s="20" t="s">
        <v>106</v>
      </c>
      <c r="R3" s="20" t="s">
        <v>107</v>
      </c>
    </row>
    <row r="4" customFormat="false" ht="46.25" hidden="false" customHeight="false" outlineLevel="0" collapsed="false">
      <c r="A4" s="21" t="s">
        <v>108</v>
      </c>
      <c r="B4" s="21" t="s">
        <v>57</v>
      </c>
      <c r="C4" s="21" t="s">
        <v>109</v>
      </c>
      <c r="D4" s="4" t="s">
        <v>110</v>
      </c>
      <c r="E4" s="4" t="s">
        <v>111</v>
      </c>
      <c r="F4" s="21" t="s">
        <v>62</v>
      </c>
      <c r="G4" s="22" t="str">
        <f aca="false">IF($F4="","",IFERROR(INDEX(Lists!$B$4:$B$12,MATCH($F4,Lists!$A$4:$A$12,0)),""))</f>
        <v>TBD</v>
      </c>
      <c r="H4" s="21" t="s">
        <v>46</v>
      </c>
      <c r="I4" s="23" t="n">
        <v>46307</v>
      </c>
      <c r="J4" s="21" t="n">
        <v>2</v>
      </c>
      <c r="K4" s="24" t="n">
        <f aca="false">IF(OR($I4="",$J4=""),"",$I4+7*$J4-3)</f>
        <v>46318</v>
      </c>
      <c r="L4" s="21"/>
      <c r="M4" s="4" t="s">
        <v>112</v>
      </c>
      <c r="N4" s="21"/>
      <c r="O4" s="4"/>
      <c r="P4" s="21"/>
      <c r="Q4" s="2" t="n">
        <f aca="false">IF($A4="",0,IF(AND(OR(View!$C$4="All",View!$C$4="",$B4=View!$C$4),OR(View!$C$5="All",View!$C$5="",$C4=View!$C$5),OR(View!$C$6="All",View!$C$6="",$F4=View!$C$6),OR(View!$C$7="All",View!$C$7="",$G4=View!$C$7),OR(View!$C$8="All",View!$C$8="",$H4=View!$C$8,AND(View!$C$8="Open (not Complete)",$H4&lt;&gt;"Complete")),OR(View!$C$9="",ISNUMBER(SEARCH(View!$C$9,$D4&amp;" "&amp;$E4)))),1,0))</f>
        <v>1</v>
      </c>
      <c r="R4" s="2" t="n">
        <f aca="false">IF($Q4=1,COUNTIF($Q$4:$Q4,1),"")</f>
        <v>1</v>
      </c>
    </row>
    <row r="5" customFormat="false" ht="35.05" hidden="false" customHeight="false" outlineLevel="0" collapsed="false">
      <c r="A5" s="21" t="s">
        <v>113</v>
      </c>
      <c r="B5" s="21" t="s">
        <v>57</v>
      </c>
      <c r="C5" s="21" t="s">
        <v>109</v>
      </c>
      <c r="D5" s="4" t="s">
        <v>114</v>
      </c>
      <c r="E5" s="4" t="s">
        <v>115</v>
      </c>
      <c r="F5" s="21" t="s">
        <v>62</v>
      </c>
      <c r="G5" s="22" t="str">
        <f aca="false">IF($F5="","",IFERROR(INDEX(Lists!$B$4:$B$12,MATCH($F5,Lists!$A$4:$A$12,0)),""))</f>
        <v>TBD</v>
      </c>
      <c r="H5" s="21" t="s">
        <v>47</v>
      </c>
      <c r="I5" s="23" t="n">
        <v>46195</v>
      </c>
      <c r="J5" s="21" t="n">
        <v>2</v>
      </c>
      <c r="K5" s="24" t="n">
        <f aca="false">IF(OR($I5="",$J5=""),"",$I5+7*$J5-3)</f>
        <v>46206</v>
      </c>
      <c r="L5" s="21"/>
      <c r="M5" s="4" t="s">
        <v>116</v>
      </c>
      <c r="N5" s="21"/>
      <c r="O5" s="4"/>
      <c r="P5" s="21" t="s">
        <v>117</v>
      </c>
      <c r="Q5" s="2" t="n">
        <f aca="false">IF($A5="",0,IF(AND(OR(View!$C$4="All",View!$C$4="",$B5=View!$C$4),OR(View!$C$5="All",View!$C$5="",$C5=View!$C$5),OR(View!$C$6="All",View!$C$6="",$F5=View!$C$6),OR(View!$C$7="All",View!$C$7="",$G5=View!$C$7),OR(View!$C$8="All",View!$C$8="",$H5=View!$C$8,AND(View!$C$8="Open (not Complete)",$H5&lt;&gt;"Complete")),OR(View!$C$9="",ISNUMBER(SEARCH(View!$C$9,$D5&amp;" "&amp;$E5)))),1,0))</f>
        <v>1</v>
      </c>
      <c r="R5" s="2" t="n">
        <f aca="false">IF($Q5=1,COUNTIF($Q$4:$Q5,1),"")</f>
        <v>2</v>
      </c>
    </row>
    <row r="6" customFormat="false" ht="35.05" hidden="false" customHeight="false" outlineLevel="0" collapsed="false">
      <c r="A6" s="21" t="s">
        <v>118</v>
      </c>
      <c r="B6" s="21" t="s">
        <v>57</v>
      </c>
      <c r="C6" s="21" t="s">
        <v>109</v>
      </c>
      <c r="D6" s="4" t="s">
        <v>119</v>
      </c>
      <c r="E6" s="4" t="s">
        <v>120</v>
      </c>
      <c r="F6" s="21" t="s">
        <v>62</v>
      </c>
      <c r="G6" s="22" t="str">
        <f aca="false">IF($F6="","",IFERROR(INDEX(Lists!$B$4:$B$12,MATCH($F6,Lists!$A$4:$A$12,0)),""))</f>
        <v>TBD</v>
      </c>
      <c r="H6" s="21" t="s">
        <v>47</v>
      </c>
      <c r="I6" s="23" t="n">
        <v>46195</v>
      </c>
      <c r="J6" s="21" t="n">
        <v>2</v>
      </c>
      <c r="K6" s="24" t="n">
        <f aca="false">IF(OR($I6="",$J6=""),"",$I6+7*$J6-3)</f>
        <v>46206</v>
      </c>
      <c r="L6" s="21"/>
      <c r="M6" s="4"/>
      <c r="N6" s="21"/>
      <c r="O6" s="4"/>
      <c r="P6" s="21" t="s">
        <v>121</v>
      </c>
      <c r="Q6" s="2" t="n">
        <f aca="false">IF($A6="",0,IF(AND(OR(View!$C$4="All",View!$C$4="",$B6=View!$C$4),OR(View!$C$5="All",View!$C$5="",$C6=View!$C$5),OR(View!$C$6="All",View!$C$6="",$F6=View!$C$6),OR(View!$C$7="All",View!$C$7="",$G6=View!$C$7),OR(View!$C$8="All",View!$C$8="",$H6=View!$C$8,AND(View!$C$8="Open (not Complete)",$H6&lt;&gt;"Complete")),OR(View!$C$9="",ISNUMBER(SEARCH(View!$C$9,$D6&amp;" "&amp;$E6)))),1,0))</f>
        <v>1</v>
      </c>
      <c r="R6" s="2" t="n">
        <f aca="false">IF($Q6=1,COUNTIF($Q$4:$Q6,1),"")</f>
        <v>3</v>
      </c>
    </row>
    <row r="7" customFormat="false" ht="15" hidden="false" customHeight="false" outlineLevel="0" collapsed="false">
      <c r="A7" s="21" t="s">
        <v>122</v>
      </c>
      <c r="B7" s="21" t="s">
        <v>57</v>
      </c>
      <c r="C7" s="21" t="s">
        <v>109</v>
      </c>
      <c r="D7" s="4" t="s">
        <v>123</v>
      </c>
      <c r="E7" s="4" t="s">
        <v>124</v>
      </c>
      <c r="F7" s="21" t="s">
        <v>62</v>
      </c>
      <c r="G7" s="22" t="str">
        <f aca="false">IF($F7="","",IFERROR(INDEX(Lists!$B$4:$B$12,MATCH($F7,Lists!$A$4:$A$12,0)),""))</f>
        <v>TBD</v>
      </c>
      <c r="H7" s="21"/>
      <c r="I7" s="23"/>
      <c r="J7" s="21"/>
      <c r="K7" s="24" t="str">
        <f aca="false">IF(OR($I7="",$J7=""),"",$I7+7*$J7-3)</f>
        <v/>
      </c>
      <c r="L7" s="21"/>
      <c r="M7" s="4"/>
      <c r="N7" s="21"/>
      <c r="O7" s="4" t="s">
        <v>125</v>
      </c>
      <c r="P7" s="21" t="s">
        <v>126</v>
      </c>
      <c r="Q7" s="2" t="n">
        <f aca="false">IF($A7="",0,IF(AND(OR(View!$C$4="All",View!$C$4="",$B7=View!$C$4),OR(View!$C$5="All",View!$C$5="",$C7=View!$C$5),OR(View!$C$6="All",View!$C$6="",$F7=View!$C$6),OR(View!$C$7="All",View!$C$7="",$G7=View!$C$7),OR(View!$C$8="All",View!$C$8="",$H7=View!$C$8,AND(View!$C$8="Open (not Complete)",$H7&lt;&gt;"Complete")),OR(View!$C$9="",ISNUMBER(SEARCH(View!$C$9,$D7&amp;" "&amp;$E7)))),1,0))</f>
        <v>1</v>
      </c>
      <c r="R7" s="2" t="n">
        <f aca="false">IF($Q7=1,COUNTIF($Q$4:$Q7,1),"")</f>
        <v>4</v>
      </c>
    </row>
    <row r="8" customFormat="false" ht="15" hidden="false" customHeight="false" outlineLevel="0" collapsed="false">
      <c r="A8" s="21" t="s">
        <v>127</v>
      </c>
      <c r="B8" s="21" t="s">
        <v>57</v>
      </c>
      <c r="C8" s="21" t="s">
        <v>109</v>
      </c>
      <c r="D8" s="4" t="s">
        <v>128</v>
      </c>
      <c r="E8" s="4" t="s">
        <v>124</v>
      </c>
      <c r="F8" s="21" t="s">
        <v>62</v>
      </c>
      <c r="G8" s="22" t="str">
        <f aca="false">IF($F8="","",IFERROR(INDEX(Lists!$B$4:$B$12,MATCH($F8,Lists!$A$4:$A$12,0)),""))</f>
        <v>TBD</v>
      </c>
      <c r="H8" s="21"/>
      <c r="I8" s="23"/>
      <c r="J8" s="21"/>
      <c r="K8" s="24" t="str">
        <f aca="false">IF(OR($I8="",$J8=""),"",$I8+7*$J8-3)</f>
        <v/>
      </c>
      <c r="L8" s="21"/>
      <c r="M8" s="4"/>
      <c r="N8" s="21"/>
      <c r="O8" s="4" t="s">
        <v>125</v>
      </c>
      <c r="P8" s="21" t="s">
        <v>126</v>
      </c>
      <c r="Q8" s="2" t="n">
        <f aca="false">IF($A8="",0,IF(AND(OR(View!$C$4="All",View!$C$4="",$B8=View!$C$4),OR(View!$C$5="All",View!$C$5="",$C8=View!$C$5),OR(View!$C$6="All",View!$C$6="",$F8=View!$C$6),OR(View!$C$7="All",View!$C$7="",$G8=View!$C$7),OR(View!$C$8="All",View!$C$8="",$H8=View!$C$8,AND(View!$C$8="Open (not Complete)",$H8&lt;&gt;"Complete")),OR(View!$C$9="",ISNUMBER(SEARCH(View!$C$9,$D8&amp;" "&amp;$E8)))),1,0))</f>
        <v>1</v>
      </c>
      <c r="R8" s="2" t="n">
        <f aca="false">IF($Q8=1,COUNTIF($Q$4:$Q8,1),"")</f>
        <v>5</v>
      </c>
    </row>
    <row r="9" customFormat="false" ht="15" hidden="false" customHeight="false" outlineLevel="0" collapsed="false">
      <c r="A9" s="21" t="s">
        <v>129</v>
      </c>
      <c r="B9" s="21" t="s">
        <v>57</v>
      </c>
      <c r="C9" s="21" t="s">
        <v>109</v>
      </c>
      <c r="D9" s="4" t="s">
        <v>130</v>
      </c>
      <c r="E9" s="4" t="s">
        <v>124</v>
      </c>
      <c r="F9" s="21" t="s">
        <v>62</v>
      </c>
      <c r="G9" s="22" t="str">
        <f aca="false">IF($F9="","",IFERROR(INDEX(Lists!$B$4:$B$12,MATCH($F9,Lists!$A$4:$A$12,0)),""))</f>
        <v>TBD</v>
      </c>
      <c r="H9" s="21"/>
      <c r="I9" s="23"/>
      <c r="J9" s="21"/>
      <c r="K9" s="24" t="str">
        <f aca="false">IF(OR($I9="",$J9=""),"",$I9+7*$J9-3)</f>
        <v/>
      </c>
      <c r="L9" s="21"/>
      <c r="M9" s="4"/>
      <c r="N9" s="21"/>
      <c r="O9" s="4" t="s">
        <v>125</v>
      </c>
      <c r="P9" s="21" t="s">
        <v>126</v>
      </c>
      <c r="Q9" s="2" t="n">
        <f aca="false">IF($A9="",0,IF(AND(OR(View!$C$4="All",View!$C$4="",$B9=View!$C$4),OR(View!$C$5="All",View!$C$5="",$C9=View!$C$5),OR(View!$C$6="All",View!$C$6="",$F9=View!$C$6),OR(View!$C$7="All",View!$C$7="",$G9=View!$C$7),OR(View!$C$8="All",View!$C$8="",$H9=View!$C$8,AND(View!$C$8="Open (not Complete)",$H9&lt;&gt;"Complete")),OR(View!$C$9="",ISNUMBER(SEARCH(View!$C$9,$D9&amp;" "&amp;$E9)))),1,0))</f>
        <v>1</v>
      </c>
      <c r="R9" s="2" t="n">
        <f aca="false">IF($Q9=1,COUNTIF($Q$4:$Q9,1),"")</f>
        <v>6</v>
      </c>
    </row>
    <row r="10" customFormat="false" ht="15" hidden="false" customHeight="false" outlineLevel="0" collapsed="false">
      <c r="A10" s="21" t="s">
        <v>131</v>
      </c>
      <c r="B10" s="21" t="s">
        <v>57</v>
      </c>
      <c r="C10" s="21" t="s">
        <v>109</v>
      </c>
      <c r="D10" s="4" t="s">
        <v>132</v>
      </c>
      <c r="E10" s="4" t="s">
        <v>124</v>
      </c>
      <c r="F10" s="21" t="s">
        <v>62</v>
      </c>
      <c r="G10" s="22" t="str">
        <f aca="false">IF($F10="","",IFERROR(INDEX(Lists!$B$4:$B$12,MATCH($F10,Lists!$A$4:$A$12,0)),""))</f>
        <v>TBD</v>
      </c>
      <c r="H10" s="21"/>
      <c r="I10" s="23"/>
      <c r="J10" s="21"/>
      <c r="K10" s="24" t="str">
        <f aca="false">IF(OR($I10="",$J10=""),"",$I10+7*$J10-3)</f>
        <v/>
      </c>
      <c r="L10" s="21"/>
      <c r="M10" s="4"/>
      <c r="N10" s="21"/>
      <c r="O10" s="4" t="s">
        <v>125</v>
      </c>
      <c r="P10" s="21" t="s">
        <v>126</v>
      </c>
      <c r="Q10" s="2" t="n">
        <f aca="false">IF($A10="",0,IF(AND(OR(View!$C$4="All",View!$C$4="",$B10=View!$C$4),OR(View!$C$5="All",View!$C$5="",$C10=View!$C$5),OR(View!$C$6="All",View!$C$6="",$F10=View!$C$6),OR(View!$C$7="All",View!$C$7="",$G10=View!$C$7),OR(View!$C$8="All",View!$C$8="",$H10=View!$C$8,AND(View!$C$8="Open (not Complete)",$H10&lt;&gt;"Complete")),OR(View!$C$9="",ISNUMBER(SEARCH(View!$C$9,$D10&amp;" "&amp;$E10)))),1,0))</f>
        <v>1</v>
      </c>
      <c r="R10" s="2" t="n">
        <f aca="false">IF($Q10=1,COUNTIF($Q$4:$Q10,1),"")</f>
        <v>7</v>
      </c>
    </row>
    <row r="11" customFormat="false" ht="15" hidden="false" customHeight="false" outlineLevel="0" collapsed="false">
      <c r="A11" s="21" t="s">
        <v>133</v>
      </c>
      <c r="B11" s="21" t="s">
        <v>57</v>
      </c>
      <c r="C11" s="21" t="s">
        <v>109</v>
      </c>
      <c r="D11" s="4" t="s">
        <v>134</v>
      </c>
      <c r="E11" s="4" t="s">
        <v>124</v>
      </c>
      <c r="F11" s="21" t="s">
        <v>62</v>
      </c>
      <c r="G11" s="22" t="str">
        <f aca="false">IF($F11="","",IFERROR(INDEX(Lists!$B$4:$B$12,MATCH($F11,Lists!$A$4:$A$12,0)),""))</f>
        <v>TBD</v>
      </c>
      <c r="H11" s="21"/>
      <c r="I11" s="23"/>
      <c r="J11" s="21"/>
      <c r="K11" s="24" t="str">
        <f aca="false">IF(OR($I11="",$J11=""),"",$I11+7*$J11-3)</f>
        <v/>
      </c>
      <c r="L11" s="21"/>
      <c r="M11" s="4"/>
      <c r="N11" s="21"/>
      <c r="O11" s="4" t="s">
        <v>125</v>
      </c>
      <c r="P11" s="21" t="s">
        <v>126</v>
      </c>
      <c r="Q11" s="2" t="n">
        <f aca="false">IF($A11="",0,IF(AND(OR(View!$C$4="All",View!$C$4="",$B11=View!$C$4),OR(View!$C$5="All",View!$C$5="",$C11=View!$C$5),OR(View!$C$6="All",View!$C$6="",$F11=View!$C$6),OR(View!$C$7="All",View!$C$7="",$G11=View!$C$7),OR(View!$C$8="All",View!$C$8="",$H11=View!$C$8,AND(View!$C$8="Open (not Complete)",$H11&lt;&gt;"Complete")),OR(View!$C$9="",ISNUMBER(SEARCH(View!$C$9,$D11&amp;" "&amp;$E11)))),1,0))</f>
        <v>1</v>
      </c>
      <c r="R11" s="2" t="n">
        <f aca="false">IF($Q11=1,COUNTIF($Q$4:$Q11,1),"")</f>
        <v>8</v>
      </c>
    </row>
    <row r="12" customFormat="false" ht="46.25" hidden="false" customHeight="false" outlineLevel="0" collapsed="false">
      <c r="A12" s="21" t="s">
        <v>135</v>
      </c>
      <c r="B12" s="21" t="s">
        <v>57</v>
      </c>
      <c r="C12" s="21" t="s">
        <v>109</v>
      </c>
      <c r="D12" s="4" t="s">
        <v>136</v>
      </c>
      <c r="E12" s="4" t="s">
        <v>137</v>
      </c>
      <c r="F12" s="21" t="s">
        <v>62</v>
      </c>
      <c r="G12" s="22" t="str">
        <f aca="false">IF($F12="","",IFERROR(INDEX(Lists!$B$4:$B$12,MATCH($F12,Lists!$A$4:$A$12,0)),""))</f>
        <v>TBD</v>
      </c>
      <c r="H12" s="21" t="s">
        <v>47</v>
      </c>
      <c r="I12" s="23" t="n">
        <v>46202</v>
      </c>
      <c r="J12" s="21" t="n">
        <v>1</v>
      </c>
      <c r="K12" s="24" t="n">
        <f aca="false">IF(OR($I12="",$J12=""),"",$I12+7*$J12-3)</f>
        <v>46206</v>
      </c>
      <c r="L12" s="21"/>
      <c r="M12" s="4" t="s">
        <v>138</v>
      </c>
      <c r="N12" s="21"/>
      <c r="O12" s="4"/>
      <c r="P12" s="21" t="s">
        <v>139</v>
      </c>
      <c r="Q12" s="2" t="n">
        <f aca="false">IF($A12="",0,IF(AND(OR(View!$C$4="All",View!$C$4="",$B12=View!$C$4),OR(View!$C$5="All",View!$C$5="",$C12=View!$C$5),OR(View!$C$6="All",View!$C$6="",$F12=View!$C$6),OR(View!$C$7="All",View!$C$7="",$G12=View!$C$7),OR(View!$C$8="All",View!$C$8="",$H12=View!$C$8,AND(View!$C$8="Open (not Complete)",$H12&lt;&gt;"Complete")),OR(View!$C$9="",ISNUMBER(SEARCH(View!$C$9,$D12&amp;" "&amp;$E12)))),1,0))</f>
        <v>1</v>
      </c>
      <c r="R12" s="2" t="n">
        <f aca="false">IF($Q12=1,COUNTIF($Q$4:$Q12,1),"")</f>
        <v>9</v>
      </c>
    </row>
    <row r="13" customFormat="false" ht="23.85" hidden="false" customHeight="false" outlineLevel="0" collapsed="false">
      <c r="A13" s="21" t="s">
        <v>140</v>
      </c>
      <c r="B13" s="21" t="s">
        <v>57</v>
      </c>
      <c r="C13" s="21" t="s">
        <v>109</v>
      </c>
      <c r="D13" s="4" t="s">
        <v>141</v>
      </c>
      <c r="E13" s="4" t="s">
        <v>142</v>
      </c>
      <c r="F13" s="21" t="s">
        <v>62</v>
      </c>
      <c r="G13" s="22" t="str">
        <f aca="false">IF($F13="","",IFERROR(INDEX(Lists!$B$4:$B$12,MATCH($F13,Lists!$A$4:$A$12,0)),""))</f>
        <v>TBD</v>
      </c>
      <c r="H13" s="21" t="s">
        <v>47</v>
      </c>
      <c r="I13" s="23" t="n">
        <v>46307</v>
      </c>
      <c r="J13" s="21" t="n">
        <v>2</v>
      </c>
      <c r="K13" s="24" t="n">
        <f aca="false">IF(OR($I13="",$J13=""),"",$I13+7*$J13-3)</f>
        <v>46318</v>
      </c>
      <c r="L13" s="21"/>
      <c r="M13" s="4" t="s">
        <v>143</v>
      </c>
      <c r="N13" s="21"/>
      <c r="O13" s="4"/>
      <c r="P13" s="21"/>
      <c r="Q13" s="2" t="n">
        <f aca="false">IF($A13="",0,IF(AND(OR(View!$C$4="All",View!$C$4="",$B13=View!$C$4),OR(View!$C$5="All",View!$C$5="",$C13=View!$C$5),OR(View!$C$6="All",View!$C$6="",$F13=View!$C$6),OR(View!$C$7="All",View!$C$7="",$G13=View!$C$7),OR(View!$C$8="All",View!$C$8="",$H13=View!$C$8,AND(View!$C$8="Open (not Complete)",$H13&lt;&gt;"Complete")),OR(View!$C$9="",ISNUMBER(SEARCH(View!$C$9,$D13&amp;" "&amp;$E13)))),1,0))</f>
        <v>1</v>
      </c>
      <c r="R13" s="2" t="n">
        <f aca="false">IF($Q13=1,COUNTIF($Q$4:$Q13,1),"")</f>
        <v>10</v>
      </c>
    </row>
    <row r="14" customFormat="false" ht="23.85" hidden="false" customHeight="false" outlineLevel="0" collapsed="false">
      <c r="A14" s="21" t="s">
        <v>144</v>
      </c>
      <c r="B14" s="21" t="s">
        <v>57</v>
      </c>
      <c r="C14" s="21" t="s">
        <v>109</v>
      </c>
      <c r="D14" s="4" t="s">
        <v>145</v>
      </c>
      <c r="E14" s="4" t="s">
        <v>146</v>
      </c>
      <c r="F14" s="21" t="s">
        <v>62</v>
      </c>
      <c r="G14" s="22" t="str">
        <f aca="false">IF($F14="","",IFERROR(INDEX(Lists!$B$4:$B$12,MATCH($F14,Lists!$A$4:$A$12,0)),""))</f>
        <v>TBD</v>
      </c>
      <c r="H14" s="21" t="s">
        <v>46</v>
      </c>
      <c r="I14" s="23" t="n">
        <v>46307</v>
      </c>
      <c r="J14" s="21" t="n">
        <v>2</v>
      </c>
      <c r="K14" s="24" t="n">
        <f aca="false">IF(OR($I14="",$J14=""),"",$I14+7*$J14-3)</f>
        <v>46318</v>
      </c>
      <c r="L14" s="21" t="s">
        <v>140</v>
      </c>
      <c r="M14" s="4" t="s">
        <v>147</v>
      </c>
      <c r="N14" s="21"/>
      <c r="O14" s="4"/>
      <c r="P14" s="21"/>
      <c r="Q14" s="2" t="n">
        <f aca="false">IF($A14="",0,IF(AND(OR(View!$C$4="All",View!$C$4="",$B14=View!$C$4),OR(View!$C$5="All",View!$C$5="",$C14=View!$C$5),OR(View!$C$6="All",View!$C$6="",$F14=View!$C$6),OR(View!$C$7="All",View!$C$7="",$G14=View!$C$7),OR(View!$C$8="All",View!$C$8="",$H14=View!$C$8,AND(View!$C$8="Open (not Complete)",$H14&lt;&gt;"Complete")),OR(View!$C$9="",ISNUMBER(SEARCH(View!$C$9,$D14&amp;" "&amp;$E14)))),1,0))</f>
        <v>1</v>
      </c>
      <c r="R14" s="2" t="n">
        <f aca="false">IF($Q14=1,COUNTIF($Q$4:$Q14,1),"")</f>
        <v>11</v>
      </c>
    </row>
    <row r="15" customFormat="false" ht="23.85" hidden="false" customHeight="false" outlineLevel="0" collapsed="false">
      <c r="A15" s="21" t="s">
        <v>148</v>
      </c>
      <c r="B15" s="21" t="s">
        <v>56</v>
      </c>
      <c r="C15" s="21" t="s">
        <v>67</v>
      </c>
      <c r="D15" s="4" t="s">
        <v>149</v>
      </c>
      <c r="E15" s="4" t="s">
        <v>150</v>
      </c>
      <c r="F15" s="21" t="s">
        <v>67</v>
      </c>
      <c r="G15" s="22" t="str">
        <f aca="false">IF($F15="","",IFERROR(INDEX(Lists!$B$4:$B$12,MATCH($F15,Lists!$A$4:$A$12,0)),""))</f>
        <v>TBD</v>
      </c>
      <c r="H15" s="21" t="s">
        <v>50</v>
      </c>
      <c r="I15" s="23" t="n">
        <v>46314</v>
      </c>
      <c r="J15" s="21" t="n">
        <v>6</v>
      </c>
      <c r="K15" s="24" t="n">
        <f aca="false">IF(OR($I15="",$J15=""),"",$I15+7*$J15-3)</f>
        <v>46353</v>
      </c>
      <c r="L15" s="21" t="s">
        <v>151</v>
      </c>
      <c r="M15" s="4" t="s">
        <v>152</v>
      </c>
      <c r="N15" s="21"/>
      <c r="O15" s="4" t="s">
        <v>153</v>
      </c>
      <c r="P15" s="21" t="s">
        <v>154</v>
      </c>
      <c r="Q15" s="2" t="n">
        <f aca="false">IF($A15="",0,IF(AND(OR(View!$C$4="All",View!$C$4="",$B15=View!$C$4),OR(View!$C$5="All",View!$C$5="",$C15=View!$C$5),OR(View!$C$6="All",View!$C$6="",$F15=View!$C$6),OR(View!$C$7="All",View!$C$7="",$G15=View!$C$7),OR(View!$C$8="All",View!$C$8="",$H15=View!$C$8,AND(View!$C$8="Open (not Complete)",$H15&lt;&gt;"Complete")),OR(View!$C$9="",ISNUMBER(SEARCH(View!$C$9,$D15&amp;" "&amp;$E15)))),1,0))</f>
        <v>1</v>
      </c>
      <c r="R15" s="2" t="n">
        <f aca="false">IF($Q15=1,COUNTIF($Q$4:$Q15,1),"")</f>
        <v>12</v>
      </c>
    </row>
    <row r="16" customFormat="false" ht="23.85" hidden="false" customHeight="false" outlineLevel="0" collapsed="false">
      <c r="A16" s="21" t="s">
        <v>155</v>
      </c>
      <c r="B16" s="21" t="s">
        <v>56</v>
      </c>
      <c r="C16" s="21" t="s">
        <v>67</v>
      </c>
      <c r="D16" s="4" t="s">
        <v>156</v>
      </c>
      <c r="E16" s="4" t="s">
        <v>157</v>
      </c>
      <c r="F16" s="21" t="s">
        <v>67</v>
      </c>
      <c r="G16" s="22" t="str">
        <f aca="false">IF($F16="","",IFERROR(INDEX(Lists!$B$4:$B$12,MATCH($F16,Lists!$A$4:$A$12,0)),""))</f>
        <v>TBD</v>
      </c>
      <c r="H16" s="21" t="s">
        <v>50</v>
      </c>
      <c r="I16" s="23" t="n">
        <v>46202</v>
      </c>
      <c r="J16" s="21" t="n">
        <v>1</v>
      </c>
      <c r="K16" s="24" t="n">
        <f aca="false">IF(OR($I16="",$J16=""),"",$I16+7*$J16-3)</f>
        <v>46206</v>
      </c>
      <c r="L16" s="21"/>
      <c r="M16" s="4"/>
      <c r="N16" s="21"/>
      <c r="O16" s="4" t="s">
        <v>158</v>
      </c>
      <c r="P16" s="21" t="s">
        <v>159</v>
      </c>
      <c r="Q16" s="2" t="n">
        <f aca="false">IF($A16="",0,IF(AND(OR(View!$C$4="All",View!$C$4="",$B16=View!$C$4),OR(View!$C$5="All",View!$C$5="",$C16=View!$C$5),OR(View!$C$6="All",View!$C$6="",$F16=View!$C$6),OR(View!$C$7="All",View!$C$7="",$G16=View!$C$7),OR(View!$C$8="All",View!$C$8="",$H16=View!$C$8,AND(View!$C$8="Open (not Complete)",$H16&lt;&gt;"Complete")),OR(View!$C$9="",ISNUMBER(SEARCH(View!$C$9,$D16&amp;" "&amp;$E16)))),1,0))</f>
        <v>1</v>
      </c>
      <c r="R16" s="2" t="n">
        <f aca="false">IF($Q16=1,COUNTIF($Q$4:$Q16,1),"")</f>
        <v>13</v>
      </c>
    </row>
    <row r="17" customFormat="false" ht="23.85" hidden="false" customHeight="false" outlineLevel="0" collapsed="false">
      <c r="A17" s="21" t="s">
        <v>160</v>
      </c>
      <c r="B17" s="21" t="s">
        <v>56</v>
      </c>
      <c r="C17" s="21" t="s">
        <v>67</v>
      </c>
      <c r="D17" s="4" t="s">
        <v>161</v>
      </c>
      <c r="E17" s="4" t="s">
        <v>162</v>
      </c>
      <c r="F17" s="21" t="s">
        <v>67</v>
      </c>
      <c r="G17" s="22" t="str">
        <f aca="false">IF($F17="","",IFERROR(INDEX(Lists!$B$4:$B$12,MATCH($F17,Lists!$A$4:$A$12,0)),""))</f>
        <v>TBD</v>
      </c>
      <c r="H17" s="21" t="s">
        <v>46</v>
      </c>
      <c r="I17" s="23"/>
      <c r="J17" s="21"/>
      <c r="K17" s="24" t="str">
        <f aca="false">IF(OR($I17="",$J17=""),"",$I17+7*$J17-3)</f>
        <v/>
      </c>
      <c r="L17" s="21"/>
      <c r="M17" s="4"/>
      <c r="N17" s="21"/>
      <c r="O17" s="4" t="s">
        <v>163</v>
      </c>
      <c r="P17" s="21" t="s">
        <v>164</v>
      </c>
      <c r="Q17" s="2" t="n">
        <f aca="false">IF($A17="",0,IF(AND(OR(View!$C$4="All",View!$C$4="",$B17=View!$C$4),OR(View!$C$5="All",View!$C$5="",$C17=View!$C$5),OR(View!$C$6="All",View!$C$6="",$F17=View!$C$6),OR(View!$C$7="All",View!$C$7="",$G17=View!$C$7),OR(View!$C$8="All",View!$C$8="",$H17=View!$C$8,AND(View!$C$8="Open (not Complete)",$H17&lt;&gt;"Complete")),OR(View!$C$9="",ISNUMBER(SEARCH(View!$C$9,$D17&amp;" "&amp;$E17)))),1,0))</f>
        <v>1</v>
      </c>
      <c r="R17" s="2" t="n">
        <f aca="false">IF($Q17=1,COUNTIF($Q$4:$Q17,1),"")</f>
        <v>14</v>
      </c>
    </row>
    <row r="18" customFormat="false" ht="15" hidden="false" customHeight="false" outlineLevel="0" collapsed="false">
      <c r="A18" s="21" t="s">
        <v>165</v>
      </c>
      <c r="B18" s="21" t="s">
        <v>56</v>
      </c>
      <c r="C18" s="21" t="s">
        <v>67</v>
      </c>
      <c r="D18" s="4" t="s">
        <v>166</v>
      </c>
      <c r="E18" s="4" t="s">
        <v>167</v>
      </c>
      <c r="F18" s="21" t="s">
        <v>67</v>
      </c>
      <c r="G18" s="22" t="str">
        <f aca="false">IF($F18="","",IFERROR(INDEX(Lists!$B$4:$B$12,MATCH($F18,Lists!$A$4:$A$12,0)),""))</f>
        <v>TBD</v>
      </c>
      <c r="H18" s="21" t="s">
        <v>46</v>
      </c>
      <c r="I18" s="23" t="n">
        <v>46321</v>
      </c>
      <c r="J18" s="21" t="n">
        <v>4</v>
      </c>
      <c r="K18" s="24" t="n">
        <f aca="false">IF(OR($I18="",$J18=""),"",$I18+7*$J18-3)</f>
        <v>46346</v>
      </c>
      <c r="L18" s="21" t="s">
        <v>144</v>
      </c>
      <c r="M18" s="4"/>
      <c r="N18" s="21"/>
      <c r="O18" s="4"/>
      <c r="P18" s="21"/>
      <c r="Q18" s="2" t="n">
        <f aca="false">IF($A18="",0,IF(AND(OR(View!$C$4="All",View!$C$4="",$B18=View!$C$4),OR(View!$C$5="All",View!$C$5="",$C18=View!$C$5),OR(View!$C$6="All",View!$C$6="",$F18=View!$C$6),OR(View!$C$7="All",View!$C$7="",$G18=View!$C$7),OR(View!$C$8="All",View!$C$8="",$H18=View!$C$8,AND(View!$C$8="Open (not Complete)",$H18&lt;&gt;"Complete")),OR(View!$C$9="",ISNUMBER(SEARCH(View!$C$9,$D18&amp;" "&amp;$E18)))),1,0))</f>
        <v>1</v>
      </c>
      <c r="R18" s="2" t="n">
        <f aca="false">IF($Q18=1,COUNTIF($Q$4:$Q18,1),"")</f>
        <v>15</v>
      </c>
    </row>
    <row r="19" customFormat="false" ht="35.05" hidden="false" customHeight="false" outlineLevel="0" collapsed="false">
      <c r="A19" s="21" t="s">
        <v>168</v>
      </c>
      <c r="B19" s="21" t="s">
        <v>56</v>
      </c>
      <c r="C19" s="21" t="s">
        <v>67</v>
      </c>
      <c r="D19" s="4" t="s">
        <v>169</v>
      </c>
      <c r="E19" s="4" t="s">
        <v>170</v>
      </c>
      <c r="F19" s="21" t="s">
        <v>67</v>
      </c>
      <c r="G19" s="22" t="str">
        <f aca="false">IF($F19="","",IFERROR(INDEX(Lists!$B$4:$B$12,MATCH($F19,Lists!$A$4:$A$12,0)),""))</f>
        <v>TBD</v>
      </c>
      <c r="H19" s="21"/>
      <c r="I19" s="23" t="n">
        <v>46314</v>
      </c>
      <c r="J19" s="21" t="n">
        <v>1</v>
      </c>
      <c r="K19" s="24" t="n">
        <f aca="false">IF(OR($I19="",$J19=""),"",$I19+7*$J19-3)</f>
        <v>46318</v>
      </c>
      <c r="L19" s="21"/>
      <c r="M19" s="4"/>
      <c r="N19" s="21"/>
      <c r="O19" s="4" t="s">
        <v>125</v>
      </c>
      <c r="P19" s="21" t="s">
        <v>171</v>
      </c>
      <c r="Q19" s="2" t="n">
        <f aca="false">IF($A19="",0,IF(AND(OR(View!$C$4="All",View!$C$4="",$B19=View!$C$4),OR(View!$C$5="All",View!$C$5="",$C19=View!$C$5),OR(View!$C$6="All",View!$C$6="",$F19=View!$C$6),OR(View!$C$7="All",View!$C$7="",$G19=View!$C$7),OR(View!$C$8="All",View!$C$8="",$H19=View!$C$8,AND(View!$C$8="Open (not Complete)",$H19&lt;&gt;"Complete")),OR(View!$C$9="",ISNUMBER(SEARCH(View!$C$9,$D19&amp;" "&amp;$E19)))),1,0))</f>
        <v>1</v>
      </c>
      <c r="R19" s="2" t="n">
        <f aca="false">IF($Q19=1,COUNTIF($Q$4:$Q19,1),"")</f>
        <v>16</v>
      </c>
    </row>
    <row r="20" customFormat="false" ht="23.85" hidden="false" customHeight="false" outlineLevel="0" collapsed="false">
      <c r="A20" s="21" t="s">
        <v>172</v>
      </c>
      <c r="B20" s="21" t="s">
        <v>56</v>
      </c>
      <c r="C20" s="21" t="s">
        <v>67</v>
      </c>
      <c r="D20" s="4" t="s">
        <v>173</v>
      </c>
      <c r="E20" s="4" t="s">
        <v>174</v>
      </c>
      <c r="F20" s="21" t="s">
        <v>67</v>
      </c>
      <c r="G20" s="22" t="str">
        <f aca="false">IF($F20="","",IFERROR(INDEX(Lists!$B$4:$B$12,MATCH($F20,Lists!$A$4:$A$12,0)),""))</f>
        <v>TBD</v>
      </c>
      <c r="H20" s="21"/>
      <c r="I20" s="23" t="n">
        <v>46314</v>
      </c>
      <c r="J20" s="21" t="n">
        <v>1</v>
      </c>
      <c r="K20" s="24" t="n">
        <f aca="false">IF(OR($I20="",$J20=""),"",$I20+7*$J20-3)</f>
        <v>46318</v>
      </c>
      <c r="L20" s="21"/>
      <c r="M20" s="4"/>
      <c r="N20" s="21"/>
      <c r="O20" s="4" t="s">
        <v>125</v>
      </c>
      <c r="P20" s="21" t="s">
        <v>171</v>
      </c>
      <c r="Q20" s="2" t="n">
        <f aca="false">IF($A20="",0,IF(AND(OR(View!$C$4="All",View!$C$4="",$B20=View!$C$4),OR(View!$C$5="All",View!$C$5="",$C20=View!$C$5),OR(View!$C$6="All",View!$C$6="",$F20=View!$C$6),OR(View!$C$7="All",View!$C$7="",$G20=View!$C$7),OR(View!$C$8="All",View!$C$8="",$H20=View!$C$8,AND(View!$C$8="Open (not Complete)",$H20&lt;&gt;"Complete")),OR(View!$C$9="",ISNUMBER(SEARCH(View!$C$9,$D20&amp;" "&amp;$E20)))),1,0))</f>
        <v>1</v>
      </c>
      <c r="R20" s="2" t="n">
        <f aca="false">IF($Q20=1,COUNTIF($Q$4:$Q20,1),"")</f>
        <v>17</v>
      </c>
    </row>
    <row r="21" customFormat="false" ht="35.05" hidden="false" customHeight="false" outlineLevel="0" collapsed="false">
      <c r="A21" s="21" t="s">
        <v>175</v>
      </c>
      <c r="B21" s="21" t="s">
        <v>56</v>
      </c>
      <c r="C21" s="21" t="s">
        <v>67</v>
      </c>
      <c r="D21" s="4" t="s">
        <v>176</v>
      </c>
      <c r="E21" s="4" t="s">
        <v>177</v>
      </c>
      <c r="F21" s="21" t="s">
        <v>67</v>
      </c>
      <c r="G21" s="22" t="str">
        <f aca="false">IF($F21="","",IFERROR(INDEX(Lists!$B$4:$B$12,MATCH($F21,Lists!$A$4:$A$12,0)),""))</f>
        <v>TBD</v>
      </c>
      <c r="H21" s="21" t="s">
        <v>47</v>
      </c>
      <c r="I21" s="23" t="n">
        <v>46307</v>
      </c>
      <c r="J21" s="21" t="n">
        <v>10</v>
      </c>
      <c r="K21" s="24" t="n">
        <f aca="false">IF(OR($I21="",$J21=""),"",$I21+7*$J21-3)</f>
        <v>46374</v>
      </c>
      <c r="L21" s="21"/>
      <c r="M21" s="4" t="s">
        <v>178</v>
      </c>
      <c r="N21" s="21"/>
      <c r="O21" s="4" t="s">
        <v>179</v>
      </c>
      <c r="P21" s="21" t="s">
        <v>180</v>
      </c>
      <c r="Q21" s="2" t="n">
        <f aca="false">IF($A21="",0,IF(AND(OR(View!$C$4="All",View!$C$4="",$B21=View!$C$4),OR(View!$C$5="All",View!$C$5="",$C21=View!$C$5),OR(View!$C$6="All",View!$C$6="",$F21=View!$C$6),OR(View!$C$7="All",View!$C$7="",$G21=View!$C$7),OR(View!$C$8="All",View!$C$8="",$H21=View!$C$8,AND(View!$C$8="Open (not Complete)",$H21&lt;&gt;"Complete")),OR(View!$C$9="",ISNUMBER(SEARCH(View!$C$9,$D21&amp;" "&amp;$E21)))),1,0))</f>
        <v>1</v>
      </c>
      <c r="R21" s="2" t="n">
        <f aca="false">IF($Q21=1,COUNTIF($Q$4:$Q21,1),"")</f>
        <v>18</v>
      </c>
    </row>
    <row r="22" customFormat="false" ht="15" hidden="false" customHeight="false" outlineLevel="0" collapsed="false">
      <c r="A22" s="21" t="s">
        <v>181</v>
      </c>
      <c r="B22" s="21" t="s">
        <v>56</v>
      </c>
      <c r="C22" s="21" t="s">
        <v>67</v>
      </c>
      <c r="D22" s="4" t="s">
        <v>182</v>
      </c>
      <c r="E22" s="4" t="s">
        <v>183</v>
      </c>
      <c r="F22" s="21" t="s">
        <v>67</v>
      </c>
      <c r="G22" s="22" t="str">
        <f aca="false">IF($F22="","",IFERROR(INDEX(Lists!$B$4:$B$12,MATCH($F22,Lists!$A$4:$A$12,0)),""))</f>
        <v>TBD</v>
      </c>
      <c r="H22" s="21" t="s">
        <v>47</v>
      </c>
      <c r="I22" s="23" t="n">
        <v>46202</v>
      </c>
      <c r="J22" s="21" t="n">
        <v>1</v>
      </c>
      <c r="K22" s="24" t="n">
        <f aca="false">IF(OR($I22="",$J22=""),"",$I22+7*$J22-3)</f>
        <v>46206</v>
      </c>
      <c r="L22" s="21"/>
      <c r="M22" s="4"/>
      <c r="N22" s="21"/>
      <c r="O22" s="4"/>
      <c r="P22" s="21" t="s">
        <v>184</v>
      </c>
      <c r="Q22" s="2" t="n">
        <f aca="false">IF($A22="",0,IF(AND(OR(View!$C$4="All",View!$C$4="",$B22=View!$C$4),OR(View!$C$5="All",View!$C$5="",$C22=View!$C$5),OR(View!$C$6="All",View!$C$6="",$F22=View!$C$6),OR(View!$C$7="All",View!$C$7="",$G22=View!$C$7),OR(View!$C$8="All",View!$C$8="",$H22=View!$C$8,AND(View!$C$8="Open (not Complete)",$H22&lt;&gt;"Complete")),OR(View!$C$9="",ISNUMBER(SEARCH(View!$C$9,$D22&amp;" "&amp;$E22)))),1,0))</f>
        <v>1</v>
      </c>
      <c r="R22" s="2" t="n">
        <f aca="false">IF($Q22=1,COUNTIF($Q$4:$Q22,1),"")</f>
        <v>19</v>
      </c>
    </row>
    <row r="23" customFormat="false" ht="15" hidden="false" customHeight="false" outlineLevel="0" collapsed="false">
      <c r="A23" s="21" t="s">
        <v>185</v>
      </c>
      <c r="B23" s="21" t="s">
        <v>56</v>
      </c>
      <c r="C23" s="21" t="s">
        <v>67</v>
      </c>
      <c r="D23" s="4" t="s">
        <v>186</v>
      </c>
      <c r="E23" s="4" t="s">
        <v>187</v>
      </c>
      <c r="F23" s="21" t="s">
        <v>67</v>
      </c>
      <c r="G23" s="22" t="str">
        <f aca="false">IF($F23="","",IFERROR(INDEX(Lists!$B$4:$B$12,MATCH($F23,Lists!$A$4:$A$12,0)),""))</f>
        <v>TBD</v>
      </c>
      <c r="H23" s="21" t="s">
        <v>46</v>
      </c>
      <c r="I23" s="23" t="n">
        <v>46202</v>
      </c>
      <c r="J23" s="21" t="n">
        <v>1</v>
      </c>
      <c r="K23" s="24" t="n">
        <f aca="false">IF(OR($I23="",$J23=""),"",$I23+7*$J23-3)</f>
        <v>46206</v>
      </c>
      <c r="L23" s="21"/>
      <c r="M23" s="4"/>
      <c r="N23" s="21"/>
      <c r="O23" s="4"/>
      <c r="P23" s="21" t="s">
        <v>188</v>
      </c>
      <c r="Q23" s="2" t="n">
        <f aca="false">IF($A23="",0,IF(AND(OR(View!$C$4="All",View!$C$4="",$B23=View!$C$4),OR(View!$C$5="All",View!$C$5="",$C23=View!$C$5),OR(View!$C$6="All",View!$C$6="",$F23=View!$C$6),OR(View!$C$7="All",View!$C$7="",$G23=View!$C$7),OR(View!$C$8="All",View!$C$8="",$H23=View!$C$8,AND(View!$C$8="Open (not Complete)",$H23&lt;&gt;"Complete")),OR(View!$C$9="",ISNUMBER(SEARCH(View!$C$9,$D23&amp;" "&amp;$E23)))),1,0))</f>
        <v>1</v>
      </c>
      <c r="R23" s="2" t="n">
        <f aca="false">IF($Q23=1,COUNTIF($Q$4:$Q23,1),"")</f>
        <v>20</v>
      </c>
    </row>
    <row r="24" customFormat="false" ht="23.85" hidden="false" customHeight="false" outlineLevel="0" collapsed="false">
      <c r="A24" s="21" t="s">
        <v>189</v>
      </c>
      <c r="B24" s="21" t="s">
        <v>56</v>
      </c>
      <c r="C24" s="21" t="s">
        <v>67</v>
      </c>
      <c r="D24" s="4" t="s">
        <v>190</v>
      </c>
      <c r="E24" s="4" t="s">
        <v>191</v>
      </c>
      <c r="F24" s="21" t="s">
        <v>67</v>
      </c>
      <c r="G24" s="22" t="str">
        <f aca="false">IF($F24="","",IFERROR(INDEX(Lists!$B$4:$B$12,MATCH($F24,Lists!$A$4:$A$12,0)),""))</f>
        <v>TBD</v>
      </c>
      <c r="H24" s="21" t="s">
        <v>47</v>
      </c>
      <c r="I24" s="23" t="n">
        <v>46307</v>
      </c>
      <c r="J24" s="21" t="n">
        <v>8</v>
      </c>
      <c r="K24" s="24" t="n">
        <f aca="false">IF(OR($I24="",$J24=""),"",$I24+7*$J24-3)</f>
        <v>46360</v>
      </c>
      <c r="L24" s="21"/>
      <c r="M24" s="4" t="s">
        <v>192</v>
      </c>
      <c r="N24" s="21"/>
      <c r="O24" s="4" t="s">
        <v>193</v>
      </c>
      <c r="P24" s="21"/>
      <c r="Q24" s="2" t="n">
        <f aca="false">IF($A24="",0,IF(AND(OR(View!$C$4="All",View!$C$4="",$B24=View!$C$4),OR(View!$C$5="All",View!$C$5="",$C24=View!$C$5),OR(View!$C$6="All",View!$C$6="",$F24=View!$C$6),OR(View!$C$7="All",View!$C$7="",$G24=View!$C$7),OR(View!$C$8="All",View!$C$8="",$H24=View!$C$8,AND(View!$C$8="Open (not Complete)",$H24&lt;&gt;"Complete")),OR(View!$C$9="",ISNUMBER(SEARCH(View!$C$9,$D24&amp;" "&amp;$E24)))),1,0))</f>
        <v>1</v>
      </c>
      <c r="R24" s="2" t="n">
        <f aca="false">IF($Q24=1,COUNTIF($Q$4:$Q24,1),"")</f>
        <v>21</v>
      </c>
    </row>
    <row r="25" customFormat="false" ht="23.85" hidden="false" customHeight="false" outlineLevel="0" collapsed="false">
      <c r="A25" s="21" t="s">
        <v>194</v>
      </c>
      <c r="B25" s="21" t="s">
        <v>56</v>
      </c>
      <c r="C25" s="21" t="s">
        <v>67</v>
      </c>
      <c r="D25" s="4" t="s">
        <v>195</v>
      </c>
      <c r="E25" s="4" t="s">
        <v>196</v>
      </c>
      <c r="F25" s="21" t="s">
        <v>67</v>
      </c>
      <c r="G25" s="22" t="str">
        <f aca="false">IF($F25="","",IFERROR(INDEX(Lists!$B$4:$B$12,MATCH($F25,Lists!$A$4:$A$12,0)),""))</f>
        <v>TBD</v>
      </c>
      <c r="H25" s="21" t="s">
        <v>46</v>
      </c>
      <c r="I25" s="23" t="n">
        <v>46202</v>
      </c>
      <c r="J25" s="21" t="n">
        <v>1</v>
      </c>
      <c r="K25" s="24" t="n">
        <f aca="false">IF(OR($I25="",$J25=""),"",$I25+7*$J25-3)</f>
        <v>46206</v>
      </c>
      <c r="L25" s="21"/>
      <c r="M25" s="4"/>
      <c r="N25" s="21"/>
      <c r="O25" s="4"/>
      <c r="P25" s="21" t="s">
        <v>197</v>
      </c>
      <c r="Q25" s="2" t="n">
        <f aca="false">IF($A25="",0,IF(AND(OR(View!$C$4="All",View!$C$4="",$B25=View!$C$4),OR(View!$C$5="All",View!$C$5="",$C25=View!$C$5),OR(View!$C$6="All",View!$C$6="",$F25=View!$C$6),OR(View!$C$7="All",View!$C$7="",$G25=View!$C$7),OR(View!$C$8="All",View!$C$8="",$H25=View!$C$8,AND(View!$C$8="Open (not Complete)",$H25&lt;&gt;"Complete")),OR(View!$C$9="",ISNUMBER(SEARCH(View!$C$9,$D25&amp;" "&amp;$E25)))),1,0))</f>
        <v>1</v>
      </c>
      <c r="R25" s="2" t="n">
        <f aca="false">IF($Q25=1,COUNTIF($Q$4:$Q25,1),"")</f>
        <v>22</v>
      </c>
    </row>
    <row r="26" customFormat="false" ht="23.85" hidden="false" customHeight="false" outlineLevel="0" collapsed="false">
      <c r="A26" s="21" t="s">
        <v>198</v>
      </c>
      <c r="B26" s="21" t="s">
        <v>56</v>
      </c>
      <c r="C26" s="21" t="s">
        <v>67</v>
      </c>
      <c r="D26" s="4" t="s">
        <v>199</v>
      </c>
      <c r="E26" s="4" t="s">
        <v>200</v>
      </c>
      <c r="F26" s="21" t="s">
        <v>67</v>
      </c>
      <c r="G26" s="22" t="str">
        <f aca="false">IF($F26="","",IFERROR(INDEX(Lists!$B$4:$B$12,MATCH($F26,Lists!$A$4:$A$12,0)),""))</f>
        <v>TBD</v>
      </c>
      <c r="H26" s="21" t="s">
        <v>46</v>
      </c>
      <c r="I26" s="23" t="n">
        <v>46209</v>
      </c>
      <c r="J26" s="21" t="n">
        <v>2</v>
      </c>
      <c r="K26" s="24" t="n">
        <f aca="false">IF(OR($I26="",$J26=""),"",$I26+7*$J26-3)</f>
        <v>46220</v>
      </c>
      <c r="L26" s="21"/>
      <c r="M26" s="4"/>
      <c r="N26" s="21"/>
      <c r="O26" s="4" t="s">
        <v>201</v>
      </c>
      <c r="P26" s="21" t="s">
        <v>202</v>
      </c>
      <c r="Q26" s="2" t="n">
        <f aca="false">IF($A26="",0,IF(AND(OR(View!$C$4="All",View!$C$4="",$B26=View!$C$4),OR(View!$C$5="All",View!$C$5="",$C26=View!$C$5),OR(View!$C$6="All",View!$C$6="",$F26=View!$C$6),OR(View!$C$7="All",View!$C$7="",$G26=View!$C$7),OR(View!$C$8="All",View!$C$8="",$H26=View!$C$8,AND(View!$C$8="Open (not Complete)",$H26&lt;&gt;"Complete")),OR(View!$C$9="",ISNUMBER(SEARCH(View!$C$9,$D26&amp;" "&amp;$E26)))),1,0))</f>
        <v>1</v>
      </c>
      <c r="R26" s="2" t="n">
        <f aca="false">IF($Q26=1,COUNTIF($Q$4:$Q26,1),"")</f>
        <v>23</v>
      </c>
    </row>
    <row r="27" customFormat="false" ht="35.05" hidden="false" customHeight="false" outlineLevel="0" collapsed="false">
      <c r="A27" s="21" t="s">
        <v>203</v>
      </c>
      <c r="B27" s="21" t="s">
        <v>56</v>
      </c>
      <c r="C27" s="21" t="s">
        <v>67</v>
      </c>
      <c r="D27" s="4" t="s">
        <v>204</v>
      </c>
      <c r="E27" s="4" t="s">
        <v>205</v>
      </c>
      <c r="F27" s="21" t="s">
        <v>67</v>
      </c>
      <c r="G27" s="22" t="str">
        <f aca="false">IF($F27="","",IFERROR(INDEX(Lists!$B$4:$B$12,MATCH($F27,Lists!$A$4:$A$12,0)),""))</f>
        <v>TBD</v>
      </c>
      <c r="H27" s="21" t="s">
        <v>47</v>
      </c>
      <c r="I27" s="23" t="n">
        <v>46307</v>
      </c>
      <c r="J27" s="21" t="n">
        <v>6</v>
      </c>
      <c r="K27" s="24" t="n">
        <f aca="false">IF(OR($I27="",$J27=""),"",$I27+7*$J27-3)</f>
        <v>46346</v>
      </c>
      <c r="L27" s="21" t="s">
        <v>189</v>
      </c>
      <c r="M27" s="4" t="s">
        <v>206</v>
      </c>
      <c r="N27" s="21"/>
      <c r="O27" s="4" t="s">
        <v>207</v>
      </c>
      <c r="P27" s="21"/>
      <c r="Q27" s="2" t="n">
        <f aca="false">IF($A27="",0,IF(AND(OR(View!$C$4="All",View!$C$4="",$B27=View!$C$4),OR(View!$C$5="All",View!$C$5="",$C27=View!$C$5),OR(View!$C$6="All",View!$C$6="",$F27=View!$C$6),OR(View!$C$7="All",View!$C$7="",$G27=View!$C$7),OR(View!$C$8="All",View!$C$8="",$H27=View!$C$8,AND(View!$C$8="Open (not Complete)",$H27&lt;&gt;"Complete")),OR(View!$C$9="",ISNUMBER(SEARCH(View!$C$9,$D27&amp;" "&amp;$E27)))),1,0))</f>
        <v>1</v>
      </c>
      <c r="R27" s="2" t="n">
        <f aca="false">IF($Q27=1,COUNTIF($Q$4:$Q27,1),"")</f>
        <v>24</v>
      </c>
    </row>
    <row r="28" customFormat="false" ht="23.85" hidden="false" customHeight="false" outlineLevel="0" collapsed="false">
      <c r="A28" s="21" t="s">
        <v>208</v>
      </c>
      <c r="B28" s="21" t="s">
        <v>56</v>
      </c>
      <c r="C28" s="21" t="s">
        <v>67</v>
      </c>
      <c r="D28" s="4" t="s">
        <v>209</v>
      </c>
      <c r="E28" s="4" t="s">
        <v>210</v>
      </c>
      <c r="F28" s="21" t="s">
        <v>67</v>
      </c>
      <c r="G28" s="22" t="str">
        <f aca="false">IF($F28="","",IFERROR(INDEX(Lists!$B$4:$B$12,MATCH($F28,Lists!$A$4:$A$12,0)),""))</f>
        <v>TBD</v>
      </c>
      <c r="H28" s="21" t="s">
        <v>46</v>
      </c>
      <c r="I28" s="23" t="n">
        <v>46342</v>
      </c>
      <c r="J28" s="21" t="n">
        <v>3</v>
      </c>
      <c r="K28" s="24" t="n">
        <f aca="false">IF(OR($I28="",$J28=""),"",$I28+7*$J28-3)</f>
        <v>46360</v>
      </c>
      <c r="L28" s="21" t="s">
        <v>203</v>
      </c>
      <c r="M28" s="4" t="s">
        <v>211</v>
      </c>
      <c r="N28" s="21"/>
      <c r="O28" s="4"/>
      <c r="P28" s="21"/>
      <c r="Q28" s="2" t="n">
        <f aca="false">IF($A28="",0,IF(AND(OR(View!$C$4="All",View!$C$4="",$B28=View!$C$4),OR(View!$C$5="All",View!$C$5="",$C28=View!$C$5),OR(View!$C$6="All",View!$C$6="",$F28=View!$C$6),OR(View!$C$7="All",View!$C$7="",$G28=View!$C$7),OR(View!$C$8="All",View!$C$8="",$H28=View!$C$8,AND(View!$C$8="Open (not Complete)",$H28&lt;&gt;"Complete")),OR(View!$C$9="",ISNUMBER(SEARCH(View!$C$9,$D28&amp;" "&amp;$E28)))),1,0))</f>
        <v>1</v>
      </c>
      <c r="R28" s="2" t="n">
        <f aca="false">IF($Q28=1,COUNTIF($Q$4:$Q28,1),"")</f>
        <v>25</v>
      </c>
    </row>
    <row r="29" customFormat="false" ht="23.85" hidden="false" customHeight="false" outlineLevel="0" collapsed="false">
      <c r="A29" s="21" t="s">
        <v>212</v>
      </c>
      <c r="B29" s="21" t="s">
        <v>56</v>
      </c>
      <c r="C29" s="21" t="s">
        <v>67</v>
      </c>
      <c r="D29" s="4" t="s">
        <v>213</v>
      </c>
      <c r="E29" s="4" t="s">
        <v>214</v>
      </c>
      <c r="F29" s="21" t="s">
        <v>67</v>
      </c>
      <c r="G29" s="22" t="str">
        <f aca="false">IF($F29="","",IFERROR(INDEX(Lists!$B$4:$B$12,MATCH($F29,Lists!$A$4:$A$12,0)),""))</f>
        <v>TBD</v>
      </c>
      <c r="H29" s="21" t="s">
        <v>46</v>
      </c>
      <c r="I29" s="23" t="n">
        <v>46335</v>
      </c>
      <c r="J29" s="21" t="n">
        <v>7</v>
      </c>
      <c r="K29" s="24" t="n">
        <f aca="false">IF(OR($I29="",$J29=""),"",$I29+7*$J29-3)</f>
        <v>46381</v>
      </c>
      <c r="L29" s="21" t="s">
        <v>203</v>
      </c>
      <c r="M29" s="4" t="s">
        <v>215</v>
      </c>
      <c r="N29" s="21"/>
      <c r="O29" s="4"/>
      <c r="P29" s="21" t="s">
        <v>216</v>
      </c>
      <c r="Q29" s="2" t="n">
        <f aca="false">IF($A29="",0,IF(AND(OR(View!$C$4="All",View!$C$4="",$B29=View!$C$4),OR(View!$C$5="All",View!$C$5="",$C29=View!$C$5),OR(View!$C$6="All",View!$C$6="",$F29=View!$C$6),OR(View!$C$7="All",View!$C$7="",$G29=View!$C$7),OR(View!$C$8="All",View!$C$8="",$H29=View!$C$8,AND(View!$C$8="Open (not Complete)",$H29&lt;&gt;"Complete")),OR(View!$C$9="",ISNUMBER(SEARCH(View!$C$9,$D29&amp;" "&amp;$E29)))),1,0))</f>
        <v>1</v>
      </c>
      <c r="R29" s="2" t="n">
        <f aca="false">IF($Q29=1,COUNTIF($Q$4:$Q29,1),"")</f>
        <v>26</v>
      </c>
    </row>
    <row r="30" customFormat="false" ht="23.85" hidden="false" customHeight="false" outlineLevel="0" collapsed="false">
      <c r="A30" s="21" t="s">
        <v>217</v>
      </c>
      <c r="B30" s="21" t="s">
        <v>56</v>
      </c>
      <c r="C30" s="21" t="s">
        <v>67</v>
      </c>
      <c r="D30" s="4" t="s">
        <v>218</v>
      </c>
      <c r="E30" s="4" t="s">
        <v>219</v>
      </c>
      <c r="F30" s="21" t="s">
        <v>67</v>
      </c>
      <c r="G30" s="22" t="str">
        <f aca="false">IF($F30="","",IFERROR(INDEX(Lists!$B$4:$B$12,MATCH($F30,Lists!$A$4:$A$12,0)),""))</f>
        <v>TBD</v>
      </c>
      <c r="H30" s="21" t="s">
        <v>46</v>
      </c>
      <c r="I30" s="23"/>
      <c r="J30" s="21"/>
      <c r="K30" s="24" t="str">
        <f aca="false">IF(OR($I30="",$J30=""),"",$I30+7*$J30-3)</f>
        <v/>
      </c>
      <c r="L30" s="21"/>
      <c r="M30" s="4"/>
      <c r="N30" s="21"/>
      <c r="O30" s="4" t="s">
        <v>163</v>
      </c>
      <c r="P30" s="21" t="s">
        <v>220</v>
      </c>
      <c r="Q30" s="2" t="n">
        <f aca="false">IF($A30="",0,IF(AND(OR(View!$C$4="All",View!$C$4="",$B30=View!$C$4),OR(View!$C$5="All",View!$C$5="",$C30=View!$C$5),OR(View!$C$6="All",View!$C$6="",$F30=View!$C$6),OR(View!$C$7="All",View!$C$7="",$G30=View!$C$7),OR(View!$C$8="All",View!$C$8="",$H30=View!$C$8,AND(View!$C$8="Open (not Complete)",$H30&lt;&gt;"Complete")),OR(View!$C$9="",ISNUMBER(SEARCH(View!$C$9,$D30&amp;" "&amp;$E30)))),1,0))</f>
        <v>1</v>
      </c>
      <c r="R30" s="2" t="n">
        <f aca="false">IF($Q30=1,COUNTIF($Q$4:$Q30,1),"")</f>
        <v>27</v>
      </c>
    </row>
    <row r="31" customFormat="false" ht="23.85" hidden="false" customHeight="false" outlineLevel="0" collapsed="false">
      <c r="A31" s="21" t="s">
        <v>221</v>
      </c>
      <c r="B31" s="21" t="s">
        <v>56</v>
      </c>
      <c r="C31" s="21" t="s">
        <v>67</v>
      </c>
      <c r="D31" s="4" t="s">
        <v>222</v>
      </c>
      <c r="E31" s="4" t="s">
        <v>223</v>
      </c>
      <c r="F31" s="21" t="s">
        <v>67</v>
      </c>
      <c r="G31" s="22" t="str">
        <f aca="false">IF($F31="","",IFERROR(INDEX(Lists!$B$4:$B$12,MATCH($F31,Lists!$A$4:$A$12,0)),""))</f>
        <v>TBD</v>
      </c>
      <c r="H31" s="21" t="s">
        <v>46</v>
      </c>
      <c r="I31" s="23" t="n">
        <v>46349</v>
      </c>
      <c r="J31" s="21" t="n">
        <v>5</v>
      </c>
      <c r="K31" s="24" t="n">
        <f aca="false">IF(OR($I31="",$J31=""),"",$I31+7*$J31-3)</f>
        <v>46381</v>
      </c>
      <c r="L31" s="21" t="s">
        <v>224</v>
      </c>
      <c r="M31" s="4" t="s">
        <v>225</v>
      </c>
      <c r="N31" s="21"/>
      <c r="O31" s="4"/>
      <c r="P31" s="21"/>
      <c r="Q31" s="2" t="n">
        <f aca="false">IF($A31="",0,IF(AND(OR(View!$C$4="All",View!$C$4="",$B31=View!$C$4),OR(View!$C$5="All",View!$C$5="",$C31=View!$C$5),OR(View!$C$6="All",View!$C$6="",$F31=View!$C$6),OR(View!$C$7="All",View!$C$7="",$G31=View!$C$7),OR(View!$C$8="All",View!$C$8="",$H31=View!$C$8,AND(View!$C$8="Open (not Complete)",$H31&lt;&gt;"Complete")),OR(View!$C$9="",ISNUMBER(SEARCH(View!$C$9,$D31&amp;" "&amp;$E31)))),1,0))</f>
        <v>1</v>
      </c>
      <c r="R31" s="2" t="n">
        <f aca="false">IF($Q31=1,COUNTIF($Q$4:$Q31,1),"")</f>
        <v>28</v>
      </c>
    </row>
    <row r="32" customFormat="false" ht="23.85" hidden="false" customHeight="false" outlineLevel="0" collapsed="false">
      <c r="A32" s="21" t="s">
        <v>226</v>
      </c>
      <c r="B32" s="21" t="s">
        <v>56</v>
      </c>
      <c r="C32" s="21" t="s">
        <v>67</v>
      </c>
      <c r="D32" s="4" t="s">
        <v>227</v>
      </c>
      <c r="E32" s="4" t="s">
        <v>228</v>
      </c>
      <c r="F32" s="21" t="s">
        <v>67</v>
      </c>
      <c r="G32" s="22" t="str">
        <f aca="false">IF($F32="","",IFERROR(INDEX(Lists!$B$4:$B$12,MATCH($F32,Lists!$A$4:$A$12,0)),""))</f>
        <v>TBD</v>
      </c>
      <c r="H32" s="21" t="s">
        <v>46</v>
      </c>
      <c r="I32" s="23" t="n">
        <v>46384</v>
      </c>
      <c r="J32" s="21" t="n">
        <v>5</v>
      </c>
      <c r="K32" s="24" t="n">
        <f aca="false">IF(OR($I32="",$J32=""),"",$I32+7*$J32-3)</f>
        <v>46416</v>
      </c>
      <c r="L32" s="21" t="s">
        <v>229</v>
      </c>
      <c r="M32" s="4" t="s">
        <v>230</v>
      </c>
      <c r="N32" s="21"/>
      <c r="O32" s="4" t="s">
        <v>163</v>
      </c>
      <c r="P32" s="21" t="s">
        <v>231</v>
      </c>
      <c r="Q32" s="2" t="n">
        <f aca="false">IF($A32="",0,IF(AND(OR(View!$C$4="All",View!$C$4="",$B32=View!$C$4),OR(View!$C$5="All",View!$C$5="",$C32=View!$C$5),OR(View!$C$6="All",View!$C$6="",$F32=View!$C$6),OR(View!$C$7="All",View!$C$7="",$G32=View!$C$7),OR(View!$C$8="All",View!$C$8="",$H32=View!$C$8,AND(View!$C$8="Open (not Complete)",$H32&lt;&gt;"Complete")),OR(View!$C$9="",ISNUMBER(SEARCH(View!$C$9,$D32&amp;" "&amp;$E32)))),1,0))</f>
        <v>1</v>
      </c>
      <c r="R32" s="2" t="n">
        <f aca="false">IF($Q32=1,COUNTIF($Q$4:$Q32,1),"")</f>
        <v>29</v>
      </c>
    </row>
    <row r="33" customFormat="false" ht="23.85" hidden="false" customHeight="false" outlineLevel="0" collapsed="false">
      <c r="A33" s="21" t="s">
        <v>232</v>
      </c>
      <c r="B33" s="21" t="s">
        <v>56</v>
      </c>
      <c r="C33" s="21" t="s">
        <v>67</v>
      </c>
      <c r="D33" s="4" t="s">
        <v>233</v>
      </c>
      <c r="E33" s="4" t="s">
        <v>234</v>
      </c>
      <c r="F33" s="21" t="s">
        <v>67</v>
      </c>
      <c r="G33" s="22" t="str">
        <f aca="false">IF($F33="","",IFERROR(INDEX(Lists!$B$4:$B$12,MATCH($F33,Lists!$A$4:$A$12,0)),""))</f>
        <v>TBD</v>
      </c>
      <c r="H33" s="21" t="s">
        <v>46</v>
      </c>
      <c r="I33" s="23"/>
      <c r="J33" s="21"/>
      <c r="K33" s="24" t="str">
        <f aca="false">IF(OR($I33="",$J33=""),"",$I33+7*$J33-3)</f>
        <v/>
      </c>
      <c r="L33" s="21"/>
      <c r="M33" s="4"/>
      <c r="N33" s="21"/>
      <c r="O33" s="4" t="s">
        <v>163</v>
      </c>
      <c r="P33" s="21" t="s">
        <v>235</v>
      </c>
      <c r="Q33" s="2" t="n">
        <f aca="false">IF($A33="",0,IF(AND(OR(View!$C$4="All",View!$C$4="",$B33=View!$C$4),OR(View!$C$5="All",View!$C$5="",$C33=View!$C$5),OR(View!$C$6="All",View!$C$6="",$F33=View!$C$6),OR(View!$C$7="All",View!$C$7="",$G33=View!$C$7),OR(View!$C$8="All",View!$C$8="",$H33=View!$C$8,AND(View!$C$8="Open (not Complete)",$H33&lt;&gt;"Complete")),OR(View!$C$9="",ISNUMBER(SEARCH(View!$C$9,$D33&amp;" "&amp;$E33)))),1,0))</f>
        <v>1</v>
      </c>
      <c r="R33" s="2" t="n">
        <f aca="false">IF($Q33=1,COUNTIF($Q$4:$Q33,1),"")</f>
        <v>30</v>
      </c>
    </row>
    <row r="34" customFormat="false" ht="23.85" hidden="false" customHeight="false" outlineLevel="0" collapsed="false">
      <c r="A34" s="21" t="s">
        <v>236</v>
      </c>
      <c r="B34" s="21" t="s">
        <v>56</v>
      </c>
      <c r="C34" s="21" t="s">
        <v>67</v>
      </c>
      <c r="D34" s="4" t="s">
        <v>237</v>
      </c>
      <c r="E34" s="4" t="s">
        <v>238</v>
      </c>
      <c r="F34" s="21" t="s">
        <v>67</v>
      </c>
      <c r="G34" s="22" t="str">
        <f aca="false">IF($F34="","",IFERROR(INDEX(Lists!$B$4:$B$12,MATCH($F34,Lists!$A$4:$A$12,0)),""))</f>
        <v>TBD</v>
      </c>
      <c r="H34" s="21" t="s">
        <v>46</v>
      </c>
      <c r="I34" s="23" t="n">
        <v>46384</v>
      </c>
      <c r="J34" s="21" t="n">
        <v>4</v>
      </c>
      <c r="K34" s="24" t="n">
        <f aca="false">IF(OR($I34="",$J34=""),"",$I34+7*$J34-3)</f>
        <v>46409</v>
      </c>
      <c r="L34" s="21"/>
      <c r="M34" s="4"/>
      <c r="N34" s="21"/>
      <c r="O34" s="4"/>
      <c r="P34" s="21"/>
      <c r="Q34" s="2" t="n">
        <f aca="false">IF($A34="",0,IF(AND(OR(View!$C$4="All",View!$C$4="",$B34=View!$C$4),OR(View!$C$5="All",View!$C$5="",$C34=View!$C$5),OR(View!$C$6="All",View!$C$6="",$F34=View!$C$6),OR(View!$C$7="All",View!$C$7="",$G34=View!$C$7),OR(View!$C$8="All",View!$C$8="",$H34=View!$C$8,AND(View!$C$8="Open (not Complete)",$H34&lt;&gt;"Complete")),OR(View!$C$9="",ISNUMBER(SEARCH(View!$C$9,$D34&amp;" "&amp;$E34)))),1,0))</f>
        <v>1</v>
      </c>
      <c r="R34" s="2" t="n">
        <f aca="false">IF($Q34=1,COUNTIF($Q$4:$Q34,1),"")</f>
        <v>31</v>
      </c>
    </row>
    <row r="35" customFormat="false" ht="15" hidden="false" customHeight="false" outlineLevel="0" collapsed="false">
      <c r="A35" s="21" t="s">
        <v>239</v>
      </c>
      <c r="B35" s="21" t="s">
        <v>56</v>
      </c>
      <c r="C35" s="21" t="s">
        <v>67</v>
      </c>
      <c r="D35" s="4" t="s">
        <v>240</v>
      </c>
      <c r="E35" s="4"/>
      <c r="F35" s="21" t="s">
        <v>67</v>
      </c>
      <c r="G35" s="22" t="str">
        <f aca="false">IF($F35="","",IFERROR(INDEX(Lists!$B$4:$B$12,MATCH($F35,Lists!$A$4:$A$12,0)),""))</f>
        <v>TBD</v>
      </c>
      <c r="H35" s="21" t="s">
        <v>46</v>
      </c>
      <c r="I35" s="23" t="n">
        <v>46398</v>
      </c>
      <c r="J35" s="21" t="n">
        <v>2</v>
      </c>
      <c r="K35" s="24" t="n">
        <f aca="false">IF(OR($I35="",$J35=""),"",$I35+7*$J35-3)</f>
        <v>46409</v>
      </c>
      <c r="L35" s="21"/>
      <c r="M35" s="4"/>
      <c r="N35" s="21"/>
      <c r="O35" s="4"/>
      <c r="P35" s="21"/>
      <c r="Q35" s="2" t="n">
        <f aca="false">IF($A35="",0,IF(AND(OR(View!$C$4="All",View!$C$4="",$B35=View!$C$4),OR(View!$C$5="All",View!$C$5="",$C35=View!$C$5),OR(View!$C$6="All",View!$C$6="",$F35=View!$C$6),OR(View!$C$7="All",View!$C$7="",$G35=View!$C$7),OR(View!$C$8="All",View!$C$8="",$H35=View!$C$8,AND(View!$C$8="Open (not Complete)",$H35&lt;&gt;"Complete")),OR(View!$C$9="",ISNUMBER(SEARCH(View!$C$9,$D35&amp;" "&amp;$E35)))),1,0))</f>
        <v>1</v>
      </c>
      <c r="R35" s="2" t="n">
        <f aca="false">IF($Q35=1,COUNTIF($Q$4:$Q35,1),"")</f>
        <v>32</v>
      </c>
    </row>
    <row r="36" customFormat="false" ht="23.85" hidden="false" customHeight="false" outlineLevel="0" collapsed="false">
      <c r="A36" s="21" t="s">
        <v>241</v>
      </c>
      <c r="B36" s="21" t="s">
        <v>56</v>
      </c>
      <c r="C36" s="21" t="s">
        <v>242</v>
      </c>
      <c r="D36" s="4" t="s">
        <v>243</v>
      </c>
      <c r="E36" s="4" t="s">
        <v>244</v>
      </c>
      <c r="F36" s="21" t="s">
        <v>67</v>
      </c>
      <c r="G36" s="22" t="str">
        <f aca="false">IF($F36="","",IFERROR(INDEX(Lists!$B$4:$B$12,MATCH($F36,Lists!$A$4:$A$12,0)),""))</f>
        <v>TBD</v>
      </c>
      <c r="H36" s="21" t="s">
        <v>46</v>
      </c>
      <c r="I36" s="23" t="n">
        <v>46314</v>
      </c>
      <c r="J36" s="21" t="n">
        <v>3</v>
      </c>
      <c r="K36" s="24" t="n">
        <f aca="false">IF(OR($I36="",$J36=""),"",$I36+7*$J36-3)</f>
        <v>46332</v>
      </c>
      <c r="L36" s="21" t="s">
        <v>203</v>
      </c>
      <c r="M36" s="4"/>
      <c r="N36" s="21"/>
      <c r="O36" s="4"/>
      <c r="P36" s="21"/>
      <c r="Q36" s="2" t="n">
        <f aca="false">IF($A36="",0,IF(AND(OR(View!$C$4="All",View!$C$4="",$B36=View!$C$4),OR(View!$C$5="All",View!$C$5="",$C36=View!$C$5),OR(View!$C$6="All",View!$C$6="",$F36=View!$C$6),OR(View!$C$7="All",View!$C$7="",$G36=View!$C$7),OR(View!$C$8="All",View!$C$8="",$H36=View!$C$8,AND(View!$C$8="Open (not Complete)",$H36&lt;&gt;"Complete")),OR(View!$C$9="",ISNUMBER(SEARCH(View!$C$9,$D36&amp;" "&amp;$E36)))),1,0))</f>
        <v>1</v>
      </c>
      <c r="R36" s="2" t="n">
        <f aca="false">IF($Q36=1,COUNTIF($Q$4:$Q36,1),"")</f>
        <v>33</v>
      </c>
    </row>
    <row r="37" customFormat="false" ht="23.85" hidden="false" customHeight="false" outlineLevel="0" collapsed="false">
      <c r="A37" s="21" t="s">
        <v>245</v>
      </c>
      <c r="B37" s="21" t="s">
        <v>56</v>
      </c>
      <c r="C37" s="21" t="s">
        <v>242</v>
      </c>
      <c r="D37" s="4" t="s">
        <v>246</v>
      </c>
      <c r="E37" s="4" t="s">
        <v>247</v>
      </c>
      <c r="F37" s="21" t="s">
        <v>67</v>
      </c>
      <c r="G37" s="22" t="str">
        <f aca="false">IF($F37="","",IFERROR(INDEX(Lists!$B$4:$B$12,MATCH($F37,Lists!$A$4:$A$12,0)),""))</f>
        <v>TBD</v>
      </c>
      <c r="H37" s="21" t="s">
        <v>46</v>
      </c>
      <c r="I37" s="23" t="n">
        <v>46342</v>
      </c>
      <c r="J37" s="21" t="n">
        <v>3</v>
      </c>
      <c r="K37" s="24" t="n">
        <f aca="false">IF(OR($I37="",$J37=""),"",$I37+7*$J37-3)</f>
        <v>46360</v>
      </c>
      <c r="L37" s="21" t="s">
        <v>148</v>
      </c>
      <c r="M37" s="4"/>
      <c r="N37" s="21"/>
      <c r="O37" s="4"/>
      <c r="P37" s="21"/>
      <c r="Q37" s="2" t="n">
        <f aca="false">IF($A37="",0,IF(AND(OR(View!$C$4="All",View!$C$4="",$B37=View!$C$4),OR(View!$C$5="All",View!$C$5="",$C37=View!$C$5),OR(View!$C$6="All",View!$C$6="",$F37=View!$C$6),OR(View!$C$7="All",View!$C$7="",$G37=View!$C$7),OR(View!$C$8="All",View!$C$8="",$H37=View!$C$8,AND(View!$C$8="Open (not Complete)",$H37&lt;&gt;"Complete")),OR(View!$C$9="",ISNUMBER(SEARCH(View!$C$9,$D37&amp;" "&amp;$E37)))),1,0))</f>
        <v>1</v>
      </c>
      <c r="R37" s="2" t="n">
        <f aca="false">IF($Q37=1,COUNTIF($Q$4:$Q37,1),"")</f>
        <v>34</v>
      </c>
    </row>
    <row r="38" customFormat="false" ht="15" hidden="false" customHeight="false" outlineLevel="0" collapsed="false">
      <c r="A38" s="21" t="s">
        <v>248</v>
      </c>
      <c r="B38" s="21" t="s">
        <v>56</v>
      </c>
      <c r="C38" s="21" t="s">
        <v>242</v>
      </c>
      <c r="D38" s="4" t="s">
        <v>249</v>
      </c>
      <c r="E38" s="4" t="s">
        <v>250</v>
      </c>
      <c r="F38" s="21" t="s">
        <v>67</v>
      </c>
      <c r="G38" s="22" t="str">
        <f aca="false">IF($F38="","",IFERROR(INDEX(Lists!$B$4:$B$12,MATCH($F38,Lists!$A$4:$A$12,0)),""))</f>
        <v>TBD</v>
      </c>
      <c r="H38" s="21" t="s">
        <v>46</v>
      </c>
      <c r="I38" s="23" t="n">
        <v>46363</v>
      </c>
      <c r="J38" s="21" t="n">
        <v>3</v>
      </c>
      <c r="K38" s="24" t="n">
        <f aca="false">IF(OR($I38="",$J38=""),"",$I38+7*$J38-3)</f>
        <v>46381</v>
      </c>
      <c r="L38" s="21" t="s">
        <v>221</v>
      </c>
      <c r="M38" s="4"/>
      <c r="N38" s="21"/>
      <c r="O38" s="4"/>
      <c r="P38" s="21"/>
      <c r="Q38" s="2" t="n">
        <f aca="false">IF($A38="",0,IF(AND(OR(View!$C$4="All",View!$C$4="",$B38=View!$C$4),OR(View!$C$5="All",View!$C$5="",$C38=View!$C$5),OR(View!$C$6="All",View!$C$6="",$F38=View!$C$6),OR(View!$C$7="All",View!$C$7="",$G38=View!$C$7),OR(View!$C$8="All",View!$C$8="",$H38=View!$C$8,AND(View!$C$8="Open (not Complete)",$H38&lt;&gt;"Complete")),OR(View!$C$9="",ISNUMBER(SEARCH(View!$C$9,$D38&amp;" "&amp;$E38)))),1,0))</f>
        <v>1</v>
      </c>
      <c r="R38" s="2" t="n">
        <f aca="false">IF($Q38=1,COUNTIF($Q$4:$Q38,1),"")</f>
        <v>35</v>
      </c>
    </row>
    <row r="39" customFormat="false" ht="23.85" hidden="false" customHeight="false" outlineLevel="0" collapsed="false">
      <c r="A39" s="21" t="s">
        <v>251</v>
      </c>
      <c r="B39" s="21" t="s">
        <v>56</v>
      </c>
      <c r="C39" s="21" t="s">
        <v>242</v>
      </c>
      <c r="D39" s="4" t="s">
        <v>252</v>
      </c>
      <c r="E39" s="4" t="s">
        <v>253</v>
      </c>
      <c r="F39" s="21" t="s">
        <v>67</v>
      </c>
      <c r="G39" s="22" t="str">
        <f aca="false">IF($F39="","",IFERROR(INDEX(Lists!$B$4:$B$12,MATCH($F39,Lists!$A$4:$A$12,0)),""))</f>
        <v>TBD</v>
      </c>
      <c r="H39" s="21" t="s">
        <v>46</v>
      </c>
      <c r="I39" s="23" t="n">
        <v>46363</v>
      </c>
      <c r="J39" s="21" t="n">
        <v>5</v>
      </c>
      <c r="K39" s="24" t="n">
        <f aca="false">IF(OR($I39="",$J39=""),"",$I39+7*$J39-3)</f>
        <v>46395</v>
      </c>
      <c r="L39" s="21" t="s">
        <v>254</v>
      </c>
      <c r="M39" s="4"/>
      <c r="N39" s="21"/>
      <c r="O39" s="4"/>
      <c r="P39" s="21"/>
      <c r="Q39" s="2" t="n">
        <f aca="false">IF($A39="",0,IF(AND(OR(View!$C$4="All",View!$C$4="",$B39=View!$C$4),OR(View!$C$5="All",View!$C$5="",$C39=View!$C$5),OR(View!$C$6="All",View!$C$6="",$F39=View!$C$6),OR(View!$C$7="All",View!$C$7="",$G39=View!$C$7),OR(View!$C$8="All",View!$C$8="",$H39=View!$C$8,AND(View!$C$8="Open (not Complete)",$H39&lt;&gt;"Complete")),OR(View!$C$9="",ISNUMBER(SEARCH(View!$C$9,$D39&amp;" "&amp;$E39)))),1,0))</f>
        <v>1</v>
      </c>
      <c r="R39" s="2" t="n">
        <f aca="false">IF($Q39=1,COUNTIF($Q$4:$Q39,1),"")</f>
        <v>36</v>
      </c>
    </row>
    <row r="40" customFormat="false" ht="23.85" hidden="false" customHeight="false" outlineLevel="0" collapsed="false">
      <c r="A40" s="21" t="s">
        <v>255</v>
      </c>
      <c r="B40" s="21" t="s">
        <v>56</v>
      </c>
      <c r="C40" s="21" t="s">
        <v>242</v>
      </c>
      <c r="D40" s="4" t="s">
        <v>256</v>
      </c>
      <c r="E40" s="4" t="s">
        <v>257</v>
      </c>
      <c r="F40" s="21" t="s">
        <v>67</v>
      </c>
      <c r="G40" s="22" t="str">
        <f aca="false">IF($F40="","",IFERROR(INDEX(Lists!$B$4:$B$12,MATCH($F40,Lists!$A$4:$A$12,0)),""))</f>
        <v>TBD</v>
      </c>
      <c r="H40" s="21" t="s">
        <v>46</v>
      </c>
      <c r="I40" s="23" t="n">
        <v>46363</v>
      </c>
      <c r="J40" s="21" t="n">
        <v>5</v>
      </c>
      <c r="K40" s="24" t="n">
        <f aca="false">IF(OR($I40="",$J40=""),"",$I40+7*$J40-3)</f>
        <v>46395</v>
      </c>
      <c r="L40" s="21" t="s">
        <v>203</v>
      </c>
      <c r="M40" s="4"/>
      <c r="N40" s="21"/>
      <c r="O40" s="4"/>
      <c r="P40" s="21"/>
      <c r="Q40" s="2" t="n">
        <f aca="false">IF($A40="",0,IF(AND(OR(View!$C$4="All",View!$C$4="",$B40=View!$C$4),OR(View!$C$5="All",View!$C$5="",$C40=View!$C$5),OR(View!$C$6="All",View!$C$6="",$F40=View!$C$6),OR(View!$C$7="All",View!$C$7="",$G40=View!$C$7),OR(View!$C$8="All",View!$C$8="",$H40=View!$C$8,AND(View!$C$8="Open (not Complete)",$H40&lt;&gt;"Complete")),OR(View!$C$9="",ISNUMBER(SEARCH(View!$C$9,$D40&amp;" "&amp;$E40)))),1,0))</f>
        <v>1</v>
      </c>
      <c r="R40" s="2" t="n">
        <f aca="false">IF($Q40=1,COUNTIF($Q$4:$Q40,1),"")</f>
        <v>37</v>
      </c>
    </row>
    <row r="41" customFormat="false" ht="15" hidden="false" customHeight="false" outlineLevel="0" collapsed="false">
      <c r="A41" s="21" t="s">
        <v>258</v>
      </c>
      <c r="B41" s="21" t="s">
        <v>56</v>
      </c>
      <c r="C41" s="21" t="s">
        <v>242</v>
      </c>
      <c r="D41" s="4" t="s">
        <v>259</v>
      </c>
      <c r="E41" s="4" t="s">
        <v>260</v>
      </c>
      <c r="F41" s="21" t="s">
        <v>67</v>
      </c>
      <c r="G41" s="22" t="str">
        <f aca="false">IF($F41="","",IFERROR(INDEX(Lists!$B$4:$B$12,MATCH($F41,Lists!$A$4:$A$12,0)),""))</f>
        <v>TBD</v>
      </c>
      <c r="H41" s="21" t="s">
        <v>46</v>
      </c>
      <c r="I41" s="23" t="n">
        <v>46398</v>
      </c>
      <c r="J41" s="21" t="n">
        <v>2</v>
      </c>
      <c r="K41" s="24" t="n">
        <f aca="false">IF(OR($I41="",$J41=""),"",$I41+7*$J41-3)</f>
        <v>46409</v>
      </c>
      <c r="L41" s="21" t="s">
        <v>261</v>
      </c>
      <c r="M41" s="4"/>
      <c r="N41" s="21"/>
      <c r="O41" s="4"/>
      <c r="P41" s="21"/>
      <c r="Q41" s="2" t="n">
        <f aca="false">IF($A41="",0,IF(AND(OR(View!$C$4="All",View!$C$4="",$B41=View!$C$4),OR(View!$C$5="All",View!$C$5="",$C41=View!$C$5),OR(View!$C$6="All",View!$C$6="",$F41=View!$C$6),OR(View!$C$7="All",View!$C$7="",$G41=View!$C$7),OR(View!$C$8="All",View!$C$8="",$H41=View!$C$8,AND(View!$C$8="Open (not Complete)",$H41&lt;&gt;"Complete")),OR(View!$C$9="",ISNUMBER(SEARCH(View!$C$9,$D41&amp;" "&amp;$E41)))),1,0))</f>
        <v>1</v>
      </c>
      <c r="R41" s="2" t="n">
        <f aca="false">IF($Q41=1,COUNTIF($Q$4:$Q41,1),"")</f>
        <v>38</v>
      </c>
    </row>
    <row r="42" customFormat="false" ht="23.85" hidden="false" customHeight="false" outlineLevel="0" collapsed="false">
      <c r="A42" s="21" t="s">
        <v>262</v>
      </c>
      <c r="B42" s="21" t="s">
        <v>56</v>
      </c>
      <c r="C42" s="21" t="s">
        <v>242</v>
      </c>
      <c r="D42" s="4" t="s">
        <v>263</v>
      </c>
      <c r="E42" s="4" t="s">
        <v>264</v>
      </c>
      <c r="F42" s="21" t="s">
        <v>67</v>
      </c>
      <c r="G42" s="22" t="str">
        <f aca="false">IF($F42="","",IFERROR(INDEX(Lists!$B$4:$B$12,MATCH($F42,Lists!$A$4:$A$12,0)),""))</f>
        <v>TBD</v>
      </c>
      <c r="H42" s="21" t="s">
        <v>46</v>
      </c>
      <c r="I42" s="23" t="n">
        <v>46398</v>
      </c>
      <c r="J42" s="21" t="n">
        <v>4</v>
      </c>
      <c r="K42" s="24" t="n">
        <f aca="false">IF(OR($I42="",$J42=""),"",$I42+7*$J42-3)</f>
        <v>46423</v>
      </c>
      <c r="L42" s="21" t="s">
        <v>258</v>
      </c>
      <c r="M42" s="4"/>
      <c r="N42" s="21"/>
      <c r="O42" s="4"/>
      <c r="P42" s="21"/>
      <c r="Q42" s="2" t="n">
        <f aca="false">IF($A42="",0,IF(AND(OR(View!$C$4="All",View!$C$4="",$B42=View!$C$4),OR(View!$C$5="All",View!$C$5="",$C42=View!$C$5),OR(View!$C$6="All",View!$C$6="",$F42=View!$C$6),OR(View!$C$7="All",View!$C$7="",$G42=View!$C$7),OR(View!$C$8="All",View!$C$8="",$H42=View!$C$8,AND(View!$C$8="Open (not Complete)",$H42&lt;&gt;"Complete")),OR(View!$C$9="",ISNUMBER(SEARCH(View!$C$9,$D42&amp;" "&amp;$E42)))),1,0))</f>
        <v>1</v>
      </c>
      <c r="R42" s="2" t="n">
        <f aca="false">IF($Q42=1,COUNTIF($Q$4:$Q42,1),"")</f>
        <v>39</v>
      </c>
    </row>
    <row r="43" customFormat="false" ht="15" hidden="false" customHeight="false" outlineLevel="0" collapsed="false">
      <c r="A43" s="21" t="s">
        <v>265</v>
      </c>
      <c r="B43" s="21" t="s">
        <v>56</v>
      </c>
      <c r="C43" s="21" t="s">
        <v>266</v>
      </c>
      <c r="D43" s="4" t="s">
        <v>267</v>
      </c>
      <c r="E43" s="4"/>
      <c r="F43" s="21" t="s">
        <v>67</v>
      </c>
      <c r="G43" s="22" t="str">
        <f aca="false">IF($F43="","",IFERROR(INDEX(Lists!$B$4:$B$12,MATCH($F43,Lists!$A$4:$A$12,0)),""))</f>
        <v>TBD</v>
      </c>
      <c r="H43" s="21" t="s">
        <v>46</v>
      </c>
      <c r="I43" s="23" t="n">
        <v>46426</v>
      </c>
      <c r="J43" s="21" t="n">
        <v>1</v>
      </c>
      <c r="K43" s="24" t="n">
        <f aca="false">IF(OR($I43="",$J43=""),"",$I43+7*$J43-3)</f>
        <v>46430</v>
      </c>
      <c r="L43" s="21" t="s">
        <v>268</v>
      </c>
      <c r="M43" s="4"/>
      <c r="N43" s="21"/>
      <c r="O43" s="4"/>
      <c r="P43" s="21"/>
      <c r="Q43" s="2" t="n">
        <f aca="false">IF($A43="",0,IF(AND(OR(View!$C$4="All",View!$C$4="",$B43=View!$C$4),OR(View!$C$5="All",View!$C$5="",$C43=View!$C$5),OR(View!$C$6="All",View!$C$6="",$F43=View!$C$6),OR(View!$C$7="All",View!$C$7="",$G43=View!$C$7),OR(View!$C$8="All",View!$C$8="",$H43=View!$C$8,AND(View!$C$8="Open (not Complete)",$H43&lt;&gt;"Complete")),OR(View!$C$9="",ISNUMBER(SEARCH(View!$C$9,$D43&amp;" "&amp;$E43)))),1,0))</f>
        <v>1</v>
      </c>
      <c r="R43" s="2" t="n">
        <f aca="false">IF($Q43=1,COUNTIF($Q$4:$Q43,1),"")</f>
        <v>40</v>
      </c>
    </row>
    <row r="44" customFormat="false" ht="23.85" hidden="false" customHeight="false" outlineLevel="0" collapsed="false">
      <c r="A44" s="21" t="s">
        <v>269</v>
      </c>
      <c r="B44" s="21" t="s">
        <v>55</v>
      </c>
      <c r="C44" s="21" t="s">
        <v>62</v>
      </c>
      <c r="D44" s="4" t="s">
        <v>270</v>
      </c>
      <c r="E44" s="4" t="s">
        <v>271</v>
      </c>
      <c r="F44" s="21" t="s">
        <v>62</v>
      </c>
      <c r="G44" s="22" t="str">
        <f aca="false">IF($F44="","",IFERROR(INDEX(Lists!$B$4:$B$12,MATCH($F44,Lists!$A$4:$A$12,0)),""))</f>
        <v>TBD</v>
      </c>
      <c r="H44" s="21" t="s">
        <v>46</v>
      </c>
      <c r="I44" s="23" t="n">
        <v>46307</v>
      </c>
      <c r="J44" s="21" t="n">
        <v>2</v>
      </c>
      <c r="K44" s="24" t="n">
        <f aca="false">IF(OR($I44="",$J44=""),"",$I44+7*$J44-3)</f>
        <v>46318</v>
      </c>
      <c r="L44" s="21" t="s">
        <v>108</v>
      </c>
      <c r="M44" s="4"/>
      <c r="N44" s="21"/>
      <c r="O44" s="4"/>
      <c r="P44" s="21"/>
      <c r="Q44" s="2" t="n">
        <f aca="false">IF($A44="",0,IF(AND(OR(View!$C$4="All",View!$C$4="",$B44=View!$C$4),OR(View!$C$5="All",View!$C$5="",$C44=View!$C$5),OR(View!$C$6="All",View!$C$6="",$F44=View!$C$6),OR(View!$C$7="All",View!$C$7="",$G44=View!$C$7),OR(View!$C$8="All",View!$C$8="",$H44=View!$C$8,AND(View!$C$8="Open (not Complete)",$H44&lt;&gt;"Complete")),OR(View!$C$9="",ISNUMBER(SEARCH(View!$C$9,$D44&amp;" "&amp;$E44)))),1,0))</f>
        <v>1</v>
      </c>
      <c r="R44" s="2" t="n">
        <f aca="false">IF($Q44=1,COUNTIF($Q$4:$Q44,1),"")</f>
        <v>41</v>
      </c>
    </row>
    <row r="45" customFormat="false" ht="23.85" hidden="false" customHeight="false" outlineLevel="0" collapsed="false">
      <c r="A45" s="21" t="s">
        <v>272</v>
      </c>
      <c r="B45" s="21" t="s">
        <v>55</v>
      </c>
      <c r="C45" s="21" t="s">
        <v>62</v>
      </c>
      <c r="D45" s="4" t="s">
        <v>273</v>
      </c>
      <c r="E45" s="4" t="s">
        <v>274</v>
      </c>
      <c r="F45" s="21" t="s">
        <v>62</v>
      </c>
      <c r="G45" s="22" t="str">
        <f aca="false">IF($F45="","",IFERROR(INDEX(Lists!$B$4:$B$12,MATCH($F45,Lists!$A$4:$A$12,0)),""))</f>
        <v>TBD</v>
      </c>
      <c r="H45" s="21" t="s">
        <v>46</v>
      </c>
      <c r="I45" s="23" t="n">
        <v>46314</v>
      </c>
      <c r="J45" s="21" t="n">
        <v>4</v>
      </c>
      <c r="K45" s="24" t="n">
        <f aca="false">IF(OR($I45="",$J45=""),"",$I45+7*$J45-3)</f>
        <v>46339</v>
      </c>
      <c r="L45" s="21" t="s">
        <v>275</v>
      </c>
      <c r="M45" s="4" t="s">
        <v>276</v>
      </c>
      <c r="N45" s="21"/>
      <c r="O45" s="4"/>
      <c r="P45" s="21"/>
      <c r="Q45" s="2" t="n">
        <f aca="false">IF($A45="",0,IF(AND(OR(View!$C$4="All",View!$C$4="",$B45=View!$C$4),OR(View!$C$5="All",View!$C$5="",$C45=View!$C$5),OR(View!$C$6="All",View!$C$6="",$F45=View!$C$6),OR(View!$C$7="All",View!$C$7="",$G45=View!$C$7),OR(View!$C$8="All",View!$C$8="",$H45=View!$C$8,AND(View!$C$8="Open (not Complete)",$H45&lt;&gt;"Complete")),OR(View!$C$9="",ISNUMBER(SEARCH(View!$C$9,$D45&amp;" "&amp;$E45)))),1,0))</f>
        <v>1</v>
      </c>
      <c r="R45" s="2" t="n">
        <f aca="false">IF($Q45=1,COUNTIF($Q$4:$Q45,1),"")</f>
        <v>42</v>
      </c>
    </row>
    <row r="46" customFormat="false" ht="35.05" hidden="false" customHeight="false" outlineLevel="0" collapsed="false">
      <c r="A46" s="21" t="s">
        <v>277</v>
      </c>
      <c r="B46" s="21" t="s">
        <v>55</v>
      </c>
      <c r="C46" s="21" t="s">
        <v>62</v>
      </c>
      <c r="D46" s="4" t="s">
        <v>278</v>
      </c>
      <c r="E46" s="4" t="s">
        <v>279</v>
      </c>
      <c r="F46" s="21" t="s">
        <v>62</v>
      </c>
      <c r="G46" s="22" t="str">
        <f aca="false">IF($F46="","",IFERROR(INDEX(Lists!$B$4:$B$12,MATCH($F46,Lists!$A$4:$A$12,0)),""))</f>
        <v>TBD</v>
      </c>
      <c r="H46" s="21" t="s">
        <v>48</v>
      </c>
      <c r="I46" s="23" t="n">
        <v>46307</v>
      </c>
      <c r="J46" s="21" t="n">
        <v>2</v>
      </c>
      <c r="K46" s="24" t="n">
        <f aca="false">IF(OR($I46="",$J46=""),"",$I46+7*$J46-3)</f>
        <v>46318</v>
      </c>
      <c r="L46" s="21"/>
      <c r="M46" s="4" t="s">
        <v>280</v>
      </c>
      <c r="N46" s="21"/>
      <c r="O46" s="4" t="s">
        <v>281</v>
      </c>
      <c r="P46" s="21"/>
      <c r="Q46" s="2" t="n">
        <f aca="false">IF($A46="",0,IF(AND(OR(View!$C$4="All",View!$C$4="",$B46=View!$C$4),OR(View!$C$5="All",View!$C$5="",$C46=View!$C$5),OR(View!$C$6="All",View!$C$6="",$F46=View!$C$6),OR(View!$C$7="All",View!$C$7="",$G46=View!$C$7),OR(View!$C$8="All",View!$C$8="",$H46=View!$C$8,AND(View!$C$8="Open (not Complete)",$H46&lt;&gt;"Complete")),OR(View!$C$9="",ISNUMBER(SEARCH(View!$C$9,$D46&amp;" "&amp;$E46)))),1,0))</f>
        <v>1</v>
      </c>
      <c r="R46" s="2" t="n">
        <f aca="false">IF($Q46=1,COUNTIF($Q$4:$Q46,1),"")</f>
        <v>43</v>
      </c>
    </row>
    <row r="47" customFormat="false" ht="35.05" hidden="false" customHeight="false" outlineLevel="0" collapsed="false">
      <c r="A47" s="21" t="s">
        <v>282</v>
      </c>
      <c r="B47" s="21" t="s">
        <v>55</v>
      </c>
      <c r="C47" s="21" t="s">
        <v>62</v>
      </c>
      <c r="D47" s="4" t="s">
        <v>283</v>
      </c>
      <c r="E47" s="4" t="s">
        <v>284</v>
      </c>
      <c r="F47" s="21" t="s">
        <v>62</v>
      </c>
      <c r="G47" s="22" t="str">
        <f aca="false">IF($F47="","",IFERROR(INDEX(Lists!$B$4:$B$12,MATCH($F47,Lists!$A$4:$A$12,0)),""))</f>
        <v>TBD</v>
      </c>
      <c r="H47" s="21" t="s">
        <v>47</v>
      </c>
      <c r="I47" s="23" t="n">
        <v>46321</v>
      </c>
      <c r="J47" s="21" t="n">
        <v>3</v>
      </c>
      <c r="K47" s="24" t="n">
        <f aca="false">IF(OR($I47="",$J47=""),"",$I47+7*$J47-3)</f>
        <v>46339</v>
      </c>
      <c r="L47" s="21" t="s">
        <v>277</v>
      </c>
      <c r="M47" s="4" t="s">
        <v>285</v>
      </c>
      <c r="N47" s="21" t="s">
        <v>286</v>
      </c>
      <c r="O47" s="4"/>
      <c r="P47" s="21"/>
      <c r="Q47" s="2" t="n">
        <f aca="false">IF($A47="",0,IF(AND(OR(View!$C$4="All",View!$C$4="",$B47=View!$C$4),OR(View!$C$5="All",View!$C$5="",$C47=View!$C$5),OR(View!$C$6="All",View!$C$6="",$F47=View!$C$6),OR(View!$C$7="All",View!$C$7="",$G47=View!$C$7),OR(View!$C$8="All",View!$C$8="",$H47=View!$C$8,AND(View!$C$8="Open (not Complete)",$H47&lt;&gt;"Complete")),OR(View!$C$9="",ISNUMBER(SEARCH(View!$C$9,$D47&amp;" "&amp;$E47)))),1,0))</f>
        <v>1</v>
      </c>
      <c r="R47" s="2" t="n">
        <f aca="false">IF($Q47=1,COUNTIF($Q$4:$Q47,1),"")</f>
        <v>44</v>
      </c>
    </row>
    <row r="48" customFormat="false" ht="23.85" hidden="false" customHeight="false" outlineLevel="0" collapsed="false">
      <c r="A48" s="21" t="s">
        <v>287</v>
      </c>
      <c r="B48" s="21" t="s">
        <v>55</v>
      </c>
      <c r="C48" s="21" t="s">
        <v>62</v>
      </c>
      <c r="D48" s="4" t="s">
        <v>288</v>
      </c>
      <c r="E48" s="4" t="s">
        <v>289</v>
      </c>
      <c r="F48" s="21" t="s">
        <v>62</v>
      </c>
      <c r="G48" s="22" t="str">
        <f aca="false">IF($F48="","",IFERROR(INDEX(Lists!$B$4:$B$12,MATCH($F48,Lists!$A$4:$A$12,0)),""))</f>
        <v>TBD</v>
      </c>
      <c r="H48" s="21" t="s">
        <v>46</v>
      </c>
      <c r="I48" s="23" t="n">
        <v>46314</v>
      </c>
      <c r="J48" s="21" t="n">
        <v>3</v>
      </c>
      <c r="K48" s="24" t="n">
        <f aca="false">IF(OR($I48="",$J48=""),"",$I48+7*$J48-3)</f>
        <v>46332</v>
      </c>
      <c r="L48" s="21"/>
      <c r="M48" s="4" t="s">
        <v>290</v>
      </c>
      <c r="N48" s="21" t="s">
        <v>291</v>
      </c>
      <c r="O48" s="4"/>
      <c r="P48" s="21"/>
      <c r="Q48" s="2" t="n">
        <f aca="false">IF($A48="",0,IF(AND(OR(View!$C$4="All",View!$C$4="",$B48=View!$C$4),OR(View!$C$5="All",View!$C$5="",$C48=View!$C$5),OR(View!$C$6="All",View!$C$6="",$F48=View!$C$6),OR(View!$C$7="All",View!$C$7="",$G48=View!$C$7),OR(View!$C$8="All",View!$C$8="",$H48=View!$C$8,AND(View!$C$8="Open (not Complete)",$H48&lt;&gt;"Complete")),OR(View!$C$9="",ISNUMBER(SEARCH(View!$C$9,$D48&amp;" "&amp;$E48)))),1,0))</f>
        <v>1</v>
      </c>
      <c r="R48" s="2" t="n">
        <f aca="false">IF($Q48=1,COUNTIF($Q$4:$Q48,1),"")</f>
        <v>45</v>
      </c>
    </row>
    <row r="49" customFormat="false" ht="23.85" hidden="false" customHeight="false" outlineLevel="0" collapsed="false">
      <c r="A49" s="21" t="s">
        <v>292</v>
      </c>
      <c r="B49" s="21" t="s">
        <v>55</v>
      </c>
      <c r="C49" s="21" t="s">
        <v>62</v>
      </c>
      <c r="D49" s="4" t="s">
        <v>293</v>
      </c>
      <c r="E49" s="4" t="s">
        <v>294</v>
      </c>
      <c r="F49" s="21" t="s">
        <v>62</v>
      </c>
      <c r="G49" s="22" t="str">
        <f aca="false">IF($F49="","",IFERROR(INDEX(Lists!$B$4:$B$12,MATCH($F49,Lists!$A$4:$A$12,0)),""))</f>
        <v>TBD</v>
      </c>
      <c r="H49" s="21" t="s">
        <v>46</v>
      </c>
      <c r="I49" s="23" t="n">
        <v>46321</v>
      </c>
      <c r="J49" s="21" t="n">
        <v>2</v>
      </c>
      <c r="K49" s="24" t="n">
        <f aca="false">IF(OR($I49="",$J49=""),"",$I49+7*$J49-3)</f>
        <v>46332</v>
      </c>
      <c r="L49" s="21"/>
      <c r="M49" s="4" t="s">
        <v>295</v>
      </c>
      <c r="N49" s="21"/>
      <c r="O49" s="4"/>
      <c r="P49" s="21"/>
      <c r="Q49" s="2" t="n">
        <f aca="false">IF($A49="",0,IF(AND(OR(View!$C$4="All",View!$C$4="",$B49=View!$C$4),OR(View!$C$5="All",View!$C$5="",$C49=View!$C$5),OR(View!$C$6="All",View!$C$6="",$F49=View!$C$6),OR(View!$C$7="All",View!$C$7="",$G49=View!$C$7),OR(View!$C$8="All",View!$C$8="",$H49=View!$C$8,AND(View!$C$8="Open (not Complete)",$H49&lt;&gt;"Complete")),OR(View!$C$9="",ISNUMBER(SEARCH(View!$C$9,$D49&amp;" "&amp;$E49)))),1,0))</f>
        <v>1</v>
      </c>
      <c r="R49" s="2" t="n">
        <f aca="false">IF($Q49=1,COUNTIF($Q$4:$Q49,1),"")</f>
        <v>46</v>
      </c>
    </row>
    <row r="50" customFormat="false" ht="23.85" hidden="false" customHeight="false" outlineLevel="0" collapsed="false">
      <c r="A50" s="21" t="s">
        <v>296</v>
      </c>
      <c r="B50" s="21" t="s">
        <v>55</v>
      </c>
      <c r="C50" s="21" t="s">
        <v>63</v>
      </c>
      <c r="D50" s="4" t="s">
        <v>297</v>
      </c>
      <c r="E50" s="4" t="s">
        <v>298</v>
      </c>
      <c r="F50" s="21" t="s">
        <v>63</v>
      </c>
      <c r="G50" s="22" t="str">
        <f aca="false">IF($F50="","",IFERROR(INDEX(Lists!$B$4:$B$12,MATCH($F50,Lists!$A$4:$A$12,0)),""))</f>
        <v>TBD</v>
      </c>
      <c r="H50" s="21" t="s">
        <v>46</v>
      </c>
      <c r="I50" s="23" t="n">
        <v>46307</v>
      </c>
      <c r="J50" s="21" t="n">
        <v>2</v>
      </c>
      <c r="K50" s="24" t="n">
        <f aca="false">IF(OR($I50="",$J50=""),"",$I50+7*$J50-3)</f>
        <v>46318</v>
      </c>
      <c r="L50" s="21" t="s">
        <v>272</v>
      </c>
      <c r="M50" s="4"/>
      <c r="N50" s="21"/>
      <c r="O50" s="4"/>
      <c r="P50" s="21"/>
      <c r="Q50" s="2" t="n">
        <f aca="false">IF($A50="",0,IF(AND(OR(View!$C$4="All",View!$C$4="",$B50=View!$C$4),OR(View!$C$5="All",View!$C$5="",$C50=View!$C$5),OR(View!$C$6="All",View!$C$6="",$F50=View!$C$6),OR(View!$C$7="All",View!$C$7="",$G50=View!$C$7),OR(View!$C$8="All",View!$C$8="",$H50=View!$C$8,AND(View!$C$8="Open (not Complete)",$H50&lt;&gt;"Complete")),OR(View!$C$9="",ISNUMBER(SEARCH(View!$C$9,$D50&amp;" "&amp;$E50)))),1,0))</f>
        <v>1</v>
      </c>
      <c r="R50" s="2" t="n">
        <f aca="false">IF($Q50=1,COUNTIF($Q$4:$Q50,1),"")</f>
        <v>47</v>
      </c>
    </row>
    <row r="51" customFormat="false" ht="23.85" hidden="false" customHeight="false" outlineLevel="0" collapsed="false">
      <c r="A51" s="21" t="s">
        <v>299</v>
      </c>
      <c r="B51" s="21" t="s">
        <v>55</v>
      </c>
      <c r="C51" s="21" t="s">
        <v>63</v>
      </c>
      <c r="D51" s="4" t="s">
        <v>300</v>
      </c>
      <c r="E51" s="4" t="s">
        <v>301</v>
      </c>
      <c r="F51" s="21" t="s">
        <v>63</v>
      </c>
      <c r="G51" s="22" t="str">
        <f aca="false">IF($F51="","",IFERROR(INDEX(Lists!$B$4:$B$12,MATCH($F51,Lists!$A$4:$A$12,0)),""))</f>
        <v>TBD</v>
      </c>
      <c r="H51" s="21" t="s">
        <v>46</v>
      </c>
      <c r="I51" s="23" t="n">
        <v>46314</v>
      </c>
      <c r="J51" s="21" t="n">
        <v>4</v>
      </c>
      <c r="K51" s="24" t="n">
        <f aca="false">IF(OR($I51="",$J51=""),"",$I51+7*$J51-3)</f>
        <v>46339</v>
      </c>
      <c r="L51" s="21" t="s">
        <v>296</v>
      </c>
      <c r="M51" s="4"/>
      <c r="N51" s="21"/>
      <c r="O51" s="4"/>
      <c r="P51" s="21"/>
      <c r="Q51" s="2" t="n">
        <f aca="false">IF($A51="",0,IF(AND(OR(View!$C$4="All",View!$C$4="",$B51=View!$C$4),OR(View!$C$5="All",View!$C$5="",$C51=View!$C$5),OR(View!$C$6="All",View!$C$6="",$F51=View!$C$6),OR(View!$C$7="All",View!$C$7="",$G51=View!$C$7),OR(View!$C$8="All",View!$C$8="",$H51=View!$C$8,AND(View!$C$8="Open (not Complete)",$H51&lt;&gt;"Complete")),OR(View!$C$9="",ISNUMBER(SEARCH(View!$C$9,$D51&amp;" "&amp;$E51)))),1,0))</f>
        <v>1</v>
      </c>
      <c r="R51" s="2" t="n">
        <f aca="false">IF($Q51=1,COUNTIF($Q$4:$Q51,1),"")</f>
        <v>48</v>
      </c>
    </row>
    <row r="52" customFormat="false" ht="35.05" hidden="false" customHeight="false" outlineLevel="0" collapsed="false">
      <c r="A52" s="21" t="s">
        <v>302</v>
      </c>
      <c r="B52" s="21" t="s">
        <v>55</v>
      </c>
      <c r="C52" s="21" t="s">
        <v>63</v>
      </c>
      <c r="D52" s="4" t="s">
        <v>303</v>
      </c>
      <c r="E52" s="4" t="s">
        <v>304</v>
      </c>
      <c r="F52" s="21" t="s">
        <v>63</v>
      </c>
      <c r="G52" s="22" t="str">
        <f aca="false">IF($F52="","",IFERROR(INDEX(Lists!$B$4:$B$12,MATCH($F52,Lists!$A$4:$A$12,0)),""))</f>
        <v>TBD</v>
      </c>
      <c r="H52" s="21" t="s">
        <v>46</v>
      </c>
      <c r="I52" s="23" t="n">
        <v>46328</v>
      </c>
      <c r="J52" s="21" t="n">
        <v>4</v>
      </c>
      <c r="K52" s="24" t="n">
        <f aca="false">IF(OR($I52="",$J52=""),"",$I52+7*$J52-3)</f>
        <v>46353</v>
      </c>
      <c r="L52" s="21" t="s">
        <v>299</v>
      </c>
      <c r="M52" s="4"/>
      <c r="N52" s="21"/>
      <c r="O52" s="4"/>
      <c r="P52" s="21" t="s">
        <v>305</v>
      </c>
      <c r="Q52" s="2" t="n">
        <f aca="false">IF($A52="",0,IF(AND(OR(View!$C$4="All",View!$C$4="",$B52=View!$C$4),OR(View!$C$5="All",View!$C$5="",$C52=View!$C$5),OR(View!$C$6="All",View!$C$6="",$F52=View!$C$6),OR(View!$C$7="All",View!$C$7="",$G52=View!$C$7),OR(View!$C$8="All",View!$C$8="",$H52=View!$C$8,AND(View!$C$8="Open (not Complete)",$H52&lt;&gt;"Complete")),OR(View!$C$9="",ISNUMBER(SEARCH(View!$C$9,$D52&amp;" "&amp;$E52)))),1,0))</f>
        <v>1</v>
      </c>
      <c r="R52" s="2" t="n">
        <f aca="false">IF($Q52=1,COUNTIF($Q$4:$Q52,1),"")</f>
        <v>49</v>
      </c>
    </row>
    <row r="53" customFormat="false" ht="23.85" hidden="false" customHeight="false" outlineLevel="0" collapsed="false">
      <c r="A53" s="21" t="s">
        <v>306</v>
      </c>
      <c r="B53" s="21" t="s">
        <v>55</v>
      </c>
      <c r="C53" s="21" t="s">
        <v>63</v>
      </c>
      <c r="D53" s="4" t="s">
        <v>307</v>
      </c>
      <c r="E53" s="4" t="s">
        <v>308</v>
      </c>
      <c r="F53" s="21" t="s">
        <v>63</v>
      </c>
      <c r="G53" s="22" t="str">
        <f aca="false">IF($F53="","",IFERROR(INDEX(Lists!$B$4:$B$12,MATCH($F53,Lists!$A$4:$A$12,0)),""))</f>
        <v>TBD</v>
      </c>
      <c r="H53" s="21" t="s">
        <v>46</v>
      </c>
      <c r="I53" s="23" t="n">
        <v>46202</v>
      </c>
      <c r="J53" s="21" t="n">
        <v>1</v>
      </c>
      <c r="K53" s="24" t="n">
        <f aca="false">IF(OR($I53="",$J53=""),"",$I53+7*$J53-3)</f>
        <v>46206</v>
      </c>
      <c r="L53" s="21"/>
      <c r="M53" s="4"/>
      <c r="N53" s="21"/>
      <c r="O53" s="4"/>
      <c r="P53" s="21" t="s">
        <v>309</v>
      </c>
      <c r="Q53" s="2" t="n">
        <f aca="false">IF($A53="",0,IF(AND(OR(View!$C$4="All",View!$C$4="",$B53=View!$C$4),OR(View!$C$5="All",View!$C$5="",$C53=View!$C$5),OR(View!$C$6="All",View!$C$6="",$F53=View!$C$6),OR(View!$C$7="All",View!$C$7="",$G53=View!$C$7),OR(View!$C$8="All",View!$C$8="",$H53=View!$C$8,AND(View!$C$8="Open (not Complete)",$H53&lt;&gt;"Complete")),OR(View!$C$9="",ISNUMBER(SEARCH(View!$C$9,$D53&amp;" "&amp;$E53)))),1,0))</f>
        <v>1</v>
      </c>
      <c r="R53" s="2" t="n">
        <f aca="false">IF($Q53=1,COUNTIF($Q$4:$Q53,1),"")</f>
        <v>50</v>
      </c>
    </row>
    <row r="54" customFormat="false" ht="15" hidden="false" customHeight="false" outlineLevel="0" collapsed="false">
      <c r="A54" s="21" t="s">
        <v>310</v>
      </c>
      <c r="B54" s="21" t="s">
        <v>55</v>
      </c>
      <c r="C54" s="21" t="s">
        <v>63</v>
      </c>
      <c r="D54" s="4" t="s">
        <v>311</v>
      </c>
      <c r="E54" s="4" t="s">
        <v>312</v>
      </c>
      <c r="F54" s="21" t="s">
        <v>63</v>
      </c>
      <c r="G54" s="22" t="str">
        <f aca="false">IF($F54="","",IFERROR(INDEX(Lists!$B$4:$B$12,MATCH($F54,Lists!$A$4:$A$12,0)),""))</f>
        <v>TBD</v>
      </c>
      <c r="H54" s="21" t="s">
        <v>46</v>
      </c>
      <c r="I54" s="23" t="n">
        <v>46202</v>
      </c>
      <c r="J54" s="21" t="n">
        <v>1</v>
      </c>
      <c r="K54" s="24" t="n">
        <f aca="false">IF(OR($I54="",$J54=""),"",$I54+7*$J54-3)</f>
        <v>46206</v>
      </c>
      <c r="L54" s="21"/>
      <c r="M54" s="4"/>
      <c r="N54" s="21"/>
      <c r="O54" s="4"/>
      <c r="P54" s="21" t="s">
        <v>313</v>
      </c>
      <c r="Q54" s="2" t="n">
        <f aca="false">IF($A54="",0,IF(AND(OR(View!$C$4="All",View!$C$4="",$B54=View!$C$4),OR(View!$C$5="All",View!$C$5="",$C54=View!$C$5),OR(View!$C$6="All",View!$C$6="",$F54=View!$C$6),OR(View!$C$7="All",View!$C$7="",$G54=View!$C$7),OR(View!$C$8="All",View!$C$8="",$H54=View!$C$8,AND(View!$C$8="Open (not Complete)",$H54&lt;&gt;"Complete")),OR(View!$C$9="",ISNUMBER(SEARCH(View!$C$9,$D54&amp;" "&amp;$E54)))),1,0))</f>
        <v>1</v>
      </c>
      <c r="R54" s="2" t="n">
        <f aca="false">IF($Q54=1,COUNTIF($Q$4:$Q54,1),"")</f>
        <v>51</v>
      </c>
    </row>
    <row r="55" customFormat="false" ht="23.85" hidden="false" customHeight="false" outlineLevel="0" collapsed="false">
      <c r="A55" s="21" t="s">
        <v>314</v>
      </c>
      <c r="B55" s="21" t="s">
        <v>55</v>
      </c>
      <c r="C55" s="21" t="s">
        <v>63</v>
      </c>
      <c r="D55" s="4" t="s">
        <v>315</v>
      </c>
      <c r="E55" s="4" t="s">
        <v>316</v>
      </c>
      <c r="F55" s="21" t="s">
        <v>63</v>
      </c>
      <c r="G55" s="22" t="str">
        <f aca="false">IF($F55="","",IFERROR(INDEX(Lists!$B$4:$B$12,MATCH($F55,Lists!$A$4:$A$12,0)),""))</f>
        <v>TBD</v>
      </c>
      <c r="H55" s="21" t="s">
        <v>46</v>
      </c>
      <c r="I55" s="23" t="n">
        <v>46349</v>
      </c>
      <c r="J55" s="21" t="n">
        <v>2</v>
      </c>
      <c r="K55" s="24" t="n">
        <f aca="false">IF(OR($I55="",$J55=""),"",$I55+7*$J55-3)</f>
        <v>46360</v>
      </c>
      <c r="L55" s="21" t="s">
        <v>302</v>
      </c>
      <c r="M55" s="4" t="s">
        <v>317</v>
      </c>
      <c r="N55" s="21"/>
      <c r="O55" s="4"/>
      <c r="P55" s="21"/>
      <c r="Q55" s="2" t="n">
        <f aca="false">IF($A55="",0,IF(AND(OR(View!$C$4="All",View!$C$4="",$B55=View!$C$4),OR(View!$C$5="All",View!$C$5="",$C55=View!$C$5),OR(View!$C$6="All",View!$C$6="",$F55=View!$C$6),OR(View!$C$7="All",View!$C$7="",$G55=View!$C$7),OR(View!$C$8="All",View!$C$8="",$H55=View!$C$8,AND(View!$C$8="Open (not Complete)",$H55&lt;&gt;"Complete")),OR(View!$C$9="",ISNUMBER(SEARCH(View!$C$9,$D55&amp;" "&amp;$E55)))),1,0))</f>
        <v>1</v>
      </c>
      <c r="R55" s="2" t="n">
        <f aca="false">IF($Q55=1,COUNTIF($Q$4:$Q55,1),"")</f>
        <v>52</v>
      </c>
    </row>
    <row r="56" customFormat="false" ht="23.85" hidden="false" customHeight="false" outlineLevel="0" collapsed="false">
      <c r="A56" s="21" t="s">
        <v>318</v>
      </c>
      <c r="B56" s="21" t="s">
        <v>55</v>
      </c>
      <c r="C56" s="21" t="s">
        <v>63</v>
      </c>
      <c r="D56" s="4" t="s">
        <v>319</v>
      </c>
      <c r="E56" s="4" t="s">
        <v>320</v>
      </c>
      <c r="F56" s="21" t="s">
        <v>63</v>
      </c>
      <c r="G56" s="22" t="str">
        <f aca="false">IF($F56="","",IFERROR(INDEX(Lists!$B$4:$B$12,MATCH($F56,Lists!$A$4:$A$12,0)),""))</f>
        <v>TBD</v>
      </c>
      <c r="H56" s="21" t="s">
        <v>46</v>
      </c>
      <c r="I56" s="23" t="n">
        <v>46356</v>
      </c>
      <c r="J56" s="21" t="n">
        <v>4</v>
      </c>
      <c r="K56" s="24" t="n">
        <f aca="false">IF(OR($I56="",$J56=""),"",$I56+7*$J56-3)</f>
        <v>46381</v>
      </c>
      <c r="L56" s="21" t="s">
        <v>321</v>
      </c>
      <c r="M56" s="4"/>
      <c r="N56" s="21"/>
      <c r="O56" s="4"/>
      <c r="P56" s="21"/>
      <c r="Q56" s="2" t="n">
        <f aca="false">IF($A56="",0,IF(AND(OR(View!$C$4="All",View!$C$4="",$B56=View!$C$4),OR(View!$C$5="All",View!$C$5="",$C56=View!$C$5),OR(View!$C$6="All",View!$C$6="",$F56=View!$C$6),OR(View!$C$7="All",View!$C$7="",$G56=View!$C$7),OR(View!$C$8="All",View!$C$8="",$H56=View!$C$8,AND(View!$C$8="Open (not Complete)",$H56&lt;&gt;"Complete")),OR(View!$C$9="",ISNUMBER(SEARCH(View!$C$9,$D56&amp;" "&amp;$E56)))),1,0))</f>
        <v>1</v>
      </c>
      <c r="R56" s="2" t="n">
        <f aca="false">IF($Q56=1,COUNTIF($Q$4:$Q56,1),"")</f>
        <v>53</v>
      </c>
    </row>
    <row r="57" customFormat="false" ht="23.85" hidden="false" customHeight="false" outlineLevel="0" collapsed="false">
      <c r="A57" s="21" t="s">
        <v>322</v>
      </c>
      <c r="B57" s="21" t="s">
        <v>55</v>
      </c>
      <c r="C57" s="21" t="s">
        <v>63</v>
      </c>
      <c r="D57" s="4" t="s">
        <v>323</v>
      </c>
      <c r="E57" s="4" t="s">
        <v>324</v>
      </c>
      <c r="F57" s="21" t="s">
        <v>63</v>
      </c>
      <c r="G57" s="22" t="str">
        <f aca="false">IF($F57="","",IFERROR(INDEX(Lists!$B$4:$B$12,MATCH($F57,Lists!$A$4:$A$12,0)),""))</f>
        <v>TBD</v>
      </c>
      <c r="H57" s="21" t="s">
        <v>46</v>
      </c>
      <c r="I57" s="23" t="n">
        <v>46377</v>
      </c>
      <c r="J57" s="21" t="n">
        <v>2</v>
      </c>
      <c r="K57" s="24" t="n">
        <f aca="false">IF(OR($I57="",$J57=""),"",$I57+7*$J57-3)</f>
        <v>46388</v>
      </c>
      <c r="L57" s="21" t="s">
        <v>325</v>
      </c>
      <c r="M57" s="4"/>
      <c r="N57" s="21"/>
      <c r="O57" s="4"/>
      <c r="P57" s="21"/>
      <c r="Q57" s="2" t="n">
        <f aca="false">IF($A57="",0,IF(AND(OR(View!$C$4="All",View!$C$4="",$B57=View!$C$4),OR(View!$C$5="All",View!$C$5="",$C57=View!$C$5),OR(View!$C$6="All",View!$C$6="",$F57=View!$C$6),OR(View!$C$7="All",View!$C$7="",$G57=View!$C$7),OR(View!$C$8="All",View!$C$8="",$H57=View!$C$8,AND(View!$C$8="Open (not Complete)",$H57&lt;&gt;"Complete")),OR(View!$C$9="",ISNUMBER(SEARCH(View!$C$9,$D57&amp;" "&amp;$E57)))),1,0))</f>
        <v>1</v>
      </c>
      <c r="R57" s="2" t="n">
        <f aca="false">IF($Q57=1,COUNTIF($Q$4:$Q57,1),"")</f>
        <v>54</v>
      </c>
    </row>
    <row r="58" customFormat="false" ht="23.85" hidden="false" customHeight="false" outlineLevel="0" collapsed="false">
      <c r="A58" s="21" t="s">
        <v>326</v>
      </c>
      <c r="B58" s="21" t="s">
        <v>55</v>
      </c>
      <c r="C58" s="21" t="s">
        <v>64</v>
      </c>
      <c r="D58" s="4" t="s">
        <v>327</v>
      </c>
      <c r="E58" s="4" t="s">
        <v>328</v>
      </c>
      <c r="F58" s="21" t="s">
        <v>64</v>
      </c>
      <c r="G58" s="22" t="str">
        <f aca="false">IF($F58="","",IFERROR(INDEX(Lists!$B$4:$B$12,MATCH($F58,Lists!$A$4:$A$12,0)),""))</f>
        <v>TBD</v>
      </c>
      <c r="H58" s="21" t="s">
        <v>46</v>
      </c>
      <c r="I58" s="23" t="n">
        <v>46307</v>
      </c>
      <c r="J58" s="21" t="n">
        <v>3</v>
      </c>
      <c r="K58" s="24" t="n">
        <f aca="false">IF(OR($I58="",$J58=""),"",$I58+7*$J58-3)</f>
        <v>46325</v>
      </c>
      <c r="L58" s="21"/>
      <c r="M58" s="4"/>
      <c r="N58" s="21"/>
      <c r="O58" s="4"/>
      <c r="P58" s="21"/>
      <c r="Q58" s="2" t="n">
        <f aca="false">IF($A58="",0,IF(AND(OR(View!$C$4="All",View!$C$4="",$B58=View!$C$4),OR(View!$C$5="All",View!$C$5="",$C58=View!$C$5),OR(View!$C$6="All",View!$C$6="",$F58=View!$C$6),OR(View!$C$7="All",View!$C$7="",$G58=View!$C$7),OR(View!$C$8="All",View!$C$8="",$H58=View!$C$8,AND(View!$C$8="Open (not Complete)",$H58&lt;&gt;"Complete")),OR(View!$C$9="",ISNUMBER(SEARCH(View!$C$9,$D58&amp;" "&amp;$E58)))),1,0))</f>
        <v>1</v>
      </c>
      <c r="R58" s="2" t="n">
        <f aca="false">IF($Q58=1,COUNTIF($Q$4:$Q58,1),"")</f>
        <v>55</v>
      </c>
    </row>
    <row r="59" customFormat="false" ht="23.85" hidden="false" customHeight="false" outlineLevel="0" collapsed="false">
      <c r="A59" s="21" t="s">
        <v>329</v>
      </c>
      <c r="B59" s="21" t="s">
        <v>55</v>
      </c>
      <c r="C59" s="21" t="s">
        <v>64</v>
      </c>
      <c r="D59" s="4" t="s">
        <v>330</v>
      </c>
      <c r="E59" s="4" t="s">
        <v>331</v>
      </c>
      <c r="F59" s="21" t="s">
        <v>64</v>
      </c>
      <c r="G59" s="22" t="str">
        <f aca="false">IF($F59="","",IFERROR(INDEX(Lists!$B$4:$B$12,MATCH($F59,Lists!$A$4:$A$12,0)),""))</f>
        <v>TBD</v>
      </c>
      <c r="H59" s="21" t="s">
        <v>46</v>
      </c>
      <c r="I59" s="23" t="n">
        <v>46328</v>
      </c>
      <c r="J59" s="21" t="n">
        <v>4</v>
      </c>
      <c r="K59" s="24" t="n">
        <f aca="false">IF(OR($I59="",$J59=""),"",$I59+7*$J59-3)</f>
        <v>46353</v>
      </c>
      <c r="L59" s="21" t="s">
        <v>332</v>
      </c>
      <c r="M59" s="4"/>
      <c r="N59" s="21"/>
      <c r="O59" s="4" t="s">
        <v>333</v>
      </c>
      <c r="P59" s="21" t="s">
        <v>334</v>
      </c>
      <c r="Q59" s="2" t="n">
        <f aca="false">IF($A59="",0,IF(AND(OR(View!$C$4="All",View!$C$4="",$B59=View!$C$4),OR(View!$C$5="All",View!$C$5="",$C59=View!$C$5),OR(View!$C$6="All",View!$C$6="",$F59=View!$C$6),OR(View!$C$7="All",View!$C$7="",$G59=View!$C$7),OR(View!$C$8="All",View!$C$8="",$H59=View!$C$8,AND(View!$C$8="Open (not Complete)",$H59&lt;&gt;"Complete")),OR(View!$C$9="",ISNUMBER(SEARCH(View!$C$9,$D59&amp;" "&amp;$E59)))),1,0))</f>
        <v>1</v>
      </c>
      <c r="R59" s="2" t="n">
        <f aca="false">IF($Q59=1,COUNTIF($Q$4:$Q59,1),"")</f>
        <v>56</v>
      </c>
    </row>
    <row r="60" customFormat="false" ht="46.25" hidden="false" customHeight="false" outlineLevel="0" collapsed="false">
      <c r="A60" s="21" t="s">
        <v>335</v>
      </c>
      <c r="B60" s="21" t="s">
        <v>55</v>
      </c>
      <c r="C60" s="21" t="s">
        <v>64</v>
      </c>
      <c r="D60" s="4" t="s">
        <v>336</v>
      </c>
      <c r="E60" s="4" t="s">
        <v>337</v>
      </c>
      <c r="F60" s="21" t="s">
        <v>64</v>
      </c>
      <c r="G60" s="22" t="str">
        <f aca="false">IF($F60="","",IFERROR(INDEX(Lists!$B$4:$B$12,MATCH($F60,Lists!$A$4:$A$12,0)),""))</f>
        <v>TBD</v>
      </c>
      <c r="H60" s="21" t="s">
        <v>46</v>
      </c>
      <c r="I60" s="23" t="n">
        <v>46209</v>
      </c>
      <c r="J60" s="21" t="n">
        <v>2</v>
      </c>
      <c r="K60" s="24" t="n">
        <f aca="false">IF(OR($I60="",$J60=""),"",$I60+7*$J60-3)</f>
        <v>46220</v>
      </c>
      <c r="L60" s="21"/>
      <c r="M60" s="4"/>
      <c r="N60" s="21"/>
      <c r="O60" s="4"/>
      <c r="P60" s="21" t="s">
        <v>338</v>
      </c>
      <c r="Q60" s="2" t="n">
        <f aca="false">IF($A60="",0,IF(AND(OR(View!$C$4="All",View!$C$4="",$B60=View!$C$4),OR(View!$C$5="All",View!$C$5="",$C60=View!$C$5),OR(View!$C$6="All",View!$C$6="",$F60=View!$C$6),OR(View!$C$7="All",View!$C$7="",$G60=View!$C$7),OR(View!$C$8="All",View!$C$8="",$H60=View!$C$8,AND(View!$C$8="Open (not Complete)",$H60&lt;&gt;"Complete")),OR(View!$C$9="",ISNUMBER(SEARCH(View!$C$9,$D60&amp;" "&amp;$E60)))),1,0))</f>
        <v>1</v>
      </c>
      <c r="R60" s="2" t="n">
        <f aca="false">IF($Q60=1,COUNTIF($Q$4:$Q60,1),"")</f>
        <v>57</v>
      </c>
    </row>
    <row r="61" customFormat="false" ht="23.85" hidden="false" customHeight="false" outlineLevel="0" collapsed="false">
      <c r="A61" s="21" t="s">
        <v>339</v>
      </c>
      <c r="B61" s="21" t="s">
        <v>55</v>
      </c>
      <c r="C61" s="21" t="s">
        <v>64</v>
      </c>
      <c r="D61" s="4" t="s">
        <v>340</v>
      </c>
      <c r="E61" s="4" t="s">
        <v>341</v>
      </c>
      <c r="F61" s="21" t="s">
        <v>64</v>
      </c>
      <c r="G61" s="22" t="str">
        <f aca="false">IF($F61="","",IFERROR(INDEX(Lists!$B$4:$B$12,MATCH($F61,Lists!$A$4:$A$12,0)),""))</f>
        <v>TBD</v>
      </c>
      <c r="H61" s="21" t="s">
        <v>46</v>
      </c>
      <c r="I61" s="23" t="n">
        <v>46209</v>
      </c>
      <c r="J61" s="21" t="n">
        <v>2</v>
      </c>
      <c r="K61" s="24" t="n">
        <f aca="false">IF(OR($I61="",$J61=""),"",$I61+7*$J61-3)</f>
        <v>46220</v>
      </c>
      <c r="L61" s="21"/>
      <c r="M61" s="4"/>
      <c r="N61" s="21"/>
      <c r="O61" s="4"/>
      <c r="P61" s="21" t="s">
        <v>342</v>
      </c>
      <c r="Q61" s="2" t="n">
        <f aca="false">IF($A61="",0,IF(AND(OR(View!$C$4="All",View!$C$4="",$B61=View!$C$4),OR(View!$C$5="All",View!$C$5="",$C61=View!$C$5),OR(View!$C$6="All",View!$C$6="",$F61=View!$C$6),OR(View!$C$7="All",View!$C$7="",$G61=View!$C$7),OR(View!$C$8="All",View!$C$8="",$H61=View!$C$8,AND(View!$C$8="Open (not Complete)",$H61&lt;&gt;"Complete")),OR(View!$C$9="",ISNUMBER(SEARCH(View!$C$9,$D61&amp;" "&amp;$E61)))),1,0))</f>
        <v>1</v>
      </c>
      <c r="R61" s="2" t="n">
        <f aca="false">IF($Q61=1,COUNTIF($Q$4:$Q61,1),"")</f>
        <v>58</v>
      </c>
    </row>
    <row r="62" customFormat="false" ht="23.85" hidden="false" customHeight="false" outlineLevel="0" collapsed="false">
      <c r="A62" s="21" t="s">
        <v>343</v>
      </c>
      <c r="B62" s="21" t="s">
        <v>55</v>
      </c>
      <c r="C62" s="21" t="s">
        <v>64</v>
      </c>
      <c r="D62" s="4" t="s">
        <v>344</v>
      </c>
      <c r="E62" s="4" t="s">
        <v>345</v>
      </c>
      <c r="F62" s="21" t="s">
        <v>64</v>
      </c>
      <c r="G62" s="22" t="str">
        <f aca="false">IF($F62="","",IFERROR(INDEX(Lists!$B$4:$B$12,MATCH($F62,Lists!$A$4:$A$12,0)),""))</f>
        <v>TBD</v>
      </c>
      <c r="H62" s="21" t="s">
        <v>46</v>
      </c>
      <c r="I62" s="23" t="n">
        <v>46335</v>
      </c>
      <c r="J62" s="21" t="n">
        <v>4</v>
      </c>
      <c r="K62" s="24" t="n">
        <f aca="false">IF(OR($I62="",$J62=""),"",$I62+7*$J62-3)</f>
        <v>46360</v>
      </c>
      <c r="L62" s="21" t="s">
        <v>329</v>
      </c>
      <c r="M62" s="4"/>
      <c r="N62" s="21"/>
      <c r="O62" s="4"/>
      <c r="P62" s="21"/>
      <c r="Q62" s="2" t="n">
        <f aca="false">IF($A62="",0,IF(AND(OR(View!$C$4="All",View!$C$4="",$B62=View!$C$4),OR(View!$C$5="All",View!$C$5="",$C62=View!$C$5),OR(View!$C$6="All",View!$C$6="",$F62=View!$C$6),OR(View!$C$7="All",View!$C$7="",$G62=View!$C$7),OR(View!$C$8="All",View!$C$8="",$H62=View!$C$8,AND(View!$C$8="Open (not Complete)",$H62&lt;&gt;"Complete")),OR(View!$C$9="",ISNUMBER(SEARCH(View!$C$9,$D62&amp;" "&amp;$E62)))),1,0))</f>
        <v>1</v>
      </c>
      <c r="R62" s="2" t="n">
        <f aca="false">IF($Q62=1,COUNTIF($Q$4:$Q62,1),"")</f>
        <v>59</v>
      </c>
    </row>
    <row r="63" customFormat="false" ht="23.85" hidden="false" customHeight="false" outlineLevel="0" collapsed="false">
      <c r="A63" s="21" t="s">
        <v>346</v>
      </c>
      <c r="B63" s="21" t="s">
        <v>55</v>
      </c>
      <c r="C63" s="21" t="s">
        <v>64</v>
      </c>
      <c r="D63" s="4" t="s">
        <v>347</v>
      </c>
      <c r="E63" s="4" t="s">
        <v>348</v>
      </c>
      <c r="F63" s="21" t="s">
        <v>64</v>
      </c>
      <c r="G63" s="22" t="str">
        <f aca="false">IF($F63="","",IFERROR(INDEX(Lists!$B$4:$B$12,MATCH($F63,Lists!$A$4:$A$12,0)),""))</f>
        <v>TBD</v>
      </c>
      <c r="H63" s="21" t="s">
        <v>46</v>
      </c>
      <c r="I63" s="23" t="n">
        <v>46356</v>
      </c>
      <c r="J63" s="21" t="n">
        <v>4</v>
      </c>
      <c r="K63" s="24" t="n">
        <f aca="false">IF(OR($I63="",$J63=""),"",$I63+7*$J63-3)</f>
        <v>46381</v>
      </c>
      <c r="L63" s="21" t="s">
        <v>349</v>
      </c>
      <c r="M63" s="4"/>
      <c r="N63" s="21"/>
      <c r="O63" s="4"/>
      <c r="P63" s="21" t="s">
        <v>350</v>
      </c>
      <c r="Q63" s="2" t="n">
        <f aca="false">IF($A63="",0,IF(AND(OR(View!$C$4="All",View!$C$4="",$B63=View!$C$4),OR(View!$C$5="All",View!$C$5="",$C63=View!$C$5),OR(View!$C$6="All",View!$C$6="",$F63=View!$C$6),OR(View!$C$7="All",View!$C$7="",$G63=View!$C$7),OR(View!$C$8="All",View!$C$8="",$H63=View!$C$8,AND(View!$C$8="Open (not Complete)",$H63&lt;&gt;"Complete")),OR(View!$C$9="",ISNUMBER(SEARCH(View!$C$9,$D63&amp;" "&amp;$E63)))),1,0))</f>
        <v>1</v>
      </c>
      <c r="R63" s="2" t="n">
        <f aca="false">IF($Q63=1,COUNTIF($Q$4:$Q63,1),"")</f>
        <v>60</v>
      </c>
    </row>
    <row r="64" customFormat="false" ht="23.85" hidden="false" customHeight="false" outlineLevel="0" collapsed="false">
      <c r="A64" s="21" t="s">
        <v>351</v>
      </c>
      <c r="B64" s="21" t="s">
        <v>55</v>
      </c>
      <c r="C64" s="21" t="s">
        <v>64</v>
      </c>
      <c r="D64" s="4" t="s">
        <v>352</v>
      </c>
      <c r="E64" s="4" t="s">
        <v>353</v>
      </c>
      <c r="F64" s="21" t="s">
        <v>64</v>
      </c>
      <c r="G64" s="22" t="str">
        <f aca="false">IF($F64="","",IFERROR(INDEX(Lists!$B$4:$B$12,MATCH($F64,Lists!$A$4:$A$12,0)),""))</f>
        <v>TBD</v>
      </c>
      <c r="H64" s="21" t="s">
        <v>46</v>
      </c>
      <c r="I64" s="23" t="n">
        <v>46223</v>
      </c>
      <c r="J64" s="21" t="n">
        <v>1</v>
      </c>
      <c r="K64" s="24" t="n">
        <f aca="false">IF(OR($I64="",$J64=""),"",$I64+7*$J64-3)</f>
        <v>46227</v>
      </c>
      <c r="L64" s="21"/>
      <c r="M64" s="4"/>
      <c r="N64" s="21"/>
      <c r="O64" s="4"/>
      <c r="P64" s="21" t="s">
        <v>354</v>
      </c>
      <c r="Q64" s="2" t="n">
        <f aca="false">IF($A64="",0,IF(AND(OR(View!$C$4="All",View!$C$4="",$B64=View!$C$4),OR(View!$C$5="All",View!$C$5="",$C64=View!$C$5),OR(View!$C$6="All",View!$C$6="",$F64=View!$C$6),OR(View!$C$7="All",View!$C$7="",$G64=View!$C$7),OR(View!$C$8="All",View!$C$8="",$H64=View!$C$8,AND(View!$C$8="Open (not Complete)",$H64&lt;&gt;"Complete")),OR(View!$C$9="",ISNUMBER(SEARCH(View!$C$9,$D64&amp;" "&amp;$E64)))),1,0))</f>
        <v>1</v>
      </c>
      <c r="R64" s="2" t="n">
        <f aca="false">IF($Q64=1,COUNTIF($Q$4:$Q64,1),"")</f>
        <v>61</v>
      </c>
    </row>
    <row r="65" customFormat="false" ht="23.85" hidden="false" customHeight="false" outlineLevel="0" collapsed="false">
      <c r="A65" s="21" t="s">
        <v>355</v>
      </c>
      <c r="B65" s="21" t="s">
        <v>55</v>
      </c>
      <c r="C65" s="21" t="s">
        <v>64</v>
      </c>
      <c r="D65" s="4" t="s">
        <v>356</v>
      </c>
      <c r="E65" s="4" t="s">
        <v>357</v>
      </c>
      <c r="F65" s="21" t="s">
        <v>64</v>
      </c>
      <c r="G65" s="22" t="str">
        <f aca="false">IF($F65="","",IFERROR(INDEX(Lists!$B$4:$B$12,MATCH($F65,Lists!$A$4:$A$12,0)),""))</f>
        <v>TBD</v>
      </c>
      <c r="H65" s="21" t="s">
        <v>46</v>
      </c>
      <c r="I65" s="23" t="n">
        <v>46370</v>
      </c>
      <c r="J65" s="21" t="n">
        <v>3</v>
      </c>
      <c r="K65" s="24" t="n">
        <f aca="false">IF(OR($I65="",$J65=""),"",$I65+7*$J65-3)</f>
        <v>46388</v>
      </c>
      <c r="L65" s="21" t="s">
        <v>346</v>
      </c>
      <c r="M65" s="4"/>
      <c r="N65" s="21"/>
      <c r="O65" s="4"/>
      <c r="P65" s="21"/>
      <c r="Q65" s="2" t="n">
        <f aca="false">IF($A65="",0,IF(AND(OR(View!$C$4="All",View!$C$4="",$B65=View!$C$4),OR(View!$C$5="All",View!$C$5="",$C65=View!$C$5),OR(View!$C$6="All",View!$C$6="",$F65=View!$C$6),OR(View!$C$7="All",View!$C$7="",$G65=View!$C$7),OR(View!$C$8="All",View!$C$8="",$H65=View!$C$8,AND(View!$C$8="Open (not Complete)",$H65&lt;&gt;"Complete")),OR(View!$C$9="",ISNUMBER(SEARCH(View!$C$9,$D65&amp;" "&amp;$E65)))),1,0))</f>
        <v>1</v>
      </c>
      <c r="R65" s="2" t="n">
        <f aca="false">IF($Q65=1,COUNTIF($Q$4:$Q65,1),"")</f>
        <v>62</v>
      </c>
    </row>
    <row r="66" customFormat="false" ht="35.05" hidden="false" customHeight="false" outlineLevel="0" collapsed="false">
      <c r="A66" s="21" t="s">
        <v>358</v>
      </c>
      <c r="B66" s="21" t="s">
        <v>55</v>
      </c>
      <c r="C66" s="21" t="s">
        <v>64</v>
      </c>
      <c r="D66" s="4" t="s">
        <v>359</v>
      </c>
      <c r="E66" s="4" t="s">
        <v>360</v>
      </c>
      <c r="F66" s="21" t="s">
        <v>64</v>
      </c>
      <c r="G66" s="22" t="str">
        <f aca="false">IF($F66="","",IFERROR(INDEX(Lists!$B$4:$B$12,MATCH($F66,Lists!$A$4:$A$12,0)),""))</f>
        <v>TBD</v>
      </c>
      <c r="H66" s="21" t="s">
        <v>46</v>
      </c>
      <c r="I66" s="23" t="n">
        <v>46223</v>
      </c>
      <c r="J66" s="21" t="n">
        <v>2</v>
      </c>
      <c r="K66" s="24" t="n">
        <f aca="false">IF(OR($I66="",$J66=""),"",$I66+7*$J66-3)</f>
        <v>46234</v>
      </c>
      <c r="L66" s="21"/>
      <c r="M66" s="4"/>
      <c r="N66" s="21"/>
      <c r="O66" s="4"/>
      <c r="P66" s="21" t="s">
        <v>361</v>
      </c>
      <c r="Q66" s="2" t="n">
        <f aca="false">IF($A66="",0,IF(AND(OR(View!$C$4="All",View!$C$4="",$B66=View!$C$4),OR(View!$C$5="All",View!$C$5="",$C66=View!$C$5),OR(View!$C$6="All",View!$C$6="",$F66=View!$C$6),OR(View!$C$7="All",View!$C$7="",$G66=View!$C$7),OR(View!$C$8="All",View!$C$8="",$H66=View!$C$8,AND(View!$C$8="Open (not Complete)",$H66&lt;&gt;"Complete")),OR(View!$C$9="",ISNUMBER(SEARCH(View!$C$9,$D66&amp;" "&amp;$E66)))),1,0))</f>
        <v>1</v>
      </c>
      <c r="R66" s="2" t="n">
        <f aca="false">IF($Q66=1,COUNTIF($Q$4:$Q66,1),"")</f>
        <v>63</v>
      </c>
    </row>
    <row r="67" customFormat="false" ht="15" hidden="false" customHeight="false" outlineLevel="0" collapsed="false">
      <c r="A67" s="21" t="s">
        <v>362</v>
      </c>
      <c r="B67" s="21" t="s">
        <v>55</v>
      </c>
      <c r="C67" s="21" t="s">
        <v>64</v>
      </c>
      <c r="D67" s="4" t="s">
        <v>363</v>
      </c>
      <c r="E67" s="4" t="s">
        <v>364</v>
      </c>
      <c r="F67" s="21" t="s">
        <v>64</v>
      </c>
      <c r="G67" s="22" t="str">
        <f aca="false">IF($F67="","",IFERROR(INDEX(Lists!$B$4:$B$12,MATCH($F67,Lists!$A$4:$A$12,0)),""))</f>
        <v>TBD</v>
      </c>
      <c r="H67" s="21" t="s">
        <v>46</v>
      </c>
      <c r="I67" s="23" t="n">
        <v>46370</v>
      </c>
      <c r="J67" s="21" t="n">
        <v>3</v>
      </c>
      <c r="K67" s="24" t="n">
        <f aca="false">IF(OR($I67="",$J67=""),"",$I67+7*$J67-3)</f>
        <v>46388</v>
      </c>
      <c r="L67" s="21" t="s">
        <v>365</v>
      </c>
      <c r="M67" s="4"/>
      <c r="N67" s="21"/>
      <c r="O67" s="4"/>
      <c r="P67" s="21"/>
      <c r="Q67" s="2" t="n">
        <f aca="false">IF($A67="",0,IF(AND(OR(View!$C$4="All",View!$C$4="",$B67=View!$C$4),OR(View!$C$5="All",View!$C$5="",$C67=View!$C$5),OR(View!$C$6="All",View!$C$6="",$F67=View!$C$6),OR(View!$C$7="All",View!$C$7="",$G67=View!$C$7),OR(View!$C$8="All",View!$C$8="",$H67=View!$C$8,AND(View!$C$8="Open (not Complete)",$H67&lt;&gt;"Complete")),OR(View!$C$9="",ISNUMBER(SEARCH(View!$C$9,$D67&amp;" "&amp;$E67)))),1,0))</f>
        <v>1</v>
      </c>
      <c r="R67" s="2" t="n">
        <f aca="false">IF($Q67=1,COUNTIF($Q$4:$Q67,1),"")</f>
        <v>64</v>
      </c>
    </row>
    <row r="68" customFormat="false" ht="23.85" hidden="false" customHeight="false" outlineLevel="0" collapsed="false">
      <c r="A68" s="21" t="s">
        <v>366</v>
      </c>
      <c r="B68" s="21" t="s">
        <v>55</v>
      </c>
      <c r="C68" s="21" t="s">
        <v>64</v>
      </c>
      <c r="D68" s="4" t="s">
        <v>367</v>
      </c>
      <c r="E68" s="4" t="s">
        <v>368</v>
      </c>
      <c r="F68" s="21" t="s">
        <v>64</v>
      </c>
      <c r="G68" s="22" t="str">
        <f aca="false">IF($F68="","",IFERROR(INDEX(Lists!$B$4:$B$12,MATCH($F68,Lists!$A$4:$A$12,0)),""))</f>
        <v>TBD</v>
      </c>
      <c r="H68" s="21" t="s">
        <v>46</v>
      </c>
      <c r="I68" s="23" t="n">
        <v>46349</v>
      </c>
      <c r="J68" s="21" t="n">
        <v>4</v>
      </c>
      <c r="K68" s="24" t="n">
        <f aca="false">IF(OR($I68="",$J68=""),"",$I68+7*$J68-3)</f>
        <v>46374</v>
      </c>
      <c r="L68" s="21" t="s">
        <v>369</v>
      </c>
      <c r="M68" s="4" t="s">
        <v>370</v>
      </c>
      <c r="N68" s="21"/>
      <c r="O68" s="4"/>
      <c r="P68" s="21"/>
      <c r="Q68" s="2" t="n">
        <f aca="false">IF($A68="",0,IF(AND(OR(View!$C$4="All",View!$C$4="",$B68=View!$C$4),OR(View!$C$5="All",View!$C$5="",$C68=View!$C$5),OR(View!$C$6="All",View!$C$6="",$F68=View!$C$6),OR(View!$C$7="All",View!$C$7="",$G68=View!$C$7),OR(View!$C$8="All",View!$C$8="",$H68=View!$C$8,AND(View!$C$8="Open (not Complete)",$H68&lt;&gt;"Complete")),OR(View!$C$9="",ISNUMBER(SEARCH(View!$C$9,$D68&amp;" "&amp;$E68)))),1,0))</f>
        <v>1</v>
      </c>
      <c r="R68" s="2" t="n">
        <f aca="false">IF($Q68=1,COUNTIF($Q$4:$Q68,1),"")</f>
        <v>65</v>
      </c>
    </row>
    <row r="69" customFormat="false" ht="23.85" hidden="false" customHeight="false" outlineLevel="0" collapsed="false">
      <c r="A69" s="21" t="s">
        <v>371</v>
      </c>
      <c r="B69" s="21" t="s">
        <v>55</v>
      </c>
      <c r="C69" s="21" t="s">
        <v>65</v>
      </c>
      <c r="D69" s="4" t="s">
        <v>372</v>
      </c>
      <c r="E69" s="4" t="s">
        <v>373</v>
      </c>
      <c r="F69" s="21" t="s">
        <v>65</v>
      </c>
      <c r="G69" s="22" t="str">
        <f aca="false">IF($F69="","",IFERROR(INDEX(Lists!$B$4:$B$12,MATCH($F69,Lists!$A$4:$A$12,0)),""))</f>
        <v>TBD</v>
      </c>
      <c r="H69" s="21" t="s">
        <v>46</v>
      </c>
      <c r="I69" s="23" t="n">
        <v>46307</v>
      </c>
      <c r="J69" s="21" t="n">
        <v>3</v>
      </c>
      <c r="K69" s="24" t="n">
        <f aca="false">IF(OR($I69="",$J69=""),"",$I69+7*$J69-3)</f>
        <v>46325</v>
      </c>
      <c r="L69" s="21" t="s">
        <v>277</v>
      </c>
      <c r="M69" s="4"/>
      <c r="N69" s="21"/>
      <c r="O69" s="4"/>
      <c r="P69" s="21"/>
      <c r="Q69" s="2" t="n">
        <f aca="false">IF($A69="",0,IF(AND(OR(View!$C$4="All",View!$C$4="",$B69=View!$C$4),OR(View!$C$5="All",View!$C$5="",$C69=View!$C$5),OR(View!$C$6="All",View!$C$6="",$F69=View!$C$6),OR(View!$C$7="All",View!$C$7="",$G69=View!$C$7),OR(View!$C$8="All",View!$C$8="",$H69=View!$C$8,AND(View!$C$8="Open (not Complete)",$H69&lt;&gt;"Complete")),OR(View!$C$9="",ISNUMBER(SEARCH(View!$C$9,$D69&amp;" "&amp;$E69)))),1,0))</f>
        <v>1</v>
      </c>
      <c r="R69" s="2" t="n">
        <f aca="false">IF($Q69=1,COUNTIF($Q$4:$Q69,1),"")</f>
        <v>66</v>
      </c>
    </row>
    <row r="70" customFormat="false" ht="15" hidden="false" customHeight="false" outlineLevel="0" collapsed="false">
      <c r="A70" s="21" t="s">
        <v>374</v>
      </c>
      <c r="B70" s="21" t="s">
        <v>55</v>
      </c>
      <c r="C70" s="21" t="s">
        <v>65</v>
      </c>
      <c r="D70" s="4" t="s">
        <v>375</v>
      </c>
      <c r="E70" s="4" t="s">
        <v>376</v>
      </c>
      <c r="F70" s="21" t="s">
        <v>65</v>
      </c>
      <c r="G70" s="22" t="str">
        <f aca="false">IF($F70="","",IFERROR(INDEX(Lists!$B$4:$B$12,MATCH($F70,Lists!$A$4:$A$12,0)),""))</f>
        <v>TBD</v>
      </c>
      <c r="H70" s="21" t="s">
        <v>46</v>
      </c>
      <c r="I70" s="23" t="n">
        <v>46321</v>
      </c>
      <c r="J70" s="21" t="n">
        <v>3</v>
      </c>
      <c r="K70" s="24" t="n">
        <f aca="false">IF(OR($I70="",$J70=""),"",$I70+7*$J70-3)</f>
        <v>46339</v>
      </c>
      <c r="L70" s="21" t="s">
        <v>371</v>
      </c>
      <c r="M70" s="4"/>
      <c r="N70" s="21"/>
      <c r="O70" s="4"/>
      <c r="P70" s="21"/>
      <c r="Q70" s="2" t="n">
        <f aca="false">IF($A70="",0,IF(AND(OR(View!$C$4="All",View!$C$4="",$B70=View!$C$4),OR(View!$C$5="All",View!$C$5="",$C70=View!$C$5),OR(View!$C$6="All",View!$C$6="",$F70=View!$C$6),OR(View!$C$7="All",View!$C$7="",$G70=View!$C$7),OR(View!$C$8="All",View!$C$8="",$H70=View!$C$8,AND(View!$C$8="Open (not Complete)",$H70&lt;&gt;"Complete")),OR(View!$C$9="",ISNUMBER(SEARCH(View!$C$9,$D70&amp;" "&amp;$E70)))),1,0))</f>
        <v>1</v>
      </c>
      <c r="R70" s="2" t="n">
        <f aca="false">IF($Q70=1,COUNTIF($Q$4:$Q70,1),"")</f>
        <v>67</v>
      </c>
    </row>
    <row r="71" customFormat="false" ht="15" hidden="false" customHeight="false" outlineLevel="0" collapsed="false">
      <c r="A71" s="21" t="s">
        <v>377</v>
      </c>
      <c r="B71" s="21" t="s">
        <v>55</v>
      </c>
      <c r="C71" s="21" t="s">
        <v>65</v>
      </c>
      <c r="D71" s="4" t="s">
        <v>378</v>
      </c>
      <c r="E71" s="4" t="s">
        <v>379</v>
      </c>
      <c r="F71" s="21" t="s">
        <v>65</v>
      </c>
      <c r="G71" s="22" t="str">
        <f aca="false">IF($F71="","",IFERROR(INDEX(Lists!$B$4:$B$12,MATCH($F71,Lists!$A$4:$A$12,0)),""))</f>
        <v>TBD</v>
      </c>
      <c r="H71" s="21" t="s">
        <v>46</v>
      </c>
      <c r="I71" s="23" t="n">
        <v>46335</v>
      </c>
      <c r="J71" s="21" t="n">
        <v>3</v>
      </c>
      <c r="K71" s="24" t="n">
        <f aca="false">IF(OR($I71="",$J71=""),"",$I71+7*$J71-3)</f>
        <v>46353</v>
      </c>
      <c r="L71" s="21" t="s">
        <v>318</v>
      </c>
      <c r="M71" s="4"/>
      <c r="N71" s="21"/>
      <c r="O71" s="4"/>
      <c r="P71" s="21"/>
      <c r="Q71" s="2" t="n">
        <f aca="false">IF($A71="",0,IF(AND(OR(View!$C$4="All",View!$C$4="",$B71=View!$C$4),OR(View!$C$5="All",View!$C$5="",$C71=View!$C$5),OR(View!$C$6="All",View!$C$6="",$F71=View!$C$6),OR(View!$C$7="All",View!$C$7="",$G71=View!$C$7),OR(View!$C$8="All",View!$C$8="",$H71=View!$C$8,AND(View!$C$8="Open (not Complete)",$H71&lt;&gt;"Complete")),OR(View!$C$9="",ISNUMBER(SEARCH(View!$C$9,$D71&amp;" "&amp;$E71)))),1,0))</f>
        <v>1</v>
      </c>
      <c r="R71" s="2" t="n">
        <f aca="false">IF($Q71=1,COUNTIF($Q$4:$Q71,1),"")</f>
        <v>68</v>
      </c>
    </row>
    <row r="72" customFormat="false" ht="15" hidden="false" customHeight="false" outlineLevel="0" collapsed="false">
      <c r="A72" s="21" t="s">
        <v>380</v>
      </c>
      <c r="B72" s="21" t="s">
        <v>55</v>
      </c>
      <c r="C72" s="21" t="s">
        <v>65</v>
      </c>
      <c r="D72" s="4" t="s">
        <v>381</v>
      </c>
      <c r="E72" s="4" t="s">
        <v>382</v>
      </c>
      <c r="F72" s="21" t="s">
        <v>65</v>
      </c>
      <c r="G72" s="22" t="str">
        <f aca="false">IF($F72="","",IFERROR(INDEX(Lists!$B$4:$B$12,MATCH($F72,Lists!$A$4:$A$12,0)),""))</f>
        <v>TBD</v>
      </c>
      <c r="H72" s="21" t="s">
        <v>46</v>
      </c>
      <c r="I72" s="23" t="n">
        <v>46328</v>
      </c>
      <c r="J72" s="21" t="n">
        <v>3</v>
      </c>
      <c r="K72" s="24" t="n">
        <f aca="false">IF(OR($I72="",$J72=""),"",$I72+7*$J72-3)</f>
        <v>46346</v>
      </c>
      <c r="L72" s="21" t="s">
        <v>383</v>
      </c>
      <c r="M72" s="4"/>
      <c r="N72" s="21"/>
      <c r="O72" s="4"/>
      <c r="P72" s="21"/>
      <c r="Q72" s="2" t="n">
        <f aca="false">IF($A72="",0,IF(AND(OR(View!$C$4="All",View!$C$4="",$B72=View!$C$4),OR(View!$C$5="All",View!$C$5="",$C72=View!$C$5),OR(View!$C$6="All",View!$C$6="",$F72=View!$C$6),OR(View!$C$7="All",View!$C$7="",$G72=View!$C$7),OR(View!$C$8="All",View!$C$8="",$H72=View!$C$8,AND(View!$C$8="Open (not Complete)",$H72&lt;&gt;"Complete")),OR(View!$C$9="",ISNUMBER(SEARCH(View!$C$9,$D72&amp;" "&amp;$E72)))),1,0))</f>
        <v>1</v>
      </c>
      <c r="R72" s="2" t="n">
        <f aca="false">IF($Q72=1,COUNTIF($Q$4:$Q72,1),"")</f>
        <v>69</v>
      </c>
    </row>
    <row r="73" customFormat="false" ht="23.85" hidden="false" customHeight="false" outlineLevel="0" collapsed="false">
      <c r="A73" s="21" t="s">
        <v>384</v>
      </c>
      <c r="B73" s="21" t="s">
        <v>55</v>
      </c>
      <c r="C73" s="21" t="s">
        <v>65</v>
      </c>
      <c r="D73" s="4" t="s">
        <v>385</v>
      </c>
      <c r="E73" s="4" t="s">
        <v>386</v>
      </c>
      <c r="F73" s="21" t="s">
        <v>65</v>
      </c>
      <c r="G73" s="22" t="str">
        <f aca="false">IF($F73="","",IFERROR(INDEX(Lists!$B$4:$B$12,MATCH($F73,Lists!$A$4:$A$12,0)),""))</f>
        <v>TBD</v>
      </c>
      <c r="H73" s="21" t="s">
        <v>46</v>
      </c>
      <c r="I73" s="23" t="n">
        <v>46349</v>
      </c>
      <c r="J73" s="21" t="n">
        <v>3</v>
      </c>
      <c r="K73" s="24" t="n">
        <f aca="false">IF(OR($I73="",$J73=""),"",$I73+7*$J73-3)</f>
        <v>46367</v>
      </c>
      <c r="L73" s="21" t="s">
        <v>377</v>
      </c>
      <c r="M73" s="4"/>
      <c r="N73" s="21"/>
      <c r="O73" s="4"/>
      <c r="P73" s="21"/>
      <c r="Q73" s="2" t="n">
        <f aca="false">IF($A73="",0,IF(AND(OR(View!$C$4="All",View!$C$4="",$B73=View!$C$4),OR(View!$C$5="All",View!$C$5="",$C73=View!$C$5),OR(View!$C$6="All",View!$C$6="",$F73=View!$C$6),OR(View!$C$7="All",View!$C$7="",$G73=View!$C$7),OR(View!$C$8="All",View!$C$8="",$H73=View!$C$8,AND(View!$C$8="Open (not Complete)",$H73&lt;&gt;"Complete")),OR(View!$C$9="",ISNUMBER(SEARCH(View!$C$9,$D73&amp;" "&amp;$E73)))),1,0))</f>
        <v>1</v>
      </c>
      <c r="R73" s="2" t="n">
        <f aca="false">IF($Q73=1,COUNTIF($Q$4:$Q73,1),"")</f>
        <v>70</v>
      </c>
    </row>
    <row r="74" customFormat="false" ht="15" hidden="false" customHeight="false" outlineLevel="0" collapsed="false">
      <c r="A74" s="21" t="s">
        <v>387</v>
      </c>
      <c r="B74" s="21" t="s">
        <v>55</v>
      </c>
      <c r="C74" s="21" t="s">
        <v>65</v>
      </c>
      <c r="D74" s="4" t="s">
        <v>388</v>
      </c>
      <c r="E74" s="4" t="s">
        <v>389</v>
      </c>
      <c r="F74" s="21" t="s">
        <v>65</v>
      </c>
      <c r="G74" s="22" t="str">
        <f aca="false">IF($F74="","",IFERROR(INDEX(Lists!$B$4:$B$12,MATCH($F74,Lists!$A$4:$A$12,0)),""))</f>
        <v>TBD</v>
      </c>
      <c r="H74" s="21" t="s">
        <v>46</v>
      </c>
      <c r="I74" s="23" t="n">
        <v>46370</v>
      </c>
      <c r="J74" s="21" t="n">
        <v>3</v>
      </c>
      <c r="K74" s="24" t="n">
        <f aca="false">IF(OR($I74="",$J74=""),"",$I74+7*$J74-3)</f>
        <v>46388</v>
      </c>
      <c r="L74" s="21" t="s">
        <v>371</v>
      </c>
      <c r="M74" s="4"/>
      <c r="N74" s="21"/>
      <c r="O74" s="4"/>
      <c r="P74" s="21"/>
      <c r="Q74" s="2" t="n">
        <f aca="false">IF($A74="",0,IF(AND(OR(View!$C$4="All",View!$C$4="",$B74=View!$C$4),OR(View!$C$5="All",View!$C$5="",$C74=View!$C$5),OR(View!$C$6="All",View!$C$6="",$F74=View!$C$6),OR(View!$C$7="All",View!$C$7="",$G74=View!$C$7),OR(View!$C$8="All",View!$C$8="",$H74=View!$C$8,AND(View!$C$8="Open (not Complete)",$H74&lt;&gt;"Complete")),OR(View!$C$9="",ISNUMBER(SEARCH(View!$C$9,$D74&amp;" "&amp;$E74)))),1,0))</f>
        <v>1</v>
      </c>
      <c r="R74" s="2" t="n">
        <f aca="false">IF($Q74=1,COUNTIF($Q$4:$Q74,1),"")</f>
        <v>71</v>
      </c>
    </row>
    <row r="75" customFormat="false" ht="15" hidden="false" customHeight="false" outlineLevel="0" collapsed="false">
      <c r="A75" s="21" t="s">
        <v>390</v>
      </c>
      <c r="B75" s="21" t="s">
        <v>55</v>
      </c>
      <c r="C75" s="21" t="s">
        <v>65</v>
      </c>
      <c r="D75" s="4" t="s">
        <v>391</v>
      </c>
      <c r="E75" s="4" t="s">
        <v>392</v>
      </c>
      <c r="F75" s="21" t="s">
        <v>65</v>
      </c>
      <c r="G75" s="22" t="str">
        <f aca="false">IF($F75="","",IFERROR(INDEX(Lists!$B$4:$B$12,MATCH($F75,Lists!$A$4:$A$12,0)),""))</f>
        <v>TBD</v>
      </c>
      <c r="H75" s="21" t="s">
        <v>46</v>
      </c>
      <c r="I75" s="23" t="n">
        <v>46391</v>
      </c>
      <c r="J75" s="21" t="n">
        <v>2</v>
      </c>
      <c r="K75" s="24" t="n">
        <f aca="false">IF(OR($I75="",$J75=""),"",$I75+7*$J75-3)</f>
        <v>46402</v>
      </c>
      <c r="L75" s="21" t="s">
        <v>374</v>
      </c>
      <c r="M75" s="4"/>
      <c r="N75" s="21"/>
      <c r="O75" s="4"/>
      <c r="P75" s="21"/>
      <c r="Q75" s="2" t="n">
        <f aca="false">IF($A75="",0,IF(AND(OR(View!$C$4="All",View!$C$4="",$B75=View!$C$4),OR(View!$C$5="All",View!$C$5="",$C75=View!$C$5),OR(View!$C$6="All",View!$C$6="",$F75=View!$C$6),OR(View!$C$7="All",View!$C$7="",$G75=View!$C$7),OR(View!$C$8="All",View!$C$8="",$H75=View!$C$8,AND(View!$C$8="Open (not Complete)",$H75&lt;&gt;"Complete")),OR(View!$C$9="",ISNUMBER(SEARCH(View!$C$9,$D75&amp;" "&amp;$E75)))),1,0))</f>
        <v>1</v>
      </c>
      <c r="R75" s="2" t="n">
        <f aca="false">IF($Q75=1,COUNTIF($Q$4:$Q75,1),"")</f>
        <v>72</v>
      </c>
    </row>
    <row r="76" customFormat="false" ht="15" hidden="false" customHeight="false" outlineLevel="0" collapsed="false">
      <c r="A76" s="21" t="s">
        <v>393</v>
      </c>
      <c r="B76" s="21" t="s">
        <v>55</v>
      </c>
      <c r="C76" s="21" t="s">
        <v>65</v>
      </c>
      <c r="D76" s="4" t="s">
        <v>394</v>
      </c>
      <c r="E76" s="4" t="s">
        <v>395</v>
      </c>
      <c r="F76" s="21" t="s">
        <v>65</v>
      </c>
      <c r="G76" s="22" t="str">
        <f aca="false">IF($F76="","",IFERROR(INDEX(Lists!$B$4:$B$12,MATCH($F76,Lists!$A$4:$A$12,0)),""))</f>
        <v>TBD</v>
      </c>
      <c r="H76" s="21" t="s">
        <v>46</v>
      </c>
      <c r="I76" s="23" t="n">
        <v>46356</v>
      </c>
      <c r="J76" s="21" t="n">
        <v>2</v>
      </c>
      <c r="K76" s="24" t="n">
        <f aca="false">IF(OR($I76="",$J76=""),"",$I76+7*$J76-3)</f>
        <v>46367</v>
      </c>
      <c r="L76" s="21" t="s">
        <v>380</v>
      </c>
      <c r="M76" s="4"/>
      <c r="N76" s="21"/>
      <c r="O76" s="4"/>
      <c r="P76" s="21"/>
      <c r="Q76" s="2" t="n">
        <f aca="false">IF($A76="",0,IF(AND(OR(View!$C$4="All",View!$C$4="",$B76=View!$C$4),OR(View!$C$5="All",View!$C$5="",$C76=View!$C$5),OR(View!$C$6="All",View!$C$6="",$F76=View!$C$6),OR(View!$C$7="All",View!$C$7="",$G76=View!$C$7),OR(View!$C$8="All",View!$C$8="",$H76=View!$C$8,AND(View!$C$8="Open (not Complete)",$H76&lt;&gt;"Complete")),OR(View!$C$9="",ISNUMBER(SEARCH(View!$C$9,$D76&amp;" "&amp;$E76)))),1,0))</f>
        <v>1</v>
      </c>
      <c r="R76" s="2" t="n">
        <f aca="false">IF($Q76=1,COUNTIF($Q$4:$Q76,1),"")</f>
        <v>73</v>
      </c>
    </row>
    <row r="77" customFormat="false" ht="15" hidden="false" customHeight="false" outlineLevel="0" collapsed="false">
      <c r="A77" s="21" t="s">
        <v>396</v>
      </c>
      <c r="B77" s="21" t="s">
        <v>55</v>
      </c>
      <c r="C77" s="21" t="s">
        <v>66</v>
      </c>
      <c r="D77" s="4" t="s">
        <v>397</v>
      </c>
      <c r="E77" s="4"/>
      <c r="F77" s="21" t="s">
        <v>66</v>
      </c>
      <c r="G77" s="22" t="str">
        <f aca="false">IF($F77="","",IFERROR(INDEX(Lists!$B$4:$B$12,MATCH($F77,Lists!$A$4:$A$12,0)),""))</f>
        <v>TBD</v>
      </c>
      <c r="H77" s="21" t="s">
        <v>46</v>
      </c>
      <c r="I77" s="23" t="n">
        <v>46363</v>
      </c>
      <c r="J77" s="21" t="n">
        <v>2</v>
      </c>
      <c r="K77" s="24" t="n">
        <f aca="false">IF(OR($I77="",$J77=""),"",$I77+7*$J77-3)</f>
        <v>46374</v>
      </c>
      <c r="L77" s="21" t="s">
        <v>393</v>
      </c>
      <c r="M77" s="4"/>
      <c r="N77" s="21"/>
      <c r="O77" s="4"/>
      <c r="P77" s="21"/>
      <c r="Q77" s="2" t="n">
        <f aca="false">IF($A77="",0,IF(AND(OR(View!$C$4="All",View!$C$4="",$B77=View!$C$4),OR(View!$C$5="All",View!$C$5="",$C77=View!$C$5),OR(View!$C$6="All",View!$C$6="",$F77=View!$C$6),OR(View!$C$7="All",View!$C$7="",$G77=View!$C$7),OR(View!$C$8="All",View!$C$8="",$H77=View!$C$8,AND(View!$C$8="Open (not Complete)",$H77&lt;&gt;"Complete")),OR(View!$C$9="",ISNUMBER(SEARCH(View!$C$9,$D77&amp;" "&amp;$E77)))),1,0))</f>
        <v>1</v>
      </c>
      <c r="R77" s="2" t="n">
        <f aca="false">IF($Q77=1,COUNTIF($Q$4:$Q77,1),"")</f>
        <v>74</v>
      </c>
    </row>
    <row r="78" customFormat="false" ht="15" hidden="false" customHeight="false" outlineLevel="0" collapsed="false">
      <c r="A78" s="21" t="s">
        <v>398</v>
      </c>
      <c r="B78" s="21" t="s">
        <v>55</v>
      </c>
      <c r="C78" s="21" t="s">
        <v>66</v>
      </c>
      <c r="D78" s="4" t="s">
        <v>399</v>
      </c>
      <c r="E78" s="4"/>
      <c r="F78" s="21" t="s">
        <v>66</v>
      </c>
      <c r="G78" s="22" t="str">
        <f aca="false">IF($F78="","",IFERROR(INDEX(Lists!$B$4:$B$12,MATCH($F78,Lists!$A$4:$A$12,0)),""))</f>
        <v>TBD</v>
      </c>
      <c r="H78" s="21" t="s">
        <v>46</v>
      </c>
      <c r="I78" s="23" t="n">
        <v>46370</v>
      </c>
      <c r="J78" s="21" t="n">
        <v>3</v>
      </c>
      <c r="K78" s="24" t="n">
        <f aca="false">IF(OR($I78="",$J78=""),"",$I78+7*$J78-3)</f>
        <v>46388</v>
      </c>
      <c r="L78" s="21" t="s">
        <v>396</v>
      </c>
      <c r="M78" s="4"/>
      <c r="N78" s="21"/>
      <c r="O78" s="4"/>
      <c r="P78" s="21"/>
      <c r="Q78" s="2" t="n">
        <f aca="false">IF($A78="",0,IF(AND(OR(View!$C$4="All",View!$C$4="",$B78=View!$C$4),OR(View!$C$5="All",View!$C$5="",$C78=View!$C$5),OR(View!$C$6="All",View!$C$6="",$F78=View!$C$6),OR(View!$C$7="All",View!$C$7="",$G78=View!$C$7),OR(View!$C$8="All",View!$C$8="",$H78=View!$C$8,AND(View!$C$8="Open (not Complete)",$H78&lt;&gt;"Complete")),OR(View!$C$9="",ISNUMBER(SEARCH(View!$C$9,$D78&amp;" "&amp;$E78)))),1,0))</f>
        <v>1</v>
      </c>
      <c r="R78" s="2" t="n">
        <f aca="false">IF($Q78=1,COUNTIF($Q$4:$Q78,1),"")</f>
        <v>75</v>
      </c>
    </row>
    <row r="79" customFormat="false" ht="15" hidden="false" customHeight="false" outlineLevel="0" collapsed="false">
      <c r="A79" s="21" t="s">
        <v>400</v>
      </c>
      <c r="B79" s="21" t="s">
        <v>55</v>
      </c>
      <c r="C79" s="21" t="s">
        <v>66</v>
      </c>
      <c r="D79" s="4" t="s">
        <v>401</v>
      </c>
      <c r="E79" s="4" t="s">
        <v>402</v>
      </c>
      <c r="F79" s="21" t="s">
        <v>66</v>
      </c>
      <c r="G79" s="22" t="str">
        <f aca="false">IF($F79="","",IFERROR(INDEX(Lists!$B$4:$B$12,MATCH($F79,Lists!$A$4:$A$12,0)),""))</f>
        <v>TBD</v>
      </c>
      <c r="H79" s="21" t="s">
        <v>46</v>
      </c>
      <c r="I79" s="23" t="n">
        <v>46384</v>
      </c>
      <c r="J79" s="21" t="n">
        <v>2</v>
      </c>
      <c r="K79" s="24" t="n">
        <f aca="false">IF(OR($I79="",$J79=""),"",$I79+7*$J79-3)</f>
        <v>46395</v>
      </c>
      <c r="L79" s="21" t="s">
        <v>398</v>
      </c>
      <c r="M79" s="4"/>
      <c r="N79" s="21"/>
      <c r="O79" s="4"/>
      <c r="P79" s="21"/>
      <c r="Q79" s="2" t="n">
        <f aca="false">IF($A79="",0,IF(AND(OR(View!$C$4="All",View!$C$4="",$B79=View!$C$4),OR(View!$C$5="All",View!$C$5="",$C79=View!$C$5),OR(View!$C$6="All",View!$C$6="",$F79=View!$C$6),OR(View!$C$7="All",View!$C$7="",$G79=View!$C$7),OR(View!$C$8="All",View!$C$8="",$H79=View!$C$8,AND(View!$C$8="Open (not Complete)",$H79&lt;&gt;"Complete")),OR(View!$C$9="",ISNUMBER(SEARCH(View!$C$9,$D79&amp;" "&amp;$E79)))),1,0))</f>
        <v>1</v>
      </c>
      <c r="R79" s="2" t="n">
        <f aca="false">IF($Q79=1,COUNTIF($Q$4:$Q79,1),"")</f>
        <v>76</v>
      </c>
    </row>
    <row r="80" customFormat="false" ht="15" hidden="false" customHeight="false" outlineLevel="0" collapsed="false">
      <c r="A80" s="21" t="s">
        <v>403</v>
      </c>
      <c r="B80" s="21" t="s">
        <v>55</v>
      </c>
      <c r="C80" s="21" t="s">
        <v>66</v>
      </c>
      <c r="D80" s="4" t="s">
        <v>404</v>
      </c>
      <c r="E80" s="4" t="s">
        <v>405</v>
      </c>
      <c r="F80" s="21" t="s">
        <v>66</v>
      </c>
      <c r="G80" s="22" t="str">
        <f aca="false">IF($F80="","",IFERROR(INDEX(Lists!$B$4:$B$12,MATCH($F80,Lists!$A$4:$A$12,0)),""))</f>
        <v>TBD</v>
      </c>
      <c r="H80" s="21" t="s">
        <v>46</v>
      </c>
      <c r="I80" s="23" t="n">
        <v>46391</v>
      </c>
      <c r="J80" s="21" t="n">
        <v>3</v>
      </c>
      <c r="K80" s="24" t="n">
        <f aca="false">IF(OR($I80="",$J80=""),"",$I80+7*$J80-3)</f>
        <v>46409</v>
      </c>
      <c r="L80" s="21" t="s">
        <v>406</v>
      </c>
      <c r="M80" s="4"/>
      <c r="N80" s="21"/>
      <c r="O80" s="4"/>
      <c r="P80" s="21"/>
      <c r="Q80" s="2" t="n">
        <f aca="false">IF($A80="",0,IF(AND(OR(View!$C$4="All",View!$C$4="",$B80=View!$C$4),OR(View!$C$5="All",View!$C$5="",$C80=View!$C$5),OR(View!$C$6="All",View!$C$6="",$F80=View!$C$6),OR(View!$C$7="All",View!$C$7="",$G80=View!$C$7),OR(View!$C$8="All",View!$C$8="",$H80=View!$C$8,AND(View!$C$8="Open (not Complete)",$H80&lt;&gt;"Complete")),OR(View!$C$9="",ISNUMBER(SEARCH(View!$C$9,$D80&amp;" "&amp;$E80)))),1,0))</f>
        <v>1</v>
      </c>
      <c r="R80" s="2" t="n">
        <f aca="false">IF($Q80=1,COUNTIF($Q$4:$Q80,1),"")</f>
        <v>77</v>
      </c>
    </row>
    <row r="81" customFormat="false" ht="23.85" hidden="false" customHeight="false" outlineLevel="0" collapsed="false">
      <c r="A81" s="21" t="s">
        <v>407</v>
      </c>
      <c r="B81" s="21" t="s">
        <v>55</v>
      </c>
      <c r="C81" s="21" t="s">
        <v>266</v>
      </c>
      <c r="D81" s="4" t="s">
        <v>408</v>
      </c>
      <c r="E81" s="4" t="s">
        <v>409</v>
      </c>
      <c r="F81" s="21" t="s">
        <v>70</v>
      </c>
      <c r="G81" s="22" t="str">
        <f aca="false">IF($F81="","",IFERROR(INDEX(Lists!$B$4:$B$12,MATCH($F81,Lists!$A$4:$A$12,0)),""))</f>
        <v>TBD</v>
      </c>
      <c r="H81" s="21" t="s">
        <v>46</v>
      </c>
      <c r="I81" s="23" t="n">
        <v>46349</v>
      </c>
      <c r="J81" s="21" t="n">
        <v>1</v>
      </c>
      <c r="K81" s="24" t="n">
        <f aca="false">IF(OR($I81="",$J81=""),"",$I81+7*$J81-3)</f>
        <v>46353</v>
      </c>
      <c r="L81" s="21" t="s">
        <v>410</v>
      </c>
      <c r="M81" s="4"/>
      <c r="N81" s="21"/>
      <c r="O81" s="4"/>
      <c r="P81" s="21"/>
      <c r="Q81" s="2" t="n">
        <f aca="false">IF($A81="",0,IF(AND(OR(View!$C$4="All",View!$C$4="",$B81=View!$C$4),OR(View!$C$5="All",View!$C$5="",$C81=View!$C$5),OR(View!$C$6="All",View!$C$6="",$F81=View!$C$6),OR(View!$C$7="All",View!$C$7="",$G81=View!$C$7),OR(View!$C$8="All",View!$C$8="",$H81=View!$C$8,AND(View!$C$8="Open (not Complete)",$H81&lt;&gt;"Complete")),OR(View!$C$9="",ISNUMBER(SEARCH(View!$C$9,$D81&amp;" "&amp;$E81)))),1,0))</f>
        <v>1</v>
      </c>
      <c r="R81" s="2" t="n">
        <f aca="false">IF($Q81=1,COUNTIF($Q$4:$Q81,1),"")</f>
        <v>78</v>
      </c>
    </row>
    <row r="82" customFormat="false" ht="23.85" hidden="false" customHeight="false" outlineLevel="0" collapsed="false">
      <c r="A82" s="21" t="s">
        <v>411</v>
      </c>
      <c r="B82" s="21" t="s">
        <v>55</v>
      </c>
      <c r="C82" s="21" t="s">
        <v>266</v>
      </c>
      <c r="D82" s="4" t="s">
        <v>412</v>
      </c>
      <c r="E82" s="4" t="s">
        <v>413</v>
      </c>
      <c r="F82" s="21" t="s">
        <v>70</v>
      </c>
      <c r="G82" s="22" t="str">
        <f aca="false">IF($F82="","",IFERROR(INDEX(Lists!$B$4:$B$12,MATCH($F82,Lists!$A$4:$A$12,0)),""))</f>
        <v>TBD</v>
      </c>
      <c r="H82" s="21" t="s">
        <v>46</v>
      </c>
      <c r="I82" s="23" t="n">
        <v>46363</v>
      </c>
      <c r="J82" s="21" t="n">
        <v>1</v>
      </c>
      <c r="K82" s="24" t="n">
        <f aca="false">IF(OR($I82="",$J82=""),"",$I82+7*$J82-3)</f>
        <v>46367</v>
      </c>
      <c r="L82" s="21" t="s">
        <v>414</v>
      </c>
      <c r="M82" s="4"/>
      <c r="N82" s="21"/>
      <c r="O82" s="4"/>
      <c r="P82" s="21"/>
      <c r="Q82" s="2" t="n">
        <f aca="false">IF($A82="",0,IF(AND(OR(View!$C$4="All",View!$C$4="",$B82=View!$C$4),OR(View!$C$5="All",View!$C$5="",$C82=View!$C$5),OR(View!$C$6="All",View!$C$6="",$F82=View!$C$6),OR(View!$C$7="All",View!$C$7="",$G82=View!$C$7),OR(View!$C$8="All",View!$C$8="",$H82=View!$C$8,AND(View!$C$8="Open (not Complete)",$H82&lt;&gt;"Complete")),OR(View!$C$9="",ISNUMBER(SEARCH(View!$C$9,$D82&amp;" "&amp;$E82)))),1,0))</f>
        <v>1</v>
      </c>
      <c r="R82" s="2" t="n">
        <f aca="false">IF($Q82=1,COUNTIF($Q$4:$Q82,1),"")</f>
        <v>79</v>
      </c>
    </row>
    <row r="83" customFormat="false" ht="23.85" hidden="false" customHeight="false" outlineLevel="0" collapsed="false">
      <c r="A83" s="21" t="s">
        <v>415</v>
      </c>
      <c r="B83" s="21" t="s">
        <v>55</v>
      </c>
      <c r="C83" s="21" t="s">
        <v>266</v>
      </c>
      <c r="D83" s="4" t="s">
        <v>416</v>
      </c>
      <c r="E83" s="4" t="s">
        <v>417</v>
      </c>
      <c r="F83" s="21" t="s">
        <v>70</v>
      </c>
      <c r="G83" s="22" t="str">
        <f aca="false">IF($F83="","",IFERROR(INDEX(Lists!$B$4:$B$12,MATCH($F83,Lists!$A$4:$A$12,0)),""))</f>
        <v>TBD</v>
      </c>
      <c r="H83" s="21" t="s">
        <v>46</v>
      </c>
      <c r="I83" s="23" t="n">
        <v>46391</v>
      </c>
      <c r="J83" s="21" t="n">
        <v>1</v>
      </c>
      <c r="K83" s="24" t="n">
        <f aca="false">IF(OR($I83="",$J83=""),"",$I83+7*$J83-3)</f>
        <v>46395</v>
      </c>
      <c r="L83" s="21" t="s">
        <v>362</v>
      </c>
      <c r="M83" s="4"/>
      <c r="N83" s="21"/>
      <c r="O83" s="4"/>
      <c r="P83" s="21"/>
      <c r="Q83" s="2" t="n">
        <f aca="false">IF($A83="",0,IF(AND(OR(View!$C$4="All",View!$C$4="",$B83=View!$C$4),OR(View!$C$5="All",View!$C$5="",$C83=View!$C$5),OR(View!$C$6="All",View!$C$6="",$F83=View!$C$6),OR(View!$C$7="All",View!$C$7="",$G83=View!$C$7),OR(View!$C$8="All",View!$C$8="",$H83=View!$C$8,AND(View!$C$8="Open (not Complete)",$H83&lt;&gt;"Complete")),OR(View!$C$9="",ISNUMBER(SEARCH(View!$C$9,$D83&amp;" "&amp;$E83)))),1,0))</f>
        <v>1</v>
      </c>
      <c r="R83" s="2" t="n">
        <f aca="false">IF($Q83=1,COUNTIF($Q$4:$Q83,1),"")</f>
        <v>80</v>
      </c>
    </row>
    <row r="84" customFormat="false" ht="15" hidden="false" customHeight="false" outlineLevel="0" collapsed="false">
      <c r="A84" s="21" t="s">
        <v>418</v>
      </c>
      <c r="B84" s="21" t="s">
        <v>55</v>
      </c>
      <c r="C84" s="21" t="s">
        <v>266</v>
      </c>
      <c r="D84" s="4" t="s">
        <v>419</v>
      </c>
      <c r="E84" s="4" t="s">
        <v>420</v>
      </c>
      <c r="F84" s="21" t="s">
        <v>70</v>
      </c>
      <c r="G84" s="22" t="str">
        <f aca="false">IF($F84="","",IFERROR(INDEX(Lists!$B$4:$B$12,MATCH($F84,Lists!$A$4:$A$12,0)),""))</f>
        <v>TBD</v>
      </c>
      <c r="H84" s="21" t="s">
        <v>46</v>
      </c>
      <c r="I84" s="23" t="n">
        <v>46391</v>
      </c>
      <c r="J84" s="21" t="n">
        <v>1</v>
      </c>
      <c r="K84" s="24" t="n">
        <f aca="false">IF(OR($I84="",$J84=""),"",$I84+7*$J84-3)</f>
        <v>46395</v>
      </c>
      <c r="L84" s="21" t="s">
        <v>318</v>
      </c>
      <c r="M84" s="4"/>
      <c r="N84" s="21"/>
      <c r="O84" s="4"/>
      <c r="P84" s="21"/>
      <c r="Q84" s="2" t="n">
        <f aca="false">IF($A84="",0,IF(AND(OR(View!$C$4="All",View!$C$4="",$B84=View!$C$4),OR(View!$C$5="All",View!$C$5="",$C84=View!$C$5),OR(View!$C$6="All",View!$C$6="",$F84=View!$C$6),OR(View!$C$7="All",View!$C$7="",$G84=View!$C$7),OR(View!$C$8="All",View!$C$8="",$H84=View!$C$8,AND(View!$C$8="Open (not Complete)",$H84&lt;&gt;"Complete")),OR(View!$C$9="",ISNUMBER(SEARCH(View!$C$9,$D84&amp;" "&amp;$E84)))),1,0))</f>
        <v>1</v>
      </c>
      <c r="R84" s="2" t="n">
        <f aca="false">IF($Q84=1,COUNTIF($Q$4:$Q84,1),"")</f>
        <v>81</v>
      </c>
    </row>
    <row r="85" customFormat="false" ht="15" hidden="false" customHeight="false" outlineLevel="0" collapsed="false">
      <c r="A85" s="21" t="s">
        <v>421</v>
      </c>
      <c r="B85" s="21" t="s">
        <v>55</v>
      </c>
      <c r="C85" s="21" t="s">
        <v>266</v>
      </c>
      <c r="D85" s="4" t="s">
        <v>422</v>
      </c>
      <c r="E85" s="4" t="s">
        <v>423</v>
      </c>
      <c r="F85" s="21" t="s">
        <v>70</v>
      </c>
      <c r="G85" s="22" t="str">
        <f aca="false">IF($F85="","",IFERROR(INDEX(Lists!$B$4:$B$12,MATCH($F85,Lists!$A$4:$A$12,0)),""))</f>
        <v>TBD</v>
      </c>
      <c r="H85" s="21" t="s">
        <v>46</v>
      </c>
      <c r="I85" s="23" t="n">
        <v>46398</v>
      </c>
      <c r="J85" s="21" t="n">
        <v>1</v>
      </c>
      <c r="K85" s="24" t="n">
        <f aca="false">IF(OR($I85="",$J85=""),"",$I85+7*$J85-3)</f>
        <v>46402</v>
      </c>
      <c r="L85" s="21" t="s">
        <v>366</v>
      </c>
      <c r="M85" s="4"/>
      <c r="N85" s="21"/>
      <c r="O85" s="4"/>
      <c r="P85" s="21"/>
      <c r="Q85" s="2" t="n">
        <f aca="false">IF($A85="",0,IF(AND(OR(View!$C$4="All",View!$C$4="",$B85=View!$C$4),OR(View!$C$5="All",View!$C$5="",$C85=View!$C$5),OR(View!$C$6="All",View!$C$6="",$F85=View!$C$6),OR(View!$C$7="All",View!$C$7="",$G85=View!$C$7),OR(View!$C$8="All",View!$C$8="",$H85=View!$C$8,AND(View!$C$8="Open (not Complete)",$H85&lt;&gt;"Complete")),OR(View!$C$9="",ISNUMBER(SEARCH(View!$C$9,$D85&amp;" "&amp;$E85)))),1,0))</f>
        <v>1</v>
      </c>
      <c r="R85" s="2" t="n">
        <f aca="false">IF($Q85=1,COUNTIF($Q$4:$Q85,1),"")</f>
        <v>82</v>
      </c>
    </row>
    <row r="86" customFormat="false" ht="15" hidden="false" customHeight="false" outlineLevel="0" collapsed="false">
      <c r="A86" s="21" t="s">
        <v>424</v>
      </c>
      <c r="B86" s="21" t="s">
        <v>55</v>
      </c>
      <c r="C86" s="21" t="s">
        <v>266</v>
      </c>
      <c r="D86" s="4" t="s">
        <v>425</v>
      </c>
      <c r="E86" s="4" t="s">
        <v>426</v>
      </c>
      <c r="F86" s="21" t="s">
        <v>70</v>
      </c>
      <c r="G86" s="22" t="str">
        <f aca="false">IF($F86="","",IFERROR(INDEX(Lists!$B$4:$B$12,MATCH($F86,Lists!$A$4:$A$12,0)),""))</f>
        <v>TBD</v>
      </c>
      <c r="H86" s="21" t="s">
        <v>46</v>
      </c>
      <c r="I86" s="23" t="n">
        <v>46405</v>
      </c>
      <c r="J86" s="21" t="n">
        <v>1</v>
      </c>
      <c r="K86" s="24" t="n">
        <f aca="false">IF(OR($I86="",$J86=""),"",$I86+7*$J86-3)</f>
        <v>46409</v>
      </c>
      <c r="L86" s="21" t="s">
        <v>400</v>
      </c>
      <c r="M86" s="4"/>
      <c r="N86" s="21"/>
      <c r="O86" s="4"/>
      <c r="P86" s="21"/>
      <c r="Q86" s="2" t="n">
        <f aca="false">IF($A86="",0,IF(AND(OR(View!$C$4="All",View!$C$4="",$B86=View!$C$4),OR(View!$C$5="All",View!$C$5="",$C86=View!$C$5),OR(View!$C$6="All",View!$C$6="",$F86=View!$C$6),OR(View!$C$7="All",View!$C$7="",$G86=View!$C$7),OR(View!$C$8="All",View!$C$8="",$H86=View!$C$8,AND(View!$C$8="Open (not Complete)",$H86&lt;&gt;"Complete")),OR(View!$C$9="",ISNUMBER(SEARCH(View!$C$9,$D86&amp;" "&amp;$E86)))),1,0))</f>
        <v>1</v>
      </c>
      <c r="R86" s="2" t="n">
        <f aca="false">IF($Q86=1,COUNTIF($Q$4:$Q86,1),"")</f>
        <v>83</v>
      </c>
    </row>
    <row r="87" customFormat="false" ht="23.85" hidden="false" customHeight="false" outlineLevel="0" collapsed="false">
      <c r="A87" s="21" t="s">
        <v>427</v>
      </c>
      <c r="B87" s="21" t="s">
        <v>58</v>
      </c>
      <c r="C87" s="21" t="s">
        <v>428</v>
      </c>
      <c r="D87" s="4" t="s">
        <v>429</v>
      </c>
      <c r="E87" s="4" t="s">
        <v>430</v>
      </c>
      <c r="F87" s="21" t="s">
        <v>68</v>
      </c>
      <c r="G87" s="22" t="str">
        <f aca="false">IF($F87="","",IFERROR(INDEX(Lists!$B$4:$B$12,MATCH($F87,Lists!$A$4:$A$12,0)),""))</f>
        <v>TBD</v>
      </c>
      <c r="H87" s="21" t="s">
        <v>50</v>
      </c>
      <c r="I87" s="23" t="n">
        <v>46195</v>
      </c>
      <c r="J87" s="21" t="n">
        <v>1</v>
      </c>
      <c r="K87" s="24" t="n">
        <f aca="false">IF(OR($I87="",$J87=""),"",$I87+7*$J87-3)</f>
        <v>46199</v>
      </c>
      <c r="L87" s="21"/>
      <c r="M87" s="4"/>
      <c r="N87" s="21"/>
      <c r="O87" s="4"/>
      <c r="P87" s="21" t="s">
        <v>431</v>
      </c>
      <c r="Q87" s="2" t="n">
        <f aca="false">IF($A87="",0,IF(AND(OR(View!$C$4="All",View!$C$4="",$B87=View!$C$4),OR(View!$C$5="All",View!$C$5="",$C87=View!$C$5),OR(View!$C$6="All",View!$C$6="",$F87=View!$C$6),OR(View!$C$7="All",View!$C$7="",$G87=View!$C$7),OR(View!$C$8="All",View!$C$8="",$H87=View!$C$8,AND(View!$C$8="Open (not Complete)",$H87&lt;&gt;"Complete")),OR(View!$C$9="",ISNUMBER(SEARCH(View!$C$9,$D87&amp;" "&amp;$E87)))),1,0))</f>
        <v>1</v>
      </c>
      <c r="R87" s="2" t="n">
        <f aca="false">IF($Q87=1,COUNTIF($Q$4:$Q87,1),"")</f>
        <v>84</v>
      </c>
    </row>
    <row r="88" customFormat="false" ht="23.85" hidden="false" customHeight="false" outlineLevel="0" collapsed="false">
      <c r="A88" s="21" t="s">
        <v>432</v>
      </c>
      <c r="B88" s="21" t="s">
        <v>58</v>
      </c>
      <c r="C88" s="21" t="s">
        <v>428</v>
      </c>
      <c r="D88" s="4" t="s">
        <v>433</v>
      </c>
      <c r="E88" s="4" t="s">
        <v>434</v>
      </c>
      <c r="F88" s="21" t="s">
        <v>68</v>
      </c>
      <c r="G88" s="22" t="str">
        <f aca="false">IF($F88="","",IFERROR(INDEX(Lists!$B$4:$B$12,MATCH($F88,Lists!$A$4:$A$12,0)),""))</f>
        <v>TBD</v>
      </c>
      <c r="H88" s="21" t="s">
        <v>50</v>
      </c>
      <c r="I88" s="23" t="n">
        <v>46195</v>
      </c>
      <c r="J88" s="21" t="n">
        <v>1</v>
      </c>
      <c r="K88" s="24" t="n">
        <f aca="false">IF(OR($I88="",$J88=""),"",$I88+7*$J88-3)</f>
        <v>46199</v>
      </c>
      <c r="L88" s="21"/>
      <c r="M88" s="4"/>
      <c r="N88" s="21"/>
      <c r="O88" s="4"/>
      <c r="P88" s="21" t="s">
        <v>435</v>
      </c>
      <c r="Q88" s="2" t="n">
        <f aca="false">IF($A88="",0,IF(AND(OR(View!$C$4="All",View!$C$4="",$B88=View!$C$4),OR(View!$C$5="All",View!$C$5="",$C88=View!$C$5),OR(View!$C$6="All",View!$C$6="",$F88=View!$C$6),OR(View!$C$7="All",View!$C$7="",$G88=View!$C$7),OR(View!$C$8="All",View!$C$8="",$H88=View!$C$8,AND(View!$C$8="Open (not Complete)",$H88&lt;&gt;"Complete")),OR(View!$C$9="",ISNUMBER(SEARCH(View!$C$9,$D88&amp;" "&amp;$E88)))),1,0))</f>
        <v>1</v>
      </c>
      <c r="R88" s="2" t="n">
        <f aca="false">IF($Q88=1,COUNTIF($Q$4:$Q88,1),"")</f>
        <v>85</v>
      </c>
    </row>
    <row r="89" customFormat="false" ht="23.85" hidden="false" customHeight="false" outlineLevel="0" collapsed="false">
      <c r="A89" s="21" t="s">
        <v>436</v>
      </c>
      <c r="B89" s="21" t="s">
        <v>58</v>
      </c>
      <c r="C89" s="21" t="s">
        <v>428</v>
      </c>
      <c r="D89" s="4" t="s">
        <v>437</v>
      </c>
      <c r="E89" s="4" t="s">
        <v>438</v>
      </c>
      <c r="F89" s="21" t="s">
        <v>68</v>
      </c>
      <c r="G89" s="22" t="str">
        <f aca="false">IF($F89="","",IFERROR(INDEX(Lists!$B$4:$B$12,MATCH($F89,Lists!$A$4:$A$12,0)),""))</f>
        <v>TBD</v>
      </c>
      <c r="H89" s="21" t="s">
        <v>50</v>
      </c>
      <c r="I89" s="23" t="n">
        <v>46195</v>
      </c>
      <c r="J89" s="21" t="n">
        <v>1</v>
      </c>
      <c r="K89" s="24" t="n">
        <f aca="false">IF(OR($I89="",$J89=""),"",$I89+7*$J89-3)</f>
        <v>46199</v>
      </c>
      <c r="L89" s="21"/>
      <c r="M89" s="4"/>
      <c r="N89" s="21"/>
      <c r="O89" s="4"/>
      <c r="P89" s="21" t="s">
        <v>439</v>
      </c>
      <c r="Q89" s="2" t="n">
        <f aca="false">IF($A89="",0,IF(AND(OR(View!$C$4="All",View!$C$4="",$B89=View!$C$4),OR(View!$C$5="All",View!$C$5="",$C89=View!$C$5),OR(View!$C$6="All",View!$C$6="",$F89=View!$C$6),OR(View!$C$7="All",View!$C$7="",$G89=View!$C$7),OR(View!$C$8="All",View!$C$8="",$H89=View!$C$8,AND(View!$C$8="Open (not Complete)",$H89&lt;&gt;"Complete")),OR(View!$C$9="",ISNUMBER(SEARCH(View!$C$9,$D89&amp;" "&amp;$E89)))),1,0))</f>
        <v>1</v>
      </c>
      <c r="R89" s="2" t="n">
        <f aca="false">IF($Q89=1,COUNTIF($Q$4:$Q89,1),"")</f>
        <v>86</v>
      </c>
    </row>
    <row r="90" customFormat="false" ht="35.05" hidden="false" customHeight="false" outlineLevel="0" collapsed="false">
      <c r="A90" s="21" t="s">
        <v>440</v>
      </c>
      <c r="B90" s="21" t="s">
        <v>58</v>
      </c>
      <c r="C90" s="21" t="s">
        <v>428</v>
      </c>
      <c r="D90" s="4" t="s">
        <v>441</v>
      </c>
      <c r="E90" s="4" t="s">
        <v>442</v>
      </c>
      <c r="F90" s="21" t="s">
        <v>68</v>
      </c>
      <c r="G90" s="22" t="str">
        <f aca="false">IF($F90="","",IFERROR(INDEX(Lists!$B$4:$B$12,MATCH($F90,Lists!$A$4:$A$12,0)),""))</f>
        <v>TBD</v>
      </c>
      <c r="H90" s="21" t="s">
        <v>50</v>
      </c>
      <c r="I90" s="23" t="n">
        <v>46195</v>
      </c>
      <c r="J90" s="21" t="n">
        <v>1</v>
      </c>
      <c r="K90" s="24" t="n">
        <f aca="false">IF(OR($I90="",$J90=""),"",$I90+7*$J90-3)</f>
        <v>46199</v>
      </c>
      <c r="L90" s="21"/>
      <c r="M90" s="4"/>
      <c r="N90" s="21"/>
      <c r="O90" s="4"/>
      <c r="P90" s="21" t="s">
        <v>443</v>
      </c>
      <c r="Q90" s="2" t="n">
        <f aca="false">IF($A90="",0,IF(AND(OR(View!$C$4="All",View!$C$4="",$B90=View!$C$4),OR(View!$C$5="All",View!$C$5="",$C90=View!$C$5),OR(View!$C$6="All",View!$C$6="",$F90=View!$C$6),OR(View!$C$7="All",View!$C$7="",$G90=View!$C$7),OR(View!$C$8="All",View!$C$8="",$H90=View!$C$8,AND(View!$C$8="Open (not Complete)",$H90&lt;&gt;"Complete")),OR(View!$C$9="",ISNUMBER(SEARCH(View!$C$9,$D90&amp;" "&amp;$E90)))),1,0))</f>
        <v>1</v>
      </c>
      <c r="R90" s="2" t="n">
        <f aca="false">IF($Q90=1,COUNTIF($Q$4:$Q90,1),"")</f>
        <v>87</v>
      </c>
    </row>
    <row r="91" customFormat="false" ht="23.85" hidden="false" customHeight="false" outlineLevel="0" collapsed="false">
      <c r="A91" s="21" t="s">
        <v>444</v>
      </c>
      <c r="B91" s="21" t="s">
        <v>58</v>
      </c>
      <c r="C91" s="21" t="s">
        <v>428</v>
      </c>
      <c r="D91" s="4" t="s">
        <v>445</v>
      </c>
      <c r="E91" s="4" t="s">
        <v>446</v>
      </c>
      <c r="F91" s="21" t="s">
        <v>68</v>
      </c>
      <c r="G91" s="22" t="str">
        <f aca="false">IF($F91="","",IFERROR(INDEX(Lists!$B$4:$B$12,MATCH($F91,Lists!$A$4:$A$12,0)),""))</f>
        <v>TBD</v>
      </c>
      <c r="H91" s="21" t="s">
        <v>50</v>
      </c>
      <c r="I91" s="23" t="n">
        <v>46195</v>
      </c>
      <c r="J91" s="21" t="n">
        <v>1</v>
      </c>
      <c r="K91" s="24" t="n">
        <f aca="false">IF(OR($I91="",$J91=""),"",$I91+7*$J91-3)</f>
        <v>46199</v>
      </c>
      <c r="L91" s="21"/>
      <c r="M91" s="4"/>
      <c r="N91" s="21"/>
      <c r="O91" s="4"/>
      <c r="P91" s="21" t="s">
        <v>447</v>
      </c>
      <c r="Q91" s="2" t="n">
        <f aca="false">IF($A91="",0,IF(AND(OR(View!$C$4="All",View!$C$4="",$B91=View!$C$4),OR(View!$C$5="All",View!$C$5="",$C91=View!$C$5),OR(View!$C$6="All",View!$C$6="",$F91=View!$C$6),OR(View!$C$7="All",View!$C$7="",$G91=View!$C$7),OR(View!$C$8="All",View!$C$8="",$H91=View!$C$8,AND(View!$C$8="Open (not Complete)",$H91&lt;&gt;"Complete")),OR(View!$C$9="",ISNUMBER(SEARCH(View!$C$9,$D91&amp;" "&amp;$E91)))),1,0))</f>
        <v>1</v>
      </c>
      <c r="R91" s="2" t="n">
        <f aca="false">IF($Q91=1,COUNTIF($Q$4:$Q91,1),"")</f>
        <v>88</v>
      </c>
    </row>
    <row r="92" customFormat="false" ht="23.85" hidden="false" customHeight="false" outlineLevel="0" collapsed="false">
      <c r="A92" s="21" t="s">
        <v>448</v>
      </c>
      <c r="B92" s="21" t="s">
        <v>58</v>
      </c>
      <c r="C92" s="21" t="s">
        <v>428</v>
      </c>
      <c r="D92" s="4" t="s">
        <v>449</v>
      </c>
      <c r="E92" s="4" t="s">
        <v>450</v>
      </c>
      <c r="F92" s="21" t="s">
        <v>68</v>
      </c>
      <c r="G92" s="22" t="str">
        <f aca="false">IF($F92="","",IFERROR(INDEX(Lists!$B$4:$B$12,MATCH($F92,Lists!$A$4:$A$12,0)),""))</f>
        <v>TBD</v>
      </c>
      <c r="H92" s="21" t="s">
        <v>50</v>
      </c>
      <c r="I92" s="23" t="n">
        <v>46195</v>
      </c>
      <c r="J92" s="21" t="n">
        <v>1</v>
      </c>
      <c r="K92" s="24" t="n">
        <f aca="false">IF(OR($I92="",$J92=""),"",$I92+7*$J92-3)</f>
        <v>46199</v>
      </c>
      <c r="L92" s="21"/>
      <c r="M92" s="4"/>
      <c r="N92" s="21"/>
      <c r="O92" s="4"/>
      <c r="P92" s="21" t="s">
        <v>451</v>
      </c>
      <c r="Q92" s="2" t="n">
        <f aca="false">IF($A92="",0,IF(AND(OR(View!$C$4="All",View!$C$4="",$B92=View!$C$4),OR(View!$C$5="All",View!$C$5="",$C92=View!$C$5),OR(View!$C$6="All",View!$C$6="",$F92=View!$C$6),OR(View!$C$7="All",View!$C$7="",$G92=View!$C$7),OR(View!$C$8="All",View!$C$8="",$H92=View!$C$8,AND(View!$C$8="Open (not Complete)",$H92&lt;&gt;"Complete")),OR(View!$C$9="",ISNUMBER(SEARCH(View!$C$9,$D92&amp;" "&amp;$E92)))),1,0))</f>
        <v>1</v>
      </c>
      <c r="R92" s="2" t="n">
        <f aca="false">IF($Q92=1,COUNTIF($Q$4:$Q92,1),"")</f>
        <v>89</v>
      </c>
    </row>
    <row r="93" customFormat="false" ht="23.85" hidden="false" customHeight="false" outlineLevel="0" collapsed="false">
      <c r="A93" s="21" t="s">
        <v>452</v>
      </c>
      <c r="B93" s="21" t="s">
        <v>58</v>
      </c>
      <c r="C93" s="21" t="s">
        <v>428</v>
      </c>
      <c r="D93" s="4" t="s">
        <v>453</v>
      </c>
      <c r="E93" s="4" t="s">
        <v>454</v>
      </c>
      <c r="F93" s="21" t="s">
        <v>68</v>
      </c>
      <c r="G93" s="22" t="str">
        <f aca="false">IF($F93="","",IFERROR(INDEX(Lists!$B$4:$B$12,MATCH($F93,Lists!$A$4:$A$12,0)),""))</f>
        <v>TBD</v>
      </c>
      <c r="H93" s="21" t="s">
        <v>47</v>
      </c>
      <c r="I93" s="23" t="n">
        <v>46195</v>
      </c>
      <c r="J93" s="21" t="n">
        <v>1</v>
      </c>
      <c r="K93" s="24" t="n">
        <f aca="false">IF(OR($I93="",$J93=""),"",$I93+7*$J93-3)</f>
        <v>46199</v>
      </c>
      <c r="L93" s="21"/>
      <c r="M93" s="4"/>
      <c r="N93" s="21"/>
      <c r="O93" s="4"/>
      <c r="P93" s="21" t="s">
        <v>455</v>
      </c>
      <c r="Q93" s="2" t="n">
        <f aca="false">IF($A93="",0,IF(AND(OR(View!$C$4="All",View!$C$4="",$B93=View!$C$4),OR(View!$C$5="All",View!$C$5="",$C93=View!$C$5),OR(View!$C$6="All",View!$C$6="",$F93=View!$C$6),OR(View!$C$7="All",View!$C$7="",$G93=View!$C$7),OR(View!$C$8="All",View!$C$8="",$H93=View!$C$8,AND(View!$C$8="Open (not Complete)",$H93&lt;&gt;"Complete")),OR(View!$C$9="",ISNUMBER(SEARCH(View!$C$9,$D93&amp;" "&amp;$E93)))),1,0))</f>
        <v>1</v>
      </c>
      <c r="R93" s="2" t="n">
        <f aca="false">IF($Q93=1,COUNTIF($Q$4:$Q93,1),"")</f>
        <v>90</v>
      </c>
    </row>
    <row r="94" customFormat="false" ht="23.85" hidden="false" customHeight="false" outlineLevel="0" collapsed="false">
      <c r="A94" s="21" t="s">
        <v>456</v>
      </c>
      <c r="B94" s="21" t="s">
        <v>58</v>
      </c>
      <c r="C94" s="21" t="s">
        <v>428</v>
      </c>
      <c r="D94" s="4" t="s">
        <v>457</v>
      </c>
      <c r="E94" s="4" t="s">
        <v>458</v>
      </c>
      <c r="F94" s="21" t="s">
        <v>68</v>
      </c>
      <c r="G94" s="22" t="str">
        <f aca="false">IF($F94="","",IFERROR(INDEX(Lists!$B$4:$B$12,MATCH($F94,Lists!$A$4:$A$12,0)),""))</f>
        <v>TBD</v>
      </c>
      <c r="H94" s="21" t="s">
        <v>50</v>
      </c>
      <c r="I94" s="23" t="n">
        <v>46195</v>
      </c>
      <c r="J94" s="21" t="n">
        <v>1</v>
      </c>
      <c r="K94" s="24" t="n">
        <f aca="false">IF(OR($I94="",$J94=""),"",$I94+7*$J94-3)</f>
        <v>46199</v>
      </c>
      <c r="L94" s="21"/>
      <c r="M94" s="4"/>
      <c r="N94" s="21"/>
      <c r="O94" s="4"/>
      <c r="P94" s="21" t="s">
        <v>459</v>
      </c>
      <c r="Q94" s="2" t="n">
        <f aca="false">IF($A94="",0,IF(AND(OR(View!$C$4="All",View!$C$4="",$B94=View!$C$4),OR(View!$C$5="All",View!$C$5="",$C94=View!$C$5),OR(View!$C$6="All",View!$C$6="",$F94=View!$C$6),OR(View!$C$7="All",View!$C$7="",$G94=View!$C$7),OR(View!$C$8="All",View!$C$8="",$H94=View!$C$8,AND(View!$C$8="Open (not Complete)",$H94&lt;&gt;"Complete")),OR(View!$C$9="",ISNUMBER(SEARCH(View!$C$9,$D94&amp;" "&amp;$E94)))),1,0))</f>
        <v>1</v>
      </c>
      <c r="R94" s="2" t="n">
        <f aca="false">IF($Q94=1,COUNTIF($Q$4:$Q94,1),"")</f>
        <v>91</v>
      </c>
    </row>
    <row r="95" customFormat="false" ht="23.85" hidden="false" customHeight="false" outlineLevel="0" collapsed="false">
      <c r="A95" s="21" t="s">
        <v>460</v>
      </c>
      <c r="B95" s="21" t="s">
        <v>58</v>
      </c>
      <c r="C95" s="21" t="s">
        <v>428</v>
      </c>
      <c r="D95" s="4" t="s">
        <v>461</v>
      </c>
      <c r="E95" s="4" t="s">
        <v>462</v>
      </c>
      <c r="F95" s="21" t="s">
        <v>68</v>
      </c>
      <c r="G95" s="22" t="str">
        <f aca="false">IF($F95="","",IFERROR(INDEX(Lists!$B$4:$B$12,MATCH($F95,Lists!$A$4:$A$12,0)),""))</f>
        <v>TBD</v>
      </c>
      <c r="H95" s="21" t="s">
        <v>47</v>
      </c>
      <c r="I95" s="23" t="n">
        <v>46195</v>
      </c>
      <c r="J95" s="21" t="n">
        <v>1</v>
      </c>
      <c r="K95" s="24" t="n">
        <f aca="false">IF(OR($I95="",$J95=""),"",$I95+7*$J95-3)</f>
        <v>46199</v>
      </c>
      <c r="L95" s="21"/>
      <c r="M95" s="4"/>
      <c r="N95" s="21"/>
      <c r="O95" s="4"/>
      <c r="P95" s="21" t="s">
        <v>463</v>
      </c>
      <c r="Q95" s="2" t="n">
        <f aca="false">IF($A95="",0,IF(AND(OR(View!$C$4="All",View!$C$4="",$B95=View!$C$4),OR(View!$C$5="All",View!$C$5="",$C95=View!$C$5),OR(View!$C$6="All",View!$C$6="",$F95=View!$C$6),OR(View!$C$7="All",View!$C$7="",$G95=View!$C$7),OR(View!$C$8="All",View!$C$8="",$H95=View!$C$8,AND(View!$C$8="Open (not Complete)",$H95&lt;&gt;"Complete")),OR(View!$C$9="",ISNUMBER(SEARCH(View!$C$9,$D95&amp;" "&amp;$E95)))),1,0))</f>
        <v>1</v>
      </c>
      <c r="R95" s="2" t="n">
        <f aca="false">IF($Q95=1,COUNTIF($Q$4:$Q95,1),"")</f>
        <v>92</v>
      </c>
    </row>
    <row r="96" customFormat="false" ht="35.05" hidden="false" customHeight="false" outlineLevel="0" collapsed="false">
      <c r="A96" s="21" t="s">
        <v>464</v>
      </c>
      <c r="B96" s="21" t="s">
        <v>58</v>
      </c>
      <c r="C96" s="21" t="s">
        <v>428</v>
      </c>
      <c r="D96" s="4" t="s">
        <v>465</v>
      </c>
      <c r="E96" s="4" t="s">
        <v>466</v>
      </c>
      <c r="F96" s="21" t="s">
        <v>68</v>
      </c>
      <c r="G96" s="22" t="str">
        <f aca="false">IF($F96="","",IFERROR(INDEX(Lists!$B$4:$B$12,MATCH($F96,Lists!$A$4:$A$12,0)),""))</f>
        <v>TBD</v>
      </c>
      <c r="H96" s="21" t="s">
        <v>46</v>
      </c>
      <c r="I96" s="23" t="n">
        <v>46195</v>
      </c>
      <c r="J96" s="21" t="n">
        <v>1</v>
      </c>
      <c r="K96" s="24" t="n">
        <f aca="false">IF(OR($I96="",$J96=""),"",$I96+7*$J96-3)</f>
        <v>46199</v>
      </c>
      <c r="L96" s="21"/>
      <c r="M96" s="4"/>
      <c r="N96" s="21"/>
      <c r="O96" s="4"/>
      <c r="P96" s="21" t="s">
        <v>467</v>
      </c>
      <c r="Q96" s="2" t="n">
        <f aca="false">IF($A96="",0,IF(AND(OR(View!$C$4="All",View!$C$4="",$B96=View!$C$4),OR(View!$C$5="All",View!$C$5="",$C96=View!$C$5),OR(View!$C$6="All",View!$C$6="",$F96=View!$C$6),OR(View!$C$7="All",View!$C$7="",$G96=View!$C$7),OR(View!$C$8="All",View!$C$8="",$H96=View!$C$8,AND(View!$C$8="Open (not Complete)",$H96&lt;&gt;"Complete")),OR(View!$C$9="",ISNUMBER(SEARCH(View!$C$9,$D96&amp;" "&amp;$E96)))),1,0))</f>
        <v>1</v>
      </c>
      <c r="R96" s="2" t="n">
        <f aca="false">IF($Q96=1,COUNTIF($Q$4:$Q96,1),"")</f>
        <v>93</v>
      </c>
    </row>
    <row r="97" customFormat="false" ht="23.85" hidden="false" customHeight="false" outlineLevel="0" collapsed="false">
      <c r="A97" s="21" t="s">
        <v>468</v>
      </c>
      <c r="B97" s="21" t="s">
        <v>58</v>
      </c>
      <c r="C97" s="21" t="s">
        <v>428</v>
      </c>
      <c r="D97" s="4" t="s">
        <v>469</v>
      </c>
      <c r="E97" s="4" t="s">
        <v>470</v>
      </c>
      <c r="F97" s="21" t="s">
        <v>68</v>
      </c>
      <c r="G97" s="22" t="str">
        <f aca="false">IF($F97="","",IFERROR(INDEX(Lists!$B$4:$B$12,MATCH($F97,Lists!$A$4:$A$12,0)),""))</f>
        <v>TBD</v>
      </c>
      <c r="H97" s="21" t="s">
        <v>46</v>
      </c>
      <c r="I97" s="23" t="n">
        <v>46195</v>
      </c>
      <c r="J97" s="21" t="n">
        <v>1</v>
      </c>
      <c r="K97" s="24" t="n">
        <f aca="false">IF(OR($I97="",$J97=""),"",$I97+7*$J97-3)</f>
        <v>46199</v>
      </c>
      <c r="L97" s="21"/>
      <c r="M97" s="4"/>
      <c r="N97" s="21"/>
      <c r="O97" s="4"/>
      <c r="P97" s="21" t="s">
        <v>471</v>
      </c>
      <c r="Q97" s="2" t="n">
        <f aca="false">IF($A97="",0,IF(AND(OR(View!$C$4="All",View!$C$4="",$B97=View!$C$4),OR(View!$C$5="All",View!$C$5="",$C97=View!$C$5),OR(View!$C$6="All",View!$C$6="",$F97=View!$C$6),OR(View!$C$7="All",View!$C$7="",$G97=View!$C$7),OR(View!$C$8="All",View!$C$8="",$H97=View!$C$8,AND(View!$C$8="Open (not Complete)",$H97&lt;&gt;"Complete")),OR(View!$C$9="",ISNUMBER(SEARCH(View!$C$9,$D97&amp;" "&amp;$E97)))),1,0))</f>
        <v>1</v>
      </c>
      <c r="R97" s="2" t="n">
        <f aca="false">IF($Q97=1,COUNTIF($Q$4:$Q97,1),"")</f>
        <v>94</v>
      </c>
    </row>
    <row r="98" customFormat="false" ht="23.85" hidden="false" customHeight="false" outlineLevel="0" collapsed="false">
      <c r="A98" s="21" t="s">
        <v>472</v>
      </c>
      <c r="B98" s="21" t="s">
        <v>58</v>
      </c>
      <c r="C98" s="21" t="s">
        <v>428</v>
      </c>
      <c r="D98" s="4" t="s">
        <v>473</v>
      </c>
      <c r="E98" s="4" t="s">
        <v>474</v>
      </c>
      <c r="F98" s="21" t="s">
        <v>68</v>
      </c>
      <c r="G98" s="22" t="str">
        <f aca="false">IF($F98="","",IFERROR(INDEX(Lists!$B$4:$B$12,MATCH($F98,Lists!$A$4:$A$12,0)),""))</f>
        <v>TBD</v>
      </c>
      <c r="H98" s="21" t="s">
        <v>46</v>
      </c>
      <c r="I98" s="23" t="n">
        <v>46195</v>
      </c>
      <c r="J98" s="21" t="n">
        <v>1</v>
      </c>
      <c r="K98" s="24" t="n">
        <f aca="false">IF(OR($I98="",$J98=""),"",$I98+7*$J98-3)</f>
        <v>46199</v>
      </c>
      <c r="L98" s="21"/>
      <c r="M98" s="4"/>
      <c r="N98" s="21"/>
      <c r="O98" s="4"/>
      <c r="P98" s="21" t="s">
        <v>475</v>
      </c>
      <c r="Q98" s="2" t="n">
        <f aca="false">IF($A98="",0,IF(AND(OR(View!$C$4="All",View!$C$4="",$B98=View!$C$4),OR(View!$C$5="All",View!$C$5="",$C98=View!$C$5),OR(View!$C$6="All",View!$C$6="",$F98=View!$C$6),OR(View!$C$7="All",View!$C$7="",$G98=View!$C$7),OR(View!$C$8="All",View!$C$8="",$H98=View!$C$8,AND(View!$C$8="Open (not Complete)",$H98&lt;&gt;"Complete")),OR(View!$C$9="",ISNUMBER(SEARCH(View!$C$9,$D98&amp;" "&amp;$E98)))),1,0))</f>
        <v>1</v>
      </c>
      <c r="R98" s="2" t="n">
        <f aca="false">IF($Q98=1,COUNTIF($Q$4:$Q98,1),"")</f>
        <v>95</v>
      </c>
    </row>
    <row r="99" customFormat="false" ht="23.85" hidden="false" customHeight="false" outlineLevel="0" collapsed="false">
      <c r="A99" s="21" t="s">
        <v>476</v>
      </c>
      <c r="B99" s="21" t="s">
        <v>58</v>
      </c>
      <c r="C99" s="21" t="s">
        <v>428</v>
      </c>
      <c r="D99" s="4" t="s">
        <v>477</v>
      </c>
      <c r="E99" s="4" t="s">
        <v>478</v>
      </c>
      <c r="F99" s="21" t="s">
        <v>68</v>
      </c>
      <c r="G99" s="22" t="str">
        <f aca="false">IF($F99="","",IFERROR(INDEX(Lists!$B$4:$B$12,MATCH($F99,Lists!$A$4:$A$12,0)),""))</f>
        <v>TBD</v>
      </c>
      <c r="H99" s="21" t="s">
        <v>46</v>
      </c>
      <c r="I99" s="23" t="n">
        <v>46202</v>
      </c>
      <c r="J99" s="21" t="n">
        <v>1</v>
      </c>
      <c r="K99" s="24" t="n">
        <f aca="false">IF(OR($I99="",$J99=""),"",$I99+7*$J99-3)</f>
        <v>46206</v>
      </c>
      <c r="L99" s="21"/>
      <c r="M99" s="4"/>
      <c r="N99" s="21"/>
      <c r="O99" s="4"/>
      <c r="P99" s="21" t="s">
        <v>479</v>
      </c>
      <c r="Q99" s="2" t="n">
        <f aca="false">IF($A99="",0,IF(AND(OR(View!$C$4="All",View!$C$4="",$B99=View!$C$4),OR(View!$C$5="All",View!$C$5="",$C99=View!$C$5),OR(View!$C$6="All",View!$C$6="",$F99=View!$C$6),OR(View!$C$7="All",View!$C$7="",$G99=View!$C$7),OR(View!$C$8="All",View!$C$8="",$H99=View!$C$8,AND(View!$C$8="Open (not Complete)",$H99&lt;&gt;"Complete")),OR(View!$C$9="",ISNUMBER(SEARCH(View!$C$9,$D99&amp;" "&amp;$E99)))),1,0))</f>
        <v>1</v>
      </c>
      <c r="R99" s="2" t="n">
        <f aca="false">IF($Q99=1,COUNTIF($Q$4:$Q99,1),"")</f>
        <v>96</v>
      </c>
    </row>
    <row r="100" customFormat="false" ht="35.05" hidden="false" customHeight="false" outlineLevel="0" collapsed="false">
      <c r="A100" s="21" t="s">
        <v>480</v>
      </c>
      <c r="B100" s="21" t="s">
        <v>58</v>
      </c>
      <c r="C100" s="21" t="s">
        <v>428</v>
      </c>
      <c r="D100" s="4" t="s">
        <v>481</v>
      </c>
      <c r="E100" s="4" t="s">
        <v>482</v>
      </c>
      <c r="F100" s="21" t="s">
        <v>68</v>
      </c>
      <c r="G100" s="22" t="str">
        <f aca="false">IF($F100="","",IFERROR(INDEX(Lists!$B$4:$B$12,MATCH($F100,Lists!$A$4:$A$12,0)),""))</f>
        <v>TBD</v>
      </c>
      <c r="H100" s="21" t="s">
        <v>46</v>
      </c>
      <c r="I100" s="23" t="n">
        <v>46202</v>
      </c>
      <c r="J100" s="21" t="n">
        <v>2</v>
      </c>
      <c r="K100" s="24" t="n">
        <f aca="false">IF(OR($I100="",$J100=""),"",$I100+7*$J100-3)</f>
        <v>46213</v>
      </c>
      <c r="L100" s="21"/>
      <c r="M100" s="4"/>
      <c r="N100" s="21"/>
      <c r="O100" s="4"/>
      <c r="P100" s="21" t="s">
        <v>483</v>
      </c>
      <c r="Q100" s="2" t="n">
        <f aca="false">IF($A100="",0,IF(AND(OR(View!$C$4="All",View!$C$4="",$B100=View!$C$4),OR(View!$C$5="All",View!$C$5="",$C100=View!$C$5),OR(View!$C$6="All",View!$C$6="",$F100=View!$C$6),OR(View!$C$7="All",View!$C$7="",$G100=View!$C$7),OR(View!$C$8="All",View!$C$8="",$H100=View!$C$8,AND(View!$C$8="Open (not Complete)",$H100&lt;&gt;"Complete")),OR(View!$C$9="",ISNUMBER(SEARCH(View!$C$9,$D100&amp;" "&amp;$E100)))),1,0))</f>
        <v>1</v>
      </c>
      <c r="R100" s="2" t="n">
        <f aca="false">IF($Q100=1,COUNTIF($Q$4:$Q100,1),"")</f>
        <v>97</v>
      </c>
    </row>
    <row r="101" customFormat="false" ht="23.85" hidden="false" customHeight="false" outlineLevel="0" collapsed="false">
      <c r="A101" s="21" t="s">
        <v>484</v>
      </c>
      <c r="B101" s="21" t="s">
        <v>58</v>
      </c>
      <c r="C101" s="21" t="s">
        <v>428</v>
      </c>
      <c r="D101" s="4" t="s">
        <v>485</v>
      </c>
      <c r="E101" s="4" t="s">
        <v>486</v>
      </c>
      <c r="F101" s="21" t="s">
        <v>68</v>
      </c>
      <c r="G101" s="22" t="str">
        <f aca="false">IF($F101="","",IFERROR(INDEX(Lists!$B$4:$B$12,MATCH($F101,Lists!$A$4:$A$12,0)),""))</f>
        <v>TBD</v>
      </c>
      <c r="H101" s="21" t="s">
        <v>46</v>
      </c>
      <c r="I101" s="23" t="n">
        <v>46202</v>
      </c>
      <c r="J101" s="21" t="n">
        <v>1</v>
      </c>
      <c r="K101" s="24" t="n">
        <f aca="false">IF(OR($I101="",$J101=""),"",$I101+7*$J101-3)</f>
        <v>46206</v>
      </c>
      <c r="L101" s="21"/>
      <c r="M101" s="4"/>
      <c r="N101" s="21"/>
      <c r="O101" s="4"/>
      <c r="P101" s="21" t="s">
        <v>487</v>
      </c>
      <c r="Q101" s="2" t="n">
        <f aca="false">IF($A101="",0,IF(AND(OR(View!$C$4="All",View!$C$4="",$B101=View!$C$4),OR(View!$C$5="All",View!$C$5="",$C101=View!$C$5),OR(View!$C$6="All",View!$C$6="",$F101=View!$C$6),OR(View!$C$7="All",View!$C$7="",$G101=View!$C$7),OR(View!$C$8="All",View!$C$8="",$H101=View!$C$8,AND(View!$C$8="Open (not Complete)",$H101&lt;&gt;"Complete")),OR(View!$C$9="",ISNUMBER(SEARCH(View!$C$9,$D101&amp;" "&amp;$E101)))),1,0))</f>
        <v>1</v>
      </c>
      <c r="R101" s="2" t="n">
        <f aca="false">IF($Q101=1,COUNTIF($Q$4:$Q101,1),"")</f>
        <v>98</v>
      </c>
    </row>
    <row r="102" customFormat="false" ht="23.85" hidden="false" customHeight="false" outlineLevel="0" collapsed="false">
      <c r="A102" s="21" t="s">
        <v>488</v>
      </c>
      <c r="B102" s="21" t="s">
        <v>58</v>
      </c>
      <c r="C102" s="21" t="s">
        <v>428</v>
      </c>
      <c r="D102" s="4" t="s">
        <v>489</v>
      </c>
      <c r="E102" s="4" t="s">
        <v>490</v>
      </c>
      <c r="F102" s="21" t="s">
        <v>68</v>
      </c>
      <c r="G102" s="22" t="str">
        <f aca="false">IF($F102="","",IFERROR(INDEX(Lists!$B$4:$B$12,MATCH($F102,Lists!$A$4:$A$12,0)),""))</f>
        <v>TBD</v>
      </c>
      <c r="H102" s="21" t="s">
        <v>46</v>
      </c>
      <c r="I102" s="23" t="n">
        <v>46209</v>
      </c>
      <c r="J102" s="21" t="n">
        <v>1</v>
      </c>
      <c r="K102" s="24" t="n">
        <f aca="false">IF(OR($I102="",$J102=""),"",$I102+7*$J102-3)</f>
        <v>46213</v>
      </c>
      <c r="L102" s="21"/>
      <c r="M102" s="4"/>
      <c r="N102" s="21"/>
      <c r="O102" s="4"/>
      <c r="P102" s="21" t="s">
        <v>491</v>
      </c>
      <c r="Q102" s="2" t="n">
        <f aca="false">IF($A102="",0,IF(AND(OR(View!$C$4="All",View!$C$4="",$B102=View!$C$4),OR(View!$C$5="All",View!$C$5="",$C102=View!$C$5),OR(View!$C$6="All",View!$C$6="",$F102=View!$C$6),OR(View!$C$7="All",View!$C$7="",$G102=View!$C$7),OR(View!$C$8="All",View!$C$8="",$H102=View!$C$8,AND(View!$C$8="Open (not Complete)",$H102&lt;&gt;"Complete")),OR(View!$C$9="",ISNUMBER(SEARCH(View!$C$9,$D102&amp;" "&amp;$E102)))),1,0))</f>
        <v>1</v>
      </c>
      <c r="R102" s="2" t="n">
        <f aca="false">IF($Q102=1,COUNTIF($Q$4:$Q102,1),"")</f>
        <v>99</v>
      </c>
    </row>
    <row r="103" customFormat="false" ht="23.85" hidden="false" customHeight="false" outlineLevel="0" collapsed="false">
      <c r="A103" s="21" t="s">
        <v>492</v>
      </c>
      <c r="B103" s="21" t="s">
        <v>58</v>
      </c>
      <c r="C103" s="21" t="s">
        <v>428</v>
      </c>
      <c r="D103" s="4" t="s">
        <v>493</v>
      </c>
      <c r="E103" s="4" t="s">
        <v>494</v>
      </c>
      <c r="F103" s="21" t="s">
        <v>68</v>
      </c>
      <c r="G103" s="22" t="str">
        <f aca="false">IF($F103="","",IFERROR(INDEX(Lists!$B$4:$B$12,MATCH($F103,Lists!$A$4:$A$12,0)),""))</f>
        <v>TBD</v>
      </c>
      <c r="H103" s="21" t="s">
        <v>46</v>
      </c>
      <c r="I103" s="23" t="n">
        <v>46216</v>
      </c>
      <c r="J103" s="21" t="n">
        <v>1</v>
      </c>
      <c r="K103" s="24" t="n">
        <f aca="false">IF(OR($I103="",$J103=""),"",$I103+7*$J103-3)</f>
        <v>46220</v>
      </c>
      <c r="L103" s="21"/>
      <c r="M103" s="4"/>
      <c r="N103" s="21"/>
      <c r="O103" s="4"/>
      <c r="P103" s="21" t="s">
        <v>495</v>
      </c>
      <c r="Q103" s="2" t="n">
        <f aca="false">IF($A103="",0,IF(AND(OR(View!$C$4="All",View!$C$4="",$B103=View!$C$4),OR(View!$C$5="All",View!$C$5="",$C103=View!$C$5),OR(View!$C$6="All",View!$C$6="",$F103=View!$C$6),OR(View!$C$7="All",View!$C$7="",$G103=View!$C$7),OR(View!$C$8="All",View!$C$8="",$H103=View!$C$8,AND(View!$C$8="Open (not Complete)",$H103&lt;&gt;"Complete")),OR(View!$C$9="",ISNUMBER(SEARCH(View!$C$9,$D103&amp;" "&amp;$E103)))),1,0))</f>
        <v>1</v>
      </c>
      <c r="R103" s="2" t="n">
        <f aca="false">IF($Q103=1,COUNTIF($Q$4:$Q103,1),"")</f>
        <v>100</v>
      </c>
    </row>
    <row r="104" customFormat="false" ht="23.85" hidden="false" customHeight="false" outlineLevel="0" collapsed="false">
      <c r="A104" s="21" t="s">
        <v>496</v>
      </c>
      <c r="B104" s="21" t="s">
        <v>58</v>
      </c>
      <c r="C104" s="21" t="s">
        <v>428</v>
      </c>
      <c r="D104" s="4" t="s">
        <v>497</v>
      </c>
      <c r="E104" s="4" t="s">
        <v>498</v>
      </c>
      <c r="F104" s="21" t="s">
        <v>68</v>
      </c>
      <c r="G104" s="22" t="str">
        <f aca="false">IF($F104="","",IFERROR(INDEX(Lists!$B$4:$B$12,MATCH($F104,Lists!$A$4:$A$12,0)),""))</f>
        <v>TBD</v>
      </c>
      <c r="H104" s="21" t="s">
        <v>46</v>
      </c>
      <c r="I104" s="23" t="n">
        <v>46216</v>
      </c>
      <c r="J104" s="21" t="n">
        <v>1</v>
      </c>
      <c r="K104" s="24" t="n">
        <f aca="false">IF(OR($I104="",$J104=""),"",$I104+7*$J104-3)</f>
        <v>46220</v>
      </c>
      <c r="L104" s="21"/>
      <c r="M104" s="4"/>
      <c r="N104" s="21"/>
      <c r="O104" s="4"/>
      <c r="P104" s="21" t="s">
        <v>499</v>
      </c>
      <c r="Q104" s="2" t="n">
        <f aca="false">IF($A104="",0,IF(AND(OR(View!$C$4="All",View!$C$4="",$B104=View!$C$4),OR(View!$C$5="All",View!$C$5="",$C104=View!$C$5),OR(View!$C$6="All",View!$C$6="",$F104=View!$C$6),OR(View!$C$7="All",View!$C$7="",$G104=View!$C$7),OR(View!$C$8="All",View!$C$8="",$H104=View!$C$8,AND(View!$C$8="Open (not Complete)",$H104&lt;&gt;"Complete")),OR(View!$C$9="",ISNUMBER(SEARCH(View!$C$9,$D104&amp;" "&amp;$E104)))),1,0))</f>
        <v>1</v>
      </c>
      <c r="R104" s="2" t="n">
        <f aca="false">IF($Q104=1,COUNTIF($Q$4:$Q104,1),"")</f>
        <v>101</v>
      </c>
    </row>
    <row r="105" customFormat="false" ht="23.85" hidden="false" customHeight="false" outlineLevel="0" collapsed="false">
      <c r="A105" s="21" t="s">
        <v>500</v>
      </c>
      <c r="B105" s="21" t="s">
        <v>58</v>
      </c>
      <c r="C105" s="21" t="s">
        <v>428</v>
      </c>
      <c r="D105" s="4" t="s">
        <v>501</v>
      </c>
      <c r="E105" s="4" t="s">
        <v>502</v>
      </c>
      <c r="F105" s="21" t="s">
        <v>68</v>
      </c>
      <c r="G105" s="22" t="str">
        <f aca="false">IF($F105="","",IFERROR(INDEX(Lists!$B$4:$B$12,MATCH($F105,Lists!$A$4:$A$12,0)),""))</f>
        <v>TBD</v>
      </c>
      <c r="H105" s="21" t="s">
        <v>46</v>
      </c>
      <c r="I105" s="23" t="n">
        <v>46216</v>
      </c>
      <c r="J105" s="21" t="n">
        <v>1</v>
      </c>
      <c r="K105" s="24" t="n">
        <f aca="false">IF(OR($I105="",$J105=""),"",$I105+7*$J105-3)</f>
        <v>46220</v>
      </c>
      <c r="L105" s="21"/>
      <c r="M105" s="4"/>
      <c r="N105" s="21"/>
      <c r="O105" s="4"/>
      <c r="P105" s="21" t="s">
        <v>503</v>
      </c>
      <c r="Q105" s="2" t="n">
        <f aca="false">IF($A105="",0,IF(AND(OR(View!$C$4="All",View!$C$4="",$B105=View!$C$4),OR(View!$C$5="All",View!$C$5="",$C105=View!$C$5),OR(View!$C$6="All",View!$C$6="",$F105=View!$C$6),OR(View!$C$7="All",View!$C$7="",$G105=View!$C$7),OR(View!$C$8="All",View!$C$8="",$H105=View!$C$8,AND(View!$C$8="Open (not Complete)",$H105&lt;&gt;"Complete")),OR(View!$C$9="",ISNUMBER(SEARCH(View!$C$9,$D105&amp;" "&amp;$E105)))),1,0))</f>
        <v>1</v>
      </c>
      <c r="R105" s="2" t="n">
        <f aca="false">IF($Q105=1,COUNTIF($Q$4:$Q105,1),"")</f>
        <v>102</v>
      </c>
    </row>
    <row r="106" customFormat="false" ht="23.85" hidden="false" customHeight="false" outlineLevel="0" collapsed="false">
      <c r="A106" s="21" t="s">
        <v>504</v>
      </c>
      <c r="B106" s="21" t="s">
        <v>58</v>
      </c>
      <c r="C106" s="21" t="s">
        <v>428</v>
      </c>
      <c r="D106" s="4" t="s">
        <v>505</v>
      </c>
      <c r="E106" s="4" t="s">
        <v>506</v>
      </c>
      <c r="F106" s="21" t="s">
        <v>68</v>
      </c>
      <c r="G106" s="22" t="str">
        <f aca="false">IF($F106="","",IFERROR(INDEX(Lists!$B$4:$B$12,MATCH($F106,Lists!$A$4:$A$12,0)),""))</f>
        <v>TBD</v>
      </c>
      <c r="H106" s="21" t="s">
        <v>46</v>
      </c>
      <c r="I106" s="23" t="n">
        <v>46223</v>
      </c>
      <c r="J106" s="21" t="n">
        <v>2</v>
      </c>
      <c r="K106" s="24" t="n">
        <f aca="false">IF(OR($I106="",$J106=""),"",$I106+7*$J106-3)</f>
        <v>46234</v>
      </c>
      <c r="L106" s="21"/>
      <c r="M106" s="4"/>
      <c r="N106" s="21"/>
      <c r="O106" s="4"/>
      <c r="P106" s="21" t="s">
        <v>507</v>
      </c>
      <c r="Q106" s="2" t="n">
        <f aca="false">IF($A106="",0,IF(AND(OR(View!$C$4="All",View!$C$4="",$B106=View!$C$4),OR(View!$C$5="All",View!$C$5="",$C106=View!$C$5),OR(View!$C$6="All",View!$C$6="",$F106=View!$C$6),OR(View!$C$7="All",View!$C$7="",$G106=View!$C$7),OR(View!$C$8="All",View!$C$8="",$H106=View!$C$8,AND(View!$C$8="Open (not Complete)",$H106&lt;&gt;"Complete")),OR(View!$C$9="",ISNUMBER(SEARCH(View!$C$9,$D106&amp;" "&amp;$E106)))),1,0))</f>
        <v>1</v>
      </c>
      <c r="R106" s="2" t="n">
        <f aca="false">IF($Q106=1,COUNTIF($Q$4:$Q106,1),"")</f>
        <v>103</v>
      </c>
    </row>
    <row r="107" customFormat="false" ht="23.85" hidden="false" customHeight="false" outlineLevel="0" collapsed="false">
      <c r="A107" s="21" t="s">
        <v>508</v>
      </c>
      <c r="B107" s="21" t="s">
        <v>58</v>
      </c>
      <c r="C107" s="21" t="s">
        <v>428</v>
      </c>
      <c r="D107" s="4" t="s">
        <v>509</v>
      </c>
      <c r="E107" s="4" t="s">
        <v>510</v>
      </c>
      <c r="F107" s="21" t="s">
        <v>68</v>
      </c>
      <c r="G107" s="22" t="str">
        <f aca="false">IF($F107="","",IFERROR(INDEX(Lists!$B$4:$B$12,MATCH($F107,Lists!$A$4:$A$12,0)),""))</f>
        <v>TBD</v>
      </c>
      <c r="H107" s="21" t="s">
        <v>46</v>
      </c>
      <c r="I107" s="23" t="n">
        <v>46223</v>
      </c>
      <c r="J107" s="21" t="n">
        <v>1</v>
      </c>
      <c r="K107" s="24" t="n">
        <f aca="false">IF(OR($I107="",$J107=""),"",$I107+7*$J107-3)</f>
        <v>46227</v>
      </c>
      <c r="L107" s="21"/>
      <c r="M107" s="4"/>
      <c r="N107" s="21"/>
      <c r="O107" s="4"/>
      <c r="P107" s="21" t="s">
        <v>511</v>
      </c>
      <c r="Q107" s="2" t="n">
        <f aca="false">IF($A107="",0,IF(AND(OR(View!$C$4="All",View!$C$4="",$B107=View!$C$4),OR(View!$C$5="All",View!$C$5="",$C107=View!$C$5),OR(View!$C$6="All",View!$C$6="",$F107=View!$C$6),OR(View!$C$7="All",View!$C$7="",$G107=View!$C$7),OR(View!$C$8="All",View!$C$8="",$H107=View!$C$8,AND(View!$C$8="Open (not Complete)",$H107&lt;&gt;"Complete")),OR(View!$C$9="",ISNUMBER(SEARCH(View!$C$9,$D107&amp;" "&amp;$E107)))),1,0))</f>
        <v>1</v>
      </c>
      <c r="R107" s="2" t="n">
        <f aca="false">IF($Q107=1,COUNTIF($Q$4:$Q107,1),"")</f>
        <v>104</v>
      </c>
    </row>
    <row r="108" customFormat="false" ht="23.85" hidden="false" customHeight="false" outlineLevel="0" collapsed="false">
      <c r="A108" s="21" t="s">
        <v>512</v>
      </c>
      <c r="B108" s="21" t="s">
        <v>58</v>
      </c>
      <c r="C108" s="21" t="s">
        <v>428</v>
      </c>
      <c r="D108" s="4" t="s">
        <v>513</v>
      </c>
      <c r="E108" s="4" t="s">
        <v>514</v>
      </c>
      <c r="F108" s="21" t="s">
        <v>68</v>
      </c>
      <c r="G108" s="22" t="str">
        <f aca="false">IF($F108="","",IFERROR(INDEX(Lists!$B$4:$B$12,MATCH($F108,Lists!$A$4:$A$12,0)),""))</f>
        <v>TBD</v>
      </c>
      <c r="H108" s="21" t="s">
        <v>46</v>
      </c>
      <c r="I108" s="23" t="n">
        <v>46230</v>
      </c>
      <c r="J108" s="21" t="n">
        <v>1</v>
      </c>
      <c r="K108" s="24" t="n">
        <f aca="false">IF(OR($I108="",$J108=""),"",$I108+7*$J108-3)</f>
        <v>46234</v>
      </c>
      <c r="L108" s="21"/>
      <c r="M108" s="4"/>
      <c r="N108" s="21"/>
      <c r="O108" s="4"/>
      <c r="P108" s="21" t="s">
        <v>515</v>
      </c>
      <c r="Q108" s="2" t="n">
        <f aca="false">IF($A108="",0,IF(AND(OR(View!$C$4="All",View!$C$4="",$B108=View!$C$4),OR(View!$C$5="All",View!$C$5="",$C108=View!$C$5),OR(View!$C$6="All",View!$C$6="",$F108=View!$C$6),OR(View!$C$7="All",View!$C$7="",$G108=View!$C$7),OR(View!$C$8="All",View!$C$8="",$H108=View!$C$8,AND(View!$C$8="Open (not Complete)",$H108&lt;&gt;"Complete")),OR(View!$C$9="",ISNUMBER(SEARCH(View!$C$9,$D108&amp;" "&amp;$E108)))),1,0))</f>
        <v>1</v>
      </c>
      <c r="R108" s="2" t="n">
        <f aca="false">IF($Q108=1,COUNTIF($Q$4:$Q108,1),"")</f>
        <v>105</v>
      </c>
    </row>
    <row r="109" customFormat="false" ht="23.85" hidden="false" customHeight="false" outlineLevel="0" collapsed="false">
      <c r="A109" s="21" t="s">
        <v>516</v>
      </c>
      <c r="B109" s="21" t="s">
        <v>59</v>
      </c>
      <c r="C109" s="21" t="s">
        <v>517</v>
      </c>
      <c r="D109" s="4" t="s">
        <v>518</v>
      </c>
      <c r="E109" s="4" t="s">
        <v>519</v>
      </c>
      <c r="F109" s="21" t="s">
        <v>69</v>
      </c>
      <c r="G109" s="22" t="str">
        <f aca="false">IF($F109="","",IFERROR(INDEX(Lists!$B$4:$B$12,MATCH($F109,Lists!$A$4:$A$12,0)),""))</f>
        <v>TBD</v>
      </c>
      <c r="H109" s="21" t="s">
        <v>46</v>
      </c>
      <c r="I109" s="23" t="n">
        <v>46195</v>
      </c>
      <c r="J109" s="21" t="n">
        <v>2</v>
      </c>
      <c r="K109" s="24" t="n">
        <f aca="false">IF(OR($I109="",$J109=""),"",$I109+7*$J109-3)</f>
        <v>46206</v>
      </c>
      <c r="L109" s="21"/>
      <c r="M109" s="4"/>
      <c r="N109" s="21"/>
      <c r="O109" s="4"/>
      <c r="P109" s="21" t="s">
        <v>520</v>
      </c>
      <c r="Q109" s="2" t="n">
        <f aca="false">IF($A109="",0,IF(AND(OR(View!$C$4="All",View!$C$4="",$B109=View!$C$4),OR(View!$C$5="All",View!$C$5="",$C109=View!$C$5),OR(View!$C$6="All",View!$C$6="",$F109=View!$C$6),OR(View!$C$7="All",View!$C$7="",$G109=View!$C$7),OR(View!$C$8="All",View!$C$8="",$H109=View!$C$8,AND(View!$C$8="Open (not Complete)",$H109&lt;&gt;"Complete")),OR(View!$C$9="",ISNUMBER(SEARCH(View!$C$9,$D109&amp;" "&amp;$E109)))),1,0))</f>
        <v>1</v>
      </c>
      <c r="R109" s="2" t="n">
        <f aca="false">IF($Q109=1,COUNTIF($Q$4:$Q109,1),"")</f>
        <v>106</v>
      </c>
    </row>
    <row r="110" customFormat="false" ht="23.85" hidden="false" customHeight="false" outlineLevel="0" collapsed="false">
      <c r="A110" s="21" t="s">
        <v>521</v>
      </c>
      <c r="B110" s="21" t="s">
        <v>59</v>
      </c>
      <c r="C110" s="21" t="s">
        <v>517</v>
      </c>
      <c r="D110" s="4" t="s">
        <v>522</v>
      </c>
      <c r="E110" s="4" t="s">
        <v>523</v>
      </c>
      <c r="F110" s="21" t="s">
        <v>69</v>
      </c>
      <c r="G110" s="22" t="str">
        <f aca="false">IF($F110="","",IFERROR(INDEX(Lists!$B$4:$B$12,MATCH($F110,Lists!$A$4:$A$12,0)),""))</f>
        <v>TBD</v>
      </c>
      <c r="H110" s="21" t="s">
        <v>46</v>
      </c>
      <c r="I110" s="23" t="n">
        <v>46195</v>
      </c>
      <c r="J110" s="21" t="n">
        <v>2</v>
      </c>
      <c r="K110" s="24" t="n">
        <f aca="false">IF(OR($I110="",$J110=""),"",$I110+7*$J110-3)</f>
        <v>46206</v>
      </c>
      <c r="L110" s="21"/>
      <c r="M110" s="4"/>
      <c r="N110" s="21"/>
      <c r="O110" s="4"/>
      <c r="P110" s="21" t="s">
        <v>524</v>
      </c>
      <c r="Q110" s="2" t="n">
        <f aca="false">IF($A110="",0,IF(AND(OR(View!$C$4="All",View!$C$4="",$B110=View!$C$4),OR(View!$C$5="All",View!$C$5="",$C110=View!$C$5),OR(View!$C$6="All",View!$C$6="",$F110=View!$C$6),OR(View!$C$7="All",View!$C$7="",$G110=View!$C$7),OR(View!$C$8="All",View!$C$8="",$H110=View!$C$8,AND(View!$C$8="Open (not Complete)",$H110&lt;&gt;"Complete")),OR(View!$C$9="",ISNUMBER(SEARCH(View!$C$9,$D110&amp;" "&amp;$E110)))),1,0))</f>
        <v>1</v>
      </c>
      <c r="R110" s="2" t="n">
        <f aca="false">IF($Q110=1,COUNTIF($Q$4:$Q110,1),"")</f>
        <v>107</v>
      </c>
    </row>
    <row r="111" customFormat="false" ht="15" hidden="false" customHeight="false" outlineLevel="0" collapsed="false">
      <c r="A111" s="21" t="s">
        <v>525</v>
      </c>
      <c r="B111" s="21" t="s">
        <v>59</v>
      </c>
      <c r="C111" s="21" t="s">
        <v>517</v>
      </c>
      <c r="D111" s="4" t="s">
        <v>526</v>
      </c>
      <c r="E111" s="4" t="s">
        <v>527</v>
      </c>
      <c r="F111" s="21" t="s">
        <v>69</v>
      </c>
      <c r="G111" s="22" t="str">
        <f aca="false">IF($F111="","",IFERROR(INDEX(Lists!$B$4:$B$12,MATCH($F111,Lists!$A$4:$A$12,0)),""))</f>
        <v>TBD</v>
      </c>
      <c r="H111" s="21" t="s">
        <v>46</v>
      </c>
      <c r="I111" s="23" t="n">
        <v>46202</v>
      </c>
      <c r="J111" s="21" t="n">
        <v>1</v>
      </c>
      <c r="K111" s="24" t="n">
        <f aca="false">IF(OR($I111="",$J111=""),"",$I111+7*$J111-3)</f>
        <v>46206</v>
      </c>
      <c r="L111" s="21"/>
      <c r="M111" s="4"/>
      <c r="N111" s="21"/>
      <c r="O111" s="4"/>
      <c r="P111" s="21" t="s">
        <v>528</v>
      </c>
      <c r="Q111" s="2" t="n">
        <f aca="false">IF($A111="",0,IF(AND(OR(View!$C$4="All",View!$C$4="",$B111=View!$C$4),OR(View!$C$5="All",View!$C$5="",$C111=View!$C$5),OR(View!$C$6="All",View!$C$6="",$F111=View!$C$6),OR(View!$C$7="All",View!$C$7="",$G111=View!$C$7),OR(View!$C$8="All",View!$C$8="",$H111=View!$C$8,AND(View!$C$8="Open (not Complete)",$H111&lt;&gt;"Complete")),OR(View!$C$9="",ISNUMBER(SEARCH(View!$C$9,$D111&amp;" "&amp;$E111)))),1,0))</f>
        <v>1</v>
      </c>
      <c r="R111" s="2" t="n">
        <f aca="false">IF($Q111=1,COUNTIF($Q$4:$Q111,1),"")</f>
        <v>108</v>
      </c>
    </row>
    <row r="112" customFormat="false" ht="23.85" hidden="false" customHeight="false" outlineLevel="0" collapsed="false">
      <c r="A112" s="21" t="s">
        <v>529</v>
      </c>
      <c r="B112" s="21" t="s">
        <v>59</v>
      </c>
      <c r="C112" s="21" t="s">
        <v>517</v>
      </c>
      <c r="D112" s="4" t="s">
        <v>530</v>
      </c>
      <c r="E112" s="4" t="s">
        <v>531</v>
      </c>
      <c r="F112" s="21" t="s">
        <v>69</v>
      </c>
      <c r="G112" s="22" t="str">
        <f aca="false">IF($F112="","",IFERROR(INDEX(Lists!$B$4:$B$12,MATCH($F112,Lists!$A$4:$A$12,0)),""))</f>
        <v>TBD</v>
      </c>
      <c r="H112" s="21" t="s">
        <v>46</v>
      </c>
      <c r="I112" s="23" t="n">
        <v>46209</v>
      </c>
      <c r="J112" s="21" t="n">
        <v>2</v>
      </c>
      <c r="K112" s="24" t="n">
        <f aca="false">IF(OR($I112="",$J112=""),"",$I112+7*$J112-3)</f>
        <v>46220</v>
      </c>
      <c r="L112" s="21"/>
      <c r="M112" s="4"/>
      <c r="N112" s="21"/>
      <c r="O112" s="4"/>
      <c r="P112" s="21" t="s">
        <v>532</v>
      </c>
      <c r="Q112" s="2" t="n">
        <f aca="false">IF($A112="",0,IF(AND(OR(View!$C$4="All",View!$C$4="",$B112=View!$C$4),OR(View!$C$5="All",View!$C$5="",$C112=View!$C$5),OR(View!$C$6="All",View!$C$6="",$F112=View!$C$6),OR(View!$C$7="All",View!$C$7="",$G112=View!$C$7),OR(View!$C$8="All",View!$C$8="",$H112=View!$C$8,AND(View!$C$8="Open (not Complete)",$H112&lt;&gt;"Complete")),OR(View!$C$9="",ISNUMBER(SEARCH(View!$C$9,$D112&amp;" "&amp;$E112)))),1,0))</f>
        <v>1</v>
      </c>
      <c r="R112" s="2" t="n">
        <f aca="false">IF($Q112=1,COUNTIF($Q$4:$Q112,1),"")</f>
        <v>109</v>
      </c>
    </row>
    <row r="113" customFormat="false" ht="15" hidden="false" customHeight="false" outlineLevel="0" collapsed="false">
      <c r="A113" s="21" t="s">
        <v>533</v>
      </c>
      <c r="B113" s="21" t="s">
        <v>59</v>
      </c>
      <c r="C113" s="21" t="s">
        <v>517</v>
      </c>
      <c r="D113" s="4" t="s">
        <v>534</v>
      </c>
      <c r="E113" s="4" t="s">
        <v>535</v>
      </c>
      <c r="F113" s="21" t="s">
        <v>69</v>
      </c>
      <c r="G113" s="22" t="str">
        <f aca="false">IF($F113="","",IFERROR(INDEX(Lists!$B$4:$B$12,MATCH($F113,Lists!$A$4:$A$12,0)),""))</f>
        <v>TBD</v>
      </c>
      <c r="H113" s="21" t="s">
        <v>46</v>
      </c>
      <c r="I113" s="23" t="n">
        <v>46209</v>
      </c>
      <c r="J113" s="21" t="n">
        <v>2</v>
      </c>
      <c r="K113" s="24" t="n">
        <f aca="false">IF(OR($I113="",$J113=""),"",$I113+7*$J113-3)</f>
        <v>46220</v>
      </c>
      <c r="L113" s="21"/>
      <c r="M113" s="4"/>
      <c r="N113" s="21"/>
      <c r="O113" s="4"/>
      <c r="P113" s="21" t="s">
        <v>536</v>
      </c>
      <c r="Q113" s="2" t="n">
        <f aca="false">IF($A113="",0,IF(AND(OR(View!$C$4="All",View!$C$4="",$B113=View!$C$4),OR(View!$C$5="All",View!$C$5="",$C113=View!$C$5),OR(View!$C$6="All",View!$C$6="",$F113=View!$C$6),OR(View!$C$7="All",View!$C$7="",$G113=View!$C$7),OR(View!$C$8="All",View!$C$8="",$H113=View!$C$8,AND(View!$C$8="Open (not Complete)",$H113&lt;&gt;"Complete")),OR(View!$C$9="",ISNUMBER(SEARCH(View!$C$9,$D113&amp;" "&amp;$E113)))),1,0))</f>
        <v>1</v>
      </c>
      <c r="R113" s="2" t="n">
        <f aca="false">IF($Q113=1,COUNTIF($Q$4:$Q113,1),"")</f>
        <v>110</v>
      </c>
    </row>
    <row r="114" customFormat="false" ht="15" hidden="false" customHeight="false" outlineLevel="0" collapsed="false">
      <c r="A114" s="21" t="s">
        <v>537</v>
      </c>
      <c r="B114" s="21" t="s">
        <v>59</v>
      </c>
      <c r="C114" s="21" t="s">
        <v>517</v>
      </c>
      <c r="D114" s="4" t="s">
        <v>538</v>
      </c>
      <c r="E114" s="4" t="s">
        <v>539</v>
      </c>
      <c r="F114" s="21" t="s">
        <v>69</v>
      </c>
      <c r="G114" s="22" t="str">
        <f aca="false">IF($F114="","",IFERROR(INDEX(Lists!$B$4:$B$12,MATCH($F114,Lists!$A$4:$A$12,0)),""))</f>
        <v>TBD</v>
      </c>
      <c r="H114" s="21" t="s">
        <v>46</v>
      </c>
      <c r="I114" s="23" t="n">
        <v>46216</v>
      </c>
      <c r="J114" s="21" t="n">
        <v>1</v>
      </c>
      <c r="K114" s="24" t="n">
        <f aca="false">IF(OR($I114="",$J114=""),"",$I114+7*$J114-3)</f>
        <v>46220</v>
      </c>
      <c r="L114" s="21"/>
      <c r="M114" s="4"/>
      <c r="N114" s="21"/>
      <c r="O114" s="4"/>
      <c r="P114" s="21" t="s">
        <v>540</v>
      </c>
      <c r="Q114" s="2" t="n">
        <f aca="false">IF($A114="",0,IF(AND(OR(View!$C$4="All",View!$C$4="",$B114=View!$C$4),OR(View!$C$5="All",View!$C$5="",$C114=View!$C$5),OR(View!$C$6="All",View!$C$6="",$F114=View!$C$6),OR(View!$C$7="All",View!$C$7="",$G114=View!$C$7),OR(View!$C$8="All",View!$C$8="",$H114=View!$C$8,AND(View!$C$8="Open (not Complete)",$H114&lt;&gt;"Complete")),OR(View!$C$9="",ISNUMBER(SEARCH(View!$C$9,$D114&amp;" "&amp;$E114)))),1,0))</f>
        <v>1</v>
      </c>
      <c r="R114" s="2" t="n">
        <f aca="false">IF($Q114=1,COUNTIF($Q$4:$Q114,1),"")</f>
        <v>111</v>
      </c>
    </row>
    <row r="115" customFormat="false" ht="23.85" hidden="false" customHeight="false" outlineLevel="0" collapsed="false">
      <c r="A115" s="21" t="s">
        <v>541</v>
      </c>
      <c r="B115" s="21" t="s">
        <v>59</v>
      </c>
      <c r="C115" s="21" t="s">
        <v>517</v>
      </c>
      <c r="D115" s="4" t="s">
        <v>542</v>
      </c>
      <c r="E115" s="4" t="s">
        <v>543</v>
      </c>
      <c r="F115" s="21" t="s">
        <v>69</v>
      </c>
      <c r="G115" s="22" t="str">
        <f aca="false">IF($F115="","",IFERROR(INDEX(Lists!$B$4:$B$12,MATCH($F115,Lists!$A$4:$A$12,0)),""))</f>
        <v>TBD</v>
      </c>
      <c r="H115" s="21" t="s">
        <v>46</v>
      </c>
      <c r="I115" s="23"/>
      <c r="J115" s="21"/>
      <c r="K115" s="24" t="str">
        <f aca="false">IF(OR($I115="",$J115=""),"",$I115+7*$J115-3)</f>
        <v/>
      </c>
      <c r="L115" s="21"/>
      <c r="M115" s="4"/>
      <c r="N115" s="21"/>
      <c r="O115" s="4" t="s">
        <v>163</v>
      </c>
      <c r="P115" s="21" t="s">
        <v>544</v>
      </c>
      <c r="Q115" s="2" t="n">
        <f aca="false">IF($A115="",0,IF(AND(OR(View!$C$4="All",View!$C$4="",$B115=View!$C$4),OR(View!$C$5="All",View!$C$5="",$C115=View!$C$5),OR(View!$C$6="All",View!$C$6="",$F115=View!$C$6),OR(View!$C$7="All",View!$C$7="",$G115=View!$C$7),OR(View!$C$8="All",View!$C$8="",$H115=View!$C$8,AND(View!$C$8="Open (not Complete)",$H115&lt;&gt;"Complete")),OR(View!$C$9="",ISNUMBER(SEARCH(View!$C$9,$D115&amp;" "&amp;$E115)))),1,0))</f>
        <v>1</v>
      </c>
      <c r="R115" s="2" t="n">
        <f aca="false">IF($Q115=1,COUNTIF($Q$4:$Q115,1),"")</f>
        <v>112</v>
      </c>
    </row>
    <row r="116" customFormat="false" ht="23.85" hidden="false" customHeight="false" outlineLevel="0" collapsed="false">
      <c r="A116" s="21" t="s">
        <v>545</v>
      </c>
      <c r="B116" s="21" t="s">
        <v>59</v>
      </c>
      <c r="C116" s="21" t="s">
        <v>517</v>
      </c>
      <c r="D116" s="4" t="s">
        <v>546</v>
      </c>
      <c r="E116" s="4" t="s">
        <v>547</v>
      </c>
      <c r="F116" s="21" t="s">
        <v>69</v>
      </c>
      <c r="G116" s="22" t="str">
        <f aca="false">IF($F116="","",IFERROR(INDEX(Lists!$B$4:$B$12,MATCH($F116,Lists!$A$4:$A$12,0)),""))</f>
        <v>TBD</v>
      </c>
      <c r="H116" s="21" t="s">
        <v>46</v>
      </c>
      <c r="I116" s="23"/>
      <c r="J116" s="21"/>
      <c r="K116" s="24" t="str">
        <f aca="false">IF(OR($I116="",$J116=""),"",$I116+7*$J116-3)</f>
        <v/>
      </c>
      <c r="L116" s="21"/>
      <c r="M116" s="4"/>
      <c r="N116" s="21"/>
      <c r="O116" s="4" t="s">
        <v>163</v>
      </c>
      <c r="P116" s="21" t="s">
        <v>548</v>
      </c>
      <c r="Q116" s="2" t="n">
        <f aca="false">IF($A116="",0,IF(AND(OR(View!$C$4="All",View!$C$4="",$B116=View!$C$4),OR(View!$C$5="All",View!$C$5="",$C116=View!$C$5),OR(View!$C$6="All",View!$C$6="",$F116=View!$C$6),OR(View!$C$7="All",View!$C$7="",$G116=View!$C$7),OR(View!$C$8="All",View!$C$8="",$H116=View!$C$8,AND(View!$C$8="Open (not Complete)",$H116&lt;&gt;"Complete")),OR(View!$C$9="",ISNUMBER(SEARCH(View!$C$9,$D116&amp;" "&amp;$E116)))),1,0))</f>
        <v>1</v>
      </c>
      <c r="R116" s="2" t="n">
        <f aca="false">IF($Q116=1,COUNTIF($Q$4:$Q116,1),"")</f>
        <v>113</v>
      </c>
    </row>
    <row r="117" customFormat="false" ht="23.85" hidden="false" customHeight="false" outlineLevel="0" collapsed="false">
      <c r="A117" s="21" t="s">
        <v>549</v>
      </c>
      <c r="B117" s="21" t="s">
        <v>59</v>
      </c>
      <c r="C117" s="21" t="s">
        <v>517</v>
      </c>
      <c r="D117" s="4" t="s">
        <v>550</v>
      </c>
      <c r="E117" s="4" t="s">
        <v>551</v>
      </c>
      <c r="F117" s="21" t="s">
        <v>69</v>
      </c>
      <c r="G117" s="22" t="str">
        <f aca="false">IF($F117="","",IFERROR(INDEX(Lists!$B$4:$B$12,MATCH($F117,Lists!$A$4:$A$12,0)),""))</f>
        <v>TBD</v>
      </c>
      <c r="H117" s="21" t="s">
        <v>46</v>
      </c>
      <c r="I117" s="23"/>
      <c r="J117" s="21"/>
      <c r="K117" s="24" t="str">
        <f aca="false">IF(OR($I117="",$J117=""),"",$I117+7*$J117-3)</f>
        <v/>
      </c>
      <c r="L117" s="21"/>
      <c r="M117" s="4"/>
      <c r="N117" s="21"/>
      <c r="O117" s="4" t="s">
        <v>163</v>
      </c>
      <c r="P117" s="21" t="s">
        <v>552</v>
      </c>
      <c r="Q117" s="2" t="n">
        <f aca="false">IF($A117="",0,IF(AND(OR(View!$C$4="All",View!$C$4="",$B117=View!$C$4),OR(View!$C$5="All",View!$C$5="",$C117=View!$C$5),OR(View!$C$6="All",View!$C$6="",$F117=View!$C$6),OR(View!$C$7="All",View!$C$7="",$G117=View!$C$7),OR(View!$C$8="All",View!$C$8="",$H117=View!$C$8,AND(View!$C$8="Open (not Complete)",$H117&lt;&gt;"Complete")),OR(View!$C$9="",ISNUMBER(SEARCH(View!$C$9,$D117&amp;" "&amp;$E117)))),1,0))</f>
        <v>1</v>
      </c>
      <c r="R117" s="2" t="n">
        <f aca="false">IF($Q117=1,COUNTIF($Q$4:$Q117,1),"")</f>
        <v>114</v>
      </c>
    </row>
    <row r="118" customFormat="false" ht="23.85" hidden="false" customHeight="false" outlineLevel="0" collapsed="false">
      <c r="A118" s="21" t="s">
        <v>553</v>
      </c>
      <c r="B118" s="21" t="s">
        <v>59</v>
      </c>
      <c r="C118" s="21" t="s">
        <v>517</v>
      </c>
      <c r="D118" s="4" t="s">
        <v>554</v>
      </c>
      <c r="E118" s="4" t="s">
        <v>555</v>
      </c>
      <c r="F118" s="21" t="s">
        <v>69</v>
      </c>
      <c r="G118" s="22" t="str">
        <f aca="false">IF($F118="","",IFERROR(INDEX(Lists!$B$4:$B$12,MATCH($F118,Lists!$A$4:$A$12,0)),""))</f>
        <v>TBD</v>
      </c>
      <c r="H118" s="21" t="s">
        <v>46</v>
      </c>
      <c r="I118" s="23"/>
      <c r="J118" s="21"/>
      <c r="K118" s="24" t="str">
        <f aca="false">IF(OR($I118="",$J118=""),"",$I118+7*$J118-3)</f>
        <v/>
      </c>
      <c r="L118" s="21"/>
      <c r="M118" s="4"/>
      <c r="N118" s="21"/>
      <c r="O118" s="4" t="s">
        <v>163</v>
      </c>
      <c r="P118" s="21" t="s">
        <v>556</v>
      </c>
      <c r="Q118" s="2" t="n">
        <f aca="false">IF($A118="",0,IF(AND(OR(View!$C$4="All",View!$C$4="",$B118=View!$C$4),OR(View!$C$5="All",View!$C$5="",$C118=View!$C$5),OR(View!$C$6="All",View!$C$6="",$F118=View!$C$6),OR(View!$C$7="All",View!$C$7="",$G118=View!$C$7),OR(View!$C$8="All",View!$C$8="",$H118=View!$C$8,AND(View!$C$8="Open (not Complete)",$H118&lt;&gt;"Complete")),OR(View!$C$9="",ISNUMBER(SEARCH(View!$C$9,$D118&amp;" "&amp;$E118)))),1,0))</f>
        <v>1</v>
      </c>
      <c r="R118" s="2" t="n">
        <f aca="false">IF($Q118=1,COUNTIF($Q$4:$Q118,1),"")</f>
        <v>115</v>
      </c>
    </row>
    <row r="119" customFormat="false" ht="23.85" hidden="false" customHeight="false" outlineLevel="0" collapsed="false">
      <c r="A119" s="21" t="s">
        <v>557</v>
      </c>
      <c r="B119" s="21" t="s">
        <v>59</v>
      </c>
      <c r="C119" s="21" t="s">
        <v>517</v>
      </c>
      <c r="D119" s="4" t="s">
        <v>558</v>
      </c>
      <c r="E119" s="4" t="s">
        <v>559</v>
      </c>
      <c r="F119" s="21" t="s">
        <v>69</v>
      </c>
      <c r="G119" s="22" t="str">
        <f aca="false">IF($F119="","",IFERROR(INDEX(Lists!$B$4:$B$12,MATCH($F119,Lists!$A$4:$A$12,0)),""))</f>
        <v>TBD</v>
      </c>
      <c r="H119" s="21" t="s">
        <v>46</v>
      </c>
      <c r="I119" s="23"/>
      <c r="J119" s="21"/>
      <c r="K119" s="24" t="str">
        <f aca="false">IF(OR($I119="",$J119=""),"",$I119+7*$J119-3)</f>
        <v/>
      </c>
      <c r="L119" s="21"/>
      <c r="M119" s="4"/>
      <c r="N119" s="21"/>
      <c r="O119" s="4" t="s">
        <v>163</v>
      </c>
      <c r="P119" s="21" t="s">
        <v>560</v>
      </c>
      <c r="Q119" s="2" t="n">
        <f aca="false">IF($A119="",0,IF(AND(OR(View!$C$4="All",View!$C$4="",$B119=View!$C$4),OR(View!$C$5="All",View!$C$5="",$C119=View!$C$5),OR(View!$C$6="All",View!$C$6="",$F119=View!$C$6),OR(View!$C$7="All",View!$C$7="",$G119=View!$C$7),OR(View!$C$8="All",View!$C$8="",$H119=View!$C$8,AND(View!$C$8="Open (not Complete)",$H119&lt;&gt;"Complete")),OR(View!$C$9="",ISNUMBER(SEARCH(View!$C$9,$D119&amp;" "&amp;$E119)))),1,0))</f>
        <v>1</v>
      </c>
      <c r="R119" s="2" t="n">
        <f aca="false">IF($Q119=1,COUNTIF($Q$4:$Q119,1),"")</f>
        <v>116</v>
      </c>
    </row>
    <row r="120" customFormat="false" ht="23.85" hidden="false" customHeight="false" outlineLevel="0" collapsed="false">
      <c r="A120" s="21" t="s">
        <v>561</v>
      </c>
      <c r="B120" s="21" t="s">
        <v>59</v>
      </c>
      <c r="C120" s="21" t="s">
        <v>517</v>
      </c>
      <c r="D120" s="4" t="s">
        <v>562</v>
      </c>
      <c r="E120" s="4" t="s">
        <v>563</v>
      </c>
      <c r="F120" s="21" t="s">
        <v>69</v>
      </c>
      <c r="G120" s="22" t="str">
        <f aca="false">IF($F120="","",IFERROR(INDEX(Lists!$B$4:$B$12,MATCH($F120,Lists!$A$4:$A$12,0)),""))</f>
        <v>TBD</v>
      </c>
      <c r="H120" s="21" t="s">
        <v>46</v>
      </c>
      <c r="I120" s="23"/>
      <c r="J120" s="21"/>
      <c r="K120" s="24" t="str">
        <f aca="false">IF(OR($I120="",$J120=""),"",$I120+7*$J120-3)</f>
        <v/>
      </c>
      <c r="L120" s="21"/>
      <c r="M120" s="4"/>
      <c r="N120" s="21"/>
      <c r="O120" s="4" t="s">
        <v>163</v>
      </c>
      <c r="P120" s="21" t="s">
        <v>564</v>
      </c>
      <c r="Q120" s="2" t="n">
        <f aca="false">IF($A120="",0,IF(AND(OR(View!$C$4="All",View!$C$4="",$B120=View!$C$4),OR(View!$C$5="All",View!$C$5="",$C120=View!$C$5),OR(View!$C$6="All",View!$C$6="",$F120=View!$C$6),OR(View!$C$7="All",View!$C$7="",$G120=View!$C$7),OR(View!$C$8="All",View!$C$8="",$H120=View!$C$8,AND(View!$C$8="Open (not Complete)",$H120&lt;&gt;"Complete")),OR(View!$C$9="",ISNUMBER(SEARCH(View!$C$9,$D120&amp;" "&amp;$E120)))),1,0))</f>
        <v>1</v>
      </c>
      <c r="R120" s="2" t="n">
        <f aca="false">IF($Q120=1,COUNTIF($Q$4:$Q120,1),"")</f>
        <v>117</v>
      </c>
    </row>
    <row r="121" customFormat="false" ht="23.85" hidden="false" customHeight="false" outlineLevel="0" collapsed="false">
      <c r="A121" s="21" t="s">
        <v>565</v>
      </c>
      <c r="B121" s="21" t="s">
        <v>59</v>
      </c>
      <c r="C121" s="21" t="s">
        <v>517</v>
      </c>
      <c r="D121" s="4" t="s">
        <v>566</v>
      </c>
      <c r="E121" s="4" t="s">
        <v>567</v>
      </c>
      <c r="F121" s="21" t="s">
        <v>69</v>
      </c>
      <c r="G121" s="22" t="str">
        <f aca="false">IF($F121="","",IFERROR(INDEX(Lists!$B$4:$B$12,MATCH($F121,Lists!$A$4:$A$12,0)),""))</f>
        <v>TBD</v>
      </c>
      <c r="H121" s="21" t="s">
        <v>46</v>
      </c>
      <c r="I121" s="23"/>
      <c r="J121" s="21"/>
      <c r="K121" s="24" t="str">
        <f aca="false">IF(OR($I121="",$J121=""),"",$I121+7*$J121-3)</f>
        <v/>
      </c>
      <c r="L121" s="21"/>
      <c r="M121" s="4"/>
      <c r="N121" s="21"/>
      <c r="O121" s="4" t="s">
        <v>163</v>
      </c>
      <c r="P121" s="21" t="s">
        <v>568</v>
      </c>
      <c r="Q121" s="2" t="n">
        <f aca="false">IF($A121="",0,IF(AND(OR(View!$C$4="All",View!$C$4="",$B121=View!$C$4),OR(View!$C$5="All",View!$C$5="",$C121=View!$C$5),OR(View!$C$6="All",View!$C$6="",$F121=View!$C$6),OR(View!$C$7="All",View!$C$7="",$G121=View!$C$7),OR(View!$C$8="All",View!$C$8="",$H121=View!$C$8,AND(View!$C$8="Open (not Complete)",$H121&lt;&gt;"Complete")),OR(View!$C$9="",ISNUMBER(SEARCH(View!$C$9,$D121&amp;" "&amp;$E121)))),1,0))</f>
        <v>1</v>
      </c>
      <c r="R121" s="2" t="n">
        <f aca="false">IF($Q121=1,COUNTIF($Q$4:$Q121,1),"")</f>
        <v>118</v>
      </c>
    </row>
    <row r="122" customFormat="false" ht="23.85" hidden="false" customHeight="false" outlineLevel="0" collapsed="false">
      <c r="A122" s="21" t="s">
        <v>569</v>
      </c>
      <c r="B122" s="21" t="s">
        <v>59</v>
      </c>
      <c r="C122" s="21" t="s">
        <v>517</v>
      </c>
      <c r="D122" s="4" t="s">
        <v>570</v>
      </c>
      <c r="E122" s="4" t="s">
        <v>571</v>
      </c>
      <c r="F122" s="21" t="s">
        <v>69</v>
      </c>
      <c r="G122" s="22" t="str">
        <f aca="false">IF($F122="","",IFERROR(INDEX(Lists!$B$4:$B$12,MATCH($F122,Lists!$A$4:$A$12,0)),""))</f>
        <v>TBD</v>
      </c>
      <c r="H122" s="21" t="s">
        <v>46</v>
      </c>
      <c r="I122" s="23"/>
      <c r="J122" s="21"/>
      <c r="K122" s="24" t="str">
        <f aca="false">IF(OR($I122="",$J122=""),"",$I122+7*$J122-3)</f>
        <v/>
      </c>
      <c r="L122" s="21"/>
      <c r="M122" s="4"/>
      <c r="N122" s="21"/>
      <c r="O122" s="4" t="s">
        <v>163</v>
      </c>
      <c r="P122" s="21" t="s">
        <v>572</v>
      </c>
      <c r="Q122" s="2" t="n">
        <f aca="false">IF($A122="",0,IF(AND(OR(View!$C$4="All",View!$C$4="",$B122=View!$C$4),OR(View!$C$5="All",View!$C$5="",$C122=View!$C$5),OR(View!$C$6="All",View!$C$6="",$F122=View!$C$6),OR(View!$C$7="All",View!$C$7="",$G122=View!$C$7),OR(View!$C$8="All",View!$C$8="",$H122=View!$C$8,AND(View!$C$8="Open (not Complete)",$H122&lt;&gt;"Complete")),OR(View!$C$9="",ISNUMBER(SEARCH(View!$C$9,$D122&amp;" "&amp;$E122)))),1,0))</f>
        <v>1</v>
      </c>
      <c r="R122" s="2" t="n">
        <f aca="false">IF($Q122=1,COUNTIF($Q$4:$Q122,1),"")</f>
        <v>119</v>
      </c>
    </row>
    <row r="123" customFormat="false" ht="15" hidden="false" customHeight="false" outlineLevel="0" collapsed="false">
      <c r="A123" s="21"/>
      <c r="B123" s="21"/>
      <c r="C123" s="21"/>
      <c r="D123" s="4"/>
      <c r="E123" s="4"/>
      <c r="F123" s="21"/>
      <c r="G123" s="22" t="str">
        <f aca="false">IF($F123="","",IFERROR(INDEX(Lists!$B$4:$B$12,MATCH($F123,Lists!$A$4:$A$12,0)),""))</f>
        <v/>
      </c>
      <c r="H123" s="21"/>
      <c r="I123" s="23"/>
      <c r="J123" s="21"/>
      <c r="K123" s="24" t="str">
        <f aca="false">IF(OR($I123="",$J123=""),"",$I123+7*$J123-3)</f>
        <v/>
      </c>
      <c r="L123" s="21"/>
      <c r="M123" s="4"/>
      <c r="N123" s="21"/>
      <c r="O123" s="4"/>
      <c r="P123" s="21"/>
      <c r="Q123" s="2" t="n">
        <f aca="false">IF($A123="",0,IF(AND(OR(View!$C$4="All",View!$C$4="",$B123=View!$C$4),OR(View!$C$5="All",View!$C$5="",$C123=View!$C$5),OR(View!$C$6="All",View!$C$6="",$F123=View!$C$6),OR(View!$C$7="All",View!$C$7="",$G123=View!$C$7),OR(View!$C$8="All",View!$C$8="",$H123=View!$C$8,AND(View!$C$8="Open (not Complete)",$H123&lt;&gt;"Complete")),OR(View!$C$9="",ISNUMBER(SEARCH(View!$C$9,$D123&amp;" "&amp;$E123)))),1,0))</f>
        <v>0</v>
      </c>
      <c r="R123" s="2" t="str">
        <f aca="false">IF($Q123=1,COUNTIF($Q$4:$Q123,1),"")</f>
        <v/>
      </c>
    </row>
    <row r="124" customFormat="false" ht="15" hidden="false" customHeight="false" outlineLevel="0" collapsed="false">
      <c r="A124" s="21"/>
      <c r="B124" s="21"/>
      <c r="C124" s="21"/>
      <c r="D124" s="4"/>
      <c r="E124" s="4"/>
      <c r="F124" s="21"/>
      <c r="G124" s="22" t="str">
        <f aca="false">IF($F124="","",IFERROR(INDEX(Lists!$B$4:$B$12,MATCH($F124,Lists!$A$4:$A$12,0)),""))</f>
        <v/>
      </c>
      <c r="H124" s="21"/>
      <c r="I124" s="23"/>
      <c r="J124" s="21"/>
      <c r="K124" s="24" t="str">
        <f aca="false">IF(OR($I124="",$J124=""),"",$I124+7*$J124-3)</f>
        <v/>
      </c>
      <c r="L124" s="21"/>
      <c r="M124" s="4"/>
      <c r="N124" s="21"/>
      <c r="O124" s="4"/>
      <c r="P124" s="21"/>
      <c r="Q124" s="2" t="n">
        <f aca="false">IF($A124="",0,IF(AND(OR(View!$C$4="All",View!$C$4="",$B124=View!$C$4),OR(View!$C$5="All",View!$C$5="",$C124=View!$C$5),OR(View!$C$6="All",View!$C$6="",$F124=View!$C$6),OR(View!$C$7="All",View!$C$7="",$G124=View!$C$7),OR(View!$C$8="All",View!$C$8="",$H124=View!$C$8,AND(View!$C$8="Open (not Complete)",$H124&lt;&gt;"Complete")),OR(View!$C$9="",ISNUMBER(SEARCH(View!$C$9,$D124&amp;" "&amp;$E124)))),1,0))</f>
        <v>0</v>
      </c>
      <c r="R124" s="2" t="str">
        <f aca="false">IF($Q124=1,COUNTIF($Q$4:$Q124,1),"")</f>
        <v/>
      </c>
    </row>
    <row r="125" customFormat="false" ht="15" hidden="false" customHeight="false" outlineLevel="0" collapsed="false">
      <c r="A125" s="21"/>
      <c r="B125" s="21"/>
      <c r="C125" s="21"/>
      <c r="D125" s="4"/>
      <c r="E125" s="4"/>
      <c r="F125" s="21"/>
      <c r="G125" s="22" t="str">
        <f aca="false">IF($F125="","",IFERROR(INDEX(Lists!$B$4:$B$12,MATCH($F125,Lists!$A$4:$A$12,0)),""))</f>
        <v/>
      </c>
      <c r="H125" s="21"/>
      <c r="I125" s="23"/>
      <c r="J125" s="21"/>
      <c r="K125" s="24" t="str">
        <f aca="false">IF(OR($I125="",$J125=""),"",$I125+7*$J125-3)</f>
        <v/>
      </c>
      <c r="L125" s="21"/>
      <c r="M125" s="4"/>
      <c r="N125" s="21"/>
      <c r="O125" s="4"/>
      <c r="P125" s="21"/>
      <c r="Q125" s="2" t="n">
        <f aca="false">IF($A125="",0,IF(AND(OR(View!$C$4="All",View!$C$4="",$B125=View!$C$4),OR(View!$C$5="All",View!$C$5="",$C125=View!$C$5),OR(View!$C$6="All",View!$C$6="",$F125=View!$C$6),OR(View!$C$7="All",View!$C$7="",$G125=View!$C$7),OR(View!$C$8="All",View!$C$8="",$H125=View!$C$8,AND(View!$C$8="Open (not Complete)",$H125&lt;&gt;"Complete")),OR(View!$C$9="",ISNUMBER(SEARCH(View!$C$9,$D125&amp;" "&amp;$E125)))),1,0))</f>
        <v>0</v>
      </c>
      <c r="R125" s="2" t="str">
        <f aca="false">IF($Q125=1,COUNTIF($Q$4:$Q125,1),"")</f>
        <v/>
      </c>
    </row>
    <row r="126" customFormat="false" ht="15" hidden="false" customHeight="false" outlineLevel="0" collapsed="false">
      <c r="A126" s="21"/>
      <c r="B126" s="21"/>
      <c r="C126" s="21"/>
      <c r="D126" s="4"/>
      <c r="E126" s="4"/>
      <c r="F126" s="21"/>
      <c r="G126" s="22" t="str">
        <f aca="false">IF($F126="","",IFERROR(INDEX(Lists!$B$4:$B$12,MATCH($F126,Lists!$A$4:$A$12,0)),""))</f>
        <v/>
      </c>
      <c r="H126" s="21"/>
      <c r="I126" s="23"/>
      <c r="J126" s="21"/>
      <c r="K126" s="24" t="str">
        <f aca="false">IF(OR($I126="",$J126=""),"",$I126+7*$J126-3)</f>
        <v/>
      </c>
      <c r="L126" s="21"/>
      <c r="M126" s="4"/>
      <c r="N126" s="21"/>
      <c r="O126" s="4"/>
      <c r="P126" s="21"/>
      <c r="Q126" s="2" t="n">
        <f aca="false">IF($A126="",0,IF(AND(OR(View!$C$4="All",View!$C$4="",$B126=View!$C$4),OR(View!$C$5="All",View!$C$5="",$C126=View!$C$5),OR(View!$C$6="All",View!$C$6="",$F126=View!$C$6),OR(View!$C$7="All",View!$C$7="",$G126=View!$C$7),OR(View!$C$8="All",View!$C$8="",$H126=View!$C$8,AND(View!$C$8="Open (not Complete)",$H126&lt;&gt;"Complete")),OR(View!$C$9="",ISNUMBER(SEARCH(View!$C$9,$D126&amp;" "&amp;$E126)))),1,0))</f>
        <v>0</v>
      </c>
      <c r="R126" s="2" t="str">
        <f aca="false">IF($Q126=1,COUNTIF($Q$4:$Q126,1),"")</f>
        <v/>
      </c>
    </row>
    <row r="127" customFormat="false" ht="15" hidden="false" customHeight="false" outlineLevel="0" collapsed="false">
      <c r="A127" s="21"/>
      <c r="B127" s="21"/>
      <c r="C127" s="21"/>
      <c r="D127" s="4"/>
      <c r="E127" s="4"/>
      <c r="F127" s="21"/>
      <c r="G127" s="22" t="str">
        <f aca="false">IF($F127="","",IFERROR(INDEX(Lists!$B$4:$B$12,MATCH($F127,Lists!$A$4:$A$12,0)),""))</f>
        <v/>
      </c>
      <c r="H127" s="21"/>
      <c r="I127" s="23"/>
      <c r="J127" s="21"/>
      <c r="K127" s="24" t="str">
        <f aca="false">IF(OR($I127="",$J127=""),"",$I127+7*$J127-3)</f>
        <v/>
      </c>
      <c r="L127" s="21"/>
      <c r="M127" s="4"/>
      <c r="N127" s="21"/>
      <c r="O127" s="4"/>
      <c r="P127" s="21"/>
      <c r="Q127" s="2" t="n">
        <f aca="false">IF($A127="",0,IF(AND(OR(View!$C$4="All",View!$C$4="",$B127=View!$C$4),OR(View!$C$5="All",View!$C$5="",$C127=View!$C$5),OR(View!$C$6="All",View!$C$6="",$F127=View!$C$6),OR(View!$C$7="All",View!$C$7="",$G127=View!$C$7),OR(View!$C$8="All",View!$C$8="",$H127=View!$C$8,AND(View!$C$8="Open (not Complete)",$H127&lt;&gt;"Complete")),OR(View!$C$9="",ISNUMBER(SEARCH(View!$C$9,$D127&amp;" "&amp;$E127)))),1,0))</f>
        <v>0</v>
      </c>
      <c r="R127" s="2" t="str">
        <f aca="false">IF($Q127=1,COUNTIF($Q$4:$Q127,1),"")</f>
        <v/>
      </c>
    </row>
    <row r="128" customFormat="false" ht="15" hidden="false" customHeight="false" outlineLevel="0" collapsed="false">
      <c r="A128" s="21"/>
      <c r="B128" s="21"/>
      <c r="C128" s="21"/>
      <c r="D128" s="4"/>
      <c r="E128" s="4"/>
      <c r="F128" s="21"/>
      <c r="G128" s="22" t="str">
        <f aca="false">IF($F128="","",IFERROR(INDEX(Lists!$B$4:$B$12,MATCH($F128,Lists!$A$4:$A$12,0)),""))</f>
        <v/>
      </c>
      <c r="H128" s="21"/>
      <c r="I128" s="23"/>
      <c r="J128" s="21"/>
      <c r="K128" s="24" t="str">
        <f aca="false">IF(OR($I128="",$J128=""),"",$I128+7*$J128-3)</f>
        <v/>
      </c>
      <c r="L128" s="21"/>
      <c r="M128" s="4"/>
      <c r="N128" s="21"/>
      <c r="O128" s="4"/>
      <c r="P128" s="21"/>
      <c r="Q128" s="2" t="n">
        <f aca="false">IF($A128="",0,IF(AND(OR(View!$C$4="All",View!$C$4="",$B128=View!$C$4),OR(View!$C$5="All",View!$C$5="",$C128=View!$C$5),OR(View!$C$6="All",View!$C$6="",$F128=View!$C$6),OR(View!$C$7="All",View!$C$7="",$G128=View!$C$7),OR(View!$C$8="All",View!$C$8="",$H128=View!$C$8,AND(View!$C$8="Open (not Complete)",$H128&lt;&gt;"Complete")),OR(View!$C$9="",ISNUMBER(SEARCH(View!$C$9,$D128&amp;" "&amp;$E128)))),1,0))</f>
        <v>0</v>
      </c>
      <c r="R128" s="2" t="str">
        <f aca="false">IF($Q128=1,COUNTIF($Q$4:$Q128,1),"")</f>
        <v/>
      </c>
    </row>
    <row r="129" customFormat="false" ht="15" hidden="false" customHeight="false" outlineLevel="0" collapsed="false">
      <c r="A129" s="21"/>
      <c r="B129" s="21"/>
      <c r="C129" s="21"/>
      <c r="D129" s="4"/>
      <c r="E129" s="4"/>
      <c r="F129" s="21"/>
      <c r="G129" s="22" t="str">
        <f aca="false">IF($F129="","",IFERROR(INDEX(Lists!$B$4:$B$12,MATCH($F129,Lists!$A$4:$A$12,0)),""))</f>
        <v/>
      </c>
      <c r="H129" s="21"/>
      <c r="I129" s="23"/>
      <c r="J129" s="21"/>
      <c r="K129" s="24" t="str">
        <f aca="false">IF(OR($I129="",$J129=""),"",$I129+7*$J129-3)</f>
        <v/>
      </c>
      <c r="L129" s="21"/>
      <c r="M129" s="4"/>
      <c r="N129" s="21"/>
      <c r="O129" s="4"/>
      <c r="P129" s="21"/>
      <c r="Q129" s="2" t="n">
        <f aca="false">IF($A129="",0,IF(AND(OR(View!$C$4="All",View!$C$4="",$B129=View!$C$4),OR(View!$C$5="All",View!$C$5="",$C129=View!$C$5),OR(View!$C$6="All",View!$C$6="",$F129=View!$C$6),OR(View!$C$7="All",View!$C$7="",$G129=View!$C$7),OR(View!$C$8="All",View!$C$8="",$H129=View!$C$8,AND(View!$C$8="Open (not Complete)",$H129&lt;&gt;"Complete")),OR(View!$C$9="",ISNUMBER(SEARCH(View!$C$9,$D129&amp;" "&amp;$E129)))),1,0))</f>
        <v>0</v>
      </c>
      <c r="R129" s="2" t="str">
        <f aca="false">IF($Q129=1,COUNTIF($Q$4:$Q129,1),"")</f>
        <v/>
      </c>
    </row>
    <row r="130" customFormat="false" ht="15" hidden="false" customHeight="false" outlineLevel="0" collapsed="false">
      <c r="A130" s="21"/>
      <c r="B130" s="21"/>
      <c r="C130" s="21"/>
      <c r="D130" s="4"/>
      <c r="E130" s="4"/>
      <c r="F130" s="21"/>
      <c r="G130" s="22" t="str">
        <f aca="false">IF($F130="","",IFERROR(INDEX(Lists!$B$4:$B$12,MATCH($F130,Lists!$A$4:$A$12,0)),""))</f>
        <v/>
      </c>
      <c r="H130" s="21"/>
      <c r="I130" s="23"/>
      <c r="J130" s="21"/>
      <c r="K130" s="24" t="str">
        <f aca="false">IF(OR($I130="",$J130=""),"",$I130+7*$J130-3)</f>
        <v/>
      </c>
      <c r="L130" s="21"/>
      <c r="M130" s="4"/>
      <c r="N130" s="21"/>
      <c r="O130" s="4"/>
      <c r="P130" s="21"/>
      <c r="Q130" s="2" t="n">
        <f aca="false">IF($A130="",0,IF(AND(OR(View!$C$4="All",View!$C$4="",$B130=View!$C$4),OR(View!$C$5="All",View!$C$5="",$C130=View!$C$5),OR(View!$C$6="All",View!$C$6="",$F130=View!$C$6),OR(View!$C$7="All",View!$C$7="",$G130=View!$C$7),OR(View!$C$8="All",View!$C$8="",$H130=View!$C$8,AND(View!$C$8="Open (not Complete)",$H130&lt;&gt;"Complete")),OR(View!$C$9="",ISNUMBER(SEARCH(View!$C$9,$D130&amp;" "&amp;$E130)))),1,0))</f>
        <v>0</v>
      </c>
      <c r="R130" s="2" t="str">
        <f aca="false">IF($Q130=1,COUNTIF($Q$4:$Q130,1),"")</f>
        <v/>
      </c>
    </row>
    <row r="131" customFormat="false" ht="15" hidden="false" customHeight="false" outlineLevel="0" collapsed="false">
      <c r="A131" s="21"/>
      <c r="B131" s="21"/>
      <c r="C131" s="21"/>
      <c r="D131" s="4"/>
      <c r="E131" s="4"/>
      <c r="F131" s="21"/>
      <c r="G131" s="22" t="str">
        <f aca="false">IF($F131="","",IFERROR(INDEX(Lists!$B$4:$B$12,MATCH($F131,Lists!$A$4:$A$12,0)),""))</f>
        <v/>
      </c>
      <c r="H131" s="21"/>
      <c r="I131" s="23"/>
      <c r="J131" s="21"/>
      <c r="K131" s="24" t="str">
        <f aca="false">IF(OR($I131="",$J131=""),"",$I131+7*$J131-3)</f>
        <v/>
      </c>
      <c r="L131" s="21"/>
      <c r="M131" s="4"/>
      <c r="N131" s="21"/>
      <c r="O131" s="4"/>
      <c r="P131" s="21"/>
      <c r="Q131" s="2" t="n">
        <f aca="false">IF($A131="",0,IF(AND(OR(View!$C$4="All",View!$C$4="",$B131=View!$C$4),OR(View!$C$5="All",View!$C$5="",$C131=View!$C$5),OR(View!$C$6="All",View!$C$6="",$F131=View!$C$6),OR(View!$C$7="All",View!$C$7="",$G131=View!$C$7),OR(View!$C$8="All",View!$C$8="",$H131=View!$C$8,AND(View!$C$8="Open (not Complete)",$H131&lt;&gt;"Complete")),OR(View!$C$9="",ISNUMBER(SEARCH(View!$C$9,$D131&amp;" "&amp;$E131)))),1,0))</f>
        <v>0</v>
      </c>
      <c r="R131" s="2" t="str">
        <f aca="false">IF($Q131=1,COUNTIF($Q$4:$Q131,1),"")</f>
        <v/>
      </c>
    </row>
    <row r="132" customFormat="false" ht="15" hidden="false" customHeight="false" outlineLevel="0" collapsed="false">
      <c r="A132" s="21"/>
      <c r="B132" s="21"/>
      <c r="C132" s="21"/>
      <c r="D132" s="4"/>
      <c r="E132" s="4"/>
      <c r="F132" s="21"/>
      <c r="G132" s="22" t="str">
        <f aca="false">IF($F132="","",IFERROR(INDEX(Lists!$B$4:$B$12,MATCH($F132,Lists!$A$4:$A$12,0)),""))</f>
        <v/>
      </c>
      <c r="H132" s="21"/>
      <c r="I132" s="23"/>
      <c r="J132" s="21"/>
      <c r="K132" s="24" t="str">
        <f aca="false">IF(OR($I132="",$J132=""),"",$I132+7*$J132-3)</f>
        <v/>
      </c>
      <c r="L132" s="21"/>
      <c r="M132" s="4"/>
      <c r="N132" s="21"/>
      <c r="O132" s="4"/>
      <c r="P132" s="21"/>
      <c r="Q132" s="2" t="n">
        <f aca="false">IF($A132="",0,IF(AND(OR(View!$C$4="All",View!$C$4="",$B132=View!$C$4),OR(View!$C$5="All",View!$C$5="",$C132=View!$C$5),OR(View!$C$6="All",View!$C$6="",$F132=View!$C$6),OR(View!$C$7="All",View!$C$7="",$G132=View!$C$7),OR(View!$C$8="All",View!$C$8="",$H132=View!$C$8,AND(View!$C$8="Open (not Complete)",$H132&lt;&gt;"Complete")),OR(View!$C$9="",ISNUMBER(SEARCH(View!$C$9,$D132&amp;" "&amp;$E132)))),1,0))</f>
        <v>0</v>
      </c>
      <c r="R132" s="2" t="str">
        <f aca="false">IF($Q132=1,COUNTIF($Q$4:$Q132,1),"")</f>
        <v/>
      </c>
    </row>
    <row r="133" customFormat="false" ht="15" hidden="false" customHeight="false" outlineLevel="0" collapsed="false">
      <c r="A133" s="21"/>
      <c r="B133" s="21"/>
      <c r="C133" s="21"/>
      <c r="D133" s="4"/>
      <c r="E133" s="4"/>
      <c r="F133" s="21"/>
      <c r="G133" s="22" t="str">
        <f aca="false">IF($F133="","",IFERROR(INDEX(Lists!$B$4:$B$12,MATCH($F133,Lists!$A$4:$A$12,0)),""))</f>
        <v/>
      </c>
      <c r="H133" s="21"/>
      <c r="I133" s="23"/>
      <c r="J133" s="21"/>
      <c r="K133" s="24" t="str">
        <f aca="false">IF(OR($I133="",$J133=""),"",$I133+7*$J133-3)</f>
        <v/>
      </c>
      <c r="L133" s="21"/>
      <c r="M133" s="4"/>
      <c r="N133" s="21"/>
      <c r="O133" s="4"/>
      <c r="P133" s="21"/>
      <c r="Q133" s="2" t="n">
        <f aca="false">IF($A133="",0,IF(AND(OR(View!$C$4="All",View!$C$4="",$B133=View!$C$4),OR(View!$C$5="All",View!$C$5="",$C133=View!$C$5),OR(View!$C$6="All",View!$C$6="",$F133=View!$C$6),OR(View!$C$7="All",View!$C$7="",$G133=View!$C$7),OR(View!$C$8="All",View!$C$8="",$H133=View!$C$8,AND(View!$C$8="Open (not Complete)",$H133&lt;&gt;"Complete")),OR(View!$C$9="",ISNUMBER(SEARCH(View!$C$9,$D133&amp;" "&amp;$E133)))),1,0))</f>
        <v>0</v>
      </c>
      <c r="R133" s="2" t="str">
        <f aca="false">IF($Q133=1,COUNTIF($Q$4:$Q133,1),"")</f>
        <v/>
      </c>
    </row>
    <row r="134" customFormat="false" ht="15" hidden="false" customHeight="false" outlineLevel="0" collapsed="false">
      <c r="A134" s="21"/>
      <c r="B134" s="21"/>
      <c r="C134" s="21"/>
      <c r="D134" s="4"/>
      <c r="E134" s="4"/>
      <c r="F134" s="21"/>
      <c r="G134" s="22" t="str">
        <f aca="false">IF($F134="","",IFERROR(INDEX(Lists!$B$4:$B$12,MATCH($F134,Lists!$A$4:$A$12,0)),""))</f>
        <v/>
      </c>
      <c r="H134" s="21"/>
      <c r="I134" s="23"/>
      <c r="J134" s="21"/>
      <c r="K134" s="24" t="str">
        <f aca="false">IF(OR($I134="",$J134=""),"",$I134+7*$J134-3)</f>
        <v/>
      </c>
      <c r="L134" s="21"/>
      <c r="M134" s="4"/>
      <c r="N134" s="21"/>
      <c r="O134" s="4"/>
      <c r="P134" s="21"/>
      <c r="Q134" s="2" t="n">
        <f aca="false">IF($A134="",0,IF(AND(OR(View!$C$4="All",View!$C$4="",$B134=View!$C$4),OR(View!$C$5="All",View!$C$5="",$C134=View!$C$5),OR(View!$C$6="All",View!$C$6="",$F134=View!$C$6),OR(View!$C$7="All",View!$C$7="",$G134=View!$C$7),OR(View!$C$8="All",View!$C$8="",$H134=View!$C$8,AND(View!$C$8="Open (not Complete)",$H134&lt;&gt;"Complete")),OR(View!$C$9="",ISNUMBER(SEARCH(View!$C$9,$D134&amp;" "&amp;$E134)))),1,0))</f>
        <v>0</v>
      </c>
      <c r="R134" s="2" t="str">
        <f aca="false">IF($Q134=1,COUNTIF($Q$4:$Q134,1),"")</f>
        <v/>
      </c>
    </row>
    <row r="135" customFormat="false" ht="15" hidden="false" customHeight="false" outlineLevel="0" collapsed="false">
      <c r="A135" s="21"/>
      <c r="B135" s="21"/>
      <c r="C135" s="21"/>
      <c r="D135" s="4"/>
      <c r="E135" s="4"/>
      <c r="F135" s="21"/>
      <c r="G135" s="22" t="str">
        <f aca="false">IF($F135="","",IFERROR(INDEX(Lists!$B$4:$B$12,MATCH($F135,Lists!$A$4:$A$12,0)),""))</f>
        <v/>
      </c>
      <c r="H135" s="21"/>
      <c r="I135" s="23"/>
      <c r="J135" s="21"/>
      <c r="K135" s="24" t="str">
        <f aca="false">IF(OR($I135="",$J135=""),"",$I135+7*$J135-3)</f>
        <v/>
      </c>
      <c r="L135" s="21"/>
      <c r="M135" s="4"/>
      <c r="N135" s="21"/>
      <c r="O135" s="4"/>
      <c r="P135" s="21"/>
      <c r="Q135" s="2" t="n">
        <f aca="false">IF($A135="",0,IF(AND(OR(View!$C$4="All",View!$C$4="",$B135=View!$C$4),OR(View!$C$5="All",View!$C$5="",$C135=View!$C$5),OR(View!$C$6="All",View!$C$6="",$F135=View!$C$6),OR(View!$C$7="All",View!$C$7="",$G135=View!$C$7),OR(View!$C$8="All",View!$C$8="",$H135=View!$C$8,AND(View!$C$8="Open (not Complete)",$H135&lt;&gt;"Complete")),OR(View!$C$9="",ISNUMBER(SEARCH(View!$C$9,$D135&amp;" "&amp;$E135)))),1,0))</f>
        <v>0</v>
      </c>
      <c r="R135" s="2" t="str">
        <f aca="false">IF($Q135=1,COUNTIF($Q$4:$Q135,1),"")</f>
        <v/>
      </c>
    </row>
    <row r="136" customFormat="false" ht="15" hidden="false" customHeight="false" outlineLevel="0" collapsed="false">
      <c r="A136" s="21"/>
      <c r="B136" s="21"/>
      <c r="C136" s="21"/>
      <c r="D136" s="4"/>
      <c r="E136" s="4"/>
      <c r="F136" s="21"/>
      <c r="G136" s="22" t="str">
        <f aca="false">IF($F136="","",IFERROR(INDEX(Lists!$B$4:$B$12,MATCH($F136,Lists!$A$4:$A$12,0)),""))</f>
        <v/>
      </c>
      <c r="H136" s="21"/>
      <c r="I136" s="23"/>
      <c r="J136" s="21"/>
      <c r="K136" s="24" t="str">
        <f aca="false">IF(OR($I136="",$J136=""),"",$I136+7*$J136-3)</f>
        <v/>
      </c>
      <c r="L136" s="21"/>
      <c r="M136" s="4"/>
      <c r="N136" s="21"/>
      <c r="O136" s="4"/>
      <c r="P136" s="21"/>
      <c r="Q136" s="2" t="n">
        <f aca="false">IF($A136="",0,IF(AND(OR(View!$C$4="All",View!$C$4="",$B136=View!$C$4),OR(View!$C$5="All",View!$C$5="",$C136=View!$C$5),OR(View!$C$6="All",View!$C$6="",$F136=View!$C$6),OR(View!$C$7="All",View!$C$7="",$G136=View!$C$7),OR(View!$C$8="All",View!$C$8="",$H136=View!$C$8,AND(View!$C$8="Open (not Complete)",$H136&lt;&gt;"Complete")),OR(View!$C$9="",ISNUMBER(SEARCH(View!$C$9,$D136&amp;" "&amp;$E136)))),1,0))</f>
        <v>0</v>
      </c>
      <c r="R136" s="2" t="str">
        <f aca="false">IF($Q136=1,COUNTIF($Q$4:$Q136,1),"")</f>
        <v/>
      </c>
    </row>
    <row r="137" customFormat="false" ht="15" hidden="false" customHeight="false" outlineLevel="0" collapsed="false">
      <c r="A137" s="21"/>
      <c r="B137" s="21"/>
      <c r="C137" s="21"/>
      <c r="D137" s="4"/>
      <c r="E137" s="4"/>
      <c r="F137" s="21"/>
      <c r="G137" s="22" t="str">
        <f aca="false">IF($F137="","",IFERROR(INDEX(Lists!$B$4:$B$12,MATCH($F137,Lists!$A$4:$A$12,0)),""))</f>
        <v/>
      </c>
      <c r="H137" s="21"/>
      <c r="I137" s="23"/>
      <c r="J137" s="21"/>
      <c r="K137" s="24" t="str">
        <f aca="false">IF(OR($I137="",$J137=""),"",$I137+7*$J137-3)</f>
        <v/>
      </c>
      <c r="L137" s="21"/>
      <c r="M137" s="4"/>
      <c r="N137" s="21"/>
      <c r="O137" s="4"/>
      <c r="P137" s="21"/>
      <c r="Q137" s="2" t="n">
        <f aca="false">IF($A137="",0,IF(AND(OR(View!$C$4="All",View!$C$4="",$B137=View!$C$4),OR(View!$C$5="All",View!$C$5="",$C137=View!$C$5),OR(View!$C$6="All",View!$C$6="",$F137=View!$C$6),OR(View!$C$7="All",View!$C$7="",$G137=View!$C$7),OR(View!$C$8="All",View!$C$8="",$H137=View!$C$8,AND(View!$C$8="Open (not Complete)",$H137&lt;&gt;"Complete")),OR(View!$C$9="",ISNUMBER(SEARCH(View!$C$9,$D137&amp;" "&amp;$E137)))),1,0))</f>
        <v>0</v>
      </c>
      <c r="R137" s="2" t="str">
        <f aca="false">IF($Q137=1,COUNTIF($Q$4:$Q137,1),"")</f>
        <v/>
      </c>
    </row>
    <row r="138" customFormat="false" ht="15" hidden="false" customHeight="false" outlineLevel="0" collapsed="false">
      <c r="A138" s="21"/>
      <c r="B138" s="21"/>
      <c r="C138" s="21"/>
      <c r="D138" s="4"/>
      <c r="E138" s="4"/>
      <c r="F138" s="21"/>
      <c r="G138" s="22" t="str">
        <f aca="false">IF($F138="","",IFERROR(INDEX(Lists!$B$4:$B$12,MATCH($F138,Lists!$A$4:$A$12,0)),""))</f>
        <v/>
      </c>
      <c r="H138" s="21"/>
      <c r="I138" s="23"/>
      <c r="J138" s="21"/>
      <c r="K138" s="24" t="str">
        <f aca="false">IF(OR($I138="",$J138=""),"",$I138+7*$J138-3)</f>
        <v/>
      </c>
      <c r="L138" s="21"/>
      <c r="M138" s="4"/>
      <c r="N138" s="21"/>
      <c r="O138" s="4"/>
      <c r="P138" s="21"/>
      <c r="Q138" s="2" t="n">
        <f aca="false">IF($A138="",0,IF(AND(OR(View!$C$4="All",View!$C$4="",$B138=View!$C$4),OR(View!$C$5="All",View!$C$5="",$C138=View!$C$5),OR(View!$C$6="All",View!$C$6="",$F138=View!$C$6),OR(View!$C$7="All",View!$C$7="",$G138=View!$C$7),OR(View!$C$8="All",View!$C$8="",$H138=View!$C$8,AND(View!$C$8="Open (not Complete)",$H138&lt;&gt;"Complete")),OR(View!$C$9="",ISNUMBER(SEARCH(View!$C$9,$D138&amp;" "&amp;$E138)))),1,0))</f>
        <v>0</v>
      </c>
      <c r="R138" s="2" t="str">
        <f aca="false">IF($Q138=1,COUNTIF($Q$4:$Q138,1),"")</f>
        <v/>
      </c>
    </row>
    <row r="139" customFormat="false" ht="15" hidden="false" customHeight="false" outlineLevel="0" collapsed="false">
      <c r="A139" s="21"/>
      <c r="B139" s="21"/>
      <c r="C139" s="21"/>
      <c r="D139" s="4"/>
      <c r="E139" s="4"/>
      <c r="F139" s="21"/>
      <c r="G139" s="22" t="str">
        <f aca="false">IF($F139="","",IFERROR(INDEX(Lists!$B$4:$B$12,MATCH($F139,Lists!$A$4:$A$12,0)),""))</f>
        <v/>
      </c>
      <c r="H139" s="21"/>
      <c r="I139" s="23"/>
      <c r="J139" s="21"/>
      <c r="K139" s="24" t="str">
        <f aca="false">IF(OR($I139="",$J139=""),"",$I139+7*$J139-3)</f>
        <v/>
      </c>
      <c r="L139" s="21"/>
      <c r="M139" s="4"/>
      <c r="N139" s="21"/>
      <c r="O139" s="4"/>
      <c r="P139" s="21"/>
      <c r="Q139" s="2" t="n">
        <f aca="false">IF($A139="",0,IF(AND(OR(View!$C$4="All",View!$C$4="",$B139=View!$C$4),OR(View!$C$5="All",View!$C$5="",$C139=View!$C$5),OR(View!$C$6="All",View!$C$6="",$F139=View!$C$6),OR(View!$C$7="All",View!$C$7="",$G139=View!$C$7),OR(View!$C$8="All",View!$C$8="",$H139=View!$C$8,AND(View!$C$8="Open (not Complete)",$H139&lt;&gt;"Complete")),OR(View!$C$9="",ISNUMBER(SEARCH(View!$C$9,$D139&amp;" "&amp;$E139)))),1,0))</f>
        <v>0</v>
      </c>
      <c r="R139" s="2" t="str">
        <f aca="false">IF($Q139=1,COUNTIF($Q$4:$Q139,1),"")</f>
        <v/>
      </c>
    </row>
    <row r="140" customFormat="false" ht="15" hidden="false" customHeight="false" outlineLevel="0" collapsed="false">
      <c r="A140" s="21"/>
      <c r="B140" s="21"/>
      <c r="C140" s="21"/>
      <c r="D140" s="4"/>
      <c r="E140" s="4"/>
      <c r="F140" s="21"/>
      <c r="G140" s="22" t="str">
        <f aca="false">IF($F140="","",IFERROR(INDEX(Lists!$B$4:$B$12,MATCH($F140,Lists!$A$4:$A$12,0)),""))</f>
        <v/>
      </c>
      <c r="H140" s="21"/>
      <c r="I140" s="23"/>
      <c r="J140" s="21"/>
      <c r="K140" s="24" t="str">
        <f aca="false">IF(OR($I140="",$J140=""),"",$I140+7*$J140-3)</f>
        <v/>
      </c>
      <c r="L140" s="21"/>
      <c r="M140" s="4"/>
      <c r="N140" s="21"/>
      <c r="O140" s="4"/>
      <c r="P140" s="21"/>
      <c r="Q140" s="2" t="n">
        <f aca="false">IF($A140="",0,IF(AND(OR(View!$C$4="All",View!$C$4="",$B140=View!$C$4),OR(View!$C$5="All",View!$C$5="",$C140=View!$C$5),OR(View!$C$6="All",View!$C$6="",$F140=View!$C$6),OR(View!$C$7="All",View!$C$7="",$G140=View!$C$7),OR(View!$C$8="All",View!$C$8="",$H140=View!$C$8,AND(View!$C$8="Open (not Complete)",$H140&lt;&gt;"Complete")),OR(View!$C$9="",ISNUMBER(SEARCH(View!$C$9,$D140&amp;" "&amp;$E140)))),1,0))</f>
        <v>0</v>
      </c>
      <c r="R140" s="2" t="str">
        <f aca="false">IF($Q140=1,COUNTIF($Q$4:$Q140,1),"")</f>
        <v/>
      </c>
    </row>
    <row r="141" customFormat="false" ht="15" hidden="false" customHeight="false" outlineLevel="0" collapsed="false">
      <c r="A141" s="21"/>
      <c r="B141" s="21"/>
      <c r="C141" s="21"/>
      <c r="D141" s="4"/>
      <c r="E141" s="4"/>
      <c r="F141" s="21"/>
      <c r="G141" s="22" t="str">
        <f aca="false">IF($F141="","",IFERROR(INDEX(Lists!$B$4:$B$12,MATCH($F141,Lists!$A$4:$A$12,0)),""))</f>
        <v/>
      </c>
      <c r="H141" s="21"/>
      <c r="I141" s="23"/>
      <c r="J141" s="21"/>
      <c r="K141" s="24" t="str">
        <f aca="false">IF(OR($I141="",$J141=""),"",$I141+7*$J141-3)</f>
        <v/>
      </c>
      <c r="L141" s="21"/>
      <c r="M141" s="4"/>
      <c r="N141" s="21"/>
      <c r="O141" s="4"/>
      <c r="P141" s="21"/>
      <c r="Q141" s="2" t="n">
        <f aca="false">IF($A141="",0,IF(AND(OR(View!$C$4="All",View!$C$4="",$B141=View!$C$4),OR(View!$C$5="All",View!$C$5="",$C141=View!$C$5),OR(View!$C$6="All",View!$C$6="",$F141=View!$C$6),OR(View!$C$7="All",View!$C$7="",$G141=View!$C$7),OR(View!$C$8="All",View!$C$8="",$H141=View!$C$8,AND(View!$C$8="Open (not Complete)",$H141&lt;&gt;"Complete")),OR(View!$C$9="",ISNUMBER(SEARCH(View!$C$9,$D141&amp;" "&amp;$E141)))),1,0))</f>
        <v>0</v>
      </c>
      <c r="R141" s="2" t="str">
        <f aca="false">IF($Q141=1,COUNTIF($Q$4:$Q141,1),"")</f>
        <v/>
      </c>
    </row>
    <row r="142" customFormat="false" ht="15" hidden="false" customHeight="false" outlineLevel="0" collapsed="false">
      <c r="A142" s="21"/>
      <c r="B142" s="21"/>
      <c r="C142" s="21"/>
      <c r="D142" s="4"/>
      <c r="E142" s="4"/>
      <c r="F142" s="21"/>
      <c r="G142" s="22" t="str">
        <f aca="false">IF($F142="","",IFERROR(INDEX(Lists!$B$4:$B$12,MATCH($F142,Lists!$A$4:$A$12,0)),""))</f>
        <v/>
      </c>
      <c r="H142" s="21"/>
      <c r="I142" s="23"/>
      <c r="J142" s="21"/>
      <c r="K142" s="24" t="str">
        <f aca="false">IF(OR($I142="",$J142=""),"",$I142+7*$J142-3)</f>
        <v/>
      </c>
      <c r="L142" s="21"/>
      <c r="M142" s="4"/>
      <c r="N142" s="21"/>
      <c r="O142" s="4"/>
      <c r="P142" s="21"/>
      <c r="Q142" s="2" t="n">
        <f aca="false">IF($A142="",0,IF(AND(OR(View!$C$4="All",View!$C$4="",$B142=View!$C$4),OR(View!$C$5="All",View!$C$5="",$C142=View!$C$5),OR(View!$C$6="All",View!$C$6="",$F142=View!$C$6),OR(View!$C$7="All",View!$C$7="",$G142=View!$C$7),OR(View!$C$8="All",View!$C$8="",$H142=View!$C$8,AND(View!$C$8="Open (not Complete)",$H142&lt;&gt;"Complete")),OR(View!$C$9="",ISNUMBER(SEARCH(View!$C$9,$D142&amp;" "&amp;$E142)))),1,0))</f>
        <v>0</v>
      </c>
      <c r="R142" s="2" t="str">
        <f aca="false">IF($Q142=1,COUNTIF($Q$4:$Q142,1),"")</f>
        <v/>
      </c>
    </row>
    <row r="143" customFormat="false" ht="15" hidden="false" customHeight="false" outlineLevel="0" collapsed="false">
      <c r="A143" s="21"/>
      <c r="B143" s="21"/>
      <c r="C143" s="21"/>
      <c r="D143" s="4"/>
      <c r="E143" s="4"/>
      <c r="F143" s="21"/>
      <c r="G143" s="22" t="str">
        <f aca="false">IF($F143="","",IFERROR(INDEX(Lists!$B$4:$B$12,MATCH($F143,Lists!$A$4:$A$12,0)),""))</f>
        <v/>
      </c>
      <c r="H143" s="21"/>
      <c r="I143" s="23"/>
      <c r="J143" s="21"/>
      <c r="K143" s="24" t="str">
        <f aca="false">IF(OR($I143="",$J143=""),"",$I143+7*$J143-3)</f>
        <v/>
      </c>
      <c r="L143" s="21"/>
      <c r="M143" s="4"/>
      <c r="N143" s="21"/>
      <c r="O143" s="4"/>
      <c r="P143" s="21"/>
      <c r="Q143" s="2" t="n">
        <f aca="false">IF($A143="",0,IF(AND(OR(View!$C$4="All",View!$C$4="",$B143=View!$C$4),OR(View!$C$5="All",View!$C$5="",$C143=View!$C$5),OR(View!$C$6="All",View!$C$6="",$F143=View!$C$6),OR(View!$C$7="All",View!$C$7="",$G143=View!$C$7),OR(View!$C$8="All",View!$C$8="",$H143=View!$C$8,AND(View!$C$8="Open (not Complete)",$H143&lt;&gt;"Complete")),OR(View!$C$9="",ISNUMBER(SEARCH(View!$C$9,$D143&amp;" "&amp;$E143)))),1,0))</f>
        <v>0</v>
      </c>
      <c r="R143" s="2" t="str">
        <f aca="false">IF($Q143=1,COUNTIF($Q$4:$Q143,1),"")</f>
        <v/>
      </c>
    </row>
    <row r="144" customFormat="false" ht="15" hidden="false" customHeight="false" outlineLevel="0" collapsed="false">
      <c r="A144" s="21"/>
      <c r="B144" s="21"/>
      <c r="C144" s="21"/>
      <c r="D144" s="4"/>
      <c r="E144" s="4"/>
      <c r="F144" s="21"/>
      <c r="G144" s="22" t="str">
        <f aca="false">IF($F144="","",IFERROR(INDEX(Lists!$B$4:$B$12,MATCH($F144,Lists!$A$4:$A$12,0)),""))</f>
        <v/>
      </c>
      <c r="H144" s="21"/>
      <c r="I144" s="23"/>
      <c r="J144" s="21"/>
      <c r="K144" s="24" t="str">
        <f aca="false">IF(OR($I144="",$J144=""),"",$I144+7*$J144-3)</f>
        <v/>
      </c>
      <c r="L144" s="21"/>
      <c r="M144" s="4"/>
      <c r="N144" s="21"/>
      <c r="O144" s="4"/>
      <c r="P144" s="21"/>
      <c r="Q144" s="2" t="n">
        <f aca="false">IF($A144="",0,IF(AND(OR(View!$C$4="All",View!$C$4="",$B144=View!$C$4),OR(View!$C$5="All",View!$C$5="",$C144=View!$C$5),OR(View!$C$6="All",View!$C$6="",$F144=View!$C$6),OR(View!$C$7="All",View!$C$7="",$G144=View!$C$7),OR(View!$C$8="All",View!$C$8="",$H144=View!$C$8,AND(View!$C$8="Open (not Complete)",$H144&lt;&gt;"Complete")),OR(View!$C$9="",ISNUMBER(SEARCH(View!$C$9,$D144&amp;" "&amp;$E144)))),1,0))</f>
        <v>0</v>
      </c>
      <c r="R144" s="2" t="str">
        <f aca="false">IF($Q144=1,COUNTIF($Q$4:$Q144,1),"")</f>
        <v/>
      </c>
    </row>
    <row r="145" customFormat="false" ht="15" hidden="false" customHeight="false" outlineLevel="0" collapsed="false">
      <c r="A145" s="21"/>
      <c r="B145" s="21"/>
      <c r="C145" s="21"/>
      <c r="D145" s="4"/>
      <c r="E145" s="4"/>
      <c r="F145" s="21"/>
      <c r="G145" s="22" t="str">
        <f aca="false">IF($F145="","",IFERROR(INDEX(Lists!$B$4:$B$12,MATCH($F145,Lists!$A$4:$A$12,0)),""))</f>
        <v/>
      </c>
      <c r="H145" s="21"/>
      <c r="I145" s="23"/>
      <c r="J145" s="21"/>
      <c r="K145" s="24" t="str">
        <f aca="false">IF(OR($I145="",$J145=""),"",$I145+7*$J145-3)</f>
        <v/>
      </c>
      <c r="L145" s="21"/>
      <c r="M145" s="4"/>
      <c r="N145" s="21"/>
      <c r="O145" s="4"/>
      <c r="P145" s="21"/>
      <c r="Q145" s="2" t="n">
        <f aca="false">IF($A145="",0,IF(AND(OR(View!$C$4="All",View!$C$4="",$B145=View!$C$4),OR(View!$C$5="All",View!$C$5="",$C145=View!$C$5),OR(View!$C$6="All",View!$C$6="",$F145=View!$C$6),OR(View!$C$7="All",View!$C$7="",$G145=View!$C$7),OR(View!$C$8="All",View!$C$8="",$H145=View!$C$8,AND(View!$C$8="Open (not Complete)",$H145&lt;&gt;"Complete")),OR(View!$C$9="",ISNUMBER(SEARCH(View!$C$9,$D145&amp;" "&amp;$E145)))),1,0))</f>
        <v>0</v>
      </c>
      <c r="R145" s="2" t="str">
        <f aca="false">IF($Q145=1,COUNTIF($Q$4:$Q145,1),"")</f>
        <v/>
      </c>
    </row>
    <row r="146" customFormat="false" ht="15" hidden="false" customHeight="false" outlineLevel="0" collapsed="false">
      <c r="A146" s="21"/>
      <c r="B146" s="21"/>
      <c r="C146" s="21"/>
      <c r="D146" s="4"/>
      <c r="E146" s="4"/>
      <c r="F146" s="21"/>
      <c r="G146" s="22" t="str">
        <f aca="false">IF($F146="","",IFERROR(INDEX(Lists!$B$4:$B$12,MATCH($F146,Lists!$A$4:$A$12,0)),""))</f>
        <v/>
      </c>
      <c r="H146" s="21"/>
      <c r="I146" s="23"/>
      <c r="J146" s="21"/>
      <c r="K146" s="24" t="str">
        <f aca="false">IF(OR($I146="",$J146=""),"",$I146+7*$J146-3)</f>
        <v/>
      </c>
      <c r="L146" s="21"/>
      <c r="M146" s="4"/>
      <c r="N146" s="21"/>
      <c r="O146" s="4"/>
      <c r="P146" s="21"/>
      <c r="Q146" s="2" t="n">
        <f aca="false">IF($A146="",0,IF(AND(OR(View!$C$4="All",View!$C$4="",$B146=View!$C$4),OR(View!$C$5="All",View!$C$5="",$C146=View!$C$5),OR(View!$C$6="All",View!$C$6="",$F146=View!$C$6),OR(View!$C$7="All",View!$C$7="",$G146=View!$C$7),OR(View!$C$8="All",View!$C$8="",$H146=View!$C$8,AND(View!$C$8="Open (not Complete)",$H146&lt;&gt;"Complete")),OR(View!$C$9="",ISNUMBER(SEARCH(View!$C$9,$D146&amp;" "&amp;$E146)))),1,0))</f>
        <v>0</v>
      </c>
      <c r="R146" s="2" t="str">
        <f aca="false">IF($Q146=1,COUNTIF($Q$4:$Q146,1),"")</f>
        <v/>
      </c>
    </row>
    <row r="147" customFormat="false" ht="15" hidden="false" customHeight="false" outlineLevel="0" collapsed="false">
      <c r="A147" s="21"/>
      <c r="B147" s="21"/>
      <c r="C147" s="21"/>
      <c r="D147" s="4"/>
      <c r="E147" s="4"/>
      <c r="F147" s="21"/>
      <c r="G147" s="22" t="str">
        <f aca="false">IF($F147="","",IFERROR(INDEX(Lists!$B$4:$B$12,MATCH($F147,Lists!$A$4:$A$12,0)),""))</f>
        <v/>
      </c>
      <c r="H147" s="21"/>
      <c r="I147" s="23"/>
      <c r="J147" s="21"/>
      <c r="K147" s="24" t="str">
        <f aca="false">IF(OR($I147="",$J147=""),"",$I147+7*$J147-3)</f>
        <v/>
      </c>
      <c r="L147" s="21"/>
      <c r="M147" s="4"/>
      <c r="N147" s="21"/>
      <c r="O147" s="4"/>
      <c r="P147" s="21"/>
      <c r="Q147" s="2" t="n">
        <f aca="false">IF($A147="",0,IF(AND(OR(View!$C$4="All",View!$C$4="",$B147=View!$C$4),OR(View!$C$5="All",View!$C$5="",$C147=View!$C$5),OR(View!$C$6="All",View!$C$6="",$F147=View!$C$6),OR(View!$C$7="All",View!$C$7="",$G147=View!$C$7),OR(View!$C$8="All",View!$C$8="",$H147=View!$C$8,AND(View!$C$8="Open (not Complete)",$H147&lt;&gt;"Complete")),OR(View!$C$9="",ISNUMBER(SEARCH(View!$C$9,$D147&amp;" "&amp;$E147)))),1,0))</f>
        <v>0</v>
      </c>
      <c r="R147" s="2" t="str">
        <f aca="false">IF($Q147=1,COUNTIF($Q$4:$Q147,1),"")</f>
        <v/>
      </c>
    </row>
    <row r="148" customFormat="false" ht="15" hidden="false" customHeight="false" outlineLevel="0" collapsed="false">
      <c r="A148" s="21"/>
      <c r="B148" s="21"/>
      <c r="C148" s="21"/>
      <c r="D148" s="4"/>
      <c r="E148" s="4"/>
      <c r="F148" s="21"/>
      <c r="G148" s="22" t="str">
        <f aca="false">IF($F148="","",IFERROR(INDEX(Lists!$B$4:$B$12,MATCH($F148,Lists!$A$4:$A$12,0)),""))</f>
        <v/>
      </c>
      <c r="H148" s="21"/>
      <c r="I148" s="23"/>
      <c r="J148" s="21"/>
      <c r="K148" s="24" t="str">
        <f aca="false">IF(OR($I148="",$J148=""),"",$I148+7*$J148-3)</f>
        <v/>
      </c>
      <c r="L148" s="21"/>
      <c r="M148" s="4"/>
      <c r="N148" s="21"/>
      <c r="O148" s="4"/>
      <c r="P148" s="21"/>
      <c r="Q148" s="2" t="n">
        <f aca="false">IF($A148="",0,IF(AND(OR(View!$C$4="All",View!$C$4="",$B148=View!$C$4),OR(View!$C$5="All",View!$C$5="",$C148=View!$C$5),OR(View!$C$6="All",View!$C$6="",$F148=View!$C$6),OR(View!$C$7="All",View!$C$7="",$G148=View!$C$7),OR(View!$C$8="All",View!$C$8="",$H148=View!$C$8,AND(View!$C$8="Open (not Complete)",$H148&lt;&gt;"Complete")),OR(View!$C$9="",ISNUMBER(SEARCH(View!$C$9,$D148&amp;" "&amp;$E148)))),1,0))</f>
        <v>0</v>
      </c>
      <c r="R148" s="2" t="str">
        <f aca="false">IF($Q148=1,COUNTIF($Q$4:$Q148,1),"")</f>
        <v/>
      </c>
    </row>
    <row r="149" customFormat="false" ht="15" hidden="false" customHeight="false" outlineLevel="0" collapsed="false">
      <c r="A149" s="21"/>
      <c r="B149" s="21"/>
      <c r="C149" s="21"/>
      <c r="D149" s="4"/>
      <c r="E149" s="4"/>
      <c r="F149" s="21"/>
      <c r="G149" s="22" t="str">
        <f aca="false">IF($F149="","",IFERROR(INDEX(Lists!$B$4:$B$12,MATCH($F149,Lists!$A$4:$A$12,0)),""))</f>
        <v/>
      </c>
      <c r="H149" s="21"/>
      <c r="I149" s="23"/>
      <c r="J149" s="21"/>
      <c r="K149" s="24" t="str">
        <f aca="false">IF(OR($I149="",$J149=""),"",$I149+7*$J149-3)</f>
        <v/>
      </c>
      <c r="L149" s="21"/>
      <c r="M149" s="4"/>
      <c r="N149" s="21"/>
      <c r="O149" s="4"/>
      <c r="P149" s="21"/>
      <c r="Q149" s="2" t="n">
        <f aca="false">IF($A149="",0,IF(AND(OR(View!$C$4="All",View!$C$4="",$B149=View!$C$4),OR(View!$C$5="All",View!$C$5="",$C149=View!$C$5),OR(View!$C$6="All",View!$C$6="",$F149=View!$C$6),OR(View!$C$7="All",View!$C$7="",$G149=View!$C$7),OR(View!$C$8="All",View!$C$8="",$H149=View!$C$8,AND(View!$C$8="Open (not Complete)",$H149&lt;&gt;"Complete")),OR(View!$C$9="",ISNUMBER(SEARCH(View!$C$9,$D149&amp;" "&amp;$E149)))),1,0))</f>
        <v>0</v>
      </c>
      <c r="R149" s="2" t="str">
        <f aca="false">IF($Q149=1,COUNTIF($Q$4:$Q149,1),"")</f>
        <v/>
      </c>
    </row>
    <row r="150" customFormat="false" ht="15" hidden="false" customHeight="false" outlineLevel="0" collapsed="false">
      <c r="A150" s="21"/>
      <c r="B150" s="21"/>
      <c r="C150" s="21"/>
      <c r="D150" s="4"/>
      <c r="E150" s="4"/>
      <c r="F150" s="21"/>
      <c r="G150" s="22" t="str">
        <f aca="false">IF($F150="","",IFERROR(INDEX(Lists!$B$4:$B$12,MATCH($F150,Lists!$A$4:$A$12,0)),""))</f>
        <v/>
      </c>
      <c r="H150" s="21"/>
      <c r="I150" s="23"/>
      <c r="J150" s="21"/>
      <c r="K150" s="24" t="str">
        <f aca="false">IF(OR($I150="",$J150=""),"",$I150+7*$J150-3)</f>
        <v/>
      </c>
      <c r="L150" s="21"/>
      <c r="M150" s="4"/>
      <c r="N150" s="21"/>
      <c r="O150" s="4"/>
      <c r="P150" s="21"/>
      <c r="Q150" s="2" t="n">
        <f aca="false">IF($A150="",0,IF(AND(OR(View!$C$4="All",View!$C$4="",$B150=View!$C$4),OR(View!$C$5="All",View!$C$5="",$C150=View!$C$5),OR(View!$C$6="All",View!$C$6="",$F150=View!$C$6),OR(View!$C$7="All",View!$C$7="",$G150=View!$C$7),OR(View!$C$8="All",View!$C$8="",$H150=View!$C$8,AND(View!$C$8="Open (not Complete)",$H150&lt;&gt;"Complete")),OR(View!$C$9="",ISNUMBER(SEARCH(View!$C$9,$D150&amp;" "&amp;$E150)))),1,0))</f>
        <v>0</v>
      </c>
      <c r="R150" s="2" t="str">
        <f aca="false">IF($Q150=1,COUNTIF($Q$4:$Q150,1),"")</f>
        <v/>
      </c>
    </row>
    <row r="151" customFormat="false" ht="15" hidden="false" customHeight="false" outlineLevel="0" collapsed="false">
      <c r="A151" s="21"/>
      <c r="B151" s="21"/>
      <c r="C151" s="21"/>
      <c r="D151" s="4"/>
      <c r="E151" s="4"/>
      <c r="F151" s="21"/>
      <c r="G151" s="22" t="str">
        <f aca="false">IF($F151="","",IFERROR(INDEX(Lists!$B$4:$B$12,MATCH($F151,Lists!$A$4:$A$12,0)),""))</f>
        <v/>
      </c>
      <c r="H151" s="21"/>
      <c r="I151" s="23"/>
      <c r="J151" s="21"/>
      <c r="K151" s="24" t="str">
        <f aca="false">IF(OR($I151="",$J151=""),"",$I151+7*$J151-3)</f>
        <v/>
      </c>
      <c r="L151" s="21"/>
      <c r="M151" s="4"/>
      <c r="N151" s="21"/>
      <c r="O151" s="4"/>
      <c r="P151" s="21"/>
      <c r="Q151" s="2" t="n">
        <f aca="false">IF($A151="",0,IF(AND(OR(View!$C$4="All",View!$C$4="",$B151=View!$C$4),OR(View!$C$5="All",View!$C$5="",$C151=View!$C$5),OR(View!$C$6="All",View!$C$6="",$F151=View!$C$6),OR(View!$C$7="All",View!$C$7="",$G151=View!$C$7),OR(View!$C$8="All",View!$C$8="",$H151=View!$C$8,AND(View!$C$8="Open (not Complete)",$H151&lt;&gt;"Complete")),OR(View!$C$9="",ISNUMBER(SEARCH(View!$C$9,$D151&amp;" "&amp;$E151)))),1,0))</f>
        <v>0</v>
      </c>
      <c r="R151" s="2" t="str">
        <f aca="false">IF($Q151=1,COUNTIF($Q$4:$Q151,1),"")</f>
        <v/>
      </c>
    </row>
    <row r="152" customFormat="false" ht="15" hidden="false" customHeight="false" outlineLevel="0" collapsed="false">
      <c r="A152" s="21"/>
      <c r="B152" s="21"/>
      <c r="C152" s="21"/>
      <c r="D152" s="4"/>
      <c r="E152" s="4"/>
      <c r="F152" s="21"/>
      <c r="G152" s="22" t="str">
        <f aca="false">IF($F152="","",IFERROR(INDEX(Lists!$B$4:$B$12,MATCH($F152,Lists!$A$4:$A$12,0)),""))</f>
        <v/>
      </c>
      <c r="H152" s="21"/>
      <c r="I152" s="23"/>
      <c r="J152" s="21"/>
      <c r="K152" s="24" t="str">
        <f aca="false">IF(OR($I152="",$J152=""),"",$I152+7*$J152-3)</f>
        <v/>
      </c>
      <c r="L152" s="21"/>
      <c r="M152" s="4"/>
      <c r="N152" s="21"/>
      <c r="O152" s="4"/>
      <c r="P152" s="21"/>
      <c r="Q152" s="2" t="n">
        <f aca="false">IF($A152="",0,IF(AND(OR(View!$C$4="All",View!$C$4="",$B152=View!$C$4),OR(View!$C$5="All",View!$C$5="",$C152=View!$C$5),OR(View!$C$6="All",View!$C$6="",$F152=View!$C$6),OR(View!$C$7="All",View!$C$7="",$G152=View!$C$7),OR(View!$C$8="All",View!$C$8="",$H152=View!$C$8,AND(View!$C$8="Open (not Complete)",$H152&lt;&gt;"Complete")),OR(View!$C$9="",ISNUMBER(SEARCH(View!$C$9,$D152&amp;" "&amp;$E152)))),1,0))</f>
        <v>0</v>
      </c>
      <c r="R152" s="2" t="str">
        <f aca="false">IF($Q152=1,COUNTIF($Q$4:$Q152,1),"")</f>
        <v/>
      </c>
    </row>
    <row r="153" customFormat="false" ht="15" hidden="false" customHeight="false" outlineLevel="0" collapsed="false">
      <c r="A153" s="21"/>
      <c r="B153" s="21"/>
      <c r="C153" s="21"/>
      <c r="D153" s="4"/>
      <c r="E153" s="4"/>
      <c r="F153" s="21"/>
      <c r="G153" s="22" t="str">
        <f aca="false">IF($F153="","",IFERROR(INDEX(Lists!$B$4:$B$12,MATCH($F153,Lists!$A$4:$A$12,0)),""))</f>
        <v/>
      </c>
      <c r="H153" s="21"/>
      <c r="I153" s="23"/>
      <c r="J153" s="21"/>
      <c r="K153" s="24" t="str">
        <f aca="false">IF(OR($I153="",$J153=""),"",$I153+7*$J153-3)</f>
        <v/>
      </c>
      <c r="L153" s="21"/>
      <c r="M153" s="4"/>
      <c r="N153" s="21"/>
      <c r="O153" s="4"/>
      <c r="P153" s="21"/>
      <c r="Q153" s="2" t="n">
        <f aca="false">IF($A153="",0,IF(AND(OR(View!$C$4="All",View!$C$4="",$B153=View!$C$4),OR(View!$C$5="All",View!$C$5="",$C153=View!$C$5),OR(View!$C$6="All",View!$C$6="",$F153=View!$C$6),OR(View!$C$7="All",View!$C$7="",$G153=View!$C$7),OR(View!$C$8="All",View!$C$8="",$H153=View!$C$8,AND(View!$C$8="Open (not Complete)",$H153&lt;&gt;"Complete")),OR(View!$C$9="",ISNUMBER(SEARCH(View!$C$9,$D153&amp;" "&amp;$E153)))),1,0))</f>
        <v>0</v>
      </c>
      <c r="R153" s="2" t="str">
        <f aca="false">IF($Q153=1,COUNTIF($Q$4:$Q153,1),"")</f>
        <v/>
      </c>
    </row>
    <row r="154" customFormat="false" ht="15" hidden="false" customHeight="false" outlineLevel="0" collapsed="false">
      <c r="A154" s="21"/>
      <c r="B154" s="21"/>
      <c r="C154" s="21"/>
      <c r="D154" s="4"/>
      <c r="E154" s="4"/>
      <c r="F154" s="21"/>
      <c r="G154" s="22" t="str">
        <f aca="false">IF($F154="","",IFERROR(INDEX(Lists!$B$4:$B$12,MATCH($F154,Lists!$A$4:$A$12,0)),""))</f>
        <v/>
      </c>
      <c r="H154" s="21"/>
      <c r="I154" s="23"/>
      <c r="J154" s="21"/>
      <c r="K154" s="24" t="str">
        <f aca="false">IF(OR($I154="",$J154=""),"",$I154+7*$J154-3)</f>
        <v/>
      </c>
      <c r="L154" s="21"/>
      <c r="M154" s="4"/>
      <c r="N154" s="21"/>
      <c r="O154" s="4"/>
      <c r="P154" s="21"/>
      <c r="Q154" s="2" t="n">
        <f aca="false">IF($A154="",0,IF(AND(OR(View!$C$4="All",View!$C$4="",$B154=View!$C$4),OR(View!$C$5="All",View!$C$5="",$C154=View!$C$5),OR(View!$C$6="All",View!$C$6="",$F154=View!$C$6),OR(View!$C$7="All",View!$C$7="",$G154=View!$C$7),OR(View!$C$8="All",View!$C$8="",$H154=View!$C$8,AND(View!$C$8="Open (not Complete)",$H154&lt;&gt;"Complete")),OR(View!$C$9="",ISNUMBER(SEARCH(View!$C$9,$D154&amp;" "&amp;$E154)))),1,0))</f>
        <v>0</v>
      </c>
      <c r="R154" s="2" t="str">
        <f aca="false">IF($Q154=1,COUNTIF($Q$4:$Q154,1),"")</f>
        <v/>
      </c>
    </row>
    <row r="155" customFormat="false" ht="15" hidden="false" customHeight="false" outlineLevel="0" collapsed="false">
      <c r="A155" s="21"/>
      <c r="B155" s="21"/>
      <c r="C155" s="21"/>
      <c r="D155" s="4"/>
      <c r="E155" s="4"/>
      <c r="F155" s="21"/>
      <c r="G155" s="22" t="str">
        <f aca="false">IF($F155="","",IFERROR(INDEX(Lists!$B$4:$B$12,MATCH($F155,Lists!$A$4:$A$12,0)),""))</f>
        <v/>
      </c>
      <c r="H155" s="21"/>
      <c r="I155" s="23"/>
      <c r="J155" s="21"/>
      <c r="K155" s="24" t="str">
        <f aca="false">IF(OR($I155="",$J155=""),"",$I155+7*$J155-3)</f>
        <v/>
      </c>
      <c r="L155" s="21"/>
      <c r="M155" s="4"/>
      <c r="N155" s="21"/>
      <c r="O155" s="4"/>
      <c r="P155" s="21"/>
      <c r="Q155" s="2" t="n">
        <f aca="false">IF($A155="",0,IF(AND(OR(View!$C$4="All",View!$C$4="",$B155=View!$C$4),OR(View!$C$5="All",View!$C$5="",$C155=View!$C$5),OR(View!$C$6="All",View!$C$6="",$F155=View!$C$6),OR(View!$C$7="All",View!$C$7="",$G155=View!$C$7),OR(View!$C$8="All",View!$C$8="",$H155=View!$C$8,AND(View!$C$8="Open (not Complete)",$H155&lt;&gt;"Complete")),OR(View!$C$9="",ISNUMBER(SEARCH(View!$C$9,$D155&amp;" "&amp;$E155)))),1,0))</f>
        <v>0</v>
      </c>
      <c r="R155" s="2" t="str">
        <f aca="false">IF($Q155=1,COUNTIF($Q$4:$Q155,1),"")</f>
        <v/>
      </c>
    </row>
    <row r="156" customFormat="false" ht="15" hidden="false" customHeight="false" outlineLevel="0" collapsed="false">
      <c r="A156" s="21"/>
      <c r="B156" s="21"/>
      <c r="C156" s="21"/>
      <c r="D156" s="4"/>
      <c r="E156" s="4"/>
      <c r="F156" s="21"/>
      <c r="G156" s="22" t="str">
        <f aca="false">IF($F156="","",IFERROR(INDEX(Lists!$B$4:$B$12,MATCH($F156,Lists!$A$4:$A$12,0)),""))</f>
        <v/>
      </c>
      <c r="H156" s="21"/>
      <c r="I156" s="23"/>
      <c r="J156" s="21"/>
      <c r="K156" s="24" t="str">
        <f aca="false">IF(OR($I156="",$J156=""),"",$I156+7*$J156-3)</f>
        <v/>
      </c>
      <c r="L156" s="21"/>
      <c r="M156" s="4"/>
      <c r="N156" s="21"/>
      <c r="O156" s="4"/>
      <c r="P156" s="21"/>
      <c r="Q156" s="2" t="n">
        <f aca="false">IF($A156="",0,IF(AND(OR(View!$C$4="All",View!$C$4="",$B156=View!$C$4),OR(View!$C$5="All",View!$C$5="",$C156=View!$C$5),OR(View!$C$6="All",View!$C$6="",$F156=View!$C$6),OR(View!$C$7="All",View!$C$7="",$G156=View!$C$7),OR(View!$C$8="All",View!$C$8="",$H156=View!$C$8,AND(View!$C$8="Open (not Complete)",$H156&lt;&gt;"Complete")),OR(View!$C$9="",ISNUMBER(SEARCH(View!$C$9,$D156&amp;" "&amp;$E156)))),1,0))</f>
        <v>0</v>
      </c>
      <c r="R156" s="2" t="str">
        <f aca="false">IF($Q156=1,COUNTIF($Q$4:$Q156,1),"")</f>
        <v/>
      </c>
    </row>
    <row r="157" customFormat="false" ht="15" hidden="false" customHeight="false" outlineLevel="0" collapsed="false">
      <c r="A157" s="21"/>
      <c r="B157" s="21"/>
      <c r="C157" s="21"/>
      <c r="D157" s="4"/>
      <c r="E157" s="4"/>
      <c r="F157" s="21"/>
      <c r="G157" s="22" t="str">
        <f aca="false">IF($F157="","",IFERROR(INDEX(Lists!$B$4:$B$12,MATCH($F157,Lists!$A$4:$A$12,0)),""))</f>
        <v/>
      </c>
      <c r="H157" s="21"/>
      <c r="I157" s="23"/>
      <c r="J157" s="21"/>
      <c r="K157" s="24" t="str">
        <f aca="false">IF(OR($I157="",$J157=""),"",$I157+7*$J157-3)</f>
        <v/>
      </c>
      <c r="L157" s="21"/>
      <c r="M157" s="4"/>
      <c r="N157" s="21"/>
      <c r="O157" s="4"/>
      <c r="P157" s="21"/>
      <c r="Q157" s="2" t="n">
        <f aca="false">IF($A157="",0,IF(AND(OR(View!$C$4="All",View!$C$4="",$B157=View!$C$4),OR(View!$C$5="All",View!$C$5="",$C157=View!$C$5),OR(View!$C$6="All",View!$C$6="",$F157=View!$C$6),OR(View!$C$7="All",View!$C$7="",$G157=View!$C$7),OR(View!$C$8="All",View!$C$8="",$H157=View!$C$8,AND(View!$C$8="Open (not Complete)",$H157&lt;&gt;"Complete")),OR(View!$C$9="",ISNUMBER(SEARCH(View!$C$9,$D157&amp;" "&amp;$E157)))),1,0))</f>
        <v>0</v>
      </c>
      <c r="R157" s="2" t="str">
        <f aca="false">IF($Q157=1,COUNTIF($Q$4:$Q157,1),"")</f>
        <v/>
      </c>
    </row>
    <row r="158" customFormat="false" ht="15" hidden="false" customHeight="false" outlineLevel="0" collapsed="false">
      <c r="A158" s="21"/>
      <c r="B158" s="21"/>
      <c r="C158" s="21"/>
      <c r="D158" s="4"/>
      <c r="E158" s="4"/>
      <c r="F158" s="21"/>
      <c r="G158" s="22" t="str">
        <f aca="false">IF($F158="","",IFERROR(INDEX(Lists!$B$4:$B$12,MATCH($F158,Lists!$A$4:$A$12,0)),""))</f>
        <v/>
      </c>
      <c r="H158" s="21"/>
      <c r="I158" s="23"/>
      <c r="J158" s="21"/>
      <c r="K158" s="24" t="str">
        <f aca="false">IF(OR($I158="",$J158=""),"",$I158+7*$J158-3)</f>
        <v/>
      </c>
      <c r="L158" s="21"/>
      <c r="M158" s="4"/>
      <c r="N158" s="21"/>
      <c r="O158" s="4"/>
      <c r="P158" s="21"/>
      <c r="Q158" s="2" t="n">
        <f aca="false">IF($A158="",0,IF(AND(OR(View!$C$4="All",View!$C$4="",$B158=View!$C$4),OR(View!$C$5="All",View!$C$5="",$C158=View!$C$5),OR(View!$C$6="All",View!$C$6="",$F158=View!$C$6),OR(View!$C$7="All",View!$C$7="",$G158=View!$C$7),OR(View!$C$8="All",View!$C$8="",$H158=View!$C$8,AND(View!$C$8="Open (not Complete)",$H158&lt;&gt;"Complete")),OR(View!$C$9="",ISNUMBER(SEARCH(View!$C$9,$D158&amp;" "&amp;$E158)))),1,0))</f>
        <v>0</v>
      </c>
      <c r="R158" s="2" t="str">
        <f aca="false">IF($Q158=1,COUNTIF($Q$4:$Q158,1),"")</f>
        <v/>
      </c>
    </row>
    <row r="159" customFormat="false" ht="15" hidden="false" customHeight="false" outlineLevel="0" collapsed="false">
      <c r="A159" s="21"/>
      <c r="B159" s="21"/>
      <c r="C159" s="21"/>
      <c r="D159" s="4"/>
      <c r="E159" s="4"/>
      <c r="F159" s="21"/>
      <c r="G159" s="22" t="str">
        <f aca="false">IF($F159="","",IFERROR(INDEX(Lists!$B$4:$B$12,MATCH($F159,Lists!$A$4:$A$12,0)),""))</f>
        <v/>
      </c>
      <c r="H159" s="21"/>
      <c r="I159" s="23"/>
      <c r="J159" s="21"/>
      <c r="K159" s="24" t="str">
        <f aca="false">IF(OR($I159="",$J159=""),"",$I159+7*$J159-3)</f>
        <v/>
      </c>
      <c r="L159" s="21"/>
      <c r="M159" s="4"/>
      <c r="N159" s="21"/>
      <c r="O159" s="4"/>
      <c r="P159" s="21"/>
      <c r="Q159" s="2" t="n">
        <f aca="false">IF($A159="",0,IF(AND(OR(View!$C$4="All",View!$C$4="",$B159=View!$C$4),OR(View!$C$5="All",View!$C$5="",$C159=View!$C$5),OR(View!$C$6="All",View!$C$6="",$F159=View!$C$6),OR(View!$C$7="All",View!$C$7="",$G159=View!$C$7),OR(View!$C$8="All",View!$C$8="",$H159=View!$C$8,AND(View!$C$8="Open (not Complete)",$H159&lt;&gt;"Complete")),OR(View!$C$9="",ISNUMBER(SEARCH(View!$C$9,$D159&amp;" "&amp;$E159)))),1,0))</f>
        <v>0</v>
      </c>
      <c r="R159" s="2" t="str">
        <f aca="false">IF($Q159=1,COUNTIF($Q$4:$Q159,1),"")</f>
        <v/>
      </c>
    </row>
    <row r="160" customFormat="false" ht="15" hidden="false" customHeight="false" outlineLevel="0" collapsed="false">
      <c r="A160" s="21"/>
      <c r="B160" s="21"/>
      <c r="C160" s="21"/>
      <c r="D160" s="4"/>
      <c r="E160" s="4"/>
      <c r="F160" s="21"/>
      <c r="G160" s="22" t="str">
        <f aca="false">IF($F160="","",IFERROR(INDEX(Lists!$B$4:$B$12,MATCH($F160,Lists!$A$4:$A$12,0)),""))</f>
        <v/>
      </c>
      <c r="H160" s="21"/>
      <c r="I160" s="23"/>
      <c r="J160" s="21"/>
      <c r="K160" s="24" t="str">
        <f aca="false">IF(OR($I160="",$J160=""),"",$I160+7*$J160-3)</f>
        <v/>
      </c>
      <c r="L160" s="21"/>
      <c r="M160" s="4"/>
      <c r="N160" s="21"/>
      <c r="O160" s="4"/>
      <c r="P160" s="21"/>
      <c r="Q160" s="2" t="n">
        <f aca="false">IF($A160="",0,IF(AND(OR(View!$C$4="All",View!$C$4="",$B160=View!$C$4),OR(View!$C$5="All",View!$C$5="",$C160=View!$C$5),OR(View!$C$6="All",View!$C$6="",$F160=View!$C$6),OR(View!$C$7="All",View!$C$7="",$G160=View!$C$7),OR(View!$C$8="All",View!$C$8="",$H160=View!$C$8,AND(View!$C$8="Open (not Complete)",$H160&lt;&gt;"Complete")),OR(View!$C$9="",ISNUMBER(SEARCH(View!$C$9,$D160&amp;" "&amp;$E160)))),1,0))</f>
        <v>0</v>
      </c>
      <c r="R160" s="2" t="str">
        <f aca="false">IF($Q160=1,COUNTIF($Q$4:$Q160,1),"")</f>
        <v/>
      </c>
    </row>
    <row r="161" customFormat="false" ht="15" hidden="false" customHeight="false" outlineLevel="0" collapsed="false">
      <c r="A161" s="21"/>
      <c r="B161" s="21"/>
      <c r="C161" s="21"/>
      <c r="D161" s="4"/>
      <c r="E161" s="4"/>
      <c r="F161" s="21"/>
      <c r="G161" s="22" t="str">
        <f aca="false">IF($F161="","",IFERROR(INDEX(Lists!$B$4:$B$12,MATCH($F161,Lists!$A$4:$A$12,0)),""))</f>
        <v/>
      </c>
      <c r="H161" s="21"/>
      <c r="I161" s="23"/>
      <c r="J161" s="21"/>
      <c r="K161" s="24" t="str">
        <f aca="false">IF(OR($I161="",$J161=""),"",$I161+7*$J161-3)</f>
        <v/>
      </c>
      <c r="L161" s="21"/>
      <c r="M161" s="4"/>
      <c r="N161" s="21"/>
      <c r="O161" s="4"/>
      <c r="P161" s="21"/>
      <c r="Q161" s="2" t="n">
        <f aca="false">IF($A161="",0,IF(AND(OR(View!$C$4="All",View!$C$4="",$B161=View!$C$4),OR(View!$C$5="All",View!$C$5="",$C161=View!$C$5),OR(View!$C$6="All",View!$C$6="",$F161=View!$C$6),OR(View!$C$7="All",View!$C$7="",$G161=View!$C$7),OR(View!$C$8="All",View!$C$8="",$H161=View!$C$8,AND(View!$C$8="Open (not Complete)",$H161&lt;&gt;"Complete")),OR(View!$C$9="",ISNUMBER(SEARCH(View!$C$9,$D161&amp;" "&amp;$E161)))),1,0))</f>
        <v>0</v>
      </c>
      <c r="R161" s="2" t="str">
        <f aca="false">IF($Q161=1,COUNTIF($Q$4:$Q161,1),"")</f>
        <v/>
      </c>
    </row>
    <row r="162" customFormat="false" ht="15" hidden="false" customHeight="false" outlineLevel="0" collapsed="false">
      <c r="A162" s="21"/>
      <c r="B162" s="21"/>
      <c r="C162" s="21"/>
      <c r="D162" s="4"/>
      <c r="E162" s="4"/>
      <c r="F162" s="21"/>
      <c r="G162" s="22" t="str">
        <f aca="false">IF($F162="","",IFERROR(INDEX(Lists!$B$4:$B$12,MATCH($F162,Lists!$A$4:$A$12,0)),""))</f>
        <v/>
      </c>
      <c r="H162" s="21"/>
      <c r="I162" s="23"/>
      <c r="J162" s="21"/>
      <c r="K162" s="24" t="str">
        <f aca="false">IF(OR($I162="",$J162=""),"",$I162+7*$J162-3)</f>
        <v/>
      </c>
      <c r="L162" s="21"/>
      <c r="M162" s="4"/>
      <c r="N162" s="21"/>
      <c r="O162" s="4"/>
      <c r="P162" s="21"/>
      <c r="Q162" s="2" t="n">
        <f aca="false">IF($A162="",0,IF(AND(OR(View!$C$4="All",View!$C$4="",$B162=View!$C$4),OR(View!$C$5="All",View!$C$5="",$C162=View!$C$5),OR(View!$C$6="All",View!$C$6="",$F162=View!$C$6),OR(View!$C$7="All",View!$C$7="",$G162=View!$C$7),OR(View!$C$8="All",View!$C$8="",$H162=View!$C$8,AND(View!$C$8="Open (not Complete)",$H162&lt;&gt;"Complete")),OR(View!$C$9="",ISNUMBER(SEARCH(View!$C$9,$D162&amp;" "&amp;$E162)))),1,0))</f>
        <v>0</v>
      </c>
      <c r="R162" s="2" t="str">
        <f aca="false">IF($Q162=1,COUNTIF($Q$4:$Q162,1),"")</f>
        <v/>
      </c>
    </row>
    <row r="163" customFormat="false" ht="15" hidden="false" customHeight="false" outlineLevel="0" collapsed="false">
      <c r="A163" s="21"/>
      <c r="B163" s="21"/>
      <c r="C163" s="21"/>
      <c r="D163" s="4"/>
      <c r="E163" s="4"/>
      <c r="F163" s="21"/>
      <c r="G163" s="22" t="str">
        <f aca="false">IF($F163="","",IFERROR(INDEX(Lists!$B$4:$B$12,MATCH($F163,Lists!$A$4:$A$12,0)),""))</f>
        <v/>
      </c>
      <c r="H163" s="21"/>
      <c r="I163" s="23"/>
      <c r="J163" s="21"/>
      <c r="K163" s="24" t="str">
        <f aca="false">IF(OR($I163="",$J163=""),"",$I163+7*$J163-3)</f>
        <v/>
      </c>
      <c r="L163" s="21"/>
      <c r="M163" s="4"/>
      <c r="N163" s="21"/>
      <c r="O163" s="4"/>
      <c r="P163" s="21"/>
      <c r="Q163" s="2" t="n">
        <f aca="false">IF($A163="",0,IF(AND(OR(View!$C$4="All",View!$C$4="",$B163=View!$C$4),OR(View!$C$5="All",View!$C$5="",$C163=View!$C$5),OR(View!$C$6="All",View!$C$6="",$F163=View!$C$6),OR(View!$C$7="All",View!$C$7="",$G163=View!$C$7),OR(View!$C$8="All",View!$C$8="",$H163=View!$C$8,AND(View!$C$8="Open (not Complete)",$H163&lt;&gt;"Complete")),OR(View!$C$9="",ISNUMBER(SEARCH(View!$C$9,$D163&amp;" "&amp;$E163)))),1,0))</f>
        <v>0</v>
      </c>
      <c r="R163" s="2" t="str">
        <f aca="false">IF($Q163=1,COUNTIF($Q$4:$Q163,1),"")</f>
        <v/>
      </c>
    </row>
    <row r="164" customFormat="false" ht="15" hidden="false" customHeight="false" outlineLevel="0" collapsed="false">
      <c r="A164" s="21"/>
      <c r="B164" s="21"/>
      <c r="C164" s="21"/>
      <c r="D164" s="4"/>
      <c r="E164" s="4"/>
      <c r="F164" s="21"/>
      <c r="G164" s="22" t="str">
        <f aca="false">IF($F164="","",IFERROR(INDEX(Lists!$B$4:$B$12,MATCH($F164,Lists!$A$4:$A$12,0)),""))</f>
        <v/>
      </c>
      <c r="H164" s="21"/>
      <c r="I164" s="23"/>
      <c r="J164" s="21"/>
      <c r="K164" s="24" t="str">
        <f aca="false">IF(OR($I164="",$J164=""),"",$I164+7*$J164-3)</f>
        <v/>
      </c>
      <c r="L164" s="21"/>
      <c r="M164" s="4"/>
      <c r="N164" s="21"/>
      <c r="O164" s="4"/>
      <c r="P164" s="21"/>
      <c r="Q164" s="2" t="n">
        <f aca="false">IF($A164="",0,IF(AND(OR(View!$C$4="All",View!$C$4="",$B164=View!$C$4),OR(View!$C$5="All",View!$C$5="",$C164=View!$C$5),OR(View!$C$6="All",View!$C$6="",$F164=View!$C$6),OR(View!$C$7="All",View!$C$7="",$G164=View!$C$7),OR(View!$C$8="All",View!$C$8="",$H164=View!$C$8,AND(View!$C$8="Open (not Complete)",$H164&lt;&gt;"Complete")),OR(View!$C$9="",ISNUMBER(SEARCH(View!$C$9,$D164&amp;" "&amp;$E164)))),1,0))</f>
        <v>0</v>
      </c>
      <c r="R164" s="2" t="str">
        <f aca="false">IF($Q164=1,COUNTIF($Q$4:$Q164,1),"")</f>
        <v/>
      </c>
    </row>
    <row r="165" customFormat="false" ht="15" hidden="false" customHeight="false" outlineLevel="0" collapsed="false">
      <c r="A165" s="21"/>
      <c r="B165" s="21"/>
      <c r="C165" s="21"/>
      <c r="D165" s="4"/>
      <c r="E165" s="4"/>
      <c r="F165" s="21"/>
      <c r="G165" s="22" t="str">
        <f aca="false">IF($F165="","",IFERROR(INDEX(Lists!$B$4:$B$12,MATCH($F165,Lists!$A$4:$A$12,0)),""))</f>
        <v/>
      </c>
      <c r="H165" s="21"/>
      <c r="I165" s="23"/>
      <c r="J165" s="21"/>
      <c r="K165" s="24" t="str">
        <f aca="false">IF(OR($I165="",$J165=""),"",$I165+7*$J165-3)</f>
        <v/>
      </c>
      <c r="L165" s="21"/>
      <c r="M165" s="4"/>
      <c r="N165" s="21"/>
      <c r="O165" s="4"/>
      <c r="P165" s="21"/>
      <c r="Q165" s="2" t="n">
        <f aca="false">IF($A165="",0,IF(AND(OR(View!$C$4="All",View!$C$4="",$B165=View!$C$4),OR(View!$C$5="All",View!$C$5="",$C165=View!$C$5),OR(View!$C$6="All",View!$C$6="",$F165=View!$C$6),OR(View!$C$7="All",View!$C$7="",$G165=View!$C$7),OR(View!$C$8="All",View!$C$8="",$H165=View!$C$8,AND(View!$C$8="Open (not Complete)",$H165&lt;&gt;"Complete")),OR(View!$C$9="",ISNUMBER(SEARCH(View!$C$9,$D165&amp;" "&amp;$E165)))),1,0))</f>
        <v>0</v>
      </c>
      <c r="R165" s="2" t="str">
        <f aca="false">IF($Q165=1,COUNTIF($Q$4:$Q165,1),"")</f>
        <v/>
      </c>
    </row>
    <row r="166" customFormat="false" ht="15" hidden="false" customHeight="false" outlineLevel="0" collapsed="false">
      <c r="A166" s="21"/>
      <c r="B166" s="21"/>
      <c r="C166" s="21"/>
      <c r="D166" s="4"/>
      <c r="E166" s="4"/>
      <c r="F166" s="21"/>
      <c r="G166" s="22" t="str">
        <f aca="false">IF($F166="","",IFERROR(INDEX(Lists!$B$4:$B$12,MATCH($F166,Lists!$A$4:$A$12,0)),""))</f>
        <v/>
      </c>
      <c r="H166" s="21"/>
      <c r="I166" s="23"/>
      <c r="J166" s="21"/>
      <c r="K166" s="24" t="str">
        <f aca="false">IF(OR($I166="",$J166=""),"",$I166+7*$J166-3)</f>
        <v/>
      </c>
      <c r="L166" s="21"/>
      <c r="M166" s="4"/>
      <c r="N166" s="21"/>
      <c r="O166" s="4"/>
      <c r="P166" s="21"/>
      <c r="Q166" s="2" t="n">
        <f aca="false">IF($A166="",0,IF(AND(OR(View!$C$4="All",View!$C$4="",$B166=View!$C$4),OR(View!$C$5="All",View!$C$5="",$C166=View!$C$5),OR(View!$C$6="All",View!$C$6="",$F166=View!$C$6),OR(View!$C$7="All",View!$C$7="",$G166=View!$C$7),OR(View!$C$8="All",View!$C$8="",$H166=View!$C$8,AND(View!$C$8="Open (not Complete)",$H166&lt;&gt;"Complete")),OR(View!$C$9="",ISNUMBER(SEARCH(View!$C$9,$D166&amp;" "&amp;$E166)))),1,0))</f>
        <v>0</v>
      </c>
      <c r="R166" s="2" t="str">
        <f aca="false">IF($Q166=1,COUNTIF($Q$4:$Q166,1),"")</f>
        <v/>
      </c>
    </row>
    <row r="167" customFormat="false" ht="15" hidden="false" customHeight="false" outlineLevel="0" collapsed="false">
      <c r="A167" s="21"/>
      <c r="B167" s="21"/>
      <c r="C167" s="21"/>
      <c r="D167" s="4"/>
      <c r="E167" s="4"/>
      <c r="F167" s="21"/>
      <c r="G167" s="22" t="str">
        <f aca="false">IF($F167="","",IFERROR(INDEX(Lists!$B$4:$B$12,MATCH($F167,Lists!$A$4:$A$12,0)),""))</f>
        <v/>
      </c>
      <c r="H167" s="21"/>
      <c r="I167" s="23"/>
      <c r="J167" s="21"/>
      <c r="K167" s="24" t="str">
        <f aca="false">IF(OR($I167="",$J167=""),"",$I167+7*$J167-3)</f>
        <v/>
      </c>
      <c r="L167" s="21"/>
      <c r="M167" s="4"/>
      <c r="N167" s="21"/>
      <c r="O167" s="4"/>
      <c r="P167" s="21"/>
      <c r="Q167" s="2" t="n">
        <f aca="false">IF($A167="",0,IF(AND(OR(View!$C$4="All",View!$C$4="",$B167=View!$C$4),OR(View!$C$5="All",View!$C$5="",$C167=View!$C$5),OR(View!$C$6="All",View!$C$6="",$F167=View!$C$6),OR(View!$C$7="All",View!$C$7="",$G167=View!$C$7),OR(View!$C$8="All",View!$C$8="",$H167=View!$C$8,AND(View!$C$8="Open (not Complete)",$H167&lt;&gt;"Complete")),OR(View!$C$9="",ISNUMBER(SEARCH(View!$C$9,$D167&amp;" "&amp;$E167)))),1,0))</f>
        <v>0</v>
      </c>
      <c r="R167" s="2" t="str">
        <f aca="false">IF($Q167=1,COUNTIF($Q$4:$Q167,1),"")</f>
        <v/>
      </c>
    </row>
    <row r="168" customFormat="false" ht="15" hidden="false" customHeight="false" outlineLevel="0" collapsed="false">
      <c r="A168" s="21"/>
      <c r="B168" s="21"/>
      <c r="C168" s="21"/>
      <c r="D168" s="4"/>
      <c r="E168" s="4"/>
      <c r="F168" s="21"/>
      <c r="G168" s="22" t="str">
        <f aca="false">IF($F168="","",IFERROR(INDEX(Lists!$B$4:$B$12,MATCH($F168,Lists!$A$4:$A$12,0)),""))</f>
        <v/>
      </c>
      <c r="H168" s="21"/>
      <c r="I168" s="23"/>
      <c r="J168" s="21"/>
      <c r="K168" s="24" t="str">
        <f aca="false">IF(OR($I168="",$J168=""),"",$I168+7*$J168-3)</f>
        <v/>
      </c>
      <c r="L168" s="21"/>
      <c r="M168" s="4"/>
      <c r="N168" s="21"/>
      <c r="O168" s="4"/>
      <c r="P168" s="21"/>
      <c r="Q168" s="2" t="n">
        <f aca="false">IF($A168="",0,IF(AND(OR(View!$C$4="All",View!$C$4="",$B168=View!$C$4),OR(View!$C$5="All",View!$C$5="",$C168=View!$C$5),OR(View!$C$6="All",View!$C$6="",$F168=View!$C$6),OR(View!$C$7="All",View!$C$7="",$G168=View!$C$7),OR(View!$C$8="All",View!$C$8="",$H168=View!$C$8,AND(View!$C$8="Open (not Complete)",$H168&lt;&gt;"Complete")),OR(View!$C$9="",ISNUMBER(SEARCH(View!$C$9,$D168&amp;" "&amp;$E168)))),1,0))</f>
        <v>0</v>
      </c>
      <c r="R168" s="2" t="str">
        <f aca="false">IF($Q168=1,COUNTIF($Q$4:$Q168,1),"")</f>
        <v/>
      </c>
    </row>
    <row r="169" customFormat="false" ht="15" hidden="false" customHeight="false" outlineLevel="0" collapsed="false">
      <c r="A169" s="21"/>
      <c r="B169" s="21"/>
      <c r="C169" s="21"/>
      <c r="D169" s="4"/>
      <c r="E169" s="4"/>
      <c r="F169" s="21"/>
      <c r="G169" s="22" t="str">
        <f aca="false">IF($F169="","",IFERROR(INDEX(Lists!$B$4:$B$12,MATCH($F169,Lists!$A$4:$A$12,0)),""))</f>
        <v/>
      </c>
      <c r="H169" s="21"/>
      <c r="I169" s="23"/>
      <c r="J169" s="21"/>
      <c r="K169" s="24" t="str">
        <f aca="false">IF(OR($I169="",$J169=""),"",$I169+7*$J169-3)</f>
        <v/>
      </c>
      <c r="L169" s="21"/>
      <c r="M169" s="4"/>
      <c r="N169" s="21"/>
      <c r="O169" s="4"/>
      <c r="P169" s="21"/>
      <c r="Q169" s="2" t="n">
        <f aca="false">IF($A169="",0,IF(AND(OR(View!$C$4="All",View!$C$4="",$B169=View!$C$4),OR(View!$C$5="All",View!$C$5="",$C169=View!$C$5),OR(View!$C$6="All",View!$C$6="",$F169=View!$C$6),OR(View!$C$7="All",View!$C$7="",$G169=View!$C$7),OR(View!$C$8="All",View!$C$8="",$H169=View!$C$8,AND(View!$C$8="Open (not Complete)",$H169&lt;&gt;"Complete")),OR(View!$C$9="",ISNUMBER(SEARCH(View!$C$9,$D169&amp;" "&amp;$E169)))),1,0))</f>
        <v>0</v>
      </c>
      <c r="R169" s="2" t="str">
        <f aca="false">IF($Q169=1,COUNTIF($Q$4:$Q169,1),"")</f>
        <v/>
      </c>
    </row>
    <row r="170" customFormat="false" ht="15" hidden="false" customHeight="false" outlineLevel="0" collapsed="false">
      <c r="A170" s="21"/>
      <c r="B170" s="21"/>
      <c r="C170" s="21"/>
      <c r="D170" s="4"/>
      <c r="E170" s="4"/>
      <c r="F170" s="21"/>
      <c r="G170" s="22" t="str">
        <f aca="false">IF($F170="","",IFERROR(INDEX(Lists!$B$4:$B$12,MATCH($F170,Lists!$A$4:$A$12,0)),""))</f>
        <v/>
      </c>
      <c r="H170" s="21"/>
      <c r="I170" s="23"/>
      <c r="J170" s="21"/>
      <c r="K170" s="24" t="str">
        <f aca="false">IF(OR($I170="",$J170=""),"",$I170+7*$J170-3)</f>
        <v/>
      </c>
      <c r="L170" s="21"/>
      <c r="M170" s="4"/>
      <c r="N170" s="21"/>
      <c r="O170" s="4"/>
      <c r="P170" s="21"/>
      <c r="Q170" s="2" t="n">
        <f aca="false">IF($A170="",0,IF(AND(OR(View!$C$4="All",View!$C$4="",$B170=View!$C$4),OR(View!$C$5="All",View!$C$5="",$C170=View!$C$5),OR(View!$C$6="All",View!$C$6="",$F170=View!$C$6),OR(View!$C$7="All",View!$C$7="",$G170=View!$C$7),OR(View!$C$8="All",View!$C$8="",$H170=View!$C$8,AND(View!$C$8="Open (not Complete)",$H170&lt;&gt;"Complete")),OR(View!$C$9="",ISNUMBER(SEARCH(View!$C$9,$D170&amp;" "&amp;$E170)))),1,0))</f>
        <v>0</v>
      </c>
      <c r="R170" s="2" t="str">
        <f aca="false">IF($Q170=1,COUNTIF($Q$4:$Q170,1),"")</f>
        <v/>
      </c>
    </row>
    <row r="171" customFormat="false" ht="15" hidden="false" customHeight="false" outlineLevel="0" collapsed="false">
      <c r="A171" s="21"/>
      <c r="B171" s="21"/>
      <c r="C171" s="21"/>
      <c r="D171" s="4"/>
      <c r="E171" s="4"/>
      <c r="F171" s="21"/>
      <c r="G171" s="22" t="str">
        <f aca="false">IF($F171="","",IFERROR(INDEX(Lists!$B$4:$B$12,MATCH($F171,Lists!$A$4:$A$12,0)),""))</f>
        <v/>
      </c>
      <c r="H171" s="21"/>
      <c r="I171" s="23"/>
      <c r="J171" s="21"/>
      <c r="K171" s="24" t="str">
        <f aca="false">IF(OR($I171="",$J171=""),"",$I171+7*$J171-3)</f>
        <v/>
      </c>
      <c r="L171" s="21"/>
      <c r="M171" s="4"/>
      <c r="N171" s="21"/>
      <c r="O171" s="4"/>
      <c r="P171" s="21"/>
      <c r="Q171" s="2" t="n">
        <f aca="false">IF($A171="",0,IF(AND(OR(View!$C$4="All",View!$C$4="",$B171=View!$C$4),OR(View!$C$5="All",View!$C$5="",$C171=View!$C$5),OR(View!$C$6="All",View!$C$6="",$F171=View!$C$6),OR(View!$C$7="All",View!$C$7="",$G171=View!$C$7),OR(View!$C$8="All",View!$C$8="",$H171=View!$C$8,AND(View!$C$8="Open (not Complete)",$H171&lt;&gt;"Complete")),OR(View!$C$9="",ISNUMBER(SEARCH(View!$C$9,$D171&amp;" "&amp;$E171)))),1,0))</f>
        <v>0</v>
      </c>
      <c r="R171" s="2" t="str">
        <f aca="false">IF($Q171=1,COUNTIF($Q$4:$Q171,1),"")</f>
        <v/>
      </c>
    </row>
    <row r="172" customFormat="false" ht="15" hidden="false" customHeight="false" outlineLevel="0" collapsed="false">
      <c r="A172" s="21"/>
      <c r="B172" s="21"/>
      <c r="C172" s="21"/>
      <c r="D172" s="4"/>
      <c r="E172" s="4"/>
      <c r="F172" s="21"/>
      <c r="G172" s="22" t="str">
        <f aca="false">IF($F172="","",IFERROR(INDEX(Lists!$B$4:$B$12,MATCH($F172,Lists!$A$4:$A$12,0)),""))</f>
        <v/>
      </c>
      <c r="H172" s="21"/>
      <c r="I172" s="23"/>
      <c r="J172" s="21"/>
      <c r="K172" s="24" t="str">
        <f aca="false">IF(OR($I172="",$J172=""),"",$I172+7*$J172-3)</f>
        <v/>
      </c>
      <c r="L172" s="21"/>
      <c r="M172" s="4"/>
      <c r="N172" s="21"/>
      <c r="O172" s="4"/>
      <c r="P172" s="21"/>
      <c r="Q172" s="2" t="n">
        <f aca="false">IF($A172="",0,IF(AND(OR(View!$C$4="All",View!$C$4="",$B172=View!$C$4),OR(View!$C$5="All",View!$C$5="",$C172=View!$C$5),OR(View!$C$6="All",View!$C$6="",$F172=View!$C$6),OR(View!$C$7="All",View!$C$7="",$G172=View!$C$7),OR(View!$C$8="All",View!$C$8="",$H172=View!$C$8,AND(View!$C$8="Open (not Complete)",$H172&lt;&gt;"Complete")),OR(View!$C$9="",ISNUMBER(SEARCH(View!$C$9,$D172&amp;" "&amp;$E172)))),1,0))</f>
        <v>0</v>
      </c>
      <c r="R172" s="2" t="str">
        <f aca="false">IF($Q172=1,COUNTIF($Q$4:$Q172,1),"")</f>
        <v/>
      </c>
    </row>
    <row r="173" customFormat="false" ht="15" hidden="false" customHeight="false" outlineLevel="0" collapsed="false">
      <c r="A173" s="21"/>
      <c r="B173" s="21"/>
      <c r="C173" s="21"/>
      <c r="D173" s="4"/>
      <c r="E173" s="4"/>
      <c r="F173" s="21"/>
      <c r="G173" s="22" t="str">
        <f aca="false">IF($F173="","",IFERROR(INDEX(Lists!$B$4:$B$12,MATCH($F173,Lists!$A$4:$A$12,0)),""))</f>
        <v/>
      </c>
      <c r="H173" s="21"/>
      <c r="I173" s="23"/>
      <c r="J173" s="21"/>
      <c r="K173" s="24" t="str">
        <f aca="false">IF(OR($I173="",$J173=""),"",$I173+7*$J173-3)</f>
        <v/>
      </c>
      <c r="L173" s="21"/>
      <c r="M173" s="4"/>
      <c r="N173" s="21"/>
      <c r="O173" s="4"/>
      <c r="P173" s="21"/>
      <c r="Q173" s="2" t="n">
        <f aca="false">IF($A173="",0,IF(AND(OR(View!$C$4="All",View!$C$4="",$B173=View!$C$4),OR(View!$C$5="All",View!$C$5="",$C173=View!$C$5),OR(View!$C$6="All",View!$C$6="",$F173=View!$C$6),OR(View!$C$7="All",View!$C$7="",$G173=View!$C$7),OR(View!$C$8="All",View!$C$8="",$H173=View!$C$8,AND(View!$C$8="Open (not Complete)",$H173&lt;&gt;"Complete")),OR(View!$C$9="",ISNUMBER(SEARCH(View!$C$9,$D173&amp;" "&amp;$E173)))),1,0))</f>
        <v>0</v>
      </c>
      <c r="R173" s="2" t="str">
        <f aca="false">IF($Q173=1,COUNTIF($Q$4:$Q173,1),"")</f>
        <v/>
      </c>
    </row>
    <row r="174" customFormat="false" ht="15" hidden="false" customHeight="false" outlineLevel="0" collapsed="false">
      <c r="A174" s="21"/>
      <c r="B174" s="21"/>
      <c r="C174" s="21"/>
      <c r="D174" s="4"/>
      <c r="E174" s="4"/>
      <c r="F174" s="21"/>
      <c r="G174" s="22" t="str">
        <f aca="false">IF($F174="","",IFERROR(INDEX(Lists!$B$4:$B$12,MATCH($F174,Lists!$A$4:$A$12,0)),""))</f>
        <v/>
      </c>
      <c r="H174" s="21"/>
      <c r="I174" s="23"/>
      <c r="J174" s="21"/>
      <c r="K174" s="24" t="str">
        <f aca="false">IF(OR($I174="",$J174=""),"",$I174+7*$J174-3)</f>
        <v/>
      </c>
      <c r="L174" s="21"/>
      <c r="M174" s="4"/>
      <c r="N174" s="21"/>
      <c r="O174" s="4"/>
      <c r="P174" s="21"/>
      <c r="Q174" s="2" t="n">
        <f aca="false">IF($A174="",0,IF(AND(OR(View!$C$4="All",View!$C$4="",$B174=View!$C$4),OR(View!$C$5="All",View!$C$5="",$C174=View!$C$5),OR(View!$C$6="All",View!$C$6="",$F174=View!$C$6),OR(View!$C$7="All",View!$C$7="",$G174=View!$C$7),OR(View!$C$8="All",View!$C$8="",$H174=View!$C$8,AND(View!$C$8="Open (not Complete)",$H174&lt;&gt;"Complete")),OR(View!$C$9="",ISNUMBER(SEARCH(View!$C$9,$D174&amp;" "&amp;$E174)))),1,0))</f>
        <v>0</v>
      </c>
      <c r="R174" s="2" t="str">
        <f aca="false">IF($Q174=1,COUNTIF($Q$4:$Q174,1),"")</f>
        <v/>
      </c>
    </row>
    <row r="175" customFormat="false" ht="15" hidden="false" customHeight="false" outlineLevel="0" collapsed="false">
      <c r="A175" s="21"/>
      <c r="B175" s="21"/>
      <c r="C175" s="21"/>
      <c r="D175" s="4"/>
      <c r="E175" s="4"/>
      <c r="F175" s="21"/>
      <c r="G175" s="22" t="str">
        <f aca="false">IF($F175="","",IFERROR(INDEX(Lists!$B$4:$B$12,MATCH($F175,Lists!$A$4:$A$12,0)),""))</f>
        <v/>
      </c>
      <c r="H175" s="21"/>
      <c r="I175" s="23"/>
      <c r="J175" s="21"/>
      <c r="K175" s="24" t="str">
        <f aca="false">IF(OR($I175="",$J175=""),"",$I175+7*$J175-3)</f>
        <v/>
      </c>
      <c r="L175" s="21"/>
      <c r="M175" s="4"/>
      <c r="N175" s="21"/>
      <c r="O175" s="4"/>
      <c r="P175" s="21"/>
      <c r="Q175" s="2" t="n">
        <f aca="false">IF($A175="",0,IF(AND(OR(View!$C$4="All",View!$C$4="",$B175=View!$C$4),OR(View!$C$5="All",View!$C$5="",$C175=View!$C$5),OR(View!$C$6="All",View!$C$6="",$F175=View!$C$6),OR(View!$C$7="All",View!$C$7="",$G175=View!$C$7),OR(View!$C$8="All",View!$C$8="",$H175=View!$C$8,AND(View!$C$8="Open (not Complete)",$H175&lt;&gt;"Complete")),OR(View!$C$9="",ISNUMBER(SEARCH(View!$C$9,$D175&amp;" "&amp;$E175)))),1,0))</f>
        <v>0</v>
      </c>
      <c r="R175" s="2" t="str">
        <f aca="false">IF($Q175=1,COUNTIF($Q$4:$Q175,1),"")</f>
        <v/>
      </c>
    </row>
    <row r="176" customFormat="false" ht="15" hidden="false" customHeight="false" outlineLevel="0" collapsed="false">
      <c r="A176" s="21"/>
      <c r="B176" s="21"/>
      <c r="C176" s="21"/>
      <c r="D176" s="4"/>
      <c r="E176" s="4"/>
      <c r="F176" s="21"/>
      <c r="G176" s="22" t="str">
        <f aca="false">IF($F176="","",IFERROR(INDEX(Lists!$B$4:$B$12,MATCH($F176,Lists!$A$4:$A$12,0)),""))</f>
        <v/>
      </c>
      <c r="H176" s="21"/>
      <c r="I176" s="23"/>
      <c r="J176" s="21"/>
      <c r="K176" s="24" t="str">
        <f aca="false">IF(OR($I176="",$J176=""),"",$I176+7*$J176-3)</f>
        <v/>
      </c>
      <c r="L176" s="21"/>
      <c r="M176" s="4"/>
      <c r="N176" s="21"/>
      <c r="O176" s="4"/>
      <c r="P176" s="21"/>
      <c r="Q176" s="2" t="n">
        <f aca="false">IF($A176="",0,IF(AND(OR(View!$C$4="All",View!$C$4="",$B176=View!$C$4),OR(View!$C$5="All",View!$C$5="",$C176=View!$C$5),OR(View!$C$6="All",View!$C$6="",$F176=View!$C$6),OR(View!$C$7="All",View!$C$7="",$G176=View!$C$7),OR(View!$C$8="All",View!$C$8="",$H176=View!$C$8,AND(View!$C$8="Open (not Complete)",$H176&lt;&gt;"Complete")),OR(View!$C$9="",ISNUMBER(SEARCH(View!$C$9,$D176&amp;" "&amp;$E176)))),1,0))</f>
        <v>0</v>
      </c>
      <c r="R176" s="2" t="str">
        <f aca="false">IF($Q176=1,COUNTIF($Q$4:$Q176,1),"")</f>
        <v/>
      </c>
    </row>
    <row r="177" customFormat="false" ht="15" hidden="false" customHeight="false" outlineLevel="0" collapsed="false">
      <c r="A177" s="21"/>
      <c r="B177" s="21"/>
      <c r="C177" s="21"/>
      <c r="D177" s="4"/>
      <c r="E177" s="4"/>
      <c r="F177" s="21"/>
      <c r="G177" s="22" t="str">
        <f aca="false">IF($F177="","",IFERROR(INDEX(Lists!$B$4:$B$12,MATCH($F177,Lists!$A$4:$A$12,0)),""))</f>
        <v/>
      </c>
      <c r="H177" s="21"/>
      <c r="I177" s="23"/>
      <c r="J177" s="21"/>
      <c r="K177" s="24" t="str">
        <f aca="false">IF(OR($I177="",$J177=""),"",$I177+7*$J177-3)</f>
        <v/>
      </c>
      <c r="L177" s="21"/>
      <c r="M177" s="4"/>
      <c r="N177" s="21"/>
      <c r="O177" s="4"/>
      <c r="P177" s="21"/>
      <c r="Q177" s="2" t="n">
        <f aca="false">IF($A177="",0,IF(AND(OR(View!$C$4="All",View!$C$4="",$B177=View!$C$4),OR(View!$C$5="All",View!$C$5="",$C177=View!$C$5),OR(View!$C$6="All",View!$C$6="",$F177=View!$C$6),OR(View!$C$7="All",View!$C$7="",$G177=View!$C$7),OR(View!$C$8="All",View!$C$8="",$H177=View!$C$8,AND(View!$C$8="Open (not Complete)",$H177&lt;&gt;"Complete")),OR(View!$C$9="",ISNUMBER(SEARCH(View!$C$9,$D177&amp;" "&amp;$E177)))),1,0))</f>
        <v>0</v>
      </c>
      <c r="R177" s="2" t="str">
        <f aca="false">IF($Q177=1,COUNTIF($Q$4:$Q177,1),"")</f>
        <v/>
      </c>
    </row>
    <row r="178" customFormat="false" ht="15" hidden="false" customHeight="false" outlineLevel="0" collapsed="false">
      <c r="A178" s="21"/>
      <c r="B178" s="21"/>
      <c r="C178" s="21"/>
      <c r="D178" s="4"/>
      <c r="E178" s="4"/>
      <c r="F178" s="21"/>
      <c r="G178" s="22" t="str">
        <f aca="false">IF($F178="","",IFERROR(INDEX(Lists!$B$4:$B$12,MATCH($F178,Lists!$A$4:$A$12,0)),""))</f>
        <v/>
      </c>
      <c r="H178" s="21"/>
      <c r="I178" s="23"/>
      <c r="J178" s="21"/>
      <c r="K178" s="24" t="str">
        <f aca="false">IF(OR($I178="",$J178=""),"",$I178+7*$J178-3)</f>
        <v/>
      </c>
      <c r="L178" s="21"/>
      <c r="M178" s="4"/>
      <c r="N178" s="21"/>
      <c r="O178" s="4"/>
      <c r="P178" s="21"/>
      <c r="Q178" s="2" t="n">
        <f aca="false">IF($A178="",0,IF(AND(OR(View!$C$4="All",View!$C$4="",$B178=View!$C$4),OR(View!$C$5="All",View!$C$5="",$C178=View!$C$5),OR(View!$C$6="All",View!$C$6="",$F178=View!$C$6),OR(View!$C$7="All",View!$C$7="",$G178=View!$C$7),OR(View!$C$8="All",View!$C$8="",$H178=View!$C$8,AND(View!$C$8="Open (not Complete)",$H178&lt;&gt;"Complete")),OR(View!$C$9="",ISNUMBER(SEARCH(View!$C$9,$D178&amp;" "&amp;$E178)))),1,0))</f>
        <v>0</v>
      </c>
      <c r="R178" s="2" t="str">
        <f aca="false">IF($Q178=1,COUNTIF($Q$4:$Q178,1),"")</f>
        <v/>
      </c>
    </row>
    <row r="179" customFormat="false" ht="15" hidden="false" customHeight="false" outlineLevel="0" collapsed="false">
      <c r="A179" s="21"/>
      <c r="B179" s="21"/>
      <c r="C179" s="21"/>
      <c r="D179" s="4"/>
      <c r="E179" s="4"/>
      <c r="F179" s="21"/>
      <c r="G179" s="22" t="str">
        <f aca="false">IF($F179="","",IFERROR(INDEX(Lists!$B$4:$B$12,MATCH($F179,Lists!$A$4:$A$12,0)),""))</f>
        <v/>
      </c>
      <c r="H179" s="21"/>
      <c r="I179" s="23"/>
      <c r="J179" s="21"/>
      <c r="K179" s="24" t="str">
        <f aca="false">IF(OR($I179="",$J179=""),"",$I179+7*$J179-3)</f>
        <v/>
      </c>
      <c r="L179" s="21"/>
      <c r="M179" s="4"/>
      <c r="N179" s="21"/>
      <c r="O179" s="4"/>
      <c r="P179" s="21"/>
      <c r="Q179" s="2" t="n">
        <f aca="false">IF($A179="",0,IF(AND(OR(View!$C$4="All",View!$C$4="",$B179=View!$C$4),OR(View!$C$5="All",View!$C$5="",$C179=View!$C$5),OR(View!$C$6="All",View!$C$6="",$F179=View!$C$6),OR(View!$C$7="All",View!$C$7="",$G179=View!$C$7),OR(View!$C$8="All",View!$C$8="",$H179=View!$C$8,AND(View!$C$8="Open (not Complete)",$H179&lt;&gt;"Complete")),OR(View!$C$9="",ISNUMBER(SEARCH(View!$C$9,$D179&amp;" "&amp;$E179)))),1,0))</f>
        <v>0</v>
      </c>
      <c r="R179" s="2" t="str">
        <f aca="false">IF($Q179=1,COUNTIF($Q$4:$Q179,1),"")</f>
        <v/>
      </c>
    </row>
    <row r="180" customFormat="false" ht="15" hidden="false" customHeight="false" outlineLevel="0" collapsed="false">
      <c r="A180" s="21"/>
      <c r="B180" s="21"/>
      <c r="C180" s="21"/>
      <c r="D180" s="4"/>
      <c r="E180" s="4"/>
      <c r="F180" s="21"/>
      <c r="G180" s="22" t="str">
        <f aca="false">IF($F180="","",IFERROR(INDEX(Lists!$B$4:$B$12,MATCH($F180,Lists!$A$4:$A$12,0)),""))</f>
        <v/>
      </c>
      <c r="H180" s="21"/>
      <c r="I180" s="23"/>
      <c r="J180" s="21"/>
      <c r="K180" s="24" t="str">
        <f aca="false">IF(OR($I180="",$J180=""),"",$I180+7*$J180-3)</f>
        <v/>
      </c>
      <c r="L180" s="21"/>
      <c r="M180" s="4"/>
      <c r="N180" s="21"/>
      <c r="O180" s="4"/>
      <c r="P180" s="21"/>
      <c r="Q180" s="2" t="n">
        <f aca="false">IF($A180="",0,IF(AND(OR(View!$C$4="All",View!$C$4="",$B180=View!$C$4),OR(View!$C$5="All",View!$C$5="",$C180=View!$C$5),OR(View!$C$6="All",View!$C$6="",$F180=View!$C$6),OR(View!$C$7="All",View!$C$7="",$G180=View!$C$7),OR(View!$C$8="All",View!$C$8="",$H180=View!$C$8,AND(View!$C$8="Open (not Complete)",$H180&lt;&gt;"Complete")),OR(View!$C$9="",ISNUMBER(SEARCH(View!$C$9,$D180&amp;" "&amp;$E180)))),1,0))</f>
        <v>0</v>
      </c>
      <c r="R180" s="2" t="str">
        <f aca="false">IF($Q180=1,COUNTIF($Q$4:$Q180,1),"")</f>
        <v/>
      </c>
    </row>
    <row r="181" customFormat="false" ht="15" hidden="false" customHeight="false" outlineLevel="0" collapsed="false">
      <c r="A181" s="21"/>
      <c r="B181" s="21"/>
      <c r="C181" s="21"/>
      <c r="D181" s="4"/>
      <c r="E181" s="4"/>
      <c r="F181" s="21"/>
      <c r="G181" s="22" t="str">
        <f aca="false">IF($F181="","",IFERROR(INDEX(Lists!$B$4:$B$12,MATCH($F181,Lists!$A$4:$A$12,0)),""))</f>
        <v/>
      </c>
      <c r="H181" s="21"/>
      <c r="I181" s="23"/>
      <c r="J181" s="21"/>
      <c r="K181" s="24" t="str">
        <f aca="false">IF(OR($I181="",$J181=""),"",$I181+7*$J181-3)</f>
        <v/>
      </c>
      <c r="L181" s="21"/>
      <c r="M181" s="4"/>
      <c r="N181" s="21"/>
      <c r="O181" s="4"/>
      <c r="P181" s="21"/>
      <c r="Q181" s="2" t="n">
        <f aca="false">IF($A181="",0,IF(AND(OR(View!$C$4="All",View!$C$4="",$B181=View!$C$4),OR(View!$C$5="All",View!$C$5="",$C181=View!$C$5),OR(View!$C$6="All",View!$C$6="",$F181=View!$C$6),OR(View!$C$7="All",View!$C$7="",$G181=View!$C$7),OR(View!$C$8="All",View!$C$8="",$H181=View!$C$8,AND(View!$C$8="Open (not Complete)",$H181&lt;&gt;"Complete")),OR(View!$C$9="",ISNUMBER(SEARCH(View!$C$9,$D181&amp;" "&amp;$E181)))),1,0))</f>
        <v>0</v>
      </c>
      <c r="R181" s="2" t="str">
        <f aca="false">IF($Q181=1,COUNTIF($Q$4:$Q181,1),"")</f>
        <v/>
      </c>
    </row>
    <row r="182" customFormat="false" ht="15" hidden="false" customHeight="false" outlineLevel="0" collapsed="false">
      <c r="A182" s="21"/>
      <c r="B182" s="21"/>
      <c r="C182" s="21"/>
      <c r="D182" s="4"/>
      <c r="E182" s="4"/>
      <c r="F182" s="21"/>
      <c r="G182" s="22" t="str">
        <f aca="false">IF($F182="","",IFERROR(INDEX(Lists!$B$4:$B$12,MATCH($F182,Lists!$A$4:$A$12,0)),""))</f>
        <v/>
      </c>
      <c r="H182" s="21"/>
      <c r="I182" s="23"/>
      <c r="J182" s="21"/>
      <c r="K182" s="24" t="str">
        <f aca="false">IF(OR($I182="",$J182=""),"",$I182+7*$J182-3)</f>
        <v/>
      </c>
      <c r="L182" s="21"/>
      <c r="M182" s="4"/>
      <c r="N182" s="21"/>
      <c r="O182" s="4"/>
      <c r="P182" s="21"/>
      <c r="Q182" s="2" t="n">
        <f aca="false">IF($A182="",0,IF(AND(OR(View!$C$4="All",View!$C$4="",$B182=View!$C$4),OR(View!$C$5="All",View!$C$5="",$C182=View!$C$5),OR(View!$C$6="All",View!$C$6="",$F182=View!$C$6),OR(View!$C$7="All",View!$C$7="",$G182=View!$C$7),OR(View!$C$8="All",View!$C$8="",$H182=View!$C$8,AND(View!$C$8="Open (not Complete)",$H182&lt;&gt;"Complete")),OR(View!$C$9="",ISNUMBER(SEARCH(View!$C$9,$D182&amp;" "&amp;$E182)))),1,0))</f>
        <v>0</v>
      </c>
      <c r="R182" s="2" t="str">
        <f aca="false">IF($Q182=1,COUNTIF($Q$4:$Q182,1),"")</f>
        <v/>
      </c>
    </row>
    <row r="183" customFormat="false" ht="15" hidden="false" customHeight="false" outlineLevel="0" collapsed="false">
      <c r="A183" s="21"/>
      <c r="B183" s="21"/>
      <c r="C183" s="21"/>
      <c r="D183" s="4"/>
      <c r="E183" s="4"/>
      <c r="F183" s="21"/>
      <c r="G183" s="22" t="str">
        <f aca="false">IF($F183="","",IFERROR(INDEX(Lists!$B$4:$B$12,MATCH($F183,Lists!$A$4:$A$12,0)),""))</f>
        <v/>
      </c>
      <c r="H183" s="21"/>
      <c r="I183" s="23"/>
      <c r="J183" s="21"/>
      <c r="K183" s="24" t="str">
        <f aca="false">IF(OR($I183="",$J183=""),"",$I183+7*$J183-3)</f>
        <v/>
      </c>
      <c r="L183" s="21"/>
      <c r="M183" s="4"/>
      <c r="N183" s="21"/>
      <c r="O183" s="4"/>
      <c r="P183" s="21"/>
      <c r="Q183" s="2" t="n">
        <f aca="false">IF($A183="",0,IF(AND(OR(View!$C$4="All",View!$C$4="",$B183=View!$C$4),OR(View!$C$5="All",View!$C$5="",$C183=View!$C$5),OR(View!$C$6="All",View!$C$6="",$F183=View!$C$6),OR(View!$C$7="All",View!$C$7="",$G183=View!$C$7),OR(View!$C$8="All",View!$C$8="",$H183=View!$C$8,AND(View!$C$8="Open (not Complete)",$H183&lt;&gt;"Complete")),OR(View!$C$9="",ISNUMBER(SEARCH(View!$C$9,$D183&amp;" "&amp;$E183)))),1,0))</f>
        <v>0</v>
      </c>
      <c r="R183" s="2" t="str">
        <f aca="false">IF($Q183=1,COUNTIF($Q$4:$Q183,1),"")</f>
        <v/>
      </c>
    </row>
    <row r="184" customFormat="false" ht="15" hidden="false" customHeight="false" outlineLevel="0" collapsed="false">
      <c r="A184" s="21"/>
      <c r="B184" s="21"/>
      <c r="C184" s="21"/>
      <c r="D184" s="4"/>
      <c r="E184" s="4"/>
      <c r="F184" s="21"/>
      <c r="G184" s="22" t="str">
        <f aca="false">IF($F184="","",IFERROR(INDEX(Lists!$B$4:$B$12,MATCH($F184,Lists!$A$4:$A$12,0)),""))</f>
        <v/>
      </c>
      <c r="H184" s="21"/>
      <c r="I184" s="23"/>
      <c r="J184" s="21"/>
      <c r="K184" s="24" t="str">
        <f aca="false">IF(OR($I184="",$J184=""),"",$I184+7*$J184-3)</f>
        <v/>
      </c>
      <c r="L184" s="21"/>
      <c r="M184" s="4"/>
      <c r="N184" s="21"/>
      <c r="O184" s="4"/>
      <c r="P184" s="21"/>
      <c r="Q184" s="2" t="n">
        <f aca="false">IF($A184="",0,IF(AND(OR(View!$C$4="All",View!$C$4="",$B184=View!$C$4),OR(View!$C$5="All",View!$C$5="",$C184=View!$C$5),OR(View!$C$6="All",View!$C$6="",$F184=View!$C$6),OR(View!$C$7="All",View!$C$7="",$G184=View!$C$7),OR(View!$C$8="All",View!$C$8="",$H184=View!$C$8,AND(View!$C$8="Open (not Complete)",$H184&lt;&gt;"Complete")),OR(View!$C$9="",ISNUMBER(SEARCH(View!$C$9,$D184&amp;" "&amp;$E184)))),1,0))</f>
        <v>0</v>
      </c>
      <c r="R184" s="2" t="str">
        <f aca="false">IF($Q184=1,COUNTIF($Q$4:$Q184,1),"")</f>
        <v/>
      </c>
    </row>
    <row r="185" customFormat="false" ht="15" hidden="false" customHeight="false" outlineLevel="0" collapsed="false">
      <c r="A185" s="21"/>
      <c r="B185" s="21"/>
      <c r="C185" s="21"/>
      <c r="D185" s="4"/>
      <c r="E185" s="4"/>
      <c r="F185" s="21"/>
      <c r="G185" s="22" t="str">
        <f aca="false">IF($F185="","",IFERROR(INDEX(Lists!$B$4:$B$12,MATCH($F185,Lists!$A$4:$A$12,0)),""))</f>
        <v/>
      </c>
      <c r="H185" s="21"/>
      <c r="I185" s="23"/>
      <c r="J185" s="21"/>
      <c r="K185" s="24" t="str">
        <f aca="false">IF(OR($I185="",$J185=""),"",$I185+7*$J185-3)</f>
        <v/>
      </c>
      <c r="L185" s="21"/>
      <c r="M185" s="4"/>
      <c r="N185" s="21"/>
      <c r="O185" s="4"/>
      <c r="P185" s="21"/>
      <c r="Q185" s="2" t="n">
        <f aca="false">IF($A185="",0,IF(AND(OR(View!$C$4="All",View!$C$4="",$B185=View!$C$4),OR(View!$C$5="All",View!$C$5="",$C185=View!$C$5),OR(View!$C$6="All",View!$C$6="",$F185=View!$C$6),OR(View!$C$7="All",View!$C$7="",$G185=View!$C$7),OR(View!$C$8="All",View!$C$8="",$H185=View!$C$8,AND(View!$C$8="Open (not Complete)",$H185&lt;&gt;"Complete")),OR(View!$C$9="",ISNUMBER(SEARCH(View!$C$9,$D185&amp;" "&amp;$E185)))),1,0))</f>
        <v>0</v>
      </c>
      <c r="R185" s="2" t="str">
        <f aca="false">IF($Q185=1,COUNTIF($Q$4:$Q185,1),"")</f>
        <v/>
      </c>
    </row>
    <row r="186" customFormat="false" ht="15" hidden="false" customHeight="false" outlineLevel="0" collapsed="false">
      <c r="A186" s="21"/>
      <c r="B186" s="21"/>
      <c r="C186" s="21"/>
      <c r="D186" s="4"/>
      <c r="E186" s="4"/>
      <c r="F186" s="21"/>
      <c r="G186" s="22" t="str">
        <f aca="false">IF($F186="","",IFERROR(INDEX(Lists!$B$4:$B$12,MATCH($F186,Lists!$A$4:$A$12,0)),""))</f>
        <v/>
      </c>
      <c r="H186" s="21"/>
      <c r="I186" s="23"/>
      <c r="J186" s="21"/>
      <c r="K186" s="24" t="str">
        <f aca="false">IF(OR($I186="",$J186=""),"",$I186+7*$J186-3)</f>
        <v/>
      </c>
      <c r="L186" s="21"/>
      <c r="M186" s="4"/>
      <c r="N186" s="21"/>
      <c r="O186" s="4"/>
      <c r="P186" s="21"/>
      <c r="Q186" s="2" t="n">
        <f aca="false">IF($A186="",0,IF(AND(OR(View!$C$4="All",View!$C$4="",$B186=View!$C$4),OR(View!$C$5="All",View!$C$5="",$C186=View!$C$5),OR(View!$C$6="All",View!$C$6="",$F186=View!$C$6),OR(View!$C$7="All",View!$C$7="",$G186=View!$C$7),OR(View!$C$8="All",View!$C$8="",$H186=View!$C$8,AND(View!$C$8="Open (not Complete)",$H186&lt;&gt;"Complete")),OR(View!$C$9="",ISNUMBER(SEARCH(View!$C$9,$D186&amp;" "&amp;$E186)))),1,0))</f>
        <v>0</v>
      </c>
      <c r="R186" s="2" t="str">
        <f aca="false">IF($Q186=1,COUNTIF($Q$4:$Q186,1),"")</f>
        <v/>
      </c>
    </row>
    <row r="187" customFormat="false" ht="15" hidden="false" customHeight="false" outlineLevel="0" collapsed="false">
      <c r="A187" s="21"/>
      <c r="B187" s="21"/>
      <c r="C187" s="21"/>
      <c r="D187" s="4"/>
      <c r="E187" s="4"/>
      <c r="F187" s="21"/>
      <c r="G187" s="22" t="str">
        <f aca="false">IF($F187="","",IFERROR(INDEX(Lists!$B$4:$B$12,MATCH($F187,Lists!$A$4:$A$12,0)),""))</f>
        <v/>
      </c>
      <c r="H187" s="21"/>
      <c r="I187" s="23"/>
      <c r="J187" s="21"/>
      <c r="K187" s="24" t="str">
        <f aca="false">IF(OR($I187="",$J187=""),"",$I187+7*$J187-3)</f>
        <v/>
      </c>
      <c r="L187" s="21"/>
      <c r="M187" s="4"/>
      <c r="N187" s="21"/>
      <c r="O187" s="4"/>
      <c r="P187" s="21"/>
      <c r="Q187" s="2" t="n">
        <f aca="false">IF($A187="",0,IF(AND(OR(View!$C$4="All",View!$C$4="",$B187=View!$C$4),OR(View!$C$5="All",View!$C$5="",$C187=View!$C$5),OR(View!$C$6="All",View!$C$6="",$F187=View!$C$6),OR(View!$C$7="All",View!$C$7="",$G187=View!$C$7),OR(View!$C$8="All",View!$C$8="",$H187=View!$C$8,AND(View!$C$8="Open (not Complete)",$H187&lt;&gt;"Complete")),OR(View!$C$9="",ISNUMBER(SEARCH(View!$C$9,$D187&amp;" "&amp;$E187)))),1,0))</f>
        <v>0</v>
      </c>
      <c r="R187" s="2" t="str">
        <f aca="false">IF($Q187=1,COUNTIF($Q$4:$Q187,1),"")</f>
        <v/>
      </c>
    </row>
    <row r="188" customFormat="false" ht="15" hidden="false" customHeight="false" outlineLevel="0" collapsed="false">
      <c r="A188" s="21"/>
      <c r="B188" s="21"/>
      <c r="C188" s="21"/>
      <c r="D188" s="4"/>
      <c r="E188" s="4"/>
      <c r="F188" s="21"/>
      <c r="G188" s="22" t="str">
        <f aca="false">IF($F188="","",IFERROR(INDEX(Lists!$B$4:$B$12,MATCH($F188,Lists!$A$4:$A$12,0)),""))</f>
        <v/>
      </c>
      <c r="H188" s="21"/>
      <c r="I188" s="23"/>
      <c r="J188" s="21"/>
      <c r="K188" s="24" t="str">
        <f aca="false">IF(OR($I188="",$J188=""),"",$I188+7*$J188-3)</f>
        <v/>
      </c>
      <c r="L188" s="21"/>
      <c r="M188" s="4"/>
      <c r="N188" s="21"/>
      <c r="O188" s="4"/>
      <c r="P188" s="21"/>
      <c r="Q188" s="2" t="n">
        <f aca="false">IF($A188="",0,IF(AND(OR(View!$C$4="All",View!$C$4="",$B188=View!$C$4),OR(View!$C$5="All",View!$C$5="",$C188=View!$C$5),OR(View!$C$6="All",View!$C$6="",$F188=View!$C$6),OR(View!$C$7="All",View!$C$7="",$G188=View!$C$7),OR(View!$C$8="All",View!$C$8="",$H188=View!$C$8,AND(View!$C$8="Open (not Complete)",$H188&lt;&gt;"Complete")),OR(View!$C$9="",ISNUMBER(SEARCH(View!$C$9,$D188&amp;" "&amp;$E188)))),1,0))</f>
        <v>0</v>
      </c>
      <c r="R188" s="2" t="str">
        <f aca="false">IF($Q188=1,COUNTIF($Q$4:$Q188,1),"")</f>
        <v/>
      </c>
    </row>
    <row r="189" customFormat="false" ht="15" hidden="false" customHeight="false" outlineLevel="0" collapsed="false">
      <c r="A189" s="21"/>
      <c r="B189" s="21"/>
      <c r="C189" s="21"/>
      <c r="D189" s="4"/>
      <c r="E189" s="4"/>
      <c r="F189" s="21"/>
      <c r="G189" s="22" t="str">
        <f aca="false">IF($F189="","",IFERROR(INDEX(Lists!$B$4:$B$12,MATCH($F189,Lists!$A$4:$A$12,0)),""))</f>
        <v/>
      </c>
      <c r="H189" s="21"/>
      <c r="I189" s="23"/>
      <c r="J189" s="21"/>
      <c r="K189" s="24" t="str">
        <f aca="false">IF(OR($I189="",$J189=""),"",$I189+7*$J189-3)</f>
        <v/>
      </c>
      <c r="L189" s="21"/>
      <c r="M189" s="4"/>
      <c r="N189" s="21"/>
      <c r="O189" s="4"/>
      <c r="P189" s="21"/>
      <c r="Q189" s="2" t="n">
        <f aca="false">IF($A189="",0,IF(AND(OR(View!$C$4="All",View!$C$4="",$B189=View!$C$4),OR(View!$C$5="All",View!$C$5="",$C189=View!$C$5),OR(View!$C$6="All",View!$C$6="",$F189=View!$C$6),OR(View!$C$7="All",View!$C$7="",$G189=View!$C$7),OR(View!$C$8="All",View!$C$8="",$H189=View!$C$8,AND(View!$C$8="Open (not Complete)",$H189&lt;&gt;"Complete")),OR(View!$C$9="",ISNUMBER(SEARCH(View!$C$9,$D189&amp;" "&amp;$E189)))),1,0))</f>
        <v>0</v>
      </c>
      <c r="R189" s="2" t="str">
        <f aca="false">IF($Q189=1,COUNTIF($Q$4:$Q189,1),"")</f>
        <v/>
      </c>
    </row>
    <row r="190" customFormat="false" ht="15" hidden="false" customHeight="false" outlineLevel="0" collapsed="false">
      <c r="A190" s="21"/>
      <c r="B190" s="21"/>
      <c r="C190" s="21"/>
      <c r="D190" s="4"/>
      <c r="E190" s="4"/>
      <c r="F190" s="21"/>
      <c r="G190" s="22" t="str">
        <f aca="false">IF($F190="","",IFERROR(INDEX(Lists!$B$4:$B$12,MATCH($F190,Lists!$A$4:$A$12,0)),""))</f>
        <v/>
      </c>
      <c r="H190" s="21"/>
      <c r="I190" s="23"/>
      <c r="J190" s="21"/>
      <c r="K190" s="24" t="str">
        <f aca="false">IF(OR($I190="",$J190=""),"",$I190+7*$J190-3)</f>
        <v/>
      </c>
      <c r="L190" s="21"/>
      <c r="M190" s="4"/>
      <c r="N190" s="21"/>
      <c r="O190" s="4"/>
      <c r="P190" s="21"/>
      <c r="Q190" s="2" t="n">
        <f aca="false">IF($A190="",0,IF(AND(OR(View!$C$4="All",View!$C$4="",$B190=View!$C$4),OR(View!$C$5="All",View!$C$5="",$C190=View!$C$5),OR(View!$C$6="All",View!$C$6="",$F190=View!$C$6),OR(View!$C$7="All",View!$C$7="",$G190=View!$C$7),OR(View!$C$8="All",View!$C$8="",$H190=View!$C$8,AND(View!$C$8="Open (not Complete)",$H190&lt;&gt;"Complete")),OR(View!$C$9="",ISNUMBER(SEARCH(View!$C$9,$D190&amp;" "&amp;$E190)))),1,0))</f>
        <v>0</v>
      </c>
      <c r="R190" s="2" t="str">
        <f aca="false">IF($Q190=1,COUNTIF($Q$4:$Q190,1),"")</f>
        <v/>
      </c>
    </row>
    <row r="191" customFormat="false" ht="15" hidden="false" customHeight="false" outlineLevel="0" collapsed="false">
      <c r="A191" s="21"/>
      <c r="B191" s="21"/>
      <c r="C191" s="21"/>
      <c r="D191" s="4"/>
      <c r="E191" s="4"/>
      <c r="F191" s="21"/>
      <c r="G191" s="22" t="str">
        <f aca="false">IF($F191="","",IFERROR(INDEX(Lists!$B$4:$B$12,MATCH($F191,Lists!$A$4:$A$12,0)),""))</f>
        <v/>
      </c>
      <c r="H191" s="21"/>
      <c r="I191" s="23"/>
      <c r="J191" s="21"/>
      <c r="K191" s="24" t="str">
        <f aca="false">IF(OR($I191="",$J191=""),"",$I191+7*$J191-3)</f>
        <v/>
      </c>
      <c r="L191" s="21"/>
      <c r="M191" s="4"/>
      <c r="N191" s="21"/>
      <c r="O191" s="4"/>
      <c r="P191" s="21"/>
      <c r="Q191" s="2" t="n">
        <f aca="false">IF($A191="",0,IF(AND(OR(View!$C$4="All",View!$C$4="",$B191=View!$C$4),OR(View!$C$5="All",View!$C$5="",$C191=View!$C$5),OR(View!$C$6="All",View!$C$6="",$F191=View!$C$6),OR(View!$C$7="All",View!$C$7="",$G191=View!$C$7),OR(View!$C$8="All",View!$C$8="",$H191=View!$C$8,AND(View!$C$8="Open (not Complete)",$H191&lt;&gt;"Complete")),OR(View!$C$9="",ISNUMBER(SEARCH(View!$C$9,$D191&amp;" "&amp;$E191)))),1,0))</f>
        <v>0</v>
      </c>
      <c r="R191" s="2" t="str">
        <f aca="false">IF($Q191=1,COUNTIF($Q$4:$Q191,1),"")</f>
        <v/>
      </c>
    </row>
    <row r="192" customFormat="false" ht="15" hidden="false" customHeight="false" outlineLevel="0" collapsed="false">
      <c r="A192" s="21"/>
      <c r="B192" s="21"/>
      <c r="C192" s="21"/>
      <c r="D192" s="4"/>
      <c r="E192" s="4"/>
      <c r="F192" s="21"/>
      <c r="G192" s="22" t="str">
        <f aca="false">IF($F192="","",IFERROR(INDEX(Lists!$B$4:$B$12,MATCH($F192,Lists!$A$4:$A$12,0)),""))</f>
        <v/>
      </c>
      <c r="H192" s="21"/>
      <c r="I192" s="23"/>
      <c r="J192" s="21"/>
      <c r="K192" s="24" t="str">
        <f aca="false">IF(OR($I192="",$J192=""),"",$I192+7*$J192-3)</f>
        <v/>
      </c>
      <c r="L192" s="21"/>
      <c r="M192" s="4"/>
      <c r="N192" s="21"/>
      <c r="O192" s="4"/>
      <c r="P192" s="21"/>
      <c r="Q192" s="2" t="n">
        <f aca="false">IF($A192="",0,IF(AND(OR(View!$C$4="All",View!$C$4="",$B192=View!$C$4),OR(View!$C$5="All",View!$C$5="",$C192=View!$C$5),OR(View!$C$6="All",View!$C$6="",$F192=View!$C$6),OR(View!$C$7="All",View!$C$7="",$G192=View!$C$7),OR(View!$C$8="All",View!$C$8="",$H192=View!$C$8,AND(View!$C$8="Open (not Complete)",$H192&lt;&gt;"Complete")),OR(View!$C$9="",ISNUMBER(SEARCH(View!$C$9,$D192&amp;" "&amp;$E192)))),1,0))</f>
        <v>0</v>
      </c>
      <c r="R192" s="2" t="str">
        <f aca="false">IF($Q192=1,COUNTIF($Q$4:$Q192,1),"")</f>
        <v/>
      </c>
    </row>
    <row r="193" customFormat="false" ht="15" hidden="false" customHeight="false" outlineLevel="0" collapsed="false">
      <c r="A193" s="21"/>
      <c r="B193" s="21"/>
      <c r="C193" s="21"/>
      <c r="D193" s="4"/>
      <c r="E193" s="4"/>
      <c r="F193" s="21"/>
      <c r="G193" s="22" t="str">
        <f aca="false">IF($F193="","",IFERROR(INDEX(Lists!$B$4:$B$12,MATCH($F193,Lists!$A$4:$A$12,0)),""))</f>
        <v/>
      </c>
      <c r="H193" s="21"/>
      <c r="I193" s="23"/>
      <c r="J193" s="21"/>
      <c r="K193" s="24" t="str">
        <f aca="false">IF(OR($I193="",$J193=""),"",$I193+7*$J193-3)</f>
        <v/>
      </c>
      <c r="L193" s="21"/>
      <c r="M193" s="4"/>
      <c r="N193" s="21"/>
      <c r="O193" s="4"/>
      <c r="P193" s="21"/>
      <c r="Q193" s="2" t="n">
        <f aca="false">IF($A193="",0,IF(AND(OR(View!$C$4="All",View!$C$4="",$B193=View!$C$4),OR(View!$C$5="All",View!$C$5="",$C193=View!$C$5),OR(View!$C$6="All",View!$C$6="",$F193=View!$C$6),OR(View!$C$7="All",View!$C$7="",$G193=View!$C$7),OR(View!$C$8="All",View!$C$8="",$H193=View!$C$8,AND(View!$C$8="Open (not Complete)",$H193&lt;&gt;"Complete")),OR(View!$C$9="",ISNUMBER(SEARCH(View!$C$9,$D193&amp;" "&amp;$E193)))),1,0))</f>
        <v>0</v>
      </c>
      <c r="R193" s="2" t="str">
        <f aca="false">IF($Q193=1,COUNTIF($Q$4:$Q193,1),"")</f>
        <v/>
      </c>
    </row>
    <row r="194" customFormat="false" ht="15" hidden="false" customHeight="false" outlineLevel="0" collapsed="false">
      <c r="A194" s="21"/>
      <c r="B194" s="21"/>
      <c r="C194" s="21"/>
      <c r="D194" s="4"/>
      <c r="E194" s="4"/>
      <c r="F194" s="21"/>
      <c r="G194" s="22" t="str">
        <f aca="false">IF($F194="","",IFERROR(INDEX(Lists!$B$4:$B$12,MATCH($F194,Lists!$A$4:$A$12,0)),""))</f>
        <v/>
      </c>
      <c r="H194" s="21"/>
      <c r="I194" s="23"/>
      <c r="J194" s="21"/>
      <c r="K194" s="24" t="str">
        <f aca="false">IF(OR($I194="",$J194=""),"",$I194+7*$J194-3)</f>
        <v/>
      </c>
      <c r="L194" s="21"/>
      <c r="M194" s="4"/>
      <c r="N194" s="21"/>
      <c r="O194" s="4"/>
      <c r="P194" s="21"/>
      <c r="Q194" s="2" t="n">
        <f aca="false">IF($A194="",0,IF(AND(OR(View!$C$4="All",View!$C$4="",$B194=View!$C$4),OR(View!$C$5="All",View!$C$5="",$C194=View!$C$5),OR(View!$C$6="All",View!$C$6="",$F194=View!$C$6),OR(View!$C$7="All",View!$C$7="",$G194=View!$C$7),OR(View!$C$8="All",View!$C$8="",$H194=View!$C$8,AND(View!$C$8="Open (not Complete)",$H194&lt;&gt;"Complete")),OR(View!$C$9="",ISNUMBER(SEARCH(View!$C$9,$D194&amp;" "&amp;$E194)))),1,0))</f>
        <v>0</v>
      </c>
      <c r="R194" s="2" t="str">
        <f aca="false">IF($Q194=1,COUNTIF($Q$4:$Q194,1),"")</f>
        <v/>
      </c>
    </row>
    <row r="195" customFormat="false" ht="15" hidden="false" customHeight="false" outlineLevel="0" collapsed="false">
      <c r="A195" s="21"/>
      <c r="B195" s="21"/>
      <c r="C195" s="21"/>
      <c r="D195" s="4"/>
      <c r="E195" s="4"/>
      <c r="F195" s="21"/>
      <c r="G195" s="22" t="str">
        <f aca="false">IF($F195="","",IFERROR(INDEX(Lists!$B$4:$B$12,MATCH($F195,Lists!$A$4:$A$12,0)),""))</f>
        <v/>
      </c>
      <c r="H195" s="21"/>
      <c r="I195" s="23"/>
      <c r="J195" s="21"/>
      <c r="K195" s="24" t="str">
        <f aca="false">IF(OR($I195="",$J195=""),"",$I195+7*$J195-3)</f>
        <v/>
      </c>
      <c r="L195" s="21"/>
      <c r="M195" s="4"/>
      <c r="N195" s="21"/>
      <c r="O195" s="4"/>
      <c r="P195" s="21"/>
      <c r="Q195" s="2" t="n">
        <f aca="false">IF($A195="",0,IF(AND(OR(View!$C$4="All",View!$C$4="",$B195=View!$C$4),OR(View!$C$5="All",View!$C$5="",$C195=View!$C$5),OR(View!$C$6="All",View!$C$6="",$F195=View!$C$6),OR(View!$C$7="All",View!$C$7="",$G195=View!$C$7),OR(View!$C$8="All",View!$C$8="",$H195=View!$C$8,AND(View!$C$8="Open (not Complete)",$H195&lt;&gt;"Complete")),OR(View!$C$9="",ISNUMBER(SEARCH(View!$C$9,$D195&amp;" "&amp;$E195)))),1,0))</f>
        <v>0</v>
      </c>
      <c r="R195" s="2" t="str">
        <f aca="false">IF($Q195=1,COUNTIF($Q$4:$Q195,1),"")</f>
        <v/>
      </c>
    </row>
    <row r="196" customFormat="false" ht="15" hidden="false" customHeight="false" outlineLevel="0" collapsed="false">
      <c r="A196" s="21"/>
      <c r="B196" s="21"/>
      <c r="C196" s="21"/>
      <c r="D196" s="4"/>
      <c r="E196" s="4"/>
      <c r="F196" s="21"/>
      <c r="G196" s="22" t="str">
        <f aca="false">IF($F196="","",IFERROR(INDEX(Lists!$B$4:$B$12,MATCH($F196,Lists!$A$4:$A$12,0)),""))</f>
        <v/>
      </c>
      <c r="H196" s="21"/>
      <c r="I196" s="23"/>
      <c r="J196" s="21"/>
      <c r="K196" s="24" t="str">
        <f aca="false">IF(OR($I196="",$J196=""),"",$I196+7*$J196-3)</f>
        <v/>
      </c>
      <c r="L196" s="21"/>
      <c r="M196" s="4"/>
      <c r="N196" s="21"/>
      <c r="O196" s="4"/>
      <c r="P196" s="21"/>
      <c r="Q196" s="2" t="n">
        <f aca="false">IF($A196="",0,IF(AND(OR(View!$C$4="All",View!$C$4="",$B196=View!$C$4),OR(View!$C$5="All",View!$C$5="",$C196=View!$C$5),OR(View!$C$6="All",View!$C$6="",$F196=View!$C$6),OR(View!$C$7="All",View!$C$7="",$G196=View!$C$7),OR(View!$C$8="All",View!$C$8="",$H196=View!$C$8,AND(View!$C$8="Open (not Complete)",$H196&lt;&gt;"Complete")),OR(View!$C$9="",ISNUMBER(SEARCH(View!$C$9,$D196&amp;" "&amp;$E196)))),1,0))</f>
        <v>0</v>
      </c>
      <c r="R196" s="2" t="str">
        <f aca="false">IF($Q196=1,COUNTIF($Q$4:$Q196,1),"")</f>
        <v/>
      </c>
    </row>
    <row r="197" customFormat="false" ht="15" hidden="false" customHeight="false" outlineLevel="0" collapsed="false">
      <c r="A197" s="21"/>
      <c r="B197" s="21"/>
      <c r="C197" s="21"/>
      <c r="D197" s="4"/>
      <c r="E197" s="4"/>
      <c r="F197" s="21"/>
      <c r="G197" s="22" t="str">
        <f aca="false">IF($F197="","",IFERROR(INDEX(Lists!$B$4:$B$12,MATCH($F197,Lists!$A$4:$A$12,0)),""))</f>
        <v/>
      </c>
      <c r="H197" s="21"/>
      <c r="I197" s="23"/>
      <c r="J197" s="21"/>
      <c r="K197" s="24" t="str">
        <f aca="false">IF(OR($I197="",$J197=""),"",$I197+7*$J197-3)</f>
        <v/>
      </c>
      <c r="L197" s="21"/>
      <c r="M197" s="4"/>
      <c r="N197" s="21"/>
      <c r="O197" s="4"/>
      <c r="P197" s="21"/>
      <c r="Q197" s="2" t="n">
        <f aca="false">IF($A197="",0,IF(AND(OR(View!$C$4="All",View!$C$4="",$B197=View!$C$4),OR(View!$C$5="All",View!$C$5="",$C197=View!$C$5),OR(View!$C$6="All",View!$C$6="",$F197=View!$C$6),OR(View!$C$7="All",View!$C$7="",$G197=View!$C$7),OR(View!$C$8="All",View!$C$8="",$H197=View!$C$8,AND(View!$C$8="Open (not Complete)",$H197&lt;&gt;"Complete")),OR(View!$C$9="",ISNUMBER(SEARCH(View!$C$9,$D197&amp;" "&amp;$E197)))),1,0))</f>
        <v>0</v>
      </c>
      <c r="R197" s="2" t="str">
        <f aca="false">IF($Q197=1,COUNTIF($Q$4:$Q197,1),"")</f>
        <v/>
      </c>
    </row>
    <row r="198" customFormat="false" ht="15" hidden="false" customHeight="false" outlineLevel="0" collapsed="false">
      <c r="A198" s="21"/>
      <c r="B198" s="21"/>
      <c r="C198" s="21"/>
      <c r="D198" s="4"/>
      <c r="E198" s="4"/>
      <c r="F198" s="21"/>
      <c r="G198" s="22" t="str">
        <f aca="false">IF($F198="","",IFERROR(INDEX(Lists!$B$4:$B$12,MATCH($F198,Lists!$A$4:$A$12,0)),""))</f>
        <v/>
      </c>
      <c r="H198" s="21"/>
      <c r="I198" s="23"/>
      <c r="J198" s="21"/>
      <c r="K198" s="24" t="str">
        <f aca="false">IF(OR($I198="",$J198=""),"",$I198+7*$J198-3)</f>
        <v/>
      </c>
      <c r="L198" s="21"/>
      <c r="M198" s="4"/>
      <c r="N198" s="21"/>
      <c r="O198" s="4"/>
      <c r="P198" s="21"/>
      <c r="Q198" s="2" t="n">
        <f aca="false">IF($A198="",0,IF(AND(OR(View!$C$4="All",View!$C$4="",$B198=View!$C$4),OR(View!$C$5="All",View!$C$5="",$C198=View!$C$5),OR(View!$C$6="All",View!$C$6="",$F198=View!$C$6),OR(View!$C$7="All",View!$C$7="",$G198=View!$C$7),OR(View!$C$8="All",View!$C$8="",$H198=View!$C$8,AND(View!$C$8="Open (not Complete)",$H198&lt;&gt;"Complete")),OR(View!$C$9="",ISNUMBER(SEARCH(View!$C$9,$D198&amp;" "&amp;$E198)))),1,0))</f>
        <v>0</v>
      </c>
      <c r="R198" s="2" t="str">
        <f aca="false">IF($Q198=1,COUNTIF($Q$4:$Q198,1),"")</f>
        <v/>
      </c>
    </row>
    <row r="199" customFormat="false" ht="15" hidden="false" customHeight="false" outlineLevel="0" collapsed="false">
      <c r="A199" s="21"/>
      <c r="B199" s="21"/>
      <c r="C199" s="21"/>
      <c r="D199" s="4"/>
      <c r="E199" s="4"/>
      <c r="F199" s="21"/>
      <c r="G199" s="22" t="str">
        <f aca="false">IF($F199="","",IFERROR(INDEX(Lists!$B$4:$B$12,MATCH($F199,Lists!$A$4:$A$12,0)),""))</f>
        <v/>
      </c>
      <c r="H199" s="21"/>
      <c r="I199" s="23"/>
      <c r="J199" s="21"/>
      <c r="K199" s="24" t="str">
        <f aca="false">IF(OR($I199="",$J199=""),"",$I199+7*$J199-3)</f>
        <v/>
      </c>
      <c r="L199" s="21"/>
      <c r="M199" s="4"/>
      <c r="N199" s="21"/>
      <c r="O199" s="4"/>
      <c r="P199" s="21"/>
      <c r="Q199" s="2" t="n">
        <f aca="false">IF($A199="",0,IF(AND(OR(View!$C$4="All",View!$C$4="",$B199=View!$C$4),OR(View!$C$5="All",View!$C$5="",$C199=View!$C$5),OR(View!$C$6="All",View!$C$6="",$F199=View!$C$6),OR(View!$C$7="All",View!$C$7="",$G199=View!$C$7),OR(View!$C$8="All",View!$C$8="",$H199=View!$C$8,AND(View!$C$8="Open (not Complete)",$H199&lt;&gt;"Complete")),OR(View!$C$9="",ISNUMBER(SEARCH(View!$C$9,$D199&amp;" "&amp;$E199)))),1,0))</f>
        <v>0</v>
      </c>
      <c r="R199" s="2" t="str">
        <f aca="false">IF($Q199=1,COUNTIF($Q$4:$Q199,1),"")</f>
        <v/>
      </c>
    </row>
    <row r="200" customFormat="false" ht="15" hidden="false" customHeight="false" outlineLevel="0" collapsed="false">
      <c r="A200" s="21"/>
      <c r="B200" s="21"/>
      <c r="C200" s="21"/>
      <c r="D200" s="4"/>
      <c r="E200" s="4"/>
      <c r="F200" s="21"/>
      <c r="G200" s="22" t="str">
        <f aca="false">IF($F200="","",IFERROR(INDEX(Lists!$B$4:$B$12,MATCH($F200,Lists!$A$4:$A$12,0)),""))</f>
        <v/>
      </c>
      <c r="H200" s="21"/>
      <c r="I200" s="23"/>
      <c r="J200" s="21"/>
      <c r="K200" s="24" t="str">
        <f aca="false">IF(OR($I200="",$J200=""),"",$I200+7*$J200-3)</f>
        <v/>
      </c>
      <c r="L200" s="21"/>
      <c r="M200" s="4"/>
      <c r="N200" s="21"/>
      <c r="O200" s="4"/>
      <c r="P200" s="21"/>
      <c r="Q200" s="2" t="n">
        <f aca="false">IF($A200="",0,IF(AND(OR(View!$C$4="All",View!$C$4="",$B200=View!$C$4),OR(View!$C$5="All",View!$C$5="",$C200=View!$C$5),OR(View!$C$6="All",View!$C$6="",$F200=View!$C$6),OR(View!$C$7="All",View!$C$7="",$G200=View!$C$7),OR(View!$C$8="All",View!$C$8="",$H200=View!$C$8,AND(View!$C$8="Open (not Complete)",$H200&lt;&gt;"Complete")),OR(View!$C$9="",ISNUMBER(SEARCH(View!$C$9,$D200&amp;" "&amp;$E200)))),1,0))</f>
        <v>0</v>
      </c>
      <c r="R200" s="2" t="str">
        <f aca="false">IF($Q200=1,COUNTIF($Q$4:$Q200,1),"")</f>
        <v/>
      </c>
    </row>
    <row r="201" customFormat="false" ht="15" hidden="false" customHeight="false" outlineLevel="0" collapsed="false">
      <c r="A201" s="21"/>
      <c r="B201" s="21"/>
      <c r="C201" s="21"/>
      <c r="D201" s="4"/>
      <c r="E201" s="4"/>
      <c r="F201" s="21"/>
      <c r="G201" s="22" t="str">
        <f aca="false">IF($F201="","",IFERROR(INDEX(Lists!$B$4:$B$12,MATCH($F201,Lists!$A$4:$A$12,0)),""))</f>
        <v/>
      </c>
      <c r="H201" s="21"/>
      <c r="I201" s="23"/>
      <c r="J201" s="21"/>
      <c r="K201" s="24" t="str">
        <f aca="false">IF(OR($I201="",$J201=""),"",$I201+7*$J201-3)</f>
        <v/>
      </c>
      <c r="L201" s="21"/>
      <c r="M201" s="4"/>
      <c r="N201" s="21"/>
      <c r="O201" s="4"/>
      <c r="P201" s="21"/>
      <c r="Q201" s="2" t="n">
        <f aca="false">IF($A201="",0,IF(AND(OR(View!$C$4="All",View!$C$4="",$B201=View!$C$4),OR(View!$C$5="All",View!$C$5="",$C201=View!$C$5),OR(View!$C$6="All",View!$C$6="",$F201=View!$C$6),OR(View!$C$7="All",View!$C$7="",$G201=View!$C$7),OR(View!$C$8="All",View!$C$8="",$H201=View!$C$8,AND(View!$C$8="Open (not Complete)",$H201&lt;&gt;"Complete")),OR(View!$C$9="",ISNUMBER(SEARCH(View!$C$9,$D201&amp;" "&amp;$E201)))),1,0))</f>
        <v>0</v>
      </c>
      <c r="R201" s="2" t="str">
        <f aca="false">IF($Q201=1,COUNTIF($Q$4:$Q201,1),"")</f>
        <v/>
      </c>
    </row>
    <row r="202" customFormat="false" ht="15" hidden="false" customHeight="false" outlineLevel="0" collapsed="false">
      <c r="A202" s="21"/>
      <c r="B202" s="21"/>
      <c r="C202" s="21"/>
      <c r="D202" s="4"/>
      <c r="E202" s="4"/>
      <c r="F202" s="21"/>
      <c r="G202" s="22" t="str">
        <f aca="false">IF($F202="","",IFERROR(INDEX(Lists!$B$4:$B$12,MATCH($F202,Lists!$A$4:$A$12,0)),""))</f>
        <v/>
      </c>
      <c r="H202" s="21"/>
      <c r="I202" s="23"/>
      <c r="J202" s="21"/>
      <c r="K202" s="24" t="str">
        <f aca="false">IF(OR($I202="",$J202=""),"",$I202+7*$J202-3)</f>
        <v/>
      </c>
      <c r="L202" s="21"/>
      <c r="M202" s="4"/>
      <c r="N202" s="21"/>
      <c r="O202" s="4"/>
      <c r="P202" s="21"/>
      <c r="Q202" s="2" t="n">
        <f aca="false">IF($A202="",0,IF(AND(OR(View!$C$4="All",View!$C$4="",$B202=View!$C$4),OR(View!$C$5="All",View!$C$5="",$C202=View!$C$5),OR(View!$C$6="All",View!$C$6="",$F202=View!$C$6),OR(View!$C$7="All",View!$C$7="",$G202=View!$C$7),OR(View!$C$8="All",View!$C$8="",$H202=View!$C$8,AND(View!$C$8="Open (not Complete)",$H202&lt;&gt;"Complete")),OR(View!$C$9="",ISNUMBER(SEARCH(View!$C$9,$D202&amp;" "&amp;$E202)))),1,0))</f>
        <v>0</v>
      </c>
      <c r="R202" s="2" t="str">
        <f aca="false">IF($Q202=1,COUNTIF($Q$4:$Q202,1),"")</f>
        <v/>
      </c>
    </row>
    <row r="203" customFormat="false" ht="15" hidden="false" customHeight="false" outlineLevel="0" collapsed="false">
      <c r="A203" s="21"/>
      <c r="B203" s="21"/>
      <c r="C203" s="21"/>
      <c r="D203" s="4"/>
      <c r="E203" s="4"/>
      <c r="F203" s="21"/>
      <c r="G203" s="22" t="str">
        <f aca="false">IF($F203="","",IFERROR(INDEX(Lists!$B$4:$B$12,MATCH($F203,Lists!$A$4:$A$12,0)),""))</f>
        <v/>
      </c>
      <c r="H203" s="21"/>
      <c r="I203" s="23"/>
      <c r="J203" s="21"/>
      <c r="K203" s="24" t="str">
        <f aca="false">IF(OR($I203="",$J203=""),"",$I203+7*$J203-3)</f>
        <v/>
      </c>
      <c r="L203" s="21"/>
      <c r="M203" s="4"/>
      <c r="N203" s="21"/>
      <c r="O203" s="4"/>
      <c r="P203" s="21"/>
      <c r="Q203" s="2" t="n">
        <f aca="false">IF($A203="",0,IF(AND(OR(View!$C$4="All",View!$C$4="",$B203=View!$C$4),OR(View!$C$5="All",View!$C$5="",$C203=View!$C$5),OR(View!$C$6="All",View!$C$6="",$F203=View!$C$6),OR(View!$C$7="All",View!$C$7="",$G203=View!$C$7),OR(View!$C$8="All",View!$C$8="",$H203=View!$C$8,AND(View!$C$8="Open (not Complete)",$H203&lt;&gt;"Complete")),OR(View!$C$9="",ISNUMBER(SEARCH(View!$C$9,$D203&amp;" "&amp;$E203)))),1,0))</f>
        <v>0</v>
      </c>
      <c r="R203" s="2" t="str">
        <f aca="false">IF($Q203=1,COUNTIF($Q$4:$Q203,1),"")</f>
        <v/>
      </c>
    </row>
    <row r="204" customFormat="false" ht="15" hidden="false" customHeight="false" outlineLevel="0" collapsed="false">
      <c r="A204" s="21"/>
      <c r="B204" s="21"/>
      <c r="C204" s="21"/>
      <c r="D204" s="4"/>
      <c r="E204" s="4"/>
      <c r="F204" s="21"/>
      <c r="G204" s="22" t="str">
        <f aca="false">IF($F204="","",IFERROR(INDEX(Lists!$B$4:$B$12,MATCH($F204,Lists!$A$4:$A$12,0)),""))</f>
        <v/>
      </c>
      <c r="H204" s="21"/>
      <c r="I204" s="23"/>
      <c r="J204" s="21"/>
      <c r="K204" s="24" t="str">
        <f aca="false">IF(OR($I204="",$J204=""),"",$I204+7*$J204-3)</f>
        <v/>
      </c>
      <c r="L204" s="21"/>
      <c r="M204" s="4"/>
      <c r="N204" s="21"/>
      <c r="O204" s="4"/>
      <c r="P204" s="21"/>
      <c r="Q204" s="2" t="n">
        <f aca="false">IF($A204="",0,IF(AND(OR(View!$C$4="All",View!$C$4="",$B204=View!$C$4),OR(View!$C$5="All",View!$C$5="",$C204=View!$C$5),OR(View!$C$6="All",View!$C$6="",$F204=View!$C$6),OR(View!$C$7="All",View!$C$7="",$G204=View!$C$7),OR(View!$C$8="All",View!$C$8="",$H204=View!$C$8,AND(View!$C$8="Open (not Complete)",$H204&lt;&gt;"Complete")),OR(View!$C$9="",ISNUMBER(SEARCH(View!$C$9,$D204&amp;" "&amp;$E204)))),1,0))</f>
        <v>0</v>
      </c>
      <c r="R204" s="2" t="str">
        <f aca="false">IF($Q204=1,COUNTIF($Q$4:$Q204,1),"")</f>
        <v/>
      </c>
    </row>
    <row r="205" customFormat="false" ht="15" hidden="false" customHeight="false" outlineLevel="0" collapsed="false">
      <c r="A205" s="21"/>
      <c r="B205" s="21"/>
      <c r="C205" s="21"/>
      <c r="D205" s="4"/>
      <c r="E205" s="4"/>
      <c r="F205" s="21"/>
      <c r="G205" s="22" t="str">
        <f aca="false">IF($F205="","",IFERROR(INDEX(Lists!$B$4:$B$12,MATCH($F205,Lists!$A$4:$A$12,0)),""))</f>
        <v/>
      </c>
      <c r="H205" s="21"/>
      <c r="I205" s="23"/>
      <c r="J205" s="21"/>
      <c r="K205" s="24" t="str">
        <f aca="false">IF(OR($I205="",$J205=""),"",$I205+7*$J205-3)</f>
        <v/>
      </c>
      <c r="L205" s="21"/>
      <c r="M205" s="4"/>
      <c r="N205" s="21"/>
      <c r="O205" s="4"/>
      <c r="P205" s="21"/>
      <c r="Q205" s="2" t="n">
        <f aca="false">IF($A205="",0,IF(AND(OR(View!$C$4="All",View!$C$4="",$B205=View!$C$4),OR(View!$C$5="All",View!$C$5="",$C205=View!$C$5),OR(View!$C$6="All",View!$C$6="",$F205=View!$C$6),OR(View!$C$7="All",View!$C$7="",$G205=View!$C$7),OR(View!$C$8="All",View!$C$8="",$H205=View!$C$8,AND(View!$C$8="Open (not Complete)",$H205&lt;&gt;"Complete")),OR(View!$C$9="",ISNUMBER(SEARCH(View!$C$9,$D205&amp;" "&amp;$E205)))),1,0))</f>
        <v>0</v>
      </c>
      <c r="R205" s="2" t="str">
        <f aca="false">IF($Q205=1,COUNTIF($Q$4:$Q205,1),"")</f>
        <v/>
      </c>
    </row>
    <row r="206" customFormat="false" ht="15" hidden="false" customHeight="false" outlineLevel="0" collapsed="false">
      <c r="A206" s="21"/>
      <c r="B206" s="21"/>
      <c r="C206" s="21"/>
      <c r="D206" s="4"/>
      <c r="E206" s="4"/>
      <c r="F206" s="21"/>
      <c r="G206" s="22" t="str">
        <f aca="false">IF($F206="","",IFERROR(INDEX(Lists!$B$4:$B$12,MATCH($F206,Lists!$A$4:$A$12,0)),""))</f>
        <v/>
      </c>
      <c r="H206" s="21"/>
      <c r="I206" s="23"/>
      <c r="J206" s="21"/>
      <c r="K206" s="24" t="str">
        <f aca="false">IF(OR($I206="",$J206=""),"",$I206+7*$J206-3)</f>
        <v/>
      </c>
      <c r="L206" s="21"/>
      <c r="M206" s="4"/>
      <c r="N206" s="21"/>
      <c r="O206" s="4"/>
      <c r="P206" s="21"/>
      <c r="Q206" s="2" t="n">
        <f aca="false">IF($A206="",0,IF(AND(OR(View!$C$4="All",View!$C$4="",$B206=View!$C$4),OR(View!$C$5="All",View!$C$5="",$C206=View!$C$5),OR(View!$C$6="All",View!$C$6="",$F206=View!$C$6),OR(View!$C$7="All",View!$C$7="",$G206=View!$C$7),OR(View!$C$8="All",View!$C$8="",$H206=View!$C$8,AND(View!$C$8="Open (not Complete)",$H206&lt;&gt;"Complete")),OR(View!$C$9="",ISNUMBER(SEARCH(View!$C$9,$D206&amp;" "&amp;$E206)))),1,0))</f>
        <v>0</v>
      </c>
      <c r="R206" s="2" t="str">
        <f aca="false">IF($Q206=1,COUNTIF($Q$4:$Q206,1),"")</f>
        <v/>
      </c>
    </row>
    <row r="207" customFormat="false" ht="15" hidden="false" customHeight="false" outlineLevel="0" collapsed="false">
      <c r="A207" s="21"/>
      <c r="B207" s="21"/>
      <c r="C207" s="21"/>
      <c r="D207" s="4"/>
      <c r="E207" s="4"/>
      <c r="F207" s="21"/>
      <c r="G207" s="22" t="str">
        <f aca="false">IF($F207="","",IFERROR(INDEX(Lists!$B$4:$B$12,MATCH($F207,Lists!$A$4:$A$12,0)),""))</f>
        <v/>
      </c>
      <c r="H207" s="21"/>
      <c r="I207" s="23"/>
      <c r="J207" s="21"/>
      <c r="K207" s="24" t="str">
        <f aca="false">IF(OR($I207="",$J207=""),"",$I207+7*$J207-3)</f>
        <v/>
      </c>
      <c r="L207" s="21"/>
      <c r="M207" s="4"/>
      <c r="N207" s="21"/>
      <c r="O207" s="4"/>
      <c r="P207" s="21"/>
      <c r="Q207" s="2" t="n">
        <f aca="false">IF($A207="",0,IF(AND(OR(View!$C$4="All",View!$C$4="",$B207=View!$C$4),OR(View!$C$5="All",View!$C$5="",$C207=View!$C$5),OR(View!$C$6="All",View!$C$6="",$F207=View!$C$6),OR(View!$C$7="All",View!$C$7="",$G207=View!$C$7),OR(View!$C$8="All",View!$C$8="",$H207=View!$C$8,AND(View!$C$8="Open (not Complete)",$H207&lt;&gt;"Complete")),OR(View!$C$9="",ISNUMBER(SEARCH(View!$C$9,$D207&amp;" "&amp;$E207)))),1,0))</f>
        <v>0</v>
      </c>
      <c r="R207" s="2" t="str">
        <f aca="false">IF($Q207=1,COUNTIF($Q$4:$Q207,1),"")</f>
        <v/>
      </c>
    </row>
    <row r="208" customFormat="false" ht="15" hidden="false" customHeight="false" outlineLevel="0" collapsed="false">
      <c r="A208" s="21"/>
      <c r="B208" s="21"/>
      <c r="C208" s="21"/>
      <c r="D208" s="4"/>
      <c r="E208" s="4"/>
      <c r="F208" s="21"/>
      <c r="G208" s="22" t="str">
        <f aca="false">IF($F208="","",IFERROR(INDEX(Lists!$B$4:$B$12,MATCH($F208,Lists!$A$4:$A$12,0)),""))</f>
        <v/>
      </c>
      <c r="H208" s="21"/>
      <c r="I208" s="23"/>
      <c r="J208" s="21"/>
      <c r="K208" s="24" t="str">
        <f aca="false">IF(OR($I208="",$J208=""),"",$I208+7*$J208-3)</f>
        <v/>
      </c>
      <c r="L208" s="21"/>
      <c r="M208" s="4"/>
      <c r="N208" s="21"/>
      <c r="O208" s="4"/>
      <c r="P208" s="21"/>
      <c r="Q208" s="2" t="n">
        <f aca="false">IF($A208="",0,IF(AND(OR(View!$C$4="All",View!$C$4="",$B208=View!$C$4),OR(View!$C$5="All",View!$C$5="",$C208=View!$C$5),OR(View!$C$6="All",View!$C$6="",$F208=View!$C$6),OR(View!$C$7="All",View!$C$7="",$G208=View!$C$7),OR(View!$C$8="All",View!$C$8="",$H208=View!$C$8,AND(View!$C$8="Open (not Complete)",$H208&lt;&gt;"Complete")),OR(View!$C$9="",ISNUMBER(SEARCH(View!$C$9,$D208&amp;" "&amp;$E208)))),1,0))</f>
        <v>0</v>
      </c>
      <c r="R208" s="2" t="str">
        <f aca="false">IF($Q208=1,COUNTIF($Q$4:$Q208,1),"")</f>
        <v/>
      </c>
    </row>
    <row r="209" customFormat="false" ht="15" hidden="false" customHeight="false" outlineLevel="0" collapsed="false">
      <c r="A209" s="21"/>
      <c r="B209" s="21"/>
      <c r="C209" s="21"/>
      <c r="D209" s="4"/>
      <c r="E209" s="4"/>
      <c r="F209" s="21"/>
      <c r="G209" s="22" t="str">
        <f aca="false">IF($F209="","",IFERROR(INDEX(Lists!$B$4:$B$12,MATCH($F209,Lists!$A$4:$A$12,0)),""))</f>
        <v/>
      </c>
      <c r="H209" s="21"/>
      <c r="I209" s="23"/>
      <c r="J209" s="21"/>
      <c r="K209" s="24" t="str">
        <f aca="false">IF(OR($I209="",$J209=""),"",$I209+7*$J209-3)</f>
        <v/>
      </c>
      <c r="L209" s="21"/>
      <c r="M209" s="4"/>
      <c r="N209" s="21"/>
      <c r="O209" s="4"/>
      <c r="P209" s="21"/>
      <c r="Q209" s="2" t="n">
        <f aca="false">IF($A209="",0,IF(AND(OR(View!$C$4="All",View!$C$4="",$B209=View!$C$4),OR(View!$C$5="All",View!$C$5="",$C209=View!$C$5),OR(View!$C$6="All",View!$C$6="",$F209=View!$C$6),OR(View!$C$7="All",View!$C$7="",$G209=View!$C$7),OR(View!$C$8="All",View!$C$8="",$H209=View!$C$8,AND(View!$C$8="Open (not Complete)",$H209&lt;&gt;"Complete")),OR(View!$C$9="",ISNUMBER(SEARCH(View!$C$9,$D209&amp;" "&amp;$E209)))),1,0))</f>
        <v>0</v>
      </c>
      <c r="R209" s="2" t="str">
        <f aca="false">IF($Q209=1,COUNTIF($Q$4:$Q209,1),"")</f>
        <v/>
      </c>
    </row>
    <row r="210" customFormat="false" ht="15" hidden="false" customHeight="false" outlineLevel="0" collapsed="false">
      <c r="A210" s="21"/>
      <c r="B210" s="21"/>
      <c r="C210" s="21"/>
      <c r="D210" s="4"/>
      <c r="E210" s="4"/>
      <c r="F210" s="21"/>
      <c r="G210" s="22" t="str">
        <f aca="false">IF($F210="","",IFERROR(INDEX(Lists!$B$4:$B$12,MATCH($F210,Lists!$A$4:$A$12,0)),""))</f>
        <v/>
      </c>
      <c r="H210" s="21"/>
      <c r="I210" s="23"/>
      <c r="J210" s="21"/>
      <c r="K210" s="24" t="str">
        <f aca="false">IF(OR($I210="",$J210=""),"",$I210+7*$J210-3)</f>
        <v/>
      </c>
      <c r="L210" s="21"/>
      <c r="M210" s="4"/>
      <c r="N210" s="21"/>
      <c r="O210" s="4"/>
      <c r="P210" s="21"/>
      <c r="Q210" s="2" t="n">
        <f aca="false">IF($A210="",0,IF(AND(OR(View!$C$4="All",View!$C$4="",$B210=View!$C$4),OR(View!$C$5="All",View!$C$5="",$C210=View!$C$5),OR(View!$C$6="All",View!$C$6="",$F210=View!$C$6),OR(View!$C$7="All",View!$C$7="",$G210=View!$C$7),OR(View!$C$8="All",View!$C$8="",$H210=View!$C$8,AND(View!$C$8="Open (not Complete)",$H210&lt;&gt;"Complete")),OR(View!$C$9="",ISNUMBER(SEARCH(View!$C$9,$D210&amp;" "&amp;$E210)))),1,0))</f>
        <v>0</v>
      </c>
      <c r="R210" s="2" t="str">
        <f aca="false">IF($Q210=1,COUNTIF($Q$4:$Q210,1),"")</f>
        <v/>
      </c>
    </row>
    <row r="211" customFormat="false" ht="15" hidden="false" customHeight="false" outlineLevel="0" collapsed="false">
      <c r="A211" s="21"/>
      <c r="B211" s="21"/>
      <c r="C211" s="21"/>
      <c r="D211" s="4"/>
      <c r="E211" s="4"/>
      <c r="F211" s="21"/>
      <c r="G211" s="22" t="str">
        <f aca="false">IF($F211="","",IFERROR(INDEX(Lists!$B$4:$B$12,MATCH($F211,Lists!$A$4:$A$12,0)),""))</f>
        <v/>
      </c>
      <c r="H211" s="21"/>
      <c r="I211" s="23"/>
      <c r="J211" s="21"/>
      <c r="K211" s="24" t="str">
        <f aca="false">IF(OR($I211="",$J211=""),"",$I211+7*$J211-3)</f>
        <v/>
      </c>
      <c r="L211" s="21"/>
      <c r="M211" s="4"/>
      <c r="N211" s="21"/>
      <c r="O211" s="4"/>
      <c r="P211" s="21"/>
      <c r="Q211" s="2" t="n">
        <f aca="false">IF($A211="",0,IF(AND(OR(View!$C$4="All",View!$C$4="",$B211=View!$C$4),OR(View!$C$5="All",View!$C$5="",$C211=View!$C$5),OR(View!$C$6="All",View!$C$6="",$F211=View!$C$6),OR(View!$C$7="All",View!$C$7="",$G211=View!$C$7),OR(View!$C$8="All",View!$C$8="",$H211=View!$C$8,AND(View!$C$8="Open (not Complete)",$H211&lt;&gt;"Complete")),OR(View!$C$9="",ISNUMBER(SEARCH(View!$C$9,$D211&amp;" "&amp;$E211)))),1,0))</f>
        <v>0</v>
      </c>
      <c r="R211" s="2" t="str">
        <f aca="false">IF($Q211=1,COUNTIF($Q$4:$Q211,1),"")</f>
        <v/>
      </c>
    </row>
    <row r="212" customFormat="false" ht="15" hidden="false" customHeight="false" outlineLevel="0" collapsed="false">
      <c r="A212" s="21"/>
      <c r="B212" s="21"/>
      <c r="C212" s="21"/>
      <c r="D212" s="4"/>
      <c r="E212" s="4"/>
      <c r="F212" s="21"/>
      <c r="G212" s="22" t="str">
        <f aca="false">IF($F212="","",IFERROR(INDEX(Lists!$B$4:$B$12,MATCH($F212,Lists!$A$4:$A$12,0)),""))</f>
        <v/>
      </c>
      <c r="H212" s="21"/>
      <c r="I212" s="23"/>
      <c r="J212" s="21"/>
      <c r="K212" s="24" t="str">
        <f aca="false">IF(OR($I212="",$J212=""),"",$I212+7*$J212-3)</f>
        <v/>
      </c>
      <c r="L212" s="21"/>
      <c r="M212" s="4"/>
      <c r="N212" s="21"/>
      <c r="O212" s="4"/>
      <c r="P212" s="21"/>
      <c r="Q212" s="2" t="n">
        <f aca="false">IF($A212="",0,IF(AND(OR(View!$C$4="All",View!$C$4="",$B212=View!$C$4),OR(View!$C$5="All",View!$C$5="",$C212=View!$C$5),OR(View!$C$6="All",View!$C$6="",$F212=View!$C$6),OR(View!$C$7="All",View!$C$7="",$G212=View!$C$7),OR(View!$C$8="All",View!$C$8="",$H212=View!$C$8,AND(View!$C$8="Open (not Complete)",$H212&lt;&gt;"Complete")),OR(View!$C$9="",ISNUMBER(SEARCH(View!$C$9,$D212&amp;" "&amp;$E212)))),1,0))</f>
        <v>0</v>
      </c>
      <c r="R212" s="2" t="str">
        <f aca="false">IF($Q212=1,COUNTIF($Q$4:$Q212,1),"")</f>
        <v/>
      </c>
    </row>
    <row r="213" customFormat="false" ht="15" hidden="false" customHeight="false" outlineLevel="0" collapsed="false">
      <c r="A213" s="21"/>
      <c r="B213" s="21"/>
      <c r="C213" s="21"/>
      <c r="D213" s="4"/>
      <c r="E213" s="4"/>
      <c r="F213" s="21"/>
      <c r="G213" s="22" t="str">
        <f aca="false">IF($F213="","",IFERROR(INDEX(Lists!$B$4:$B$12,MATCH($F213,Lists!$A$4:$A$12,0)),""))</f>
        <v/>
      </c>
      <c r="H213" s="21"/>
      <c r="I213" s="23"/>
      <c r="J213" s="21"/>
      <c r="K213" s="24" t="str">
        <f aca="false">IF(OR($I213="",$J213=""),"",$I213+7*$J213-3)</f>
        <v/>
      </c>
      <c r="L213" s="21"/>
      <c r="M213" s="4"/>
      <c r="N213" s="21"/>
      <c r="O213" s="4"/>
      <c r="P213" s="21"/>
      <c r="Q213" s="2" t="n">
        <f aca="false">IF($A213="",0,IF(AND(OR(View!$C$4="All",View!$C$4="",$B213=View!$C$4),OR(View!$C$5="All",View!$C$5="",$C213=View!$C$5),OR(View!$C$6="All",View!$C$6="",$F213=View!$C$6),OR(View!$C$7="All",View!$C$7="",$G213=View!$C$7),OR(View!$C$8="All",View!$C$8="",$H213=View!$C$8,AND(View!$C$8="Open (not Complete)",$H213&lt;&gt;"Complete")),OR(View!$C$9="",ISNUMBER(SEARCH(View!$C$9,$D213&amp;" "&amp;$E213)))),1,0))</f>
        <v>0</v>
      </c>
      <c r="R213" s="2" t="str">
        <f aca="false">IF($Q213=1,COUNTIF($Q$4:$Q213,1),"")</f>
        <v/>
      </c>
    </row>
    <row r="214" customFormat="false" ht="15" hidden="false" customHeight="false" outlineLevel="0" collapsed="false">
      <c r="A214" s="21"/>
      <c r="B214" s="21"/>
      <c r="C214" s="21"/>
      <c r="D214" s="4"/>
      <c r="E214" s="4"/>
      <c r="F214" s="21"/>
      <c r="G214" s="22" t="str">
        <f aca="false">IF($F214="","",IFERROR(INDEX(Lists!$B$4:$B$12,MATCH($F214,Lists!$A$4:$A$12,0)),""))</f>
        <v/>
      </c>
      <c r="H214" s="21"/>
      <c r="I214" s="23"/>
      <c r="J214" s="21"/>
      <c r="K214" s="24" t="str">
        <f aca="false">IF(OR($I214="",$J214=""),"",$I214+7*$J214-3)</f>
        <v/>
      </c>
      <c r="L214" s="21"/>
      <c r="M214" s="4"/>
      <c r="N214" s="21"/>
      <c r="O214" s="4"/>
      <c r="P214" s="21"/>
      <c r="Q214" s="2" t="n">
        <f aca="false">IF($A214="",0,IF(AND(OR(View!$C$4="All",View!$C$4="",$B214=View!$C$4),OR(View!$C$5="All",View!$C$5="",$C214=View!$C$5),OR(View!$C$6="All",View!$C$6="",$F214=View!$C$6),OR(View!$C$7="All",View!$C$7="",$G214=View!$C$7),OR(View!$C$8="All",View!$C$8="",$H214=View!$C$8,AND(View!$C$8="Open (not Complete)",$H214&lt;&gt;"Complete")),OR(View!$C$9="",ISNUMBER(SEARCH(View!$C$9,$D214&amp;" "&amp;$E214)))),1,0))</f>
        <v>0</v>
      </c>
      <c r="R214" s="2" t="str">
        <f aca="false">IF($Q214=1,COUNTIF($Q$4:$Q214,1),"")</f>
        <v/>
      </c>
    </row>
    <row r="215" customFormat="false" ht="15" hidden="false" customHeight="false" outlineLevel="0" collapsed="false">
      <c r="A215" s="21"/>
      <c r="B215" s="21"/>
      <c r="C215" s="21"/>
      <c r="D215" s="4"/>
      <c r="E215" s="4"/>
      <c r="F215" s="21"/>
      <c r="G215" s="22" t="str">
        <f aca="false">IF($F215="","",IFERROR(INDEX(Lists!$B$4:$B$12,MATCH($F215,Lists!$A$4:$A$12,0)),""))</f>
        <v/>
      </c>
      <c r="H215" s="21"/>
      <c r="I215" s="23"/>
      <c r="J215" s="21"/>
      <c r="K215" s="24" t="str">
        <f aca="false">IF(OR($I215="",$J215=""),"",$I215+7*$J215-3)</f>
        <v/>
      </c>
      <c r="L215" s="21"/>
      <c r="M215" s="4"/>
      <c r="N215" s="21"/>
      <c r="O215" s="4"/>
      <c r="P215" s="21"/>
      <c r="Q215" s="2" t="n">
        <f aca="false">IF($A215="",0,IF(AND(OR(View!$C$4="All",View!$C$4="",$B215=View!$C$4),OR(View!$C$5="All",View!$C$5="",$C215=View!$C$5),OR(View!$C$6="All",View!$C$6="",$F215=View!$C$6),OR(View!$C$7="All",View!$C$7="",$G215=View!$C$7),OR(View!$C$8="All",View!$C$8="",$H215=View!$C$8,AND(View!$C$8="Open (not Complete)",$H215&lt;&gt;"Complete")),OR(View!$C$9="",ISNUMBER(SEARCH(View!$C$9,$D215&amp;" "&amp;$E215)))),1,0))</f>
        <v>0</v>
      </c>
      <c r="R215" s="2" t="str">
        <f aca="false">IF($Q215=1,COUNTIF($Q$4:$Q215,1),"")</f>
        <v/>
      </c>
    </row>
    <row r="216" customFormat="false" ht="15" hidden="false" customHeight="false" outlineLevel="0" collapsed="false">
      <c r="A216" s="21"/>
      <c r="B216" s="21"/>
      <c r="C216" s="21"/>
      <c r="D216" s="4"/>
      <c r="E216" s="4"/>
      <c r="F216" s="21"/>
      <c r="G216" s="22" t="str">
        <f aca="false">IF($F216="","",IFERROR(INDEX(Lists!$B$4:$B$12,MATCH($F216,Lists!$A$4:$A$12,0)),""))</f>
        <v/>
      </c>
      <c r="H216" s="21"/>
      <c r="I216" s="23"/>
      <c r="J216" s="21"/>
      <c r="K216" s="24" t="str">
        <f aca="false">IF(OR($I216="",$J216=""),"",$I216+7*$J216-3)</f>
        <v/>
      </c>
      <c r="L216" s="21"/>
      <c r="M216" s="4"/>
      <c r="N216" s="21"/>
      <c r="O216" s="4"/>
      <c r="P216" s="21"/>
      <c r="Q216" s="2" t="n">
        <f aca="false">IF($A216="",0,IF(AND(OR(View!$C$4="All",View!$C$4="",$B216=View!$C$4),OR(View!$C$5="All",View!$C$5="",$C216=View!$C$5),OR(View!$C$6="All",View!$C$6="",$F216=View!$C$6),OR(View!$C$7="All",View!$C$7="",$G216=View!$C$7),OR(View!$C$8="All",View!$C$8="",$H216=View!$C$8,AND(View!$C$8="Open (not Complete)",$H216&lt;&gt;"Complete")),OR(View!$C$9="",ISNUMBER(SEARCH(View!$C$9,$D216&amp;" "&amp;$E216)))),1,0))</f>
        <v>0</v>
      </c>
      <c r="R216" s="2" t="str">
        <f aca="false">IF($Q216=1,COUNTIF($Q$4:$Q216,1),"")</f>
        <v/>
      </c>
    </row>
    <row r="217" customFormat="false" ht="15" hidden="false" customHeight="false" outlineLevel="0" collapsed="false">
      <c r="A217" s="21"/>
      <c r="B217" s="21"/>
      <c r="C217" s="21"/>
      <c r="D217" s="4"/>
      <c r="E217" s="4"/>
      <c r="F217" s="21"/>
      <c r="G217" s="22" t="str">
        <f aca="false">IF($F217="","",IFERROR(INDEX(Lists!$B$4:$B$12,MATCH($F217,Lists!$A$4:$A$12,0)),""))</f>
        <v/>
      </c>
      <c r="H217" s="21"/>
      <c r="I217" s="23"/>
      <c r="J217" s="21"/>
      <c r="K217" s="24" t="str">
        <f aca="false">IF(OR($I217="",$J217=""),"",$I217+7*$J217-3)</f>
        <v/>
      </c>
      <c r="L217" s="21"/>
      <c r="M217" s="4"/>
      <c r="N217" s="21"/>
      <c r="O217" s="4"/>
      <c r="P217" s="21"/>
      <c r="Q217" s="2" t="n">
        <f aca="false">IF($A217="",0,IF(AND(OR(View!$C$4="All",View!$C$4="",$B217=View!$C$4),OR(View!$C$5="All",View!$C$5="",$C217=View!$C$5),OR(View!$C$6="All",View!$C$6="",$F217=View!$C$6),OR(View!$C$7="All",View!$C$7="",$G217=View!$C$7),OR(View!$C$8="All",View!$C$8="",$H217=View!$C$8,AND(View!$C$8="Open (not Complete)",$H217&lt;&gt;"Complete")),OR(View!$C$9="",ISNUMBER(SEARCH(View!$C$9,$D217&amp;" "&amp;$E217)))),1,0))</f>
        <v>0</v>
      </c>
      <c r="R217" s="2" t="str">
        <f aca="false">IF($Q217=1,COUNTIF($Q$4:$Q217,1),"")</f>
        <v/>
      </c>
    </row>
    <row r="218" customFormat="false" ht="15" hidden="false" customHeight="false" outlineLevel="0" collapsed="false">
      <c r="A218" s="21"/>
      <c r="B218" s="21"/>
      <c r="C218" s="21"/>
      <c r="D218" s="4"/>
      <c r="E218" s="4"/>
      <c r="F218" s="21"/>
      <c r="G218" s="22" t="str">
        <f aca="false">IF($F218="","",IFERROR(INDEX(Lists!$B$4:$B$12,MATCH($F218,Lists!$A$4:$A$12,0)),""))</f>
        <v/>
      </c>
      <c r="H218" s="21"/>
      <c r="I218" s="23"/>
      <c r="J218" s="21"/>
      <c r="K218" s="24" t="str">
        <f aca="false">IF(OR($I218="",$J218=""),"",$I218+7*$J218-3)</f>
        <v/>
      </c>
      <c r="L218" s="21"/>
      <c r="M218" s="4"/>
      <c r="N218" s="21"/>
      <c r="O218" s="4"/>
      <c r="P218" s="21"/>
      <c r="Q218" s="2" t="n">
        <f aca="false">IF($A218="",0,IF(AND(OR(View!$C$4="All",View!$C$4="",$B218=View!$C$4),OR(View!$C$5="All",View!$C$5="",$C218=View!$C$5),OR(View!$C$6="All",View!$C$6="",$F218=View!$C$6),OR(View!$C$7="All",View!$C$7="",$G218=View!$C$7),OR(View!$C$8="All",View!$C$8="",$H218=View!$C$8,AND(View!$C$8="Open (not Complete)",$H218&lt;&gt;"Complete")),OR(View!$C$9="",ISNUMBER(SEARCH(View!$C$9,$D218&amp;" "&amp;$E218)))),1,0))</f>
        <v>0</v>
      </c>
      <c r="R218" s="2" t="str">
        <f aca="false">IF($Q218=1,COUNTIF($Q$4:$Q218,1),"")</f>
        <v/>
      </c>
    </row>
    <row r="219" customFormat="false" ht="15" hidden="false" customHeight="false" outlineLevel="0" collapsed="false">
      <c r="A219" s="21"/>
      <c r="B219" s="21"/>
      <c r="C219" s="21"/>
      <c r="D219" s="4"/>
      <c r="E219" s="4"/>
      <c r="F219" s="21"/>
      <c r="G219" s="22" t="str">
        <f aca="false">IF($F219="","",IFERROR(INDEX(Lists!$B$4:$B$12,MATCH($F219,Lists!$A$4:$A$12,0)),""))</f>
        <v/>
      </c>
      <c r="H219" s="21"/>
      <c r="I219" s="23"/>
      <c r="J219" s="21"/>
      <c r="K219" s="24" t="str">
        <f aca="false">IF(OR($I219="",$J219=""),"",$I219+7*$J219-3)</f>
        <v/>
      </c>
      <c r="L219" s="21"/>
      <c r="M219" s="4"/>
      <c r="N219" s="21"/>
      <c r="O219" s="4"/>
      <c r="P219" s="21"/>
      <c r="Q219" s="2" t="n">
        <f aca="false">IF($A219="",0,IF(AND(OR(View!$C$4="All",View!$C$4="",$B219=View!$C$4),OR(View!$C$5="All",View!$C$5="",$C219=View!$C$5),OR(View!$C$6="All",View!$C$6="",$F219=View!$C$6),OR(View!$C$7="All",View!$C$7="",$G219=View!$C$7),OR(View!$C$8="All",View!$C$8="",$H219=View!$C$8,AND(View!$C$8="Open (not Complete)",$H219&lt;&gt;"Complete")),OR(View!$C$9="",ISNUMBER(SEARCH(View!$C$9,$D219&amp;" "&amp;$E219)))),1,0))</f>
        <v>0</v>
      </c>
      <c r="R219" s="2" t="str">
        <f aca="false">IF($Q219=1,COUNTIF($Q$4:$Q219,1),"")</f>
        <v/>
      </c>
    </row>
    <row r="220" customFormat="false" ht="15" hidden="false" customHeight="false" outlineLevel="0" collapsed="false">
      <c r="A220" s="21"/>
      <c r="B220" s="21"/>
      <c r="C220" s="21"/>
      <c r="D220" s="4"/>
      <c r="E220" s="4"/>
      <c r="F220" s="21"/>
      <c r="G220" s="22" t="str">
        <f aca="false">IF($F220="","",IFERROR(INDEX(Lists!$B$4:$B$12,MATCH($F220,Lists!$A$4:$A$12,0)),""))</f>
        <v/>
      </c>
      <c r="H220" s="21"/>
      <c r="I220" s="23"/>
      <c r="J220" s="21"/>
      <c r="K220" s="24" t="str">
        <f aca="false">IF(OR($I220="",$J220=""),"",$I220+7*$J220-3)</f>
        <v/>
      </c>
      <c r="L220" s="21"/>
      <c r="M220" s="4"/>
      <c r="N220" s="21"/>
      <c r="O220" s="4"/>
      <c r="P220" s="21"/>
      <c r="Q220" s="2" t="n">
        <f aca="false">IF($A220="",0,IF(AND(OR(View!$C$4="All",View!$C$4="",$B220=View!$C$4),OR(View!$C$5="All",View!$C$5="",$C220=View!$C$5),OR(View!$C$6="All",View!$C$6="",$F220=View!$C$6),OR(View!$C$7="All",View!$C$7="",$G220=View!$C$7),OR(View!$C$8="All",View!$C$8="",$H220=View!$C$8,AND(View!$C$8="Open (not Complete)",$H220&lt;&gt;"Complete")),OR(View!$C$9="",ISNUMBER(SEARCH(View!$C$9,$D220&amp;" "&amp;$E220)))),1,0))</f>
        <v>0</v>
      </c>
      <c r="R220" s="2" t="str">
        <f aca="false">IF($Q220=1,COUNTIF($Q$4:$Q220,1),"")</f>
        <v/>
      </c>
    </row>
    <row r="221" customFormat="false" ht="15" hidden="false" customHeight="false" outlineLevel="0" collapsed="false">
      <c r="A221" s="21"/>
      <c r="B221" s="21"/>
      <c r="C221" s="21"/>
      <c r="D221" s="4"/>
      <c r="E221" s="4"/>
      <c r="F221" s="21"/>
      <c r="G221" s="22" t="str">
        <f aca="false">IF($F221="","",IFERROR(INDEX(Lists!$B$4:$B$12,MATCH($F221,Lists!$A$4:$A$12,0)),""))</f>
        <v/>
      </c>
      <c r="H221" s="21"/>
      <c r="I221" s="23"/>
      <c r="J221" s="21"/>
      <c r="K221" s="24" t="str">
        <f aca="false">IF(OR($I221="",$J221=""),"",$I221+7*$J221-3)</f>
        <v/>
      </c>
      <c r="L221" s="21"/>
      <c r="M221" s="4"/>
      <c r="N221" s="21"/>
      <c r="O221" s="4"/>
      <c r="P221" s="21"/>
      <c r="Q221" s="2" t="n">
        <f aca="false">IF($A221="",0,IF(AND(OR(View!$C$4="All",View!$C$4="",$B221=View!$C$4),OR(View!$C$5="All",View!$C$5="",$C221=View!$C$5),OR(View!$C$6="All",View!$C$6="",$F221=View!$C$6),OR(View!$C$7="All",View!$C$7="",$G221=View!$C$7),OR(View!$C$8="All",View!$C$8="",$H221=View!$C$8,AND(View!$C$8="Open (not Complete)",$H221&lt;&gt;"Complete")),OR(View!$C$9="",ISNUMBER(SEARCH(View!$C$9,$D221&amp;" "&amp;$E221)))),1,0))</f>
        <v>0</v>
      </c>
      <c r="R221" s="2" t="str">
        <f aca="false">IF($Q221=1,COUNTIF($Q$4:$Q221,1),"")</f>
        <v/>
      </c>
    </row>
    <row r="222" customFormat="false" ht="15" hidden="false" customHeight="false" outlineLevel="0" collapsed="false">
      <c r="A222" s="21"/>
      <c r="B222" s="21"/>
      <c r="C222" s="21"/>
      <c r="D222" s="4"/>
      <c r="E222" s="4"/>
      <c r="F222" s="21"/>
      <c r="G222" s="22" t="str">
        <f aca="false">IF($F222="","",IFERROR(INDEX(Lists!$B$4:$B$12,MATCH($F222,Lists!$A$4:$A$12,0)),""))</f>
        <v/>
      </c>
      <c r="H222" s="21"/>
      <c r="I222" s="23"/>
      <c r="J222" s="21"/>
      <c r="K222" s="24" t="str">
        <f aca="false">IF(OR($I222="",$J222=""),"",$I222+7*$J222-3)</f>
        <v/>
      </c>
      <c r="L222" s="21"/>
      <c r="M222" s="4"/>
      <c r="N222" s="21"/>
      <c r="O222" s="4"/>
      <c r="P222" s="21"/>
      <c r="Q222" s="2" t="n">
        <f aca="false">IF($A222="",0,IF(AND(OR(View!$C$4="All",View!$C$4="",$B222=View!$C$4),OR(View!$C$5="All",View!$C$5="",$C222=View!$C$5),OR(View!$C$6="All",View!$C$6="",$F222=View!$C$6),OR(View!$C$7="All",View!$C$7="",$G222=View!$C$7),OR(View!$C$8="All",View!$C$8="",$H222=View!$C$8,AND(View!$C$8="Open (not Complete)",$H222&lt;&gt;"Complete")),OR(View!$C$9="",ISNUMBER(SEARCH(View!$C$9,$D222&amp;" "&amp;$E222)))),1,0))</f>
        <v>0</v>
      </c>
      <c r="R222" s="2" t="str">
        <f aca="false">IF($Q222=1,COUNTIF($Q$4:$Q222,1),"")</f>
        <v/>
      </c>
    </row>
    <row r="223" customFormat="false" ht="15" hidden="false" customHeight="false" outlineLevel="0" collapsed="false">
      <c r="A223" s="21"/>
      <c r="B223" s="21"/>
      <c r="C223" s="21"/>
      <c r="D223" s="4"/>
      <c r="E223" s="4"/>
      <c r="F223" s="21"/>
      <c r="G223" s="22" t="str">
        <f aca="false">IF($F223="","",IFERROR(INDEX(Lists!$B$4:$B$12,MATCH($F223,Lists!$A$4:$A$12,0)),""))</f>
        <v/>
      </c>
      <c r="H223" s="21"/>
      <c r="I223" s="23"/>
      <c r="J223" s="21"/>
      <c r="K223" s="24" t="str">
        <f aca="false">IF(OR($I223="",$J223=""),"",$I223+7*$J223-3)</f>
        <v/>
      </c>
      <c r="L223" s="21"/>
      <c r="M223" s="4"/>
      <c r="N223" s="21"/>
      <c r="O223" s="4"/>
      <c r="P223" s="21"/>
      <c r="Q223" s="2" t="n">
        <f aca="false">IF($A223="",0,IF(AND(OR(View!$C$4="All",View!$C$4="",$B223=View!$C$4),OR(View!$C$5="All",View!$C$5="",$C223=View!$C$5),OR(View!$C$6="All",View!$C$6="",$F223=View!$C$6),OR(View!$C$7="All",View!$C$7="",$G223=View!$C$7),OR(View!$C$8="All",View!$C$8="",$H223=View!$C$8,AND(View!$C$8="Open (not Complete)",$H223&lt;&gt;"Complete")),OR(View!$C$9="",ISNUMBER(SEARCH(View!$C$9,$D223&amp;" "&amp;$E223)))),1,0))</f>
        <v>0</v>
      </c>
      <c r="R223" s="2" t="str">
        <f aca="false">IF($Q223=1,COUNTIF($Q$4:$Q223,1),"")</f>
        <v/>
      </c>
    </row>
    <row r="224" customFormat="false" ht="15" hidden="false" customHeight="false" outlineLevel="0" collapsed="false">
      <c r="A224" s="21"/>
      <c r="B224" s="21"/>
      <c r="C224" s="21"/>
      <c r="D224" s="4"/>
      <c r="E224" s="4"/>
      <c r="F224" s="21"/>
      <c r="G224" s="22" t="str">
        <f aca="false">IF($F224="","",IFERROR(INDEX(Lists!$B$4:$B$12,MATCH($F224,Lists!$A$4:$A$12,0)),""))</f>
        <v/>
      </c>
      <c r="H224" s="21"/>
      <c r="I224" s="23"/>
      <c r="J224" s="21"/>
      <c r="K224" s="24" t="str">
        <f aca="false">IF(OR($I224="",$J224=""),"",$I224+7*$J224-3)</f>
        <v/>
      </c>
      <c r="L224" s="21"/>
      <c r="M224" s="4"/>
      <c r="N224" s="21"/>
      <c r="O224" s="4"/>
      <c r="P224" s="21"/>
      <c r="Q224" s="2" t="n">
        <f aca="false">IF($A224="",0,IF(AND(OR(View!$C$4="All",View!$C$4="",$B224=View!$C$4),OR(View!$C$5="All",View!$C$5="",$C224=View!$C$5),OR(View!$C$6="All",View!$C$6="",$F224=View!$C$6),OR(View!$C$7="All",View!$C$7="",$G224=View!$C$7),OR(View!$C$8="All",View!$C$8="",$H224=View!$C$8,AND(View!$C$8="Open (not Complete)",$H224&lt;&gt;"Complete")),OR(View!$C$9="",ISNUMBER(SEARCH(View!$C$9,$D224&amp;" "&amp;$E224)))),1,0))</f>
        <v>0</v>
      </c>
      <c r="R224" s="2" t="str">
        <f aca="false">IF($Q224=1,COUNTIF($Q$4:$Q224,1),"")</f>
        <v/>
      </c>
    </row>
    <row r="225" customFormat="false" ht="15" hidden="false" customHeight="false" outlineLevel="0" collapsed="false">
      <c r="A225" s="21"/>
      <c r="B225" s="21"/>
      <c r="C225" s="21"/>
      <c r="D225" s="4"/>
      <c r="E225" s="4"/>
      <c r="F225" s="21"/>
      <c r="G225" s="22" t="str">
        <f aca="false">IF($F225="","",IFERROR(INDEX(Lists!$B$4:$B$12,MATCH($F225,Lists!$A$4:$A$12,0)),""))</f>
        <v/>
      </c>
      <c r="H225" s="21"/>
      <c r="I225" s="23"/>
      <c r="J225" s="21"/>
      <c r="K225" s="24" t="str">
        <f aca="false">IF(OR($I225="",$J225=""),"",$I225+7*$J225-3)</f>
        <v/>
      </c>
      <c r="L225" s="21"/>
      <c r="M225" s="4"/>
      <c r="N225" s="21"/>
      <c r="O225" s="4"/>
      <c r="P225" s="21"/>
      <c r="Q225" s="2" t="n">
        <f aca="false">IF($A225="",0,IF(AND(OR(View!$C$4="All",View!$C$4="",$B225=View!$C$4),OR(View!$C$5="All",View!$C$5="",$C225=View!$C$5),OR(View!$C$6="All",View!$C$6="",$F225=View!$C$6),OR(View!$C$7="All",View!$C$7="",$G225=View!$C$7),OR(View!$C$8="All",View!$C$8="",$H225=View!$C$8,AND(View!$C$8="Open (not Complete)",$H225&lt;&gt;"Complete")),OR(View!$C$9="",ISNUMBER(SEARCH(View!$C$9,$D225&amp;" "&amp;$E225)))),1,0))</f>
        <v>0</v>
      </c>
      <c r="R225" s="2" t="str">
        <f aca="false">IF($Q225=1,COUNTIF($Q$4:$Q225,1),"")</f>
        <v/>
      </c>
    </row>
    <row r="226" customFormat="false" ht="15" hidden="false" customHeight="false" outlineLevel="0" collapsed="false">
      <c r="A226" s="21"/>
      <c r="B226" s="21"/>
      <c r="C226" s="21"/>
      <c r="D226" s="4"/>
      <c r="E226" s="4"/>
      <c r="F226" s="21"/>
      <c r="G226" s="22" t="str">
        <f aca="false">IF($F226="","",IFERROR(INDEX(Lists!$B$4:$B$12,MATCH($F226,Lists!$A$4:$A$12,0)),""))</f>
        <v/>
      </c>
      <c r="H226" s="21"/>
      <c r="I226" s="23"/>
      <c r="J226" s="21"/>
      <c r="K226" s="24" t="str">
        <f aca="false">IF(OR($I226="",$J226=""),"",$I226+7*$J226-3)</f>
        <v/>
      </c>
      <c r="L226" s="21"/>
      <c r="M226" s="4"/>
      <c r="N226" s="21"/>
      <c r="O226" s="4"/>
      <c r="P226" s="21"/>
      <c r="Q226" s="2" t="n">
        <f aca="false">IF($A226="",0,IF(AND(OR(View!$C$4="All",View!$C$4="",$B226=View!$C$4),OR(View!$C$5="All",View!$C$5="",$C226=View!$C$5),OR(View!$C$6="All",View!$C$6="",$F226=View!$C$6),OR(View!$C$7="All",View!$C$7="",$G226=View!$C$7),OR(View!$C$8="All",View!$C$8="",$H226=View!$C$8,AND(View!$C$8="Open (not Complete)",$H226&lt;&gt;"Complete")),OR(View!$C$9="",ISNUMBER(SEARCH(View!$C$9,$D226&amp;" "&amp;$E226)))),1,0))</f>
        <v>0</v>
      </c>
      <c r="R226" s="2" t="str">
        <f aca="false">IF($Q226=1,COUNTIF($Q$4:$Q226,1),"")</f>
        <v/>
      </c>
    </row>
    <row r="227" customFormat="false" ht="15" hidden="false" customHeight="false" outlineLevel="0" collapsed="false">
      <c r="A227" s="21"/>
      <c r="B227" s="21"/>
      <c r="C227" s="21"/>
      <c r="D227" s="4"/>
      <c r="E227" s="4"/>
      <c r="F227" s="21"/>
      <c r="G227" s="22" t="str">
        <f aca="false">IF($F227="","",IFERROR(INDEX(Lists!$B$4:$B$12,MATCH($F227,Lists!$A$4:$A$12,0)),""))</f>
        <v/>
      </c>
      <c r="H227" s="21"/>
      <c r="I227" s="23"/>
      <c r="J227" s="21"/>
      <c r="K227" s="24" t="str">
        <f aca="false">IF(OR($I227="",$J227=""),"",$I227+7*$J227-3)</f>
        <v/>
      </c>
      <c r="L227" s="21"/>
      <c r="M227" s="4"/>
      <c r="N227" s="21"/>
      <c r="O227" s="4"/>
      <c r="P227" s="21"/>
      <c r="Q227" s="2" t="n">
        <f aca="false">IF($A227="",0,IF(AND(OR(View!$C$4="All",View!$C$4="",$B227=View!$C$4),OR(View!$C$5="All",View!$C$5="",$C227=View!$C$5),OR(View!$C$6="All",View!$C$6="",$F227=View!$C$6),OR(View!$C$7="All",View!$C$7="",$G227=View!$C$7),OR(View!$C$8="All",View!$C$8="",$H227=View!$C$8,AND(View!$C$8="Open (not Complete)",$H227&lt;&gt;"Complete")),OR(View!$C$9="",ISNUMBER(SEARCH(View!$C$9,$D227&amp;" "&amp;$E227)))),1,0))</f>
        <v>0</v>
      </c>
      <c r="R227" s="2" t="str">
        <f aca="false">IF($Q227=1,COUNTIF($Q$4:$Q227,1),"")</f>
        <v/>
      </c>
    </row>
    <row r="228" customFormat="false" ht="15" hidden="false" customHeight="false" outlineLevel="0" collapsed="false">
      <c r="A228" s="21"/>
      <c r="B228" s="21"/>
      <c r="C228" s="21"/>
      <c r="D228" s="4"/>
      <c r="E228" s="4"/>
      <c r="F228" s="21"/>
      <c r="G228" s="22" t="str">
        <f aca="false">IF($F228="","",IFERROR(INDEX(Lists!$B$4:$B$12,MATCH($F228,Lists!$A$4:$A$12,0)),""))</f>
        <v/>
      </c>
      <c r="H228" s="21"/>
      <c r="I228" s="23"/>
      <c r="J228" s="21"/>
      <c r="K228" s="24" t="str">
        <f aca="false">IF(OR($I228="",$J228=""),"",$I228+7*$J228-3)</f>
        <v/>
      </c>
      <c r="L228" s="21"/>
      <c r="M228" s="4"/>
      <c r="N228" s="21"/>
      <c r="O228" s="4"/>
      <c r="P228" s="21"/>
      <c r="Q228" s="2" t="n">
        <f aca="false">IF($A228="",0,IF(AND(OR(View!$C$4="All",View!$C$4="",$B228=View!$C$4),OR(View!$C$5="All",View!$C$5="",$C228=View!$C$5),OR(View!$C$6="All",View!$C$6="",$F228=View!$C$6),OR(View!$C$7="All",View!$C$7="",$G228=View!$C$7),OR(View!$C$8="All",View!$C$8="",$H228=View!$C$8,AND(View!$C$8="Open (not Complete)",$H228&lt;&gt;"Complete")),OR(View!$C$9="",ISNUMBER(SEARCH(View!$C$9,$D228&amp;" "&amp;$E228)))),1,0))</f>
        <v>0</v>
      </c>
      <c r="R228" s="2" t="str">
        <f aca="false">IF($Q228=1,COUNTIF($Q$4:$Q228,1),"")</f>
        <v/>
      </c>
    </row>
    <row r="229" customFormat="false" ht="15" hidden="false" customHeight="false" outlineLevel="0" collapsed="false">
      <c r="A229" s="21"/>
      <c r="B229" s="21"/>
      <c r="C229" s="21"/>
      <c r="D229" s="4"/>
      <c r="E229" s="4"/>
      <c r="F229" s="21"/>
      <c r="G229" s="22" t="str">
        <f aca="false">IF($F229="","",IFERROR(INDEX(Lists!$B$4:$B$12,MATCH($F229,Lists!$A$4:$A$12,0)),""))</f>
        <v/>
      </c>
      <c r="H229" s="21"/>
      <c r="I229" s="23"/>
      <c r="J229" s="21"/>
      <c r="K229" s="24" t="str">
        <f aca="false">IF(OR($I229="",$J229=""),"",$I229+7*$J229-3)</f>
        <v/>
      </c>
      <c r="L229" s="21"/>
      <c r="M229" s="4"/>
      <c r="N229" s="21"/>
      <c r="O229" s="4"/>
      <c r="P229" s="21"/>
      <c r="Q229" s="2" t="n">
        <f aca="false">IF($A229="",0,IF(AND(OR(View!$C$4="All",View!$C$4="",$B229=View!$C$4),OR(View!$C$5="All",View!$C$5="",$C229=View!$C$5),OR(View!$C$6="All",View!$C$6="",$F229=View!$C$6),OR(View!$C$7="All",View!$C$7="",$G229=View!$C$7),OR(View!$C$8="All",View!$C$8="",$H229=View!$C$8,AND(View!$C$8="Open (not Complete)",$H229&lt;&gt;"Complete")),OR(View!$C$9="",ISNUMBER(SEARCH(View!$C$9,$D229&amp;" "&amp;$E229)))),1,0))</f>
        <v>0</v>
      </c>
      <c r="R229" s="2" t="str">
        <f aca="false">IF($Q229=1,COUNTIF($Q$4:$Q229,1),"")</f>
        <v/>
      </c>
    </row>
    <row r="230" customFormat="false" ht="15" hidden="false" customHeight="false" outlineLevel="0" collapsed="false">
      <c r="A230" s="21"/>
      <c r="B230" s="21"/>
      <c r="C230" s="21"/>
      <c r="D230" s="4"/>
      <c r="E230" s="4"/>
      <c r="F230" s="21"/>
      <c r="G230" s="22" t="str">
        <f aca="false">IF($F230="","",IFERROR(INDEX(Lists!$B$4:$B$12,MATCH($F230,Lists!$A$4:$A$12,0)),""))</f>
        <v/>
      </c>
      <c r="H230" s="21"/>
      <c r="I230" s="23"/>
      <c r="J230" s="21"/>
      <c r="K230" s="24" t="str">
        <f aca="false">IF(OR($I230="",$J230=""),"",$I230+7*$J230-3)</f>
        <v/>
      </c>
      <c r="L230" s="21"/>
      <c r="M230" s="4"/>
      <c r="N230" s="21"/>
      <c r="O230" s="4"/>
      <c r="P230" s="21"/>
      <c r="Q230" s="2" t="n">
        <f aca="false">IF($A230="",0,IF(AND(OR(View!$C$4="All",View!$C$4="",$B230=View!$C$4),OR(View!$C$5="All",View!$C$5="",$C230=View!$C$5),OR(View!$C$6="All",View!$C$6="",$F230=View!$C$6),OR(View!$C$7="All",View!$C$7="",$G230=View!$C$7),OR(View!$C$8="All",View!$C$8="",$H230=View!$C$8,AND(View!$C$8="Open (not Complete)",$H230&lt;&gt;"Complete")),OR(View!$C$9="",ISNUMBER(SEARCH(View!$C$9,$D230&amp;" "&amp;$E230)))),1,0))</f>
        <v>0</v>
      </c>
      <c r="R230" s="2" t="str">
        <f aca="false">IF($Q230=1,COUNTIF($Q$4:$Q230,1),"")</f>
        <v/>
      </c>
    </row>
    <row r="231" customFormat="false" ht="15" hidden="false" customHeight="false" outlineLevel="0" collapsed="false">
      <c r="A231" s="21"/>
      <c r="B231" s="21"/>
      <c r="C231" s="21"/>
      <c r="D231" s="4"/>
      <c r="E231" s="4"/>
      <c r="F231" s="21"/>
      <c r="G231" s="22" t="str">
        <f aca="false">IF($F231="","",IFERROR(INDEX(Lists!$B$4:$B$12,MATCH($F231,Lists!$A$4:$A$12,0)),""))</f>
        <v/>
      </c>
      <c r="H231" s="21"/>
      <c r="I231" s="23"/>
      <c r="J231" s="21"/>
      <c r="K231" s="24" t="str">
        <f aca="false">IF(OR($I231="",$J231=""),"",$I231+7*$J231-3)</f>
        <v/>
      </c>
      <c r="L231" s="21"/>
      <c r="M231" s="4"/>
      <c r="N231" s="21"/>
      <c r="O231" s="4"/>
      <c r="P231" s="21"/>
      <c r="Q231" s="2" t="n">
        <f aca="false">IF($A231="",0,IF(AND(OR(View!$C$4="All",View!$C$4="",$B231=View!$C$4),OR(View!$C$5="All",View!$C$5="",$C231=View!$C$5),OR(View!$C$6="All",View!$C$6="",$F231=View!$C$6),OR(View!$C$7="All",View!$C$7="",$G231=View!$C$7),OR(View!$C$8="All",View!$C$8="",$H231=View!$C$8,AND(View!$C$8="Open (not Complete)",$H231&lt;&gt;"Complete")),OR(View!$C$9="",ISNUMBER(SEARCH(View!$C$9,$D231&amp;" "&amp;$E231)))),1,0))</f>
        <v>0</v>
      </c>
      <c r="R231" s="2" t="str">
        <f aca="false">IF($Q231=1,COUNTIF($Q$4:$Q231,1),"")</f>
        <v/>
      </c>
    </row>
    <row r="232" customFormat="false" ht="15" hidden="false" customHeight="false" outlineLevel="0" collapsed="false">
      <c r="A232" s="21"/>
      <c r="B232" s="21"/>
      <c r="C232" s="21"/>
      <c r="D232" s="4"/>
      <c r="E232" s="4"/>
      <c r="F232" s="21"/>
      <c r="G232" s="22" t="str">
        <f aca="false">IF($F232="","",IFERROR(INDEX(Lists!$B$4:$B$12,MATCH($F232,Lists!$A$4:$A$12,0)),""))</f>
        <v/>
      </c>
      <c r="H232" s="21"/>
      <c r="I232" s="23"/>
      <c r="J232" s="21"/>
      <c r="K232" s="24" t="str">
        <f aca="false">IF(OR($I232="",$J232=""),"",$I232+7*$J232-3)</f>
        <v/>
      </c>
      <c r="L232" s="21"/>
      <c r="M232" s="4"/>
      <c r="N232" s="21"/>
      <c r="O232" s="4"/>
      <c r="P232" s="21"/>
      <c r="Q232" s="2" t="n">
        <f aca="false">IF($A232="",0,IF(AND(OR(View!$C$4="All",View!$C$4="",$B232=View!$C$4),OR(View!$C$5="All",View!$C$5="",$C232=View!$C$5),OR(View!$C$6="All",View!$C$6="",$F232=View!$C$6),OR(View!$C$7="All",View!$C$7="",$G232=View!$C$7),OR(View!$C$8="All",View!$C$8="",$H232=View!$C$8,AND(View!$C$8="Open (not Complete)",$H232&lt;&gt;"Complete")),OR(View!$C$9="",ISNUMBER(SEARCH(View!$C$9,$D232&amp;" "&amp;$E232)))),1,0))</f>
        <v>0</v>
      </c>
      <c r="R232" s="2" t="str">
        <f aca="false">IF($Q232=1,COUNTIF($Q$4:$Q232,1),"")</f>
        <v/>
      </c>
    </row>
    <row r="233" customFormat="false" ht="15" hidden="false" customHeight="false" outlineLevel="0" collapsed="false">
      <c r="A233" s="21"/>
      <c r="B233" s="21"/>
      <c r="C233" s="21"/>
      <c r="D233" s="4"/>
      <c r="E233" s="4"/>
      <c r="F233" s="21"/>
      <c r="G233" s="22" t="str">
        <f aca="false">IF($F233="","",IFERROR(INDEX(Lists!$B$4:$B$12,MATCH($F233,Lists!$A$4:$A$12,0)),""))</f>
        <v/>
      </c>
      <c r="H233" s="21"/>
      <c r="I233" s="23"/>
      <c r="J233" s="21"/>
      <c r="K233" s="24" t="str">
        <f aca="false">IF(OR($I233="",$J233=""),"",$I233+7*$J233-3)</f>
        <v/>
      </c>
      <c r="L233" s="21"/>
      <c r="M233" s="4"/>
      <c r="N233" s="21"/>
      <c r="O233" s="4"/>
      <c r="P233" s="21"/>
      <c r="Q233" s="2" t="n">
        <f aca="false">IF($A233="",0,IF(AND(OR(View!$C$4="All",View!$C$4="",$B233=View!$C$4),OR(View!$C$5="All",View!$C$5="",$C233=View!$C$5),OR(View!$C$6="All",View!$C$6="",$F233=View!$C$6),OR(View!$C$7="All",View!$C$7="",$G233=View!$C$7),OR(View!$C$8="All",View!$C$8="",$H233=View!$C$8,AND(View!$C$8="Open (not Complete)",$H233&lt;&gt;"Complete")),OR(View!$C$9="",ISNUMBER(SEARCH(View!$C$9,$D233&amp;" "&amp;$E233)))),1,0))</f>
        <v>0</v>
      </c>
      <c r="R233" s="2" t="str">
        <f aca="false">IF($Q233=1,COUNTIF($Q$4:$Q233,1),"")</f>
        <v/>
      </c>
    </row>
    <row r="234" customFormat="false" ht="15" hidden="false" customHeight="false" outlineLevel="0" collapsed="false">
      <c r="A234" s="21"/>
      <c r="B234" s="21"/>
      <c r="C234" s="21"/>
      <c r="D234" s="4"/>
      <c r="E234" s="4"/>
      <c r="F234" s="21"/>
      <c r="G234" s="22" t="str">
        <f aca="false">IF($F234="","",IFERROR(INDEX(Lists!$B$4:$B$12,MATCH($F234,Lists!$A$4:$A$12,0)),""))</f>
        <v/>
      </c>
      <c r="H234" s="21"/>
      <c r="I234" s="23"/>
      <c r="J234" s="21"/>
      <c r="K234" s="24" t="str">
        <f aca="false">IF(OR($I234="",$J234=""),"",$I234+7*$J234-3)</f>
        <v/>
      </c>
      <c r="L234" s="21"/>
      <c r="M234" s="4"/>
      <c r="N234" s="21"/>
      <c r="O234" s="4"/>
      <c r="P234" s="21"/>
      <c r="Q234" s="2" t="n">
        <f aca="false">IF($A234="",0,IF(AND(OR(View!$C$4="All",View!$C$4="",$B234=View!$C$4),OR(View!$C$5="All",View!$C$5="",$C234=View!$C$5),OR(View!$C$6="All",View!$C$6="",$F234=View!$C$6),OR(View!$C$7="All",View!$C$7="",$G234=View!$C$7),OR(View!$C$8="All",View!$C$8="",$H234=View!$C$8,AND(View!$C$8="Open (not Complete)",$H234&lt;&gt;"Complete")),OR(View!$C$9="",ISNUMBER(SEARCH(View!$C$9,$D234&amp;" "&amp;$E234)))),1,0))</f>
        <v>0</v>
      </c>
      <c r="R234" s="2" t="str">
        <f aca="false">IF($Q234=1,COUNTIF($Q$4:$Q234,1),"")</f>
        <v/>
      </c>
    </row>
    <row r="235" customFormat="false" ht="15" hidden="false" customHeight="false" outlineLevel="0" collapsed="false">
      <c r="A235" s="21"/>
      <c r="B235" s="21"/>
      <c r="C235" s="21"/>
      <c r="D235" s="4"/>
      <c r="E235" s="4"/>
      <c r="F235" s="21"/>
      <c r="G235" s="22" t="str">
        <f aca="false">IF($F235="","",IFERROR(INDEX(Lists!$B$4:$B$12,MATCH($F235,Lists!$A$4:$A$12,0)),""))</f>
        <v/>
      </c>
      <c r="H235" s="21"/>
      <c r="I235" s="23"/>
      <c r="J235" s="21"/>
      <c r="K235" s="24" t="str">
        <f aca="false">IF(OR($I235="",$J235=""),"",$I235+7*$J235-3)</f>
        <v/>
      </c>
      <c r="L235" s="21"/>
      <c r="M235" s="4"/>
      <c r="N235" s="21"/>
      <c r="O235" s="4"/>
      <c r="P235" s="21"/>
      <c r="Q235" s="2" t="n">
        <f aca="false">IF($A235="",0,IF(AND(OR(View!$C$4="All",View!$C$4="",$B235=View!$C$4),OR(View!$C$5="All",View!$C$5="",$C235=View!$C$5),OR(View!$C$6="All",View!$C$6="",$F235=View!$C$6),OR(View!$C$7="All",View!$C$7="",$G235=View!$C$7),OR(View!$C$8="All",View!$C$8="",$H235=View!$C$8,AND(View!$C$8="Open (not Complete)",$H235&lt;&gt;"Complete")),OR(View!$C$9="",ISNUMBER(SEARCH(View!$C$9,$D235&amp;" "&amp;$E235)))),1,0))</f>
        <v>0</v>
      </c>
      <c r="R235" s="2" t="str">
        <f aca="false">IF($Q235=1,COUNTIF($Q$4:$Q235,1),"")</f>
        <v/>
      </c>
    </row>
    <row r="236" customFormat="false" ht="15" hidden="false" customHeight="false" outlineLevel="0" collapsed="false">
      <c r="A236" s="21"/>
      <c r="B236" s="21"/>
      <c r="C236" s="21"/>
      <c r="D236" s="4"/>
      <c r="E236" s="4"/>
      <c r="F236" s="21"/>
      <c r="G236" s="22" t="str">
        <f aca="false">IF($F236="","",IFERROR(INDEX(Lists!$B$4:$B$12,MATCH($F236,Lists!$A$4:$A$12,0)),""))</f>
        <v/>
      </c>
      <c r="H236" s="21"/>
      <c r="I236" s="23"/>
      <c r="J236" s="21"/>
      <c r="K236" s="24" t="str">
        <f aca="false">IF(OR($I236="",$J236=""),"",$I236+7*$J236-3)</f>
        <v/>
      </c>
      <c r="L236" s="21"/>
      <c r="M236" s="4"/>
      <c r="N236" s="21"/>
      <c r="O236" s="4"/>
      <c r="P236" s="21"/>
      <c r="Q236" s="2" t="n">
        <f aca="false">IF($A236="",0,IF(AND(OR(View!$C$4="All",View!$C$4="",$B236=View!$C$4),OR(View!$C$5="All",View!$C$5="",$C236=View!$C$5),OR(View!$C$6="All",View!$C$6="",$F236=View!$C$6),OR(View!$C$7="All",View!$C$7="",$G236=View!$C$7),OR(View!$C$8="All",View!$C$8="",$H236=View!$C$8,AND(View!$C$8="Open (not Complete)",$H236&lt;&gt;"Complete")),OR(View!$C$9="",ISNUMBER(SEARCH(View!$C$9,$D236&amp;" "&amp;$E236)))),1,0))</f>
        <v>0</v>
      </c>
      <c r="R236" s="2" t="str">
        <f aca="false">IF($Q236=1,COUNTIF($Q$4:$Q236,1),"")</f>
        <v/>
      </c>
    </row>
    <row r="237" customFormat="false" ht="15" hidden="false" customHeight="false" outlineLevel="0" collapsed="false">
      <c r="A237" s="21"/>
      <c r="B237" s="21"/>
      <c r="C237" s="21"/>
      <c r="D237" s="4"/>
      <c r="E237" s="4"/>
      <c r="F237" s="21"/>
      <c r="G237" s="22" t="str">
        <f aca="false">IF($F237="","",IFERROR(INDEX(Lists!$B$4:$B$12,MATCH($F237,Lists!$A$4:$A$12,0)),""))</f>
        <v/>
      </c>
      <c r="H237" s="21"/>
      <c r="I237" s="23"/>
      <c r="J237" s="21"/>
      <c r="K237" s="24" t="str">
        <f aca="false">IF(OR($I237="",$J237=""),"",$I237+7*$J237-3)</f>
        <v/>
      </c>
      <c r="L237" s="21"/>
      <c r="M237" s="4"/>
      <c r="N237" s="21"/>
      <c r="O237" s="4"/>
      <c r="P237" s="21"/>
      <c r="Q237" s="2" t="n">
        <f aca="false">IF($A237="",0,IF(AND(OR(View!$C$4="All",View!$C$4="",$B237=View!$C$4),OR(View!$C$5="All",View!$C$5="",$C237=View!$C$5),OR(View!$C$6="All",View!$C$6="",$F237=View!$C$6),OR(View!$C$7="All",View!$C$7="",$G237=View!$C$7),OR(View!$C$8="All",View!$C$8="",$H237=View!$C$8,AND(View!$C$8="Open (not Complete)",$H237&lt;&gt;"Complete")),OR(View!$C$9="",ISNUMBER(SEARCH(View!$C$9,$D237&amp;" "&amp;$E237)))),1,0))</f>
        <v>0</v>
      </c>
      <c r="R237" s="2" t="str">
        <f aca="false">IF($Q237=1,COUNTIF($Q$4:$Q237,1),"")</f>
        <v/>
      </c>
    </row>
    <row r="238" customFormat="false" ht="15" hidden="false" customHeight="false" outlineLevel="0" collapsed="false">
      <c r="A238" s="21"/>
      <c r="B238" s="21"/>
      <c r="C238" s="21"/>
      <c r="D238" s="4"/>
      <c r="E238" s="4"/>
      <c r="F238" s="21"/>
      <c r="G238" s="22" t="str">
        <f aca="false">IF($F238="","",IFERROR(INDEX(Lists!$B$4:$B$12,MATCH($F238,Lists!$A$4:$A$12,0)),""))</f>
        <v/>
      </c>
      <c r="H238" s="21"/>
      <c r="I238" s="23"/>
      <c r="J238" s="21"/>
      <c r="K238" s="24" t="str">
        <f aca="false">IF(OR($I238="",$J238=""),"",$I238+7*$J238-3)</f>
        <v/>
      </c>
      <c r="L238" s="21"/>
      <c r="M238" s="4"/>
      <c r="N238" s="21"/>
      <c r="O238" s="4"/>
      <c r="P238" s="21"/>
      <c r="Q238" s="2" t="n">
        <f aca="false">IF($A238="",0,IF(AND(OR(View!$C$4="All",View!$C$4="",$B238=View!$C$4),OR(View!$C$5="All",View!$C$5="",$C238=View!$C$5),OR(View!$C$6="All",View!$C$6="",$F238=View!$C$6),OR(View!$C$7="All",View!$C$7="",$G238=View!$C$7),OR(View!$C$8="All",View!$C$8="",$H238=View!$C$8,AND(View!$C$8="Open (not Complete)",$H238&lt;&gt;"Complete")),OR(View!$C$9="",ISNUMBER(SEARCH(View!$C$9,$D238&amp;" "&amp;$E238)))),1,0))</f>
        <v>0</v>
      </c>
      <c r="R238" s="2" t="str">
        <f aca="false">IF($Q238=1,COUNTIF($Q$4:$Q238,1),"")</f>
        <v/>
      </c>
    </row>
    <row r="239" customFormat="false" ht="15" hidden="false" customHeight="false" outlineLevel="0" collapsed="false">
      <c r="A239" s="21"/>
      <c r="B239" s="21"/>
      <c r="C239" s="21"/>
      <c r="D239" s="4"/>
      <c r="E239" s="4"/>
      <c r="F239" s="21"/>
      <c r="G239" s="22" t="str">
        <f aca="false">IF($F239="","",IFERROR(INDEX(Lists!$B$4:$B$12,MATCH($F239,Lists!$A$4:$A$12,0)),""))</f>
        <v/>
      </c>
      <c r="H239" s="21"/>
      <c r="I239" s="23"/>
      <c r="J239" s="21"/>
      <c r="K239" s="24" t="str">
        <f aca="false">IF(OR($I239="",$J239=""),"",$I239+7*$J239-3)</f>
        <v/>
      </c>
      <c r="L239" s="21"/>
      <c r="M239" s="4"/>
      <c r="N239" s="21"/>
      <c r="O239" s="4"/>
      <c r="P239" s="21"/>
      <c r="Q239" s="2" t="n">
        <f aca="false">IF($A239="",0,IF(AND(OR(View!$C$4="All",View!$C$4="",$B239=View!$C$4),OR(View!$C$5="All",View!$C$5="",$C239=View!$C$5),OR(View!$C$6="All",View!$C$6="",$F239=View!$C$6),OR(View!$C$7="All",View!$C$7="",$G239=View!$C$7),OR(View!$C$8="All",View!$C$8="",$H239=View!$C$8,AND(View!$C$8="Open (not Complete)",$H239&lt;&gt;"Complete")),OR(View!$C$9="",ISNUMBER(SEARCH(View!$C$9,$D239&amp;" "&amp;$E239)))),1,0))</f>
        <v>0</v>
      </c>
      <c r="R239" s="2" t="str">
        <f aca="false">IF($Q239=1,COUNTIF($Q$4:$Q239,1),"")</f>
        <v/>
      </c>
    </row>
    <row r="240" customFormat="false" ht="15" hidden="false" customHeight="false" outlineLevel="0" collapsed="false">
      <c r="A240" s="21"/>
      <c r="B240" s="21"/>
      <c r="C240" s="21"/>
      <c r="D240" s="4"/>
      <c r="E240" s="4"/>
      <c r="F240" s="21"/>
      <c r="G240" s="22" t="str">
        <f aca="false">IF($F240="","",IFERROR(INDEX(Lists!$B$4:$B$12,MATCH($F240,Lists!$A$4:$A$12,0)),""))</f>
        <v/>
      </c>
      <c r="H240" s="21"/>
      <c r="I240" s="23"/>
      <c r="J240" s="21"/>
      <c r="K240" s="24" t="str">
        <f aca="false">IF(OR($I240="",$J240=""),"",$I240+7*$J240-3)</f>
        <v/>
      </c>
      <c r="L240" s="21"/>
      <c r="M240" s="4"/>
      <c r="N240" s="21"/>
      <c r="O240" s="4"/>
      <c r="P240" s="21"/>
      <c r="Q240" s="2" t="n">
        <f aca="false">IF($A240="",0,IF(AND(OR(View!$C$4="All",View!$C$4="",$B240=View!$C$4),OR(View!$C$5="All",View!$C$5="",$C240=View!$C$5),OR(View!$C$6="All",View!$C$6="",$F240=View!$C$6),OR(View!$C$7="All",View!$C$7="",$G240=View!$C$7),OR(View!$C$8="All",View!$C$8="",$H240=View!$C$8,AND(View!$C$8="Open (not Complete)",$H240&lt;&gt;"Complete")),OR(View!$C$9="",ISNUMBER(SEARCH(View!$C$9,$D240&amp;" "&amp;$E240)))),1,0))</f>
        <v>0</v>
      </c>
      <c r="R240" s="2" t="str">
        <f aca="false">IF($Q240=1,COUNTIF($Q$4:$Q240,1),"")</f>
        <v/>
      </c>
    </row>
    <row r="241" customFormat="false" ht="15" hidden="false" customHeight="false" outlineLevel="0" collapsed="false">
      <c r="A241" s="21"/>
      <c r="B241" s="21"/>
      <c r="C241" s="21"/>
      <c r="D241" s="4"/>
      <c r="E241" s="4"/>
      <c r="F241" s="21"/>
      <c r="G241" s="22" t="str">
        <f aca="false">IF($F241="","",IFERROR(INDEX(Lists!$B$4:$B$12,MATCH($F241,Lists!$A$4:$A$12,0)),""))</f>
        <v/>
      </c>
      <c r="H241" s="21"/>
      <c r="I241" s="23"/>
      <c r="J241" s="21"/>
      <c r="K241" s="24" t="str">
        <f aca="false">IF(OR($I241="",$J241=""),"",$I241+7*$J241-3)</f>
        <v/>
      </c>
      <c r="L241" s="21"/>
      <c r="M241" s="4"/>
      <c r="N241" s="21"/>
      <c r="O241" s="4"/>
      <c r="P241" s="21"/>
      <c r="Q241" s="2" t="n">
        <f aca="false">IF($A241="",0,IF(AND(OR(View!$C$4="All",View!$C$4="",$B241=View!$C$4),OR(View!$C$5="All",View!$C$5="",$C241=View!$C$5),OR(View!$C$6="All",View!$C$6="",$F241=View!$C$6),OR(View!$C$7="All",View!$C$7="",$G241=View!$C$7),OR(View!$C$8="All",View!$C$8="",$H241=View!$C$8,AND(View!$C$8="Open (not Complete)",$H241&lt;&gt;"Complete")),OR(View!$C$9="",ISNUMBER(SEARCH(View!$C$9,$D241&amp;" "&amp;$E241)))),1,0))</f>
        <v>0</v>
      </c>
      <c r="R241" s="2" t="str">
        <f aca="false">IF($Q241=1,COUNTIF($Q$4:$Q241,1),"")</f>
        <v/>
      </c>
    </row>
    <row r="242" customFormat="false" ht="15" hidden="false" customHeight="false" outlineLevel="0" collapsed="false">
      <c r="A242" s="21"/>
      <c r="B242" s="21"/>
      <c r="C242" s="21"/>
      <c r="D242" s="4"/>
      <c r="E242" s="4"/>
      <c r="F242" s="21"/>
      <c r="G242" s="22" t="str">
        <f aca="false">IF($F242="","",IFERROR(INDEX(Lists!$B$4:$B$12,MATCH($F242,Lists!$A$4:$A$12,0)),""))</f>
        <v/>
      </c>
      <c r="H242" s="21"/>
      <c r="I242" s="23"/>
      <c r="J242" s="21"/>
      <c r="K242" s="24" t="str">
        <f aca="false">IF(OR($I242="",$J242=""),"",$I242+7*$J242-3)</f>
        <v/>
      </c>
      <c r="L242" s="21"/>
      <c r="M242" s="4"/>
      <c r="N242" s="21"/>
      <c r="O242" s="4"/>
      <c r="P242" s="21"/>
      <c r="Q242" s="2" t="n">
        <f aca="false">IF($A242="",0,IF(AND(OR(View!$C$4="All",View!$C$4="",$B242=View!$C$4),OR(View!$C$5="All",View!$C$5="",$C242=View!$C$5),OR(View!$C$6="All",View!$C$6="",$F242=View!$C$6),OR(View!$C$7="All",View!$C$7="",$G242=View!$C$7),OR(View!$C$8="All",View!$C$8="",$H242=View!$C$8,AND(View!$C$8="Open (not Complete)",$H242&lt;&gt;"Complete")),OR(View!$C$9="",ISNUMBER(SEARCH(View!$C$9,$D242&amp;" "&amp;$E242)))),1,0))</f>
        <v>0</v>
      </c>
      <c r="R242" s="2" t="str">
        <f aca="false">IF($Q242=1,COUNTIF($Q$4:$Q242,1),"")</f>
        <v/>
      </c>
    </row>
    <row r="243" customFormat="false" ht="15" hidden="false" customHeight="false" outlineLevel="0" collapsed="false">
      <c r="A243" s="21"/>
      <c r="B243" s="21"/>
      <c r="C243" s="21"/>
      <c r="D243" s="4"/>
      <c r="E243" s="4"/>
      <c r="F243" s="21"/>
      <c r="G243" s="22" t="str">
        <f aca="false">IF($F243="","",IFERROR(INDEX(Lists!$B$4:$B$12,MATCH($F243,Lists!$A$4:$A$12,0)),""))</f>
        <v/>
      </c>
      <c r="H243" s="21"/>
      <c r="I243" s="23"/>
      <c r="J243" s="21"/>
      <c r="K243" s="24" t="str">
        <f aca="false">IF(OR($I243="",$J243=""),"",$I243+7*$J243-3)</f>
        <v/>
      </c>
      <c r="L243" s="21"/>
      <c r="M243" s="4"/>
      <c r="N243" s="21"/>
      <c r="O243" s="4"/>
      <c r="P243" s="21"/>
      <c r="Q243" s="2" t="n">
        <f aca="false">IF($A243="",0,IF(AND(OR(View!$C$4="All",View!$C$4="",$B243=View!$C$4),OR(View!$C$5="All",View!$C$5="",$C243=View!$C$5),OR(View!$C$6="All",View!$C$6="",$F243=View!$C$6),OR(View!$C$7="All",View!$C$7="",$G243=View!$C$7),OR(View!$C$8="All",View!$C$8="",$H243=View!$C$8,AND(View!$C$8="Open (not Complete)",$H243&lt;&gt;"Complete")),OR(View!$C$9="",ISNUMBER(SEARCH(View!$C$9,$D243&amp;" "&amp;$E243)))),1,0))</f>
        <v>0</v>
      </c>
      <c r="R243" s="2" t="str">
        <f aca="false">IF($Q243=1,COUNTIF($Q$4:$Q243,1),"")</f>
        <v/>
      </c>
    </row>
    <row r="244" customFormat="false" ht="15" hidden="false" customHeight="false" outlineLevel="0" collapsed="false">
      <c r="A244" s="21"/>
      <c r="B244" s="21"/>
      <c r="C244" s="21"/>
      <c r="D244" s="4"/>
      <c r="E244" s="4"/>
      <c r="F244" s="21"/>
      <c r="G244" s="22" t="str">
        <f aca="false">IF($F244="","",IFERROR(INDEX(Lists!$B$4:$B$12,MATCH($F244,Lists!$A$4:$A$12,0)),""))</f>
        <v/>
      </c>
      <c r="H244" s="21"/>
      <c r="I244" s="23"/>
      <c r="J244" s="21"/>
      <c r="K244" s="24" t="str">
        <f aca="false">IF(OR($I244="",$J244=""),"",$I244+7*$J244-3)</f>
        <v/>
      </c>
      <c r="L244" s="21"/>
      <c r="M244" s="4"/>
      <c r="N244" s="21"/>
      <c r="O244" s="4"/>
      <c r="P244" s="21"/>
      <c r="Q244" s="2" t="n">
        <f aca="false">IF($A244="",0,IF(AND(OR(View!$C$4="All",View!$C$4="",$B244=View!$C$4),OR(View!$C$5="All",View!$C$5="",$C244=View!$C$5),OR(View!$C$6="All",View!$C$6="",$F244=View!$C$6),OR(View!$C$7="All",View!$C$7="",$G244=View!$C$7),OR(View!$C$8="All",View!$C$8="",$H244=View!$C$8,AND(View!$C$8="Open (not Complete)",$H244&lt;&gt;"Complete")),OR(View!$C$9="",ISNUMBER(SEARCH(View!$C$9,$D244&amp;" "&amp;$E244)))),1,0))</f>
        <v>0</v>
      </c>
      <c r="R244" s="2" t="str">
        <f aca="false">IF($Q244=1,COUNTIF($Q$4:$Q244,1),"")</f>
        <v/>
      </c>
    </row>
    <row r="245" customFormat="false" ht="15" hidden="false" customHeight="false" outlineLevel="0" collapsed="false">
      <c r="A245" s="21"/>
      <c r="B245" s="21"/>
      <c r="C245" s="21"/>
      <c r="D245" s="4"/>
      <c r="E245" s="4"/>
      <c r="F245" s="21"/>
      <c r="G245" s="22" t="str">
        <f aca="false">IF($F245="","",IFERROR(INDEX(Lists!$B$4:$B$12,MATCH($F245,Lists!$A$4:$A$12,0)),""))</f>
        <v/>
      </c>
      <c r="H245" s="21"/>
      <c r="I245" s="23"/>
      <c r="J245" s="21"/>
      <c r="K245" s="24" t="str">
        <f aca="false">IF(OR($I245="",$J245=""),"",$I245+7*$J245-3)</f>
        <v/>
      </c>
      <c r="L245" s="21"/>
      <c r="M245" s="4"/>
      <c r="N245" s="21"/>
      <c r="O245" s="4"/>
      <c r="P245" s="21"/>
      <c r="Q245" s="2" t="n">
        <f aca="false">IF($A245="",0,IF(AND(OR(View!$C$4="All",View!$C$4="",$B245=View!$C$4),OR(View!$C$5="All",View!$C$5="",$C245=View!$C$5),OR(View!$C$6="All",View!$C$6="",$F245=View!$C$6),OR(View!$C$7="All",View!$C$7="",$G245=View!$C$7),OR(View!$C$8="All",View!$C$8="",$H245=View!$C$8,AND(View!$C$8="Open (not Complete)",$H245&lt;&gt;"Complete")),OR(View!$C$9="",ISNUMBER(SEARCH(View!$C$9,$D245&amp;" "&amp;$E245)))),1,0))</f>
        <v>0</v>
      </c>
      <c r="R245" s="2" t="str">
        <f aca="false">IF($Q245=1,COUNTIF($Q$4:$Q245,1),"")</f>
        <v/>
      </c>
    </row>
    <row r="246" customFormat="false" ht="15" hidden="false" customHeight="false" outlineLevel="0" collapsed="false">
      <c r="A246" s="21"/>
      <c r="B246" s="21"/>
      <c r="C246" s="21"/>
      <c r="D246" s="4"/>
      <c r="E246" s="4"/>
      <c r="F246" s="21"/>
      <c r="G246" s="22" t="str">
        <f aca="false">IF($F246="","",IFERROR(INDEX(Lists!$B$4:$B$12,MATCH($F246,Lists!$A$4:$A$12,0)),""))</f>
        <v/>
      </c>
      <c r="H246" s="21"/>
      <c r="I246" s="23"/>
      <c r="J246" s="21"/>
      <c r="K246" s="24" t="str">
        <f aca="false">IF(OR($I246="",$J246=""),"",$I246+7*$J246-3)</f>
        <v/>
      </c>
      <c r="L246" s="21"/>
      <c r="M246" s="4"/>
      <c r="N246" s="21"/>
      <c r="O246" s="4"/>
      <c r="P246" s="21"/>
      <c r="Q246" s="2" t="n">
        <f aca="false">IF($A246="",0,IF(AND(OR(View!$C$4="All",View!$C$4="",$B246=View!$C$4),OR(View!$C$5="All",View!$C$5="",$C246=View!$C$5),OR(View!$C$6="All",View!$C$6="",$F246=View!$C$6),OR(View!$C$7="All",View!$C$7="",$G246=View!$C$7),OR(View!$C$8="All",View!$C$8="",$H246=View!$C$8,AND(View!$C$8="Open (not Complete)",$H246&lt;&gt;"Complete")),OR(View!$C$9="",ISNUMBER(SEARCH(View!$C$9,$D246&amp;" "&amp;$E246)))),1,0))</f>
        <v>0</v>
      </c>
      <c r="R246" s="2" t="str">
        <f aca="false">IF($Q246=1,COUNTIF($Q$4:$Q246,1),"")</f>
        <v/>
      </c>
    </row>
    <row r="247" customFormat="false" ht="15" hidden="false" customHeight="false" outlineLevel="0" collapsed="false">
      <c r="A247" s="21"/>
      <c r="B247" s="21"/>
      <c r="C247" s="21"/>
      <c r="D247" s="4"/>
      <c r="E247" s="4"/>
      <c r="F247" s="21"/>
      <c r="G247" s="22" t="str">
        <f aca="false">IF($F247="","",IFERROR(INDEX(Lists!$B$4:$B$12,MATCH($F247,Lists!$A$4:$A$12,0)),""))</f>
        <v/>
      </c>
      <c r="H247" s="21"/>
      <c r="I247" s="23"/>
      <c r="J247" s="21"/>
      <c r="K247" s="24" t="str">
        <f aca="false">IF(OR($I247="",$J247=""),"",$I247+7*$J247-3)</f>
        <v/>
      </c>
      <c r="L247" s="21"/>
      <c r="M247" s="4"/>
      <c r="N247" s="21"/>
      <c r="O247" s="4"/>
      <c r="P247" s="21"/>
      <c r="Q247" s="2" t="n">
        <f aca="false">IF($A247="",0,IF(AND(OR(View!$C$4="All",View!$C$4="",$B247=View!$C$4),OR(View!$C$5="All",View!$C$5="",$C247=View!$C$5),OR(View!$C$6="All",View!$C$6="",$F247=View!$C$6),OR(View!$C$7="All",View!$C$7="",$G247=View!$C$7),OR(View!$C$8="All",View!$C$8="",$H247=View!$C$8,AND(View!$C$8="Open (not Complete)",$H247&lt;&gt;"Complete")),OR(View!$C$9="",ISNUMBER(SEARCH(View!$C$9,$D247&amp;" "&amp;$E247)))),1,0))</f>
        <v>0</v>
      </c>
      <c r="R247" s="2" t="str">
        <f aca="false">IF($Q247=1,COUNTIF($Q$4:$Q247,1),"")</f>
        <v/>
      </c>
    </row>
    <row r="248" customFormat="false" ht="15" hidden="false" customHeight="false" outlineLevel="0" collapsed="false">
      <c r="A248" s="21"/>
      <c r="B248" s="21"/>
      <c r="C248" s="21"/>
      <c r="D248" s="4"/>
      <c r="E248" s="4"/>
      <c r="F248" s="21"/>
      <c r="G248" s="22" t="str">
        <f aca="false">IF($F248="","",IFERROR(INDEX(Lists!$B$4:$B$12,MATCH($F248,Lists!$A$4:$A$12,0)),""))</f>
        <v/>
      </c>
      <c r="H248" s="21"/>
      <c r="I248" s="23"/>
      <c r="J248" s="21"/>
      <c r="K248" s="24" t="str">
        <f aca="false">IF(OR($I248="",$J248=""),"",$I248+7*$J248-3)</f>
        <v/>
      </c>
      <c r="L248" s="21"/>
      <c r="M248" s="4"/>
      <c r="N248" s="21"/>
      <c r="O248" s="4"/>
      <c r="P248" s="21"/>
      <c r="Q248" s="2" t="n">
        <f aca="false">IF($A248="",0,IF(AND(OR(View!$C$4="All",View!$C$4="",$B248=View!$C$4),OR(View!$C$5="All",View!$C$5="",$C248=View!$C$5),OR(View!$C$6="All",View!$C$6="",$F248=View!$C$6),OR(View!$C$7="All",View!$C$7="",$G248=View!$C$7),OR(View!$C$8="All",View!$C$8="",$H248=View!$C$8,AND(View!$C$8="Open (not Complete)",$H248&lt;&gt;"Complete")),OR(View!$C$9="",ISNUMBER(SEARCH(View!$C$9,$D248&amp;" "&amp;$E248)))),1,0))</f>
        <v>0</v>
      </c>
      <c r="R248" s="2" t="str">
        <f aca="false">IF($Q248=1,COUNTIF($Q$4:$Q248,1),"")</f>
        <v/>
      </c>
    </row>
    <row r="249" customFormat="false" ht="15" hidden="false" customHeight="false" outlineLevel="0" collapsed="false">
      <c r="A249" s="21"/>
      <c r="B249" s="21"/>
      <c r="C249" s="21"/>
      <c r="D249" s="4"/>
      <c r="E249" s="4"/>
      <c r="F249" s="21"/>
      <c r="G249" s="22" t="str">
        <f aca="false">IF($F249="","",IFERROR(INDEX(Lists!$B$4:$B$12,MATCH($F249,Lists!$A$4:$A$12,0)),""))</f>
        <v/>
      </c>
      <c r="H249" s="21"/>
      <c r="I249" s="23"/>
      <c r="J249" s="21"/>
      <c r="K249" s="24" t="str">
        <f aca="false">IF(OR($I249="",$J249=""),"",$I249+7*$J249-3)</f>
        <v/>
      </c>
      <c r="L249" s="21"/>
      <c r="M249" s="4"/>
      <c r="N249" s="21"/>
      <c r="O249" s="4"/>
      <c r="P249" s="21"/>
      <c r="Q249" s="2" t="n">
        <f aca="false">IF($A249="",0,IF(AND(OR(View!$C$4="All",View!$C$4="",$B249=View!$C$4),OR(View!$C$5="All",View!$C$5="",$C249=View!$C$5),OR(View!$C$6="All",View!$C$6="",$F249=View!$C$6),OR(View!$C$7="All",View!$C$7="",$G249=View!$C$7),OR(View!$C$8="All",View!$C$8="",$H249=View!$C$8,AND(View!$C$8="Open (not Complete)",$H249&lt;&gt;"Complete")),OR(View!$C$9="",ISNUMBER(SEARCH(View!$C$9,$D249&amp;" "&amp;$E249)))),1,0))</f>
        <v>0</v>
      </c>
      <c r="R249" s="2" t="str">
        <f aca="false">IF($Q249=1,COUNTIF($Q$4:$Q249,1),"")</f>
        <v/>
      </c>
    </row>
    <row r="250" customFormat="false" ht="15" hidden="false" customHeight="false" outlineLevel="0" collapsed="false">
      <c r="A250" s="21"/>
      <c r="B250" s="21"/>
      <c r="C250" s="21"/>
      <c r="D250" s="4"/>
      <c r="E250" s="4"/>
      <c r="F250" s="21"/>
      <c r="G250" s="22" t="str">
        <f aca="false">IF($F250="","",IFERROR(INDEX(Lists!$B$4:$B$12,MATCH($F250,Lists!$A$4:$A$12,0)),""))</f>
        <v/>
      </c>
      <c r="H250" s="21"/>
      <c r="I250" s="23"/>
      <c r="J250" s="21"/>
      <c r="K250" s="24" t="str">
        <f aca="false">IF(OR($I250="",$J250=""),"",$I250+7*$J250-3)</f>
        <v/>
      </c>
      <c r="L250" s="21"/>
      <c r="M250" s="4"/>
      <c r="N250" s="21"/>
      <c r="O250" s="4"/>
      <c r="P250" s="21"/>
      <c r="Q250" s="2" t="n">
        <f aca="false">IF($A250="",0,IF(AND(OR(View!$C$4="All",View!$C$4="",$B250=View!$C$4),OR(View!$C$5="All",View!$C$5="",$C250=View!$C$5),OR(View!$C$6="All",View!$C$6="",$F250=View!$C$6),OR(View!$C$7="All",View!$C$7="",$G250=View!$C$7),OR(View!$C$8="All",View!$C$8="",$H250=View!$C$8,AND(View!$C$8="Open (not Complete)",$H250&lt;&gt;"Complete")),OR(View!$C$9="",ISNUMBER(SEARCH(View!$C$9,$D250&amp;" "&amp;$E250)))),1,0))</f>
        <v>0</v>
      </c>
      <c r="R250" s="2" t="str">
        <f aca="false">IF($Q250=1,COUNTIF($Q$4:$Q250,1),"")</f>
        <v/>
      </c>
    </row>
    <row r="251" customFormat="false" ht="15" hidden="false" customHeight="false" outlineLevel="0" collapsed="false">
      <c r="A251" s="21"/>
      <c r="B251" s="21"/>
      <c r="C251" s="21"/>
      <c r="D251" s="4"/>
      <c r="E251" s="4"/>
      <c r="F251" s="21"/>
      <c r="G251" s="22" t="str">
        <f aca="false">IF($F251="","",IFERROR(INDEX(Lists!$B$4:$B$12,MATCH($F251,Lists!$A$4:$A$12,0)),""))</f>
        <v/>
      </c>
      <c r="H251" s="21"/>
      <c r="I251" s="23"/>
      <c r="J251" s="21"/>
      <c r="K251" s="24" t="str">
        <f aca="false">IF(OR($I251="",$J251=""),"",$I251+7*$J251-3)</f>
        <v/>
      </c>
      <c r="L251" s="21"/>
      <c r="M251" s="4"/>
      <c r="N251" s="21"/>
      <c r="O251" s="4"/>
      <c r="P251" s="21"/>
      <c r="Q251" s="2" t="n">
        <f aca="false">IF($A251="",0,IF(AND(OR(View!$C$4="All",View!$C$4="",$B251=View!$C$4),OR(View!$C$5="All",View!$C$5="",$C251=View!$C$5),OR(View!$C$6="All",View!$C$6="",$F251=View!$C$6),OR(View!$C$7="All",View!$C$7="",$G251=View!$C$7),OR(View!$C$8="All",View!$C$8="",$H251=View!$C$8,AND(View!$C$8="Open (not Complete)",$H251&lt;&gt;"Complete")),OR(View!$C$9="",ISNUMBER(SEARCH(View!$C$9,$D251&amp;" "&amp;$E251)))),1,0))</f>
        <v>0</v>
      </c>
      <c r="R251" s="2" t="str">
        <f aca="false">IF($Q251=1,COUNTIF($Q$4:$Q251,1),"")</f>
        <v/>
      </c>
    </row>
    <row r="252" customFormat="false" ht="15" hidden="false" customHeight="false" outlineLevel="0" collapsed="false">
      <c r="A252" s="21"/>
      <c r="B252" s="21"/>
      <c r="C252" s="21"/>
      <c r="D252" s="4"/>
      <c r="E252" s="4"/>
      <c r="F252" s="21"/>
      <c r="G252" s="22" t="str">
        <f aca="false">IF($F252="","",IFERROR(INDEX(Lists!$B$4:$B$12,MATCH($F252,Lists!$A$4:$A$12,0)),""))</f>
        <v/>
      </c>
      <c r="H252" s="21"/>
      <c r="I252" s="23"/>
      <c r="J252" s="21"/>
      <c r="K252" s="24" t="str">
        <f aca="false">IF(OR($I252="",$J252=""),"",$I252+7*$J252-3)</f>
        <v/>
      </c>
      <c r="L252" s="21"/>
      <c r="M252" s="4"/>
      <c r="N252" s="21"/>
      <c r="O252" s="4"/>
      <c r="P252" s="21"/>
      <c r="Q252" s="2" t="n">
        <f aca="false">IF($A252="",0,IF(AND(OR(View!$C$4="All",View!$C$4="",$B252=View!$C$4),OR(View!$C$5="All",View!$C$5="",$C252=View!$C$5),OR(View!$C$6="All",View!$C$6="",$F252=View!$C$6),OR(View!$C$7="All",View!$C$7="",$G252=View!$C$7),OR(View!$C$8="All",View!$C$8="",$H252=View!$C$8,AND(View!$C$8="Open (not Complete)",$H252&lt;&gt;"Complete")),OR(View!$C$9="",ISNUMBER(SEARCH(View!$C$9,$D252&amp;" "&amp;$E252)))),1,0))</f>
        <v>0</v>
      </c>
      <c r="R252" s="2" t="str">
        <f aca="false">IF($Q252=1,COUNTIF($Q$4:$Q252,1),"")</f>
        <v/>
      </c>
    </row>
    <row r="253" customFormat="false" ht="15" hidden="false" customHeight="false" outlineLevel="0" collapsed="false">
      <c r="A253" s="21"/>
      <c r="B253" s="21"/>
      <c r="C253" s="21"/>
      <c r="D253" s="4"/>
      <c r="E253" s="4"/>
      <c r="F253" s="21"/>
      <c r="G253" s="22" t="str">
        <f aca="false">IF($F253="","",IFERROR(INDEX(Lists!$B$4:$B$12,MATCH($F253,Lists!$A$4:$A$12,0)),""))</f>
        <v/>
      </c>
      <c r="H253" s="21"/>
      <c r="I253" s="23"/>
      <c r="J253" s="21"/>
      <c r="K253" s="24" t="str">
        <f aca="false">IF(OR($I253="",$J253=""),"",$I253+7*$J253-3)</f>
        <v/>
      </c>
      <c r="L253" s="21"/>
      <c r="M253" s="4"/>
      <c r="N253" s="21"/>
      <c r="O253" s="4"/>
      <c r="P253" s="21"/>
      <c r="Q253" s="2" t="n">
        <f aca="false">IF($A253="",0,IF(AND(OR(View!$C$4="All",View!$C$4="",$B253=View!$C$4),OR(View!$C$5="All",View!$C$5="",$C253=View!$C$5),OR(View!$C$6="All",View!$C$6="",$F253=View!$C$6),OR(View!$C$7="All",View!$C$7="",$G253=View!$C$7),OR(View!$C$8="All",View!$C$8="",$H253=View!$C$8,AND(View!$C$8="Open (not Complete)",$H253&lt;&gt;"Complete")),OR(View!$C$9="",ISNUMBER(SEARCH(View!$C$9,$D253&amp;" "&amp;$E253)))),1,0))</f>
        <v>0</v>
      </c>
      <c r="R253" s="2" t="str">
        <f aca="false">IF($Q253=1,COUNTIF($Q$4:$Q253,1),"")</f>
        <v/>
      </c>
    </row>
    <row r="254" customFormat="false" ht="15" hidden="false" customHeight="false" outlineLevel="0" collapsed="false">
      <c r="A254" s="21"/>
      <c r="B254" s="21"/>
      <c r="C254" s="21"/>
      <c r="D254" s="4"/>
      <c r="E254" s="4"/>
      <c r="F254" s="21"/>
      <c r="G254" s="22" t="str">
        <f aca="false">IF($F254="","",IFERROR(INDEX(Lists!$B$4:$B$12,MATCH($F254,Lists!$A$4:$A$12,0)),""))</f>
        <v/>
      </c>
      <c r="H254" s="21"/>
      <c r="I254" s="23"/>
      <c r="J254" s="21"/>
      <c r="K254" s="24" t="str">
        <f aca="false">IF(OR($I254="",$J254=""),"",$I254+7*$J254-3)</f>
        <v/>
      </c>
      <c r="L254" s="21"/>
      <c r="M254" s="4"/>
      <c r="N254" s="21"/>
      <c r="O254" s="4"/>
      <c r="P254" s="21"/>
      <c r="Q254" s="2" t="n">
        <f aca="false">IF($A254="",0,IF(AND(OR(View!$C$4="All",View!$C$4="",$B254=View!$C$4),OR(View!$C$5="All",View!$C$5="",$C254=View!$C$5),OR(View!$C$6="All",View!$C$6="",$F254=View!$C$6),OR(View!$C$7="All",View!$C$7="",$G254=View!$C$7),OR(View!$C$8="All",View!$C$8="",$H254=View!$C$8,AND(View!$C$8="Open (not Complete)",$H254&lt;&gt;"Complete")),OR(View!$C$9="",ISNUMBER(SEARCH(View!$C$9,$D254&amp;" "&amp;$E254)))),1,0))</f>
        <v>0</v>
      </c>
      <c r="R254" s="2" t="str">
        <f aca="false">IF($Q254=1,COUNTIF($Q$4:$Q254,1),"")</f>
        <v/>
      </c>
    </row>
    <row r="255" customFormat="false" ht="15" hidden="false" customHeight="false" outlineLevel="0" collapsed="false">
      <c r="A255" s="21"/>
      <c r="B255" s="21"/>
      <c r="C255" s="21"/>
      <c r="D255" s="4"/>
      <c r="E255" s="4"/>
      <c r="F255" s="21"/>
      <c r="G255" s="22" t="str">
        <f aca="false">IF($F255="","",IFERROR(INDEX(Lists!$B$4:$B$12,MATCH($F255,Lists!$A$4:$A$12,0)),""))</f>
        <v/>
      </c>
      <c r="H255" s="21"/>
      <c r="I255" s="23"/>
      <c r="J255" s="21"/>
      <c r="K255" s="24" t="str">
        <f aca="false">IF(OR($I255="",$J255=""),"",$I255+7*$J255-3)</f>
        <v/>
      </c>
      <c r="L255" s="21"/>
      <c r="M255" s="4"/>
      <c r="N255" s="21"/>
      <c r="O255" s="4"/>
      <c r="P255" s="21"/>
      <c r="Q255" s="2" t="n">
        <f aca="false">IF($A255="",0,IF(AND(OR(View!$C$4="All",View!$C$4="",$B255=View!$C$4),OR(View!$C$5="All",View!$C$5="",$C255=View!$C$5),OR(View!$C$6="All",View!$C$6="",$F255=View!$C$6),OR(View!$C$7="All",View!$C$7="",$G255=View!$C$7),OR(View!$C$8="All",View!$C$8="",$H255=View!$C$8,AND(View!$C$8="Open (not Complete)",$H255&lt;&gt;"Complete")),OR(View!$C$9="",ISNUMBER(SEARCH(View!$C$9,$D255&amp;" "&amp;$E255)))),1,0))</f>
        <v>0</v>
      </c>
      <c r="R255" s="2" t="str">
        <f aca="false">IF($Q255=1,COUNTIF($Q$4:$Q255,1),"")</f>
        <v/>
      </c>
    </row>
    <row r="256" customFormat="false" ht="15" hidden="false" customHeight="false" outlineLevel="0" collapsed="false">
      <c r="A256" s="21"/>
      <c r="B256" s="21"/>
      <c r="C256" s="21"/>
      <c r="D256" s="4"/>
      <c r="E256" s="4"/>
      <c r="F256" s="21"/>
      <c r="G256" s="22" t="str">
        <f aca="false">IF($F256="","",IFERROR(INDEX(Lists!$B$4:$B$12,MATCH($F256,Lists!$A$4:$A$12,0)),""))</f>
        <v/>
      </c>
      <c r="H256" s="21"/>
      <c r="I256" s="23"/>
      <c r="J256" s="21"/>
      <c r="K256" s="24" t="str">
        <f aca="false">IF(OR($I256="",$J256=""),"",$I256+7*$J256-3)</f>
        <v/>
      </c>
      <c r="L256" s="21"/>
      <c r="M256" s="4"/>
      <c r="N256" s="21"/>
      <c r="O256" s="4"/>
      <c r="P256" s="21"/>
      <c r="Q256" s="2" t="n">
        <f aca="false">IF($A256="",0,IF(AND(OR(View!$C$4="All",View!$C$4="",$B256=View!$C$4),OR(View!$C$5="All",View!$C$5="",$C256=View!$C$5),OR(View!$C$6="All",View!$C$6="",$F256=View!$C$6),OR(View!$C$7="All",View!$C$7="",$G256=View!$C$7),OR(View!$C$8="All",View!$C$8="",$H256=View!$C$8,AND(View!$C$8="Open (not Complete)",$H256&lt;&gt;"Complete")),OR(View!$C$9="",ISNUMBER(SEARCH(View!$C$9,$D256&amp;" "&amp;$E256)))),1,0))</f>
        <v>0</v>
      </c>
      <c r="R256" s="2" t="str">
        <f aca="false">IF($Q256=1,COUNTIF($Q$4:$Q256,1),"")</f>
        <v/>
      </c>
    </row>
    <row r="257" customFormat="false" ht="15" hidden="false" customHeight="false" outlineLevel="0" collapsed="false">
      <c r="A257" s="21"/>
      <c r="B257" s="21"/>
      <c r="C257" s="21"/>
      <c r="D257" s="4"/>
      <c r="E257" s="4"/>
      <c r="F257" s="21"/>
      <c r="G257" s="22" t="str">
        <f aca="false">IF($F257="","",IFERROR(INDEX(Lists!$B$4:$B$12,MATCH($F257,Lists!$A$4:$A$12,0)),""))</f>
        <v/>
      </c>
      <c r="H257" s="21"/>
      <c r="I257" s="23"/>
      <c r="J257" s="21"/>
      <c r="K257" s="24" t="str">
        <f aca="false">IF(OR($I257="",$J257=""),"",$I257+7*$J257-3)</f>
        <v/>
      </c>
      <c r="L257" s="21"/>
      <c r="M257" s="4"/>
      <c r="N257" s="21"/>
      <c r="O257" s="4"/>
      <c r="P257" s="21"/>
      <c r="Q257" s="2" t="n">
        <f aca="false">IF($A257="",0,IF(AND(OR(View!$C$4="All",View!$C$4="",$B257=View!$C$4),OR(View!$C$5="All",View!$C$5="",$C257=View!$C$5),OR(View!$C$6="All",View!$C$6="",$F257=View!$C$6),OR(View!$C$7="All",View!$C$7="",$G257=View!$C$7),OR(View!$C$8="All",View!$C$8="",$H257=View!$C$8,AND(View!$C$8="Open (not Complete)",$H257&lt;&gt;"Complete")),OR(View!$C$9="",ISNUMBER(SEARCH(View!$C$9,$D257&amp;" "&amp;$E257)))),1,0))</f>
        <v>0</v>
      </c>
      <c r="R257" s="2" t="str">
        <f aca="false">IF($Q257=1,COUNTIF($Q$4:$Q257,1),"")</f>
        <v/>
      </c>
    </row>
    <row r="258" customFormat="false" ht="15" hidden="false" customHeight="false" outlineLevel="0" collapsed="false">
      <c r="A258" s="21"/>
      <c r="B258" s="21"/>
      <c r="C258" s="21"/>
      <c r="D258" s="4"/>
      <c r="E258" s="4"/>
      <c r="F258" s="21"/>
      <c r="G258" s="22" t="str">
        <f aca="false">IF($F258="","",IFERROR(INDEX(Lists!$B$4:$B$12,MATCH($F258,Lists!$A$4:$A$12,0)),""))</f>
        <v/>
      </c>
      <c r="H258" s="21"/>
      <c r="I258" s="23"/>
      <c r="J258" s="21"/>
      <c r="K258" s="24" t="str">
        <f aca="false">IF(OR($I258="",$J258=""),"",$I258+7*$J258-3)</f>
        <v/>
      </c>
      <c r="L258" s="21"/>
      <c r="M258" s="4"/>
      <c r="N258" s="21"/>
      <c r="O258" s="4"/>
      <c r="P258" s="21"/>
      <c r="Q258" s="2" t="n">
        <f aca="false">IF($A258="",0,IF(AND(OR(View!$C$4="All",View!$C$4="",$B258=View!$C$4),OR(View!$C$5="All",View!$C$5="",$C258=View!$C$5),OR(View!$C$6="All",View!$C$6="",$F258=View!$C$6),OR(View!$C$7="All",View!$C$7="",$G258=View!$C$7),OR(View!$C$8="All",View!$C$8="",$H258=View!$C$8,AND(View!$C$8="Open (not Complete)",$H258&lt;&gt;"Complete")),OR(View!$C$9="",ISNUMBER(SEARCH(View!$C$9,$D258&amp;" "&amp;$E258)))),1,0))</f>
        <v>0</v>
      </c>
      <c r="R258" s="2" t="str">
        <f aca="false">IF($Q258=1,COUNTIF($Q$4:$Q258,1),"")</f>
        <v/>
      </c>
    </row>
    <row r="259" customFormat="false" ht="15" hidden="false" customHeight="false" outlineLevel="0" collapsed="false">
      <c r="A259" s="21"/>
      <c r="B259" s="21"/>
      <c r="C259" s="21"/>
      <c r="D259" s="4"/>
      <c r="E259" s="4"/>
      <c r="F259" s="21"/>
      <c r="G259" s="22" t="str">
        <f aca="false">IF($F259="","",IFERROR(INDEX(Lists!$B$4:$B$12,MATCH($F259,Lists!$A$4:$A$12,0)),""))</f>
        <v/>
      </c>
      <c r="H259" s="21"/>
      <c r="I259" s="23"/>
      <c r="J259" s="21"/>
      <c r="K259" s="24" t="str">
        <f aca="false">IF(OR($I259="",$J259=""),"",$I259+7*$J259-3)</f>
        <v/>
      </c>
      <c r="L259" s="21"/>
      <c r="M259" s="4"/>
      <c r="N259" s="21"/>
      <c r="O259" s="4"/>
      <c r="P259" s="21"/>
      <c r="Q259" s="2" t="n">
        <f aca="false">IF($A259="",0,IF(AND(OR(View!$C$4="All",View!$C$4="",$B259=View!$C$4),OR(View!$C$5="All",View!$C$5="",$C259=View!$C$5),OR(View!$C$6="All",View!$C$6="",$F259=View!$C$6),OR(View!$C$7="All",View!$C$7="",$G259=View!$C$7),OR(View!$C$8="All",View!$C$8="",$H259=View!$C$8,AND(View!$C$8="Open (not Complete)",$H259&lt;&gt;"Complete")),OR(View!$C$9="",ISNUMBER(SEARCH(View!$C$9,$D259&amp;" "&amp;$E259)))),1,0))</f>
        <v>0</v>
      </c>
      <c r="R259" s="2" t="str">
        <f aca="false">IF($Q259=1,COUNTIF($Q$4:$Q259,1),"")</f>
        <v/>
      </c>
    </row>
    <row r="260" customFormat="false" ht="15" hidden="false" customHeight="false" outlineLevel="0" collapsed="false">
      <c r="A260" s="21"/>
      <c r="B260" s="21"/>
      <c r="C260" s="21"/>
      <c r="D260" s="4"/>
      <c r="E260" s="4"/>
      <c r="F260" s="21"/>
      <c r="G260" s="22" t="str">
        <f aca="false">IF($F260="","",IFERROR(INDEX(Lists!$B$4:$B$12,MATCH($F260,Lists!$A$4:$A$12,0)),""))</f>
        <v/>
      </c>
      <c r="H260" s="21"/>
      <c r="I260" s="23"/>
      <c r="J260" s="21"/>
      <c r="K260" s="24" t="str">
        <f aca="false">IF(OR($I260="",$J260=""),"",$I260+7*$J260-3)</f>
        <v/>
      </c>
      <c r="L260" s="21"/>
      <c r="M260" s="4"/>
      <c r="N260" s="21"/>
      <c r="O260" s="4"/>
      <c r="P260" s="21"/>
      <c r="Q260" s="2" t="n">
        <f aca="false">IF($A260="",0,IF(AND(OR(View!$C$4="All",View!$C$4="",$B260=View!$C$4),OR(View!$C$5="All",View!$C$5="",$C260=View!$C$5),OR(View!$C$6="All",View!$C$6="",$F260=View!$C$6),OR(View!$C$7="All",View!$C$7="",$G260=View!$C$7),OR(View!$C$8="All",View!$C$8="",$H260=View!$C$8,AND(View!$C$8="Open (not Complete)",$H260&lt;&gt;"Complete")),OR(View!$C$9="",ISNUMBER(SEARCH(View!$C$9,$D260&amp;" "&amp;$E260)))),1,0))</f>
        <v>0</v>
      </c>
      <c r="R260" s="2" t="str">
        <f aca="false">IF($Q260=1,COUNTIF($Q$4:$Q260,1),"")</f>
        <v/>
      </c>
    </row>
    <row r="261" customFormat="false" ht="15" hidden="false" customHeight="false" outlineLevel="0" collapsed="false">
      <c r="A261" s="21"/>
      <c r="B261" s="21"/>
      <c r="C261" s="21"/>
      <c r="D261" s="4"/>
      <c r="E261" s="4"/>
      <c r="F261" s="21"/>
      <c r="G261" s="22" t="str">
        <f aca="false">IF($F261="","",IFERROR(INDEX(Lists!$B$4:$B$12,MATCH($F261,Lists!$A$4:$A$12,0)),""))</f>
        <v/>
      </c>
      <c r="H261" s="21"/>
      <c r="I261" s="23"/>
      <c r="J261" s="21"/>
      <c r="K261" s="24" t="str">
        <f aca="false">IF(OR($I261="",$J261=""),"",$I261+7*$J261-3)</f>
        <v/>
      </c>
      <c r="L261" s="21"/>
      <c r="M261" s="4"/>
      <c r="N261" s="21"/>
      <c r="O261" s="4"/>
      <c r="P261" s="21"/>
      <c r="Q261" s="2" t="n">
        <f aca="false">IF($A261="",0,IF(AND(OR(View!$C$4="All",View!$C$4="",$B261=View!$C$4),OR(View!$C$5="All",View!$C$5="",$C261=View!$C$5),OR(View!$C$6="All",View!$C$6="",$F261=View!$C$6),OR(View!$C$7="All",View!$C$7="",$G261=View!$C$7),OR(View!$C$8="All",View!$C$8="",$H261=View!$C$8,AND(View!$C$8="Open (not Complete)",$H261&lt;&gt;"Complete")),OR(View!$C$9="",ISNUMBER(SEARCH(View!$C$9,$D261&amp;" "&amp;$E261)))),1,0))</f>
        <v>0</v>
      </c>
      <c r="R261" s="2" t="str">
        <f aca="false">IF($Q261=1,COUNTIF($Q$4:$Q261,1),"")</f>
        <v/>
      </c>
    </row>
    <row r="262" customFormat="false" ht="15" hidden="false" customHeight="false" outlineLevel="0" collapsed="false">
      <c r="A262" s="21"/>
      <c r="B262" s="21"/>
      <c r="C262" s="21"/>
      <c r="D262" s="4"/>
      <c r="E262" s="4"/>
      <c r="F262" s="21"/>
      <c r="G262" s="22" t="str">
        <f aca="false">IF($F262="","",IFERROR(INDEX(Lists!$B$4:$B$12,MATCH($F262,Lists!$A$4:$A$12,0)),""))</f>
        <v/>
      </c>
      <c r="H262" s="21"/>
      <c r="I262" s="23"/>
      <c r="J262" s="21"/>
      <c r="K262" s="24" t="str">
        <f aca="false">IF(OR($I262="",$J262=""),"",$I262+7*$J262-3)</f>
        <v/>
      </c>
      <c r="L262" s="21"/>
      <c r="M262" s="4"/>
      <c r="N262" s="21"/>
      <c r="O262" s="4"/>
      <c r="P262" s="21"/>
      <c r="Q262" s="2" t="n">
        <f aca="false">IF($A262="",0,IF(AND(OR(View!$C$4="All",View!$C$4="",$B262=View!$C$4),OR(View!$C$5="All",View!$C$5="",$C262=View!$C$5),OR(View!$C$6="All",View!$C$6="",$F262=View!$C$6),OR(View!$C$7="All",View!$C$7="",$G262=View!$C$7),OR(View!$C$8="All",View!$C$8="",$H262=View!$C$8,AND(View!$C$8="Open (not Complete)",$H262&lt;&gt;"Complete")),OR(View!$C$9="",ISNUMBER(SEARCH(View!$C$9,$D262&amp;" "&amp;$E262)))),1,0))</f>
        <v>0</v>
      </c>
      <c r="R262" s="2" t="str">
        <f aca="false">IF($Q262=1,COUNTIF($Q$4:$Q262,1),"")</f>
        <v/>
      </c>
    </row>
    <row r="263" customFormat="false" ht="15" hidden="false" customHeight="false" outlineLevel="0" collapsed="false">
      <c r="A263" s="21"/>
      <c r="B263" s="21"/>
      <c r="C263" s="21"/>
      <c r="D263" s="4"/>
      <c r="E263" s="4"/>
      <c r="F263" s="21"/>
      <c r="G263" s="22" t="str">
        <f aca="false">IF($F263="","",IFERROR(INDEX(Lists!$B$4:$B$12,MATCH($F263,Lists!$A$4:$A$12,0)),""))</f>
        <v/>
      </c>
      <c r="H263" s="21"/>
      <c r="I263" s="23"/>
      <c r="J263" s="21"/>
      <c r="K263" s="24" t="str">
        <f aca="false">IF(OR($I263="",$J263=""),"",$I263+7*$J263-3)</f>
        <v/>
      </c>
      <c r="L263" s="21"/>
      <c r="M263" s="4"/>
      <c r="N263" s="21"/>
      <c r="O263" s="4"/>
      <c r="P263" s="21"/>
      <c r="Q263" s="2" t="n">
        <f aca="false">IF($A263="",0,IF(AND(OR(View!$C$4="All",View!$C$4="",$B263=View!$C$4),OR(View!$C$5="All",View!$C$5="",$C263=View!$C$5),OR(View!$C$6="All",View!$C$6="",$F263=View!$C$6),OR(View!$C$7="All",View!$C$7="",$G263=View!$C$7),OR(View!$C$8="All",View!$C$8="",$H263=View!$C$8,AND(View!$C$8="Open (not Complete)",$H263&lt;&gt;"Complete")),OR(View!$C$9="",ISNUMBER(SEARCH(View!$C$9,$D263&amp;" "&amp;$E263)))),1,0))</f>
        <v>0</v>
      </c>
      <c r="R263" s="2" t="str">
        <f aca="false">IF($Q263=1,COUNTIF($Q$4:$Q263,1),"")</f>
        <v/>
      </c>
    </row>
    <row r="264" customFormat="false" ht="15" hidden="false" customHeight="false" outlineLevel="0" collapsed="false">
      <c r="A264" s="21"/>
      <c r="B264" s="21"/>
      <c r="C264" s="21"/>
      <c r="D264" s="4"/>
      <c r="E264" s="4"/>
      <c r="F264" s="21"/>
      <c r="G264" s="22" t="str">
        <f aca="false">IF($F264="","",IFERROR(INDEX(Lists!$B$4:$B$12,MATCH($F264,Lists!$A$4:$A$12,0)),""))</f>
        <v/>
      </c>
      <c r="H264" s="21"/>
      <c r="I264" s="23"/>
      <c r="J264" s="21"/>
      <c r="K264" s="24" t="str">
        <f aca="false">IF(OR($I264="",$J264=""),"",$I264+7*$J264-3)</f>
        <v/>
      </c>
      <c r="L264" s="21"/>
      <c r="M264" s="4"/>
      <c r="N264" s="21"/>
      <c r="O264" s="4"/>
      <c r="P264" s="21"/>
      <c r="Q264" s="2" t="n">
        <f aca="false">IF($A264="",0,IF(AND(OR(View!$C$4="All",View!$C$4="",$B264=View!$C$4),OR(View!$C$5="All",View!$C$5="",$C264=View!$C$5),OR(View!$C$6="All",View!$C$6="",$F264=View!$C$6),OR(View!$C$7="All",View!$C$7="",$G264=View!$C$7),OR(View!$C$8="All",View!$C$8="",$H264=View!$C$8,AND(View!$C$8="Open (not Complete)",$H264&lt;&gt;"Complete")),OR(View!$C$9="",ISNUMBER(SEARCH(View!$C$9,$D264&amp;" "&amp;$E264)))),1,0))</f>
        <v>0</v>
      </c>
      <c r="R264" s="2" t="str">
        <f aca="false">IF($Q264=1,COUNTIF($Q$4:$Q264,1),"")</f>
        <v/>
      </c>
    </row>
    <row r="265" customFormat="false" ht="15" hidden="false" customHeight="false" outlineLevel="0" collapsed="false">
      <c r="A265" s="21"/>
      <c r="B265" s="21"/>
      <c r="C265" s="21"/>
      <c r="D265" s="4"/>
      <c r="E265" s="4"/>
      <c r="F265" s="21"/>
      <c r="G265" s="22" t="str">
        <f aca="false">IF($F265="","",IFERROR(INDEX(Lists!$B$4:$B$12,MATCH($F265,Lists!$A$4:$A$12,0)),""))</f>
        <v/>
      </c>
      <c r="H265" s="21"/>
      <c r="I265" s="23"/>
      <c r="J265" s="21"/>
      <c r="K265" s="24" t="str">
        <f aca="false">IF(OR($I265="",$J265=""),"",$I265+7*$J265-3)</f>
        <v/>
      </c>
      <c r="L265" s="21"/>
      <c r="M265" s="4"/>
      <c r="N265" s="21"/>
      <c r="O265" s="4"/>
      <c r="P265" s="21"/>
      <c r="Q265" s="2" t="n">
        <f aca="false">IF($A265="",0,IF(AND(OR(View!$C$4="All",View!$C$4="",$B265=View!$C$4),OR(View!$C$5="All",View!$C$5="",$C265=View!$C$5),OR(View!$C$6="All",View!$C$6="",$F265=View!$C$6),OR(View!$C$7="All",View!$C$7="",$G265=View!$C$7),OR(View!$C$8="All",View!$C$8="",$H265=View!$C$8,AND(View!$C$8="Open (not Complete)",$H265&lt;&gt;"Complete")),OR(View!$C$9="",ISNUMBER(SEARCH(View!$C$9,$D265&amp;" "&amp;$E265)))),1,0))</f>
        <v>0</v>
      </c>
      <c r="R265" s="2" t="str">
        <f aca="false">IF($Q265=1,COUNTIF($Q$4:$Q265,1),"")</f>
        <v/>
      </c>
    </row>
    <row r="266" customFormat="false" ht="15" hidden="false" customHeight="false" outlineLevel="0" collapsed="false">
      <c r="A266" s="21"/>
      <c r="B266" s="21"/>
      <c r="C266" s="21"/>
      <c r="D266" s="4"/>
      <c r="E266" s="4"/>
      <c r="F266" s="21"/>
      <c r="G266" s="22" t="str">
        <f aca="false">IF($F266="","",IFERROR(INDEX(Lists!$B$4:$B$12,MATCH($F266,Lists!$A$4:$A$12,0)),""))</f>
        <v/>
      </c>
      <c r="H266" s="21"/>
      <c r="I266" s="23"/>
      <c r="J266" s="21"/>
      <c r="K266" s="24" t="str">
        <f aca="false">IF(OR($I266="",$J266=""),"",$I266+7*$J266-3)</f>
        <v/>
      </c>
      <c r="L266" s="21"/>
      <c r="M266" s="4"/>
      <c r="N266" s="21"/>
      <c r="O266" s="4"/>
      <c r="P266" s="21"/>
      <c r="Q266" s="2" t="n">
        <f aca="false">IF($A266="",0,IF(AND(OR(View!$C$4="All",View!$C$4="",$B266=View!$C$4),OR(View!$C$5="All",View!$C$5="",$C266=View!$C$5),OR(View!$C$6="All",View!$C$6="",$F266=View!$C$6),OR(View!$C$7="All",View!$C$7="",$G266=View!$C$7),OR(View!$C$8="All",View!$C$8="",$H266=View!$C$8,AND(View!$C$8="Open (not Complete)",$H266&lt;&gt;"Complete")),OR(View!$C$9="",ISNUMBER(SEARCH(View!$C$9,$D266&amp;" "&amp;$E266)))),1,0))</f>
        <v>0</v>
      </c>
      <c r="R266" s="2" t="str">
        <f aca="false">IF($Q266=1,COUNTIF($Q$4:$Q266,1),"")</f>
        <v/>
      </c>
    </row>
    <row r="267" customFormat="false" ht="15" hidden="false" customHeight="false" outlineLevel="0" collapsed="false">
      <c r="A267" s="21"/>
      <c r="B267" s="21"/>
      <c r="C267" s="21"/>
      <c r="D267" s="4"/>
      <c r="E267" s="4"/>
      <c r="F267" s="21"/>
      <c r="G267" s="22" t="str">
        <f aca="false">IF($F267="","",IFERROR(INDEX(Lists!$B$4:$B$12,MATCH($F267,Lists!$A$4:$A$12,0)),""))</f>
        <v/>
      </c>
      <c r="H267" s="21"/>
      <c r="I267" s="23"/>
      <c r="J267" s="21"/>
      <c r="K267" s="24" t="str">
        <f aca="false">IF(OR($I267="",$J267=""),"",$I267+7*$J267-3)</f>
        <v/>
      </c>
      <c r="L267" s="21"/>
      <c r="M267" s="4"/>
      <c r="N267" s="21"/>
      <c r="O267" s="4"/>
      <c r="P267" s="21"/>
      <c r="Q267" s="2" t="n">
        <f aca="false">IF($A267="",0,IF(AND(OR(View!$C$4="All",View!$C$4="",$B267=View!$C$4),OR(View!$C$5="All",View!$C$5="",$C267=View!$C$5),OR(View!$C$6="All",View!$C$6="",$F267=View!$C$6),OR(View!$C$7="All",View!$C$7="",$G267=View!$C$7),OR(View!$C$8="All",View!$C$8="",$H267=View!$C$8,AND(View!$C$8="Open (not Complete)",$H267&lt;&gt;"Complete")),OR(View!$C$9="",ISNUMBER(SEARCH(View!$C$9,$D267&amp;" "&amp;$E267)))),1,0))</f>
        <v>0</v>
      </c>
      <c r="R267" s="2" t="str">
        <f aca="false">IF($Q267=1,COUNTIF($Q$4:$Q267,1),"")</f>
        <v/>
      </c>
    </row>
    <row r="268" customFormat="false" ht="15" hidden="false" customHeight="false" outlineLevel="0" collapsed="false">
      <c r="A268" s="21"/>
      <c r="B268" s="21"/>
      <c r="C268" s="21"/>
      <c r="D268" s="4"/>
      <c r="E268" s="4"/>
      <c r="F268" s="21"/>
      <c r="G268" s="22" t="str">
        <f aca="false">IF($F268="","",IFERROR(INDEX(Lists!$B$4:$B$12,MATCH($F268,Lists!$A$4:$A$12,0)),""))</f>
        <v/>
      </c>
      <c r="H268" s="21"/>
      <c r="I268" s="23"/>
      <c r="J268" s="21"/>
      <c r="K268" s="24" t="str">
        <f aca="false">IF(OR($I268="",$J268=""),"",$I268+7*$J268-3)</f>
        <v/>
      </c>
      <c r="L268" s="21"/>
      <c r="M268" s="4"/>
      <c r="N268" s="21"/>
      <c r="O268" s="4"/>
      <c r="P268" s="21"/>
      <c r="Q268" s="2" t="n">
        <f aca="false">IF($A268="",0,IF(AND(OR(View!$C$4="All",View!$C$4="",$B268=View!$C$4),OR(View!$C$5="All",View!$C$5="",$C268=View!$C$5),OR(View!$C$6="All",View!$C$6="",$F268=View!$C$6),OR(View!$C$7="All",View!$C$7="",$G268=View!$C$7),OR(View!$C$8="All",View!$C$8="",$H268=View!$C$8,AND(View!$C$8="Open (not Complete)",$H268&lt;&gt;"Complete")),OR(View!$C$9="",ISNUMBER(SEARCH(View!$C$9,$D268&amp;" "&amp;$E268)))),1,0))</f>
        <v>0</v>
      </c>
      <c r="R268" s="2" t="str">
        <f aca="false">IF($Q268=1,COUNTIF($Q$4:$Q268,1),"")</f>
        <v/>
      </c>
    </row>
    <row r="269" customFormat="false" ht="15" hidden="false" customHeight="false" outlineLevel="0" collapsed="false">
      <c r="A269" s="21"/>
      <c r="B269" s="21"/>
      <c r="C269" s="21"/>
      <c r="D269" s="4"/>
      <c r="E269" s="4"/>
      <c r="F269" s="21"/>
      <c r="G269" s="22" t="str">
        <f aca="false">IF($F269="","",IFERROR(INDEX(Lists!$B$4:$B$12,MATCH($F269,Lists!$A$4:$A$12,0)),""))</f>
        <v/>
      </c>
      <c r="H269" s="21"/>
      <c r="I269" s="23"/>
      <c r="J269" s="21"/>
      <c r="K269" s="24" t="str">
        <f aca="false">IF(OR($I269="",$J269=""),"",$I269+7*$J269-3)</f>
        <v/>
      </c>
      <c r="L269" s="21"/>
      <c r="M269" s="4"/>
      <c r="N269" s="21"/>
      <c r="O269" s="4"/>
      <c r="P269" s="21"/>
      <c r="Q269" s="2" t="n">
        <f aca="false">IF($A269="",0,IF(AND(OR(View!$C$4="All",View!$C$4="",$B269=View!$C$4),OR(View!$C$5="All",View!$C$5="",$C269=View!$C$5),OR(View!$C$6="All",View!$C$6="",$F269=View!$C$6),OR(View!$C$7="All",View!$C$7="",$G269=View!$C$7),OR(View!$C$8="All",View!$C$8="",$H269=View!$C$8,AND(View!$C$8="Open (not Complete)",$H269&lt;&gt;"Complete")),OR(View!$C$9="",ISNUMBER(SEARCH(View!$C$9,$D269&amp;" "&amp;$E269)))),1,0))</f>
        <v>0</v>
      </c>
      <c r="R269" s="2" t="str">
        <f aca="false">IF($Q269=1,COUNTIF($Q$4:$Q269,1),"")</f>
        <v/>
      </c>
    </row>
    <row r="270" customFormat="false" ht="15" hidden="false" customHeight="false" outlineLevel="0" collapsed="false">
      <c r="A270" s="21"/>
      <c r="B270" s="21"/>
      <c r="C270" s="21"/>
      <c r="D270" s="4"/>
      <c r="E270" s="4"/>
      <c r="F270" s="21"/>
      <c r="G270" s="22" t="str">
        <f aca="false">IF($F270="","",IFERROR(INDEX(Lists!$B$4:$B$12,MATCH($F270,Lists!$A$4:$A$12,0)),""))</f>
        <v/>
      </c>
      <c r="H270" s="21"/>
      <c r="I270" s="23"/>
      <c r="J270" s="21"/>
      <c r="K270" s="24" t="str">
        <f aca="false">IF(OR($I270="",$J270=""),"",$I270+7*$J270-3)</f>
        <v/>
      </c>
      <c r="L270" s="21"/>
      <c r="M270" s="4"/>
      <c r="N270" s="21"/>
      <c r="O270" s="4"/>
      <c r="P270" s="21"/>
      <c r="Q270" s="2" t="n">
        <f aca="false">IF($A270="",0,IF(AND(OR(View!$C$4="All",View!$C$4="",$B270=View!$C$4),OR(View!$C$5="All",View!$C$5="",$C270=View!$C$5),OR(View!$C$6="All",View!$C$6="",$F270=View!$C$6),OR(View!$C$7="All",View!$C$7="",$G270=View!$C$7),OR(View!$C$8="All",View!$C$8="",$H270=View!$C$8,AND(View!$C$8="Open (not Complete)",$H270&lt;&gt;"Complete")),OR(View!$C$9="",ISNUMBER(SEARCH(View!$C$9,$D270&amp;" "&amp;$E270)))),1,0))</f>
        <v>0</v>
      </c>
      <c r="R270" s="2" t="str">
        <f aca="false">IF($Q270=1,COUNTIF($Q$4:$Q270,1),"")</f>
        <v/>
      </c>
    </row>
    <row r="271" customFormat="false" ht="15" hidden="false" customHeight="false" outlineLevel="0" collapsed="false">
      <c r="A271" s="21"/>
      <c r="B271" s="21"/>
      <c r="C271" s="21"/>
      <c r="D271" s="4"/>
      <c r="E271" s="4"/>
      <c r="F271" s="21"/>
      <c r="G271" s="22" t="str">
        <f aca="false">IF($F271="","",IFERROR(INDEX(Lists!$B$4:$B$12,MATCH($F271,Lists!$A$4:$A$12,0)),""))</f>
        <v/>
      </c>
      <c r="H271" s="21"/>
      <c r="I271" s="23"/>
      <c r="J271" s="21"/>
      <c r="K271" s="24" t="str">
        <f aca="false">IF(OR($I271="",$J271=""),"",$I271+7*$J271-3)</f>
        <v/>
      </c>
      <c r="L271" s="21"/>
      <c r="M271" s="4"/>
      <c r="N271" s="21"/>
      <c r="O271" s="4"/>
      <c r="P271" s="21"/>
      <c r="Q271" s="2" t="n">
        <f aca="false">IF($A271="",0,IF(AND(OR(View!$C$4="All",View!$C$4="",$B271=View!$C$4),OR(View!$C$5="All",View!$C$5="",$C271=View!$C$5),OR(View!$C$6="All",View!$C$6="",$F271=View!$C$6),OR(View!$C$7="All",View!$C$7="",$G271=View!$C$7),OR(View!$C$8="All",View!$C$8="",$H271=View!$C$8,AND(View!$C$8="Open (not Complete)",$H271&lt;&gt;"Complete")),OR(View!$C$9="",ISNUMBER(SEARCH(View!$C$9,$D271&amp;" "&amp;$E271)))),1,0))</f>
        <v>0</v>
      </c>
      <c r="R271" s="2" t="str">
        <f aca="false">IF($Q271=1,COUNTIF($Q$4:$Q271,1),"")</f>
        <v/>
      </c>
    </row>
    <row r="272" customFormat="false" ht="15" hidden="false" customHeight="false" outlineLevel="0" collapsed="false">
      <c r="A272" s="21"/>
      <c r="B272" s="21"/>
      <c r="C272" s="21"/>
      <c r="D272" s="4"/>
      <c r="E272" s="4"/>
      <c r="F272" s="21"/>
      <c r="G272" s="22" t="str">
        <f aca="false">IF($F272="","",IFERROR(INDEX(Lists!$B$4:$B$12,MATCH($F272,Lists!$A$4:$A$12,0)),""))</f>
        <v/>
      </c>
      <c r="H272" s="21"/>
      <c r="I272" s="23"/>
      <c r="J272" s="21"/>
      <c r="K272" s="24" t="str">
        <f aca="false">IF(OR($I272="",$J272=""),"",$I272+7*$J272-3)</f>
        <v/>
      </c>
      <c r="L272" s="21"/>
      <c r="M272" s="4"/>
      <c r="N272" s="21"/>
      <c r="O272" s="4"/>
      <c r="P272" s="21"/>
      <c r="Q272" s="2" t="n">
        <f aca="false">IF($A272="",0,IF(AND(OR(View!$C$4="All",View!$C$4="",$B272=View!$C$4),OR(View!$C$5="All",View!$C$5="",$C272=View!$C$5),OR(View!$C$6="All",View!$C$6="",$F272=View!$C$6),OR(View!$C$7="All",View!$C$7="",$G272=View!$C$7),OR(View!$C$8="All",View!$C$8="",$H272=View!$C$8,AND(View!$C$8="Open (not Complete)",$H272&lt;&gt;"Complete")),OR(View!$C$9="",ISNUMBER(SEARCH(View!$C$9,$D272&amp;" "&amp;$E272)))),1,0))</f>
        <v>0</v>
      </c>
      <c r="R272" s="2" t="str">
        <f aca="false">IF($Q272=1,COUNTIF($Q$4:$Q272,1),"")</f>
        <v/>
      </c>
    </row>
    <row r="273" customFormat="false" ht="15" hidden="false" customHeight="false" outlineLevel="0" collapsed="false">
      <c r="A273" s="21"/>
      <c r="B273" s="21"/>
      <c r="C273" s="21"/>
      <c r="D273" s="4"/>
      <c r="E273" s="4"/>
      <c r="F273" s="21"/>
      <c r="G273" s="22" t="str">
        <f aca="false">IF($F273="","",IFERROR(INDEX(Lists!$B$4:$B$12,MATCH($F273,Lists!$A$4:$A$12,0)),""))</f>
        <v/>
      </c>
      <c r="H273" s="21"/>
      <c r="I273" s="23"/>
      <c r="J273" s="21"/>
      <c r="K273" s="24" t="str">
        <f aca="false">IF(OR($I273="",$J273=""),"",$I273+7*$J273-3)</f>
        <v/>
      </c>
      <c r="L273" s="21"/>
      <c r="M273" s="4"/>
      <c r="N273" s="21"/>
      <c r="O273" s="4"/>
      <c r="P273" s="21"/>
      <c r="Q273" s="2" t="n">
        <f aca="false">IF($A273="",0,IF(AND(OR(View!$C$4="All",View!$C$4="",$B273=View!$C$4),OR(View!$C$5="All",View!$C$5="",$C273=View!$C$5),OR(View!$C$6="All",View!$C$6="",$F273=View!$C$6),OR(View!$C$7="All",View!$C$7="",$G273=View!$C$7),OR(View!$C$8="All",View!$C$8="",$H273=View!$C$8,AND(View!$C$8="Open (not Complete)",$H273&lt;&gt;"Complete")),OR(View!$C$9="",ISNUMBER(SEARCH(View!$C$9,$D273&amp;" "&amp;$E273)))),1,0))</f>
        <v>0</v>
      </c>
      <c r="R273" s="2" t="str">
        <f aca="false">IF($Q273=1,COUNTIF($Q$4:$Q273,1),"")</f>
        <v/>
      </c>
    </row>
    <row r="274" customFormat="false" ht="15" hidden="false" customHeight="false" outlineLevel="0" collapsed="false">
      <c r="A274" s="21"/>
      <c r="B274" s="21"/>
      <c r="C274" s="21"/>
      <c r="D274" s="4"/>
      <c r="E274" s="4"/>
      <c r="F274" s="21"/>
      <c r="G274" s="22" t="str">
        <f aca="false">IF($F274="","",IFERROR(INDEX(Lists!$B$4:$B$12,MATCH($F274,Lists!$A$4:$A$12,0)),""))</f>
        <v/>
      </c>
      <c r="H274" s="21"/>
      <c r="I274" s="23"/>
      <c r="J274" s="21"/>
      <c r="K274" s="24" t="str">
        <f aca="false">IF(OR($I274="",$J274=""),"",$I274+7*$J274-3)</f>
        <v/>
      </c>
      <c r="L274" s="21"/>
      <c r="M274" s="4"/>
      <c r="N274" s="21"/>
      <c r="O274" s="4"/>
      <c r="P274" s="21"/>
      <c r="Q274" s="2" t="n">
        <f aca="false">IF($A274="",0,IF(AND(OR(View!$C$4="All",View!$C$4="",$B274=View!$C$4),OR(View!$C$5="All",View!$C$5="",$C274=View!$C$5),OR(View!$C$6="All",View!$C$6="",$F274=View!$C$6),OR(View!$C$7="All",View!$C$7="",$G274=View!$C$7),OR(View!$C$8="All",View!$C$8="",$H274=View!$C$8,AND(View!$C$8="Open (not Complete)",$H274&lt;&gt;"Complete")),OR(View!$C$9="",ISNUMBER(SEARCH(View!$C$9,$D274&amp;" "&amp;$E274)))),1,0))</f>
        <v>0</v>
      </c>
      <c r="R274" s="2" t="str">
        <f aca="false">IF($Q274=1,COUNTIF($Q$4:$Q274,1),"")</f>
        <v/>
      </c>
    </row>
    <row r="275" customFormat="false" ht="15" hidden="false" customHeight="false" outlineLevel="0" collapsed="false">
      <c r="A275" s="21"/>
      <c r="B275" s="21"/>
      <c r="C275" s="21"/>
      <c r="D275" s="4"/>
      <c r="E275" s="4"/>
      <c r="F275" s="21"/>
      <c r="G275" s="22" t="str">
        <f aca="false">IF($F275="","",IFERROR(INDEX(Lists!$B$4:$B$12,MATCH($F275,Lists!$A$4:$A$12,0)),""))</f>
        <v/>
      </c>
      <c r="H275" s="21"/>
      <c r="I275" s="23"/>
      <c r="J275" s="21"/>
      <c r="K275" s="24" t="str">
        <f aca="false">IF(OR($I275="",$J275=""),"",$I275+7*$J275-3)</f>
        <v/>
      </c>
      <c r="L275" s="21"/>
      <c r="M275" s="4"/>
      <c r="N275" s="21"/>
      <c r="O275" s="4"/>
      <c r="P275" s="21"/>
      <c r="Q275" s="2" t="n">
        <f aca="false">IF($A275="",0,IF(AND(OR(View!$C$4="All",View!$C$4="",$B275=View!$C$4),OR(View!$C$5="All",View!$C$5="",$C275=View!$C$5),OR(View!$C$6="All",View!$C$6="",$F275=View!$C$6),OR(View!$C$7="All",View!$C$7="",$G275=View!$C$7),OR(View!$C$8="All",View!$C$8="",$H275=View!$C$8,AND(View!$C$8="Open (not Complete)",$H275&lt;&gt;"Complete")),OR(View!$C$9="",ISNUMBER(SEARCH(View!$C$9,$D275&amp;" "&amp;$E275)))),1,0))</f>
        <v>0</v>
      </c>
      <c r="R275" s="2" t="str">
        <f aca="false">IF($Q275=1,COUNTIF($Q$4:$Q275,1),"")</f>
        <v/>
      </c>
    </row>
    <row r="276" customFormat="false" ht="15" hidden="false" customHeight="false" outlineLevel="0" collapsed="false">
      <c r="A276" s="21"/>
      <c r="B276" s="21"/>
      <c r="C276" s="21"/>
      <c r="D276" s="4"/>
      <c r="E276" s="4"/>
      <c r="F276" s="21"/>
      <c r="G276" s="22" t="str">
        <f aca="false">IF($F276="","",IFERROR(INDEX(Lists!$B$4:$B$12,MATCH($F276,Lists!$A$4:$A$12,0)),""))</f>
        <v/>
      </c>
      <c r="H276" s="21"/>
      <c r="I276" s="23"/>
      <c r="J276" s="21"/>
      <c r="K276" s="24" t="str">
        <f aca="false">IF(OR($I276="",$J276=""),"",$I276+7*$J276-3)</f>
        <v/>
      </c>
      <c r="L276" s="21"/>
      <c r="M276" s="4"/>
      <c r="N276" s="21"/>
      <c r="O276" s="4"/>
      <c r="P276" s="21"/>
      <c r="Q276" s="2" t="n">
        <f aca="false">IF($A276="",0,IF(AND(OR(View!$C$4="All",View!$C$4="",$B276=View!$C$4),OR(View!$C$5="All",View!$C$5="",$C276=View!$C$5),OR(View!$C$6="All",View!$C$6="",$F276=View!$C$6),OR(View!$C$7="All",View!$C$7="",$G276=View!$C$7),OR(View!$C$8="All",View!$C$8="",$H276=View!$C$8,AND(View!$C$8="Open (not Complete)",$H276&lt;&gt;"Complete")),OR(View!$C$9="",ISNUMBER(SEARCH(View!$C$9,$D276&amp;" "&amp;$E276)))),1,0))</f>
        <v>0</v>
      </c>
      <c r="R276" s="2" t="str">
        <f aca="false">IF($Q276=1,COUNTIF($Q$4:$Q276,1),"")</f>
        <v/>
      </c>
    </row>
    <row r="277" customFormat="false" ht="15" hidden="false" customHeight="false" outlineLevel="0" collapsed="false">
      <c r="A277" s="21"/>
      <c r="B277" s="21"/>
      <c r="C277" s="21"/>
      <c r="D277" s="4"/>
      <c r="E277" s="4"/>
      <c r="F277" s="21"/>
      <c r="G277" s="22" t="str">
        <f aca="false">IF($F277="","",IFERROR(INDEX(Lists!$B$4:$B$12,MATCH($F277,Lists!$A$4:$A$12,0)),""))</f>
        <v/>
      </c>
      <c r="H277" s="21"/>
      <c r="I277" s="23"/>
      <c r="J277" s="21"/>
      <c r="K277" s="24" t="str">
        <f aca="false">IF(OR($I277="",$J277=""),"",$I277+7*$J277-3)</f>
        <v/>
      </c>
      <c r="L277" s="21"/>
      <c r="M277" s="4"/>
      <c r="N277" s="21"/>
      <c r="O277" s="4"/>
      <c r="P277" s="21"/>
      <c r="Q277" s="2" t="n">
        <f aca="false">IF($A277="",0,IF(AND(OR(View!$C$4="All",View!$C$4="",$B277=View!$C$4),OR(View!$C$5="All",View!$C$5="",$C277=View!$C$5),OR(View!$C$6="All",View!$C$6="",$F277=View!$C$6),OR(View!$C$7="All",View!$C$7="",$G277=View!$C$7),OR(View!$C$8="All",View!$C$8="",$H277=View!$C$8,AND(View!$C$8="Open (not Complete)",$H277&lt;&gt;"Complete")),OR(View!$C$9="",ISNUMBER(SEARCH(View!$C$9,$D277&amp;" "&amp;$E277)))),1,0))</f>
        <v>0</v>
      </c>
      <c r="R277" s="2" t="str">
        <f aca="false">IF($Q277=1,COUNTIF($Q$4:$Q277,1),"")</f>
        <v/>
      </c>
    </row>
    <row r="278" customFormat="false" ht="15" hidden="false" customHeight="false" outlineLevel="0" collapsed="false">
      <c r="A278" s="21"/>
      <c r="B278" s="21"/>
      <c r="C278" s="21"/>
      <c r="D278" s="4"/>
      <c r="E278" s="4"/>
      <c r="F278" s="21"/>
      <c r="G278" s="22" t="str">
        <f aca="false">IF($F278="","",IFERROR(INDEX(Lists!$B$4:$B$12,MATCH($F278,Lists!$A$4:$A$12,0)),""))</f>
        <v/>
      </c>
      <c r="H278" s="21"/>
      <c r="I278" s="23"/>
      <c r="J278" s="21"/>
      <c r="K278" s="24" t="str">
        <f aca="false">IF(OR($I278="",$J278=""),"",$I278+7*$J278-3)</f>
        <v/>
      </c>
      <c r="L278" s="21"/>
      <c r="M278" s="4"/>
      <c r="N278" s="21"/>
      <c r="O278" s="4"/>
      <c r="P278" s="21"/>
      <c r="Q278" s="2" t="n">
        <f aca="false">IF($A278="",0,IF(AND(OR(View!$C$4="All",View!$C$4="",$B278=View!$C$4),OR(View!$C$5="All",View!$C$5="",$C278=View!$C$5),OR(View!$C$6="All",View!$C$6="",$F278=View!$C$6),OR(View!$C$7="All",View!$C$7="",$G278=View!$C$7),OR(View!$C$8="All",View!$C$8="",$H278=View!$C$8,AND(View!$C$8="Open (not Complete)",$H278&lt;&gt;"Complete")),OR(View!$C$9="",ISNUMBER(SEARCH(View!$C$9,$D278&amp;" "&amp;$E278)))),1,0))</f>
        <v>0</v>
      </c>
      <c r="R278" s="2" t="str">
        <f aca="false">IF($Q278=1,COUNTIF($Q$4:$Q278,1),"")</f>
        <v/>
      </c>
    </row>
    <row r="279" customFormat="false" ht="15" hidden="false" customHeight="false" outlineLevel="0" collapsed="false">
      <c r="A279" s="21"/>
      <c r="B279" s="21"/>
      <c r="C279" s="21"/>
      <c r="D279" s="4"/>
      <c r="E279" s="4"/>
      <c r="F279" s="21"/>
      <c r="G279" s="22" t="str">
        <f aca="false">IF($F279="","",IFERROR(INDEX(Lists!$B$4:$B$12,MATCH($F279,Lists!$A$4:$A$12,0)),""))</f>
        <v/>
      </c>
      <c r="H279" s="21"/>
      <c r="I279" s="23"/>
      <c r="J279" s="21"/>
      <c r="K279" s="24" t="str">
        <f aca="false">IF(OR($I279="",$J279=""),"",$I279+7*$J279-3)</f>
        <v/>
      </c>
      <c r="L279" s="21"/>
      <c r="M279" s="4"/>
      <c r="N279" s="21"/>
      <c r="O279" s="4"/>
      <c r="P279" s="21"/>
      <c r="Q279" s="2" t="n">
        <f aca="false">IF($A279="",0,IF(AND(OR(View!$C$4="All",View!$C$4="",$B279=View!$C$4),OR(View!$C$5="All",View!$C$5="",$C279=View!$C$5),OR(View!$C$6="All",View!$C$6="",$F279=View!$C$6),OR(View!$C$7="All",View!$C$7="",$G279=View!$C$7),OR(View!$C$8="All",View!$C$8="",$H279=View!$C$8,AND(View!$C$8="Open (not Complete)",$H279&lt;&gt;"Complete")),OR(View!$C$9="",ISNUMBER(SEARCH(View!$C$9,$D279&amp;" "&amp;$E279)))),1,0))</f>
        <v>0</v>
      </c>
      <c r="R279" s="2" t="str">
        <f aca="false">IF($Q279=1,COUNTIF($Q$4:$Q279,1),"")</f>
        <v/>
      </c>
    </row>
    <row r="280" customFormat="false" ht="15" hidden="false" customHeight="false" outlineLevel="0" collapsed="false">
      <c r="A280" s="21"/>
      <c r="B280" s="21"/>
      <c r="C280" s="21"/>
      <c r="D280" s="4"/>
      <c r="E280" s="4"/>
      <c r="F280" s="21"/>
      <c r="G280" s="22" t="str">
        <f aca="false">IF($F280="","",IFERROR(INDEX(Lists!$B$4:$B$12,MATCH($F280,Lists!$A$4:$A$12,0)),""))</f>
        <v/>
      </c>
      <c r="H280" s="21"/>
      <c r="I280" s="23"/>
      <c r="J280" s="21"/>
      <c r="K280" s="24" t="str">
        <f aca="false">IF(OR($I280="",$J280=""),"",$I280+7*$J280-3)</f>
        <v/>
      </c>
      <c r="L280" s="21"/>
      <c r="M280" s="4"/>
      <c r="N280" s="21"/>
      <c r="O280" s="4"/>
      <c r="P280" s="21"/>
      <c r="Q280" s="2" t="n">
        <f aca="false">IF($A280="",0,IF(AND(OR(View!$C$4="All",View!$C$4="",$B280=View!$C$4),OR(View!$C$5="All",View!$C$5="",$C280=View!$C$5),OR(View!$C$6="All",View!$C$6="",$F280=View!$C$6),OR(View!$C$7="All",View!$C$7="",$G280=View!$C$7),OR(View!$C$8="All",View!$C$8="",$H280=View!$C$8,AND(View!$C$8="Open (not Complete)",$H280&lt;&gt;"Complete")),OR(View!$C$9="",ISNUMBER(SEARCH(View!$C$9,$D280&amp;" "&amp;$E280)))),1,0))</f>
        <v>0</v>
      </c>
      <c r="R280" s="2" t="str">
        <f aca="false">IF($Q280=1,COUNTIF($Q$4:$Q280,1),"")</f>
        <v/>
      </c>
    </row>
    <row r="281" customFormat="false" ht="15" hidden="false" customHeight="false" outlineLevel="0" collapsed="false">
      <c r="A281" s="21"/>
      <c r="B281" s="21"/>
      <c r="C281" s="21"/>
      <c r="D281" s="4"/>
      <c r="E281" s="4"/>
      <c r="F281" s="21"/>
      <c r="G281" s="22" t="str">
        <f aca="false">IF($F281="","",IFERROR(INDEX(Lists!$B$4:$B$12,MATCH($F281,Lists!$A$4:$A$12,0)),""))</f>
        <v/>
      </c>
      <c r="H281" s="21"/>
      <c r="I281" s="23"/>
      <c r="J281" s="21"/>
      <c r="K281" s="24" t="str">
        <f aca="false">IF(OR($I281="",$J281=""),"",$I281+7*$J281-3)</f>
        <v/>
      </c>
      <c r="L281" s="21"/>
      <c r="M281" s="4"/>
      <c r="N281" s="21"/>
      <c r="O281" s="4"/>
      <c r="P281" s="21"/>
      <c r="Q281" s="2" t="n">
        <f aca="false">IF($A281="",0,IF(AND(OR(View!$C$4="All",View!$C$4="",$B281=View!$C$4),OR(View!$C$5="All",View!$C$5="",$C281=View!$C$5),OR(View!$C$6="All",View!$C$6="",$F281=View!$C$6),OR(View!$C$7="All",View!$C$7="",$G281=View!$C$7),OR(View!$C$8="All",View!$C$8="",$H281=View!$C$8,AND(View!$C$8="Open (not Complete)",$H281&lt;&gt;"Complete")),OR(View!$C$9="",ISNUMBER(SEARCH(View!$C$9,$D281&amp;" "&amp;$E281)))),1,0))</f>
        <v>0</v>
      </c>
      <c r="R281" s="2" t="str">
        <f aca="false">IF($Q281=1,COUNTIF($Q$4:$Q281,1),"")</f>
        <v/>
      </c>
    </row>
    <row r="282" customFormat="false" ht="15" hidden="false" customHeight="false" outlineLevel="0" collapsed="false">
      <c r="A282" s="21"/>
      <c r="B282" s="21"/>
      <c r="C282" s="21"/>
      <c r="D282" s="4"/>
      <c r="E282" s="4"/>
      <c r="F282" s="21"/>
      <c r="G282" s="22" t="str">
        <f aca="false">IF($F282="","",IFERROR(INDEX(Lists!$B$4:$B$12,MATCH($F282,Lists!$A$4:$A$12,0)),""))</f>
        <v/>
      </c>
      <c r="H282" s="21"/>
      <c r="I282" s="23"/>
      <c r="J282" s="21"/>
      <c r="K282" s="24" t="str">
        <f aca="false">IF(OR($I282="",$J282=""),"",$I282+7*$J282-3)</f>
        <v/>
      </c>
      <c r="L282" s="21"/>
      <c r="M282" s="4"/>
      <c r="N282" s="21"/>
      <c r="O282" s="4"/>
      <c r="P282" s="21"/>
      <c r="Q282" s="2" t="n">
        <f aca="false">IF($A282="",0,IF(AND(OR(View!$C$4="All",View!$C$4="",$B282=View!$C$4),OR(View!$C$5="All",View!$C$5="",$C282=View!$C$5),OR(View!$C$6="All",View!$C$6="",$F282=View!$C$6),OR(View!$C$7="All",View!$C$7="",$G282=View!$C$7),OR(View!$C$8="All",View!$C$8="",$H282=View!$C$8,AND(View!$C$8="Open (not Complete)",$H282&lt;&gt;"Complete")),OR(View!$C$9="",ISNUMBER(SEARCH(View!$C$9,$D282&amp;" "&amp;$E282)))),1,0))</f>
        <v>0</v>
      </c>
      <c r="R282" s="2" t="str">
        <f aca="false">IF($Q282=1,COUNTIF($Q$4:$Q282,1),"")</f>
        <v/>
      </c>
    </row>
    <row r="283" customFormat="false" ht="15" hidden="false" customHeight="false" outlineLevel="0" collapsed="false">
      <c r="A283" s="21"/>
      <c r="B283" s="21"/>
      <c r="C283" s="21"/>
      <c r="D283" s="4"/>
      <c r="E283" s="4"/>
      <c r="F283" s="21"/>
      <c r="G283" s="22" t="str">
        <f aca="false">IF($F283="","",IFERROR(INDEX(Lists!$B$4:$B$12,MATCH($F283,Lists!$A$4:$A$12,0)),""))</f>
        <v/>
      </c>
      <c r="H283" s="21"/>
      <c r="I283" s="23"/>
      <c r="J283" s="21"/>
      <c r="K283" s="24" t="str">
        <f aca="false">IF(OR($I283="",$J283=""),"",$I283+7*$J283-3)</f>
        <v/>
      </c>
      <c r="L283" s="21"/>
      <c r="M283" s="4"/>
      <c r="N283" s="21"/>
      <c r="O283" s="4"/>
      <c r="P283" s="21"/>
      <c r="Q283" s="2" t="n">
        <f aca="false">IF($A283="",0,IF(AND(OR(View!$C$4="All",View!$C$4="",$B283=View!$C$4),OR(View!$C$5="All",View!$C$5="",$C283=View!$C$5),OR(View!$C$6="All",View!$C$6="",$F283=View!$C$6),OR(View!$C$7="All",View!$C$7="",$G283=View!$C$7),OR(View!$C$8="All",View!$C$8="",$H283=View!$C$8,AND(View!$C$8="Open (not Complete)",$H283&lt;&gt;"Complete")),OR(View!$C$9="",ISNUMBER(SEARCH(View!$C$9,$D283&amp;" "&amp;$E283)))),1,0))</f>
        <v>0</v>
      </c>
      <c r="R283" s="2" t="str">
        <f aca="false">IF($Q283=1,COUNTIF($Q$4:$Q283,1),"")</f>
        <v/>
      </c>
    </row>
    <row r="284" customFormat="false" ht="15" hidden="false" customHeight="false" outlineLevel="0" collapsed="false">
      <c r="A284" s="21"/>
      <c r="B284" s="21"/>
      <c r="C284" s="21"/>
      <c r="D284" s="4"/>
      <c r="E284" s="4"/>
      <c r="F284" s="21"/>
      <c r="G284" s="22" t="str">
        <f aca="false">IF($F284="","",IFERROR(INDEX(Lists!$B$4:$B$12,MATCH($F284,Lists!$A$4:$A$12,0)),""))</f>
        <v/>
      </c>
      <c r="H284" s="21"/>
      <c r="I284" s="23"/>
      <c r="J284" s="21"/>
      <c r="K284" s="24" t="str">
        <f aca="false">IF(OR($I284="",$J284=""),"",$I284+7*$J284-3)</f>
        <v/>
      </c>
      <c r="L284" s="21"/>
      <c r="M284" s="4"/>
      <c r="N284" s="21"/>
      <c r="O284" s="4"/>
      <c r="P284" s="21"/>
      <c r="Q284" s="2" t="n">
        <f aca="false">IF($A284="",0,IF(AND(OR(View!$C$4="All",View!$C$4="",$B284=View!$C$4),OR(View!$C$5="All",View!$C$5="",$C284=View!$C$5),OR(View!$C$6="All",View!$C$6="",$F284=View!$C$6),OR(View!$C$7="All",View!$C$7="",$G284=View!$C$7),OR(View!$C$8="All",View!$C$8="",$H284=View!$C$8,AND(View!$C$8="Open (not Complete)",$H284&lt;&gt;"Complete")),OR(View!$C$9="",ISNUMBER(SEARCH(View!$C$9,$D284&amp;" "&amp;$E284)))),1,0))</f>
        <v>0</v>
      </c>
      <c r="R284" s="2" t="str">
        <f aca="false">IF($Q284=1,COUNTIF($Q$4:$Q284,1),"")</f>
        <v/>
      </c>
    </row>
    <row r="285" customFormat="false" ht="15" hidden="false" customHeight="false" outlineLevel="0" collapsed="false">
      <c r="A285" s="21"/>
      <c r="B285" s="21"/>
      <c r="C285" s="21"/>
      <c r="D285" s="4"/>
      <c r="E285" s="4"/>
      <c r="F285" s="21"/>
      <c r="G285" s="22" t="str">
        <f aca="false">IF($F285="","",IFERROR(INDEX(Lists!$B$4:$B$12,MATCH($F285,Lists!$A$4:$A$12,0)),""))</f>
        <v/>
      </c>
      <c r="H285" s="21"/>
      <c r="I285" s="23"/>
      <c r="J285" s="21"/>
      <c r="K285" s="24" t="str">
        <f aca="false">IF(OR($I285="",$J285=""),"",$I285+7*$J285-3)</f>
        <v/>
      </c>
      <c r="L285" s="21"/>
      <c r="M285" s="4"/>
      <c r="N285" s="21"/>
      <c r="O285" s="4"/>
      <c r="P285" s="21"/>
      <c r="Q285" s="2" t="n">
        <f aca="false">IF($A285="",0,IF(AND(OR(View!$C$4="All",View!$C$4="",$B285=View!$C$4),OR(View!$C$5="All",View!$C$5="",$C285=View!$C$5),OR(View!$C$6="All",View!$C$6="",$F285=View!$C$6),OR(View!$C$7="All",View!$C$7="",$G285=View!$C$7),OR(View!$C$8="All",View!$C$8="",$H285=View!$C$8,AND(View!$C$8="Open (not Complete)",$H285&lt;&gt;"Complete")),OR(View!$C$9="",ISNUMBER(SEARCH(View!$C$9,$D285&amp;" "&amp;$E285)))),1,0))</f>
        <v>0</v>
      </c>
      <c r="R285" s="2" t="str">
        <f aca="false">IF($Q285=1,COUNTIF($Q$4:$Q285,1),"")</f>
        <v/>
      </c>
    </row>
    <row r="286" customFormat="false" ht="15" hidden="false" customHeight="false" outlineLevel="0" collapsed="false">
      <c r="A286" s="21"/>
      <c r="B286" s="21"/>
      <c r="C286" s="21"/>
      <c r="D286" s="4"/>
      <c r="E286" s="4"/>
      <c r="F286" s="21"/>
      <c r="G286" s="22" t="str">
        <f aca="false">IF($F286="","",IFERROR(INDEX(Lists!$B$4:$B$12,MATCH($F286,Lists!$A$4:$A$12,0)),""))</f>
        <v/>
      </c>
      <c r="H286" s="21"/>
      <c r="I286" s="23"/>
      <c r="J286" s="21"/>
      <c r="K286" s="24" t="str">
        <f aca="false">IF(OR($I286="",$J286=""),"",$I286+7*$J286-3)</f>
        <v/>
      </c>
      <c r="L286" s="21"/>
      <c r="M286" s="4"/>
      <c r="N286" s="21"/>
      <c r="O286" s="4"/>
      <c r="P286" s="21"/>
      <c r="Q286" s="2" t="n">
        <f aca="false">IF($A286="",0,IF(AND(OR(View!$C$4="All",View!$C$4="",$B286=View!$C$4),OR(View!$C$5="All",View!$C$5="",$C286=View!$C$5),OR(View!$C$6="All",View!$C$6="",$F286=View!$C$6),OR(View!$C$7="All",View!$C$7="",$G286=View!$C$7),OR(View!$C$8="All",View!$C$8="",$H286=View!$C$8,AND(View!$C$8="Open (not Complete)",$H286&lt;&gt;"Complete")),OR(View!$C$9="",ISNUMBER(SEARCH(View!$C$9,$D286&amp;" "&amp;$E286)))),1,0))</f>
        <v>0</v>
      </c>
      <c r="R286" s="2" t="str">
        <f aca="false">IF($Q286=1,COUNTIF($Q$4:$Q286,1),"")</f>
        <v/>
      </c>
    </row>
    <row r="287" customFormat="false" ht="15" hidden="false" customHeight="false" outlineLevel="0" collapsed="false">
      <c r="A287" s="21"/>
      <c r="B287" s="21"/>
      <c r="C287" s="21"/>
      <c r="D287" s="4"/>
      <c r="E287" s="4"/>
      <c r="F287" s="21"/>
      <c r="G287" s="22" t="str">
        <f aca="false">IF($F287="","",IFERROR(INDEX(Lists!$B$4:$B$12,MATCH($F287,Lists!$A$4:$A$12,0)),""))</f>
        <v/>
      </c>
      <c r="H287" s="21"/>
      <c r="I287" s="23"/>
      <c r="J287" s="21"/>
      <c r="K287" s="24" t="str">
        <f aca="false">IF(OR($I287="",$J287=""),"",$I287+7*$J287-3)</f>
        <v/>
      </c>
      <c r="L287" s="21"/>
      <c r="M287" s="4"/>
      <c r="N287" s="21"/>
      <c r="O287" s="4"/>
      <c r="P287" s="21"/>
      <c r="Q287" s="2" t="n">
        <f aca="false">IF($A287="",0,IF(AND(OR(View!$C$4="All",View!$C$4="",$B287=View!$C$4),OR(View!$C$5="All",View!$C$5="",$C287=View!$C$5),OR(View!$C$6="All",View!$C$6="",$F287=View!$C$6),OR(View!$C$7="All",View!$C$7="",$G287=View!$C$7),OR(View!$C$8="All",View!$C$8="",$H287=View!$C$8,AND(View!$C$8="Open (not Complete)",$H287&lt;&gt;"Complete")),OR(View!$C$9="",ISNUMBER(SEARCH(View!$C$9,$D287&amp;" "&amp;$E287)))),1,0))</f>
        <v>0</v>
      </c>
      <c r="R287" s="2" t="str">
        <f aca="false">IF($Q287=1,COUNTIF($Q$4:$Q287,1),"")</f>
        <v/>
      </c>
    </row>
    <row r="288" customFormat="false" ht="15" hidden="false" customHeight="false" outlineLevel="0" collapsed="false">
      <c r="A288" s="21"/>
      <c r="B288" s="21"/>
      <c r="C288" s="21"/>
      <c r="D288" s="4"/>
      <c r="E288" s="4"/>
      <c r="F288" s="21"/>
      <c r="G288" s="22" t="str">
        <f aca="false">IF($F288="","",IFERROR(INDEX(Lists!$B$4:$B$12,MATCH($F288,Lists!$A$4:$A$12,0)),""))</f>
        <v/>
      </c>
      <c r="H288" s="21"/>
      <c r="I288" s="23"/>
      <c r="J288" s="21"/>
      <c r="K288" s="24" t="str">
        <f aca="false">IF(OR($I288="",$J288=""),"",$I288+7*$J288-3)</f>
        <v/>
      </c>
      <c r="L288" s="21"/>
      <c r="M288" s="4"/>
      <c r="N288" s="21"/>
      <c r="O288" s="4"/>
      <c r="P288" s="21"/>
      <c r="Q288" s="2" t="n">
        <f aca="false">IF($A288="",0,IF(AND(OR(View!$C$4="All",View!$C$4="",$B288=View!$C$4),OR(View!$C$5="All",View!$C$5="",$C288=View!$C$5),OR(View!$C$6="All",View!$C$6="",$F288=View!$C$6),OR(View!$C$7="All",View!$C$7="",$G288=View!$C$7),OR(View!$C$8="All",View!$C$8="",$H288=View!$C$8,AND(View!$C$8="Open (not Complete)",$H288&lt;&gt;"Complete")),OR(View!$C$9="",ISNUMBER(SEARCH(View!$C$9,$D288&amp;" "&amp;$E288)))),1,0))</f>
        <v>0</v>
      </c>
      <c r="R288" s="2" t="str">
        <f aca="false">IF($Q288=1,COUNTIF($Q$4:$Q288,1),"")</f>
        <v/>
      </c>
    </row>
    <row r="289" customFormat="false" ht="15" hidden="false" customHeight="false" outlineLevel="0" collapsed="false">
      <c r="A289" s="21"/>
      <c r="B289" s="21"/>
      <c r="C289" s="21"/>
      <c r="D289" s="4"/>
      <c r="E289" s="4"/>
      <c r="F289" s="21"/>
      <c r="G289" s="22" t="str">
        <f aca="false">IF($F289="","",IFERROR(INDEX(Lists!$B$4:$B$12,MATCH($F289,Lists!$A$4:$A$12,0)),""))</f>
        <v/>
      </c>
      <c r="H289" s="21"/>
      <c r="I289" s="23"/>
      <c r="J289" s="21"/>
      <c r="K289" s="24" t="str">
        <f aca="false">IF(OR($I289="",$J289=""),"",$I289+7*$J289-3)</f>
        <v/>
      </c>
      <c r="L289" s="21"/>
      <c r="M289" s="4"/>
      <c r="N289" s="21"/>
      <c r="O289" s="4"/>
      <c r="P289" s="21"/>
      <c r="Q289" s="2" t="n">
        <f aca="false">IF($A289="",0,IF(AND(OR(View!$C$4="All",View!$C$4="",$B289=View!$C$4),OR(View!$C$5="All",View!$C$5="",$C289=View!$C$5),OR(View!$C$6="All",View!$C$6="",$F289=View!$C$6),OR(View!$C$7="All",View!$C$7="",$G289=View!$C$7),OR(View!$C$8="All",View!$C$8="",$H289=View!$C$8,AND(View!$C$8="Open (not Complete)",$H289&lt;&gt;"Complete")),OR(View!$C$9="",ISNUMBER(SEARCH(View!$C$9,$D289&amp;" "&amp;$E289)))),1,0))</f>
        <v>0</v>
      </c>
      <c r="R289" s="2" t="str">
        <f aca="false">IF($Q289=1,COUNTIF($Q$4:$Q289,1),"")</f>
        <v/>
      </c>
    </row>
    <row r="290" customFormat="false" ht="15" hidden="false" customHeight="false" outlineLevel="0" collapsed="false">
      <c r="A290" s="21"/>
      <c r="B290" s="21"/>
      <c r="C290" s="21"/>
      <c r="D290" s="4"/>
      <c r="E290" s="4"/>
      <c r="F290" s="21"/>
      <c r="G290" s="22" t="str">
        <f aca="false">IF($F290="","",IFERROR(INDEX(Lists!$B$4:$B$12,MATCH($F290,Lists!$A$4:$A$12,0)),""))</f>
        <v/>
      </c>
      <c r="H290" s="21"/>
      <c r="I290" s="23"/>
      <c r="J290" s="21"/>
      <c r="K290" s="24" t="str">
        <f aca="false">IF(OR($I290="",$J290=""),"",$I290+7*$J290-3)</f>
        <v/>
      </c>
      <c r="L290" s="21"/>
      <c r="M290" s="4"/>
      <c r="N290" s="21"/>
      <c r="O290" s="4"/>
      <c r="P290" s="21"/>
      <c r="Q290" s="2" t="n">
        <f aca="false">IF($A290="",0,IF(AND(OR(View!$C$4="All",View!$C$4="",$B290=View!$C$4),OR(View!$C$5="All",View!$C$5="",$C290=View!$C$5),OR(View!$C$6="All",View!$C$6="",$F290=View!$C$6),OR(View!$C$7="All",View!$C$7="",$G290=View!$C$7),OR(View!$C$8="All",View!$C$8="",$H290=View!$C$8,AND(View!$C$8="Open (not Complete)",$H290&lt;&gt;"Complete")),OR(View!$C$9="",ISNUMBER(SEARCH(View!$C$9,$D290&amp;" "&amp;$E290)))),1,0))</f>
        <v>0</v>
      </c>
      <c r="R290" s="2" t="str">
        <f aca="false">IF($Q290=1,COUNTIF($Q$4:$Q290,1),"")</f>
        <v/>
      </c>
    </row>
    <row r="291" customFormat="false" ht="15" hidden="false" customHeight="false" outlineLevel="0" collapsed="false">
      <c r="A291" s="21"/>
      <c r="B291" s="21"/>
      <c r="C291" s="21"/>
      <c r="D291" s="4"/>
      <c r="E291" s="4"/>
      <c r="F291" s="21"/>
      <c r="G291" s="22" t="str">
        <f aca="false">IF($F291="","",IFERROR(INDEX(Lists!$B$4:$B$12,MATCH($F291,Lists!$A$4:$A$12,0)),""))</f>
        <v/>
      </c>
      <c r="H291" s="21"/>
      <c r="I291" s="23"/>
      <c r="J291" s="21"/>
      <c r="K291" s="24" t="str">
        <f aca="false">IF(OR($I291="",$J291=""),"",$I291+7*$J291-3)</f>
        <v/>
      </c>
      <c r="L291" s="21"/>
      <c r="M291" s="4"/>
      <c r="N291" s="21"/>
      <c r="O291" s="4"/>
      <c r="P291" s="21"/>
      <c r="Q291" s="2" t="n">
        <f aca="false">IF($A291="",0,IF(AND(OR(View!$C$4="All",View!$C$4="",$B291=View!$C$4),OR(View!$C$5="All",View!$C$5="",$C291=View!$C$5),OR(View!$C$6="All",View!$C$6="",$F291=View!$C$6),OR(View!$C$7="All",View!$C$7="",$G291=View!$C$7),OR(View!$C$8="All",View!$C$8="",$H291=View!$C$8,AND(View!$C$8="Open (not Complete)",$H291&lt;&gt;"Complete")),OR(View!$C$9="",ISNUMBER(SEARCH(View!$C$9,$D291&amp;" "&amp;$E291)))),1,0))</f>
        <v>0</v>
      </c>
      <c r="R291" s="2" t="str">
        <f aca="false">IF($Q291=1,COUNTIF($Q$4:$Q291,1),"")</f>
        <v/>
      </c>
    </row>
    <row r="292" customFormat="false" ht="15" hidden="false" customHeight="false" outlineLevel="0" collapsed="false">
      <c r="A292" s="21"/>
      <c r="B292" s="21"/>
      <c r="C292" s="21"/>
      <c r="D292" s="4"/>
      <c r="E292" s="4"/>
      <c r="F292" s="21"/>
      <c r="G292" s="22" t="str">
        <f aca="false">IF($F292="","",IFERROR(INDEX(Lists!$B$4:$B$12,MATCH($F292,Lists!$A$4:$A$12,0)),""))</f>
        <v/>
      </c>
      <c r="H292" s="21"/>
      <c r="I292" s="23"/>
      <c r="J292" s="21"/>
      <c r="K292" s="24" t="str">
        <f aca="false">IF(OR($I292="",$J292=""),"",$I292+7*$J292-3)</f>
        <v/>
      </c>
      <c r="L292" s="21"/>
      <c r="M292" s="4"/>
      <c r="N292" s="21"/>
      <c r="O292" s="4"/>
      <c r="P292" s="21"/>
      <c r="Q292" s="2" t="n">
        <f aca="false">IF($A292="",0,IF(AND(OR(View!$C$4="All",View!$C$4="",$B292=View!$C$4),OR(View!$C$5="All",View!$C$5="",$C292=View!$C$5),OR(View!$C$6="All",View!$C$6="",$F292=View!$C$6),OR(View!$C$7="All",View!$C$7="",$G292=View!$C$7),OR(View!$C$8="All",View!$C$8="",$H292=View!$C$8,AND(View!$C$8="Open (not Complete)",$H292&lt;&gt;"Complete")),OR(View!$C$9="",ISNUMBER(SEARCH(View!$C$9,$D292&amp;" "&amp;$E292)))),1,0))</f>
        <v>0</v>
      </c>
      <c r="R292" s="2" t="str">
        <f aca="false">IF($Q292=1,COUNTIF($Q$4:$Q292,1),"")</f>
        <v/>
      </c>
    </row>
    <row r="293" customFormat="false" ht="15" hidden="false" customHeight="false" outlineLevel="0" collapsed="false">
      <c r="A293" s="21"/>
      <c r="B293" s="21"/>
      <c r="C293" s="21"/>
      <c r="D293" s="4"/>
      <c r="E293" s="4"/>
      <c r="F293" s="21"/>
      <c r="G293" s="22" t="str">
        <f aca="false">IF($F293="","",IFERROR(INDEX(Lists!$B$4:$B$12,MATCH($F293,Lists!$A$4:$A$12,0)),""))</f>
        <v/>
      </c>
      <c r="H293" s="21"/>
      <c r="I293" s="23"/>
      <c r="J293" s="21"/>
      <c r="K293" s="24" t="str">
        <f aca="false">IF(OR($I293="",$J293=""),"",$I293+7*$J293-3)</f>
        <v/>
      </c>
      <c r="L293" s="21"/>
      <c r="M293" s="4"/>
      <c r="N293" s="21"/>
      <c r="O293" s="4"/>
      <c r="P293" s="21"/>
      <c r="Q293" s="2" t="n">
        <f aca="false">IF($A293="",0,IF(AND(OR(View!$C$4="All",View!$C$4="",$B293=View!$C$4),OR(View!$C$5="All",View!$C$5="",$C293=View!$C$5),OR(View!$C$6="All",View!$C$6="",$F293=View!$C$6),OR(View!$C$7="All",View!$C$7="",$G293=View!$C$7),OR(View!$C$8="All",View!$C$8="",$H293=View!$C$8,AND(View!$C$8="Open (not Complete)",$H293&lt;&gt;"Complete")),OR(View!$C$9="",ISNUMBER(SEARCH(View!$C$9,$D293&amp;" "&amp;$E293)))),1,0))</f>
        <v>0</v>
      </c>
      <c r="R293" s="2" t="str">
        <f aca="false">IF($Q293=1,COUNTIF($Q$4:$Q293,1),"")</f>
        <v/>
      </c>
    </row>
    <row r="294" customFormat="false" ht="15" hidden="false" customHeight="false" outlineLevel="0" collapsed="false">
      <c r="A294" s="21"/>
      <c r="B294" s="21"/>
      <c r="C294" s="21"/>
      <c r="D294" s="4"/>
      <c r="E294" s="4"/>
      <c r="F294" s="21"/>
      <c r="G294" s="22" t="str">
        <f aca="false">IF($F294="","",IFERROR(INDEX(Lists!$B$4:$B$12,MATCH($F294,Lists!$A$4:$A$12,0)),""))</f>
        <v/>
      </c>
      <c r="H294" s="21"/>
      <c r="I294" s="23"/>
      <c r="J294" s="21"/>
      <c r="K294" s="24" t="str">
        <f aca="false">IF(OR($I294="",$J294=""),"",$I294+7*$J294-3)</f>
        <v/>
      </c>
      <c r="L294" s="21"/>
      <c r="M294" s="4"/>
      <c r="N294" s="21"/>
      <c r="O294" s="4"/>
      <c r="P294" s="21"/>
      <c r="Q294" s="2" t="n">
        <f aca="false">IF($A294="",0,IF(AND(OR(View!$C$4="All",View!$C$4="",$B294=View!$C$4),OR(View!$C$5="All",View!$C$5="",$C294=View!$C$5),OR(View!$C$6="All",View!$C$6="",$F294=View!$C$6),OR(View!$C$7="All",View!$C$7="",$G294=View!$C$7),OR(View!$C$8="All",View!$C$8="",$H294=View!$C$8,AND(View!$C$8="Open (not Complete)",$H294&lt;&gt;"Complete")),OR(View!$C$9="",ISNUMBER(SEARCH(View!$C$9,$D294&amp;" "&amp;$E294)))),1,0))</f>
        <v>0</v>
      </c>
      <c r="R294" s="2" t="str">
        <f aca="false">IF($Q294=1,COUNTIF($Q$4:$Q294,1),"")</f>
        <v/>
      </c>
    </row>
    <row r="295" customFormat="false" ht="15" hidden="false" customHeight="false" outlineLevel="0" collapsed="false">
      <c r="A295" s="21"/>
      <c r="B295" s="21"/>
      <c r="C295" s="21"/>
      <c r="D295" s="4"/>
      <c r="E295" s="4"/>
      <c r="F295" s="21"/>
      <c r="G295" s="22" t="str">
        <f aca="false">IF($F295="","",IFERROR(INDEX(Lists!$B$4:$B$12,MATCH($F295,Lists!$A$4:$A$12,0)),""))</f>
        <v/>
      </c>
      <c r="H295" s="21"/>
      <c r="I295" s="23"/>
      <c r="J295" s="21"/>
      <c r="K295" s="24" t="str">
        <f aca="false">IF(OR($I295="",$J295=""),"",$I295+7*$J295-3)</f>
        <v/>
      </c>
      <c r="L295" s="21"/>
      <c r="M295" s="4"/>
      <c r="N295" s="21"/>
      <c r="O295" s="4"/>
      <c r="P295" s="21"/>
      <c r="Q295" s="2" t="n">
        <f aca="false">IF($A295="",0,IF(AND(OR(View!$C$4="All",View!$C$4="",$B295=View!$C$4),OR(View!$C$5="All",View!$C$5="",$C295=View!$C$5),OR(View!$C$6="All",View!$C$6="",$F295=View!$C$6),OR(View!$C$7="All",View!$C$7="",$G295=View!$C$7),OR(View!$C$8="All",View!$C$8="",$H295=View!$C$8,AND(View!$C$8="Open (not Complete)",$H295&lt;&gt;"Complete")),OR(View!$C$9="",ISNUMBER(SEARCH(View!$C$9,$D295&amp;" "&amp;$E295)))),1,0))</f>
        <v>0</v>
      </c>
      <c r="R295" s="2" t="str">
        <f aca="false">IF($Q295=1,COUNTIF($Q$4:$Q295,1),"")</f>
        <v/>
      </c>
    </row>
    <row r="296" customFormat="false" ht="15" hidden="false" customHeight="false" outlineLevel="0" collapsed="false">
      <c r="A296" s="21"/>
      <c r="B296" s="21"/>
      <c r="C296" s="21"/>
      <c r="D296" s="4"/>
      <c r="E296" s="4"/>
      <c r="F296" s="21"/>
      <c r="G296" s="22" t="str">
        <f aca="false">IF($F296="","",IFERROR(INDEX(Lists!$B$4:$B$12,MATCH($F296,Lists!$A$4:$A$12,0)),""))</f>
        <v/>
      </c>
      <c r="H296" s="21"/>
      <c r="I296" s="23"/>
      <c r="J296" s="21"/>
      <c r="K296" s="24" t="str">
        <f aca="false">IF(OR($I296="",$J296=""),"",$I296+7*$J296-3)</f>
        <v/>
      </c>
      <c r="L296" s="21"/>
      <c r="M296" s="4"/>
      <c r="N296" s="21"/>
      <c r="O296" s="4"/>
      <c r="P296" s="21"/>
      <c r="Q296" s="2" t="n">
        <f aca="false">IF($A296="",0,IF(AND(OR(View!$C$4="All",View!$C$4="",$B296=View!$C$4),OR(View!$C$5="All",View!$C$5="",$C296=View!$C$5),OR(View!$C$6="All",View!$C$6="",$F296=View!$C$6),OR(View!$C$7="All",View!$C$7="",$G296=View!$C$7),OR(View!$C$8="All",View!$C$8="",$H296=View!$C$8,AND(View!$C$8="Open (not Complete)",$H296&lt;&gt;"Complete")),OR(View!$C$9="",ISNUMBER(SEARCH(View!$C$9,$D296&amp;" "&amp;$E296)))),1,0))</f>
        <v>0</v>
      </c>
      <c r="R296" s="2" t="str">
        <f aca="false">IF($Q296=1,COUNTIF($Q$4:$Q296,1),"")</f>
        <v/>
      </c>
    </row>
    <row r="297" customFormat="false" ht="15" hidden="false" customHeight="false" outlineLevel="0" collapsed="false">
      <c r="A297" s="21"/>
      <c r="B297" s="21"/>
      <c r="C297" s="21"/>
      <c r="D297" s="4"/>
      <c r="E297" s="4"/>
      <c r="F297" s="21"/>
      <c r="G297" s="22" t="str">
        <f aca="false">IF($F297="","",IFERROR(INDEX(Lists!$B$4:$B$12,MATCH($F297,Lists!$A$4:$A$12,0)),""))</f>
        <v/>
      </c>
      <c r="H297" s="21"/>
      <c r="I297" s="23"/>
      <c r="J297" s="21"/>
      <c r="K297" s="24" t="str">
        <f aca="false">IF(OR($I297="",$J297=""),"",$I297+7*$J297-3)</f>
        <v/>
      </c>
      <c r="L297" s="21"/>
      <c r="M297" s="4"/>
      <c r="N297" s="21"/>
      <c r="O297" s="4"/>
      <c r="P297" s="21"/>
      <c r="Q297" s="2" t="n">
        <f aca="false">IF($A297="",0,IF(AND(OR(View!$C$4="All",View!$C$4="",$B297=View!$C$4),OR(View!$C$5="All",View!$C$5="",$C297=View!$C$5),OR(View!$C$6="All",View!$C$6="",$F297=View!$C$6),OR(View!$C$7="All",View!$C$7="",$G297=View!$C$7),OR(View!$C$8="All",View!$C$8="",$H297=View!$C$8,AND(View!$C$8="Open (not Complete)",$H297&lt;&gt;"Complete")),OR(View!$C$9="",ISNUMBER(SEARCH(View!$C$9,$D297&amp;" "&amp;$E297)))),1,0))</f>
        <v>0</v>
      </c>
      <c r="R297" s="2" t="str">
        <f aca="false">IF($Q297=1,COUNTIF($Q$4:$Q297,1),"")</f>
        <v/>
      </c>
    </row>
    <row r="298" customFormat="false" ht="15" hidden="false" customHeight="false" outlineLevel="0" collapsed="false">
      <c r="A298" s="21"/>
      <c r="B298" s="21"/>
      <c r="C298" s="21"/>
      <c r="D298" s="4"/>
      <c r="E298" s="4"/>
      <c r="F298" s="21"/>
      <c r="G298" s="22" t="str">
        <f aca="false">IF($F298="","",IFERROR(INDEX(Lists!$B$4:$B$12,MATCH($F298,Lists!$A$4:$A$12,0)),""))</f>
        <v/>
      </c>
      <c r="H298" s="21"/>
      <c r="I298" s="23"/>
      <c r="J298" s="21"/>
      <c r="K298" s="24" t="str">
        <f aca="false">IF(OR($I298="",$J298=""),"",$I298+7*$J298-3)</f>
        <v/>
      </c>
      <c r="L298" s="21"/>
      <c r="M298" s="4"/>
      <c r="N298" s="21"/>
      <c r="O298" s="4"/>
      <c r="P298" s="21"/>
      <c r="Q298" s="2" t="n">
        <f aca="false">IF($A298="",0,IF(AND(OR(View!$C$4="All",View!$C$4="",$B298=View!$C$4),OR(View!$C$5="All",View!$C$5="",$C298=View!$C$5),OR(View!$C$6="All",View!$C$6="",$F298=View!$C$6),OR(View!$C$7="All",View!$C$7="",$G298=View!$C$7),OR(View!$C$8="All",View!$C$8="",$H298=View!$C$8,AND(View!$C$8="Open (not Complete)",$H298&lt;&gt;"Complete")),OR(View!$C$9="",ISNUMBER(SEARCH(View!$C$9,$D298&amp;" "&amp;$E298)))),1,0))</f>
        <v>0</v>
      </c>
      <c r="R298" s="2" t="str">
        <f aca="false">IF($Q298=1,COUNTIF($Q$4:$Q298,1),"")</f>
        <v/>
      </c>
    </row>
    <row r="299" customFormat="false" ht="15" hidden="false" customHeight="false" outlineLevel="0" collapsed="false">
      <c r="A299" s="21"/>
      <c r="B299" s="21"/>
      <c r="C299" s="21"/>
      <c r="D299" s="4"/>
      <c r="E299" s="4"/>
      <c r="F299" s="21"/>
      <c r="G299" s="22" t="str">
        <f aca="false">IF($F299="","",IFERROR(INDEX(Lists!$B$4:$B$12,MATCH($F299,Lists!$A$4:$A$12,0)),""))</f>
        <v/>
      </c>
      <c r="H299" s="21"/>
      <c r="I299" s="23"/>
      <c r="J299" s="21"/>
      <c r="K299" s="24" t="str">
        <f aca="false">IF(OR($I299="",$J299=""),"",$I299+7*$J299-3)</f>
        <v/>
      </c>
      <c r="L299" s="21"/>
      <c r="M299" s="4"/>
      <c r="N299" s="21"/>
      <c r="O299" s="4"/>
      <c r="P299" s="21"/>
      <c r="Q299" s="2" t="n">
        <f aca="false">IF($A299="",0,IF(AND(OR(View!$C$4="All",View!$C$4="",$B299=View!$C$4),OR(View!$C$5="All",View!$C$5="",$C299=View!$C$5),OR(View!$C$6="All",View!$C$6="",$F299=View!$C$6),OR(View!$C$7="All",View!$C$7="",$G299=View!$C$7),OR(View!$C$8="All",View!$C$8="",$H299=View!$C$8,AND(View!$C$8="Open (not Complete)",$H299&lt;&gt;"Complete")),OR(View!$C$9="",ISNUMBER(SEARCH(View!$C$9,$D299&amp;" "&amp;$E299)))),1,0))</f>
        <v>0</v>
      </c>
      <c r="R299" s="2" t="str">
        <f aca="false">IF($Q299=1,COUNTIF($Q$4:$Q299,1),"")</f>
        <v/>
      </c>
    </row>
    <row r="300" customFormat="false" ht="15" hidden="false" customHeight="false" outlineLevel="0" collapsed="false">
      <c r="A300" s="21"/>
      <c r="B300" s="21"/>
      <c r="C300" s="21"/>
      <c r="D300" s="4"/>
      <c r="E300" s="4"/>
      <c r="F300" s="21"/>
      <c r="G300" s="22" t="str">
        <f aca="false">IF($F300="","",IFERROR(INDEX(Lists!$B$4:$B$12,MATCH($F300,Lists!$A$4:$A$12,0)),""))</f>
        <v/>
      </c>
      <c r="H300" s="21"/>
      <c r="I300" s="23"/>
      <c r="J300" s="21"/>
      <c r="K300" s="24" t="str">
        <f aca="false">IF(OR($I300="",$J300=""),"",$I300+7*$J300-3)</f>
        <v/>
      </c>
      <c r="L300" s="21"/>
      <c r="M300" s="4"/>
      <c r="N300" s="21"/>
      <c r="O300" s="4"/>
      <c r="P300" s="21"/>
      <c r="Q300" s="2" t="n">
        <f aca="false">IF($A300="",0,IF(AND(OR(View!$C$4="All",View!$C$4="",$B300=View!$C$4),OR(View!$C$5="All",View!$C$5="",$C300=View!$C$5),OR(View!$C$6="All",View!$C$6="",$F300=View!$C$6),OR(View!$C$7="All",View!$C$7="",$G300=View!$C$7),OR(View!$C$8="All",View!$C$8="",$H300=View!$C$8,AND(View!$C$8="Open (not Complete)",$H300&lt;&gt;"Complete")),OR(View!$C$9="",ISNUMBER(SEARCH(View!$C$9,$D300&amp;" "&amp;$E300)))),1,0))</f>
        <v>0</v>
      </c>
      <c r="R300" s="2" t="str">
        <f aca="false">IF($Q300=1,COUNTIF($Q$4:$Q300,1),"")</f>
        <v/>
      </c>
    </row>
    <row r="301" customFormat="false" ht="15" hidden="false" customHeight="false" outlineLevel="0" collapsed="false">
      <c r="A301" s="21"/>
      <c r="B301" s="21"/>
      <c r="C301" s="21"/>
      <c r="D301" s="4"/>
      <c r="E301" s="4"/>
      <c r="F301" s="21"/>
      <c r="G301" s="22" t="str">
        <f aca="false">IF($F301="","",IFERROR(INDEX(Lists!$B$4:$B$12,MATCH($F301,Lists!$A$4:$A$12,0)),""))</f>
        <v/>
      </c>
      <c r="H301" s="21"/>
      <c r="I301" s="23"/>
      <c r="J301" s="21"/>
      <c r="K301" s="24" t="str">
        <f aca="false">IF(OR($I301="",$J301=""),"",$I301+7*$J301-3)</f>
        <v/>
      </c>
      <c r="L301" s="21"/>
      <c r="M301" s="4"/>
      <c r="N301" s="21"/>
      <c r="O301" s="4"/>
      <c r="P301" s="21"/>
      <c r="Q301" s="2" t="n">
        <f aca="false">IF($A301="",0,IF(AND(OR(View!$C$4="All",View!$C$4="",$B301=View!$C$4),OR(View!$C$5="All",View!$C$5="",$C301=View!$C$5),OR(View!$C$6="All",View!$C$6="",$F301=View!$C$6),OR(View!$C$7="All",View!$C$7="",$G301=View!$C$7),OR(View!$C$8="All",View!$C$8="",$H301=View!$C$8,AND(View!$C$8="Open (not Complete)",$H301&lt;&gt;"Complete")),OR(View!$C$9="",ISNUMBER(SEARCH(View!$C$9,$D301&amp;" "&amp;$E301)))),1,0))</f>
        <v>0</v>
      </c>
      <c r="R301" s="2" t="str">
        <f aca="false">IF($Q301=1,COUNTIF($Q$4:$Q301,1),"")</f>
        <v/>
      </c>
    </row>
    <row r="302" customFormat="false" ht="15" hidden="false" customHeight="false" outlineLevel="0" collapsed="false">
      <c r="A302" s="21"/>
      <c r="B302" s="21"/>
      <c r="C302" s="21"/>
      <c r="D302" s="4"/>
      <c r="E302" s="4"/>
      <c r="F302" s="21"/>
      <c r="G302" s="22" t="str">
        <f aca="false">IF($F302="","",IFERROR(INDEX(Lists!$B$4:$B$12,MATCH($F302,Lists!$A$4:$A$12,0)),""))</f>
        <v/>
      </c>
      <c r="H302" s="21"/>
      <c r="I302" s="23"/>
      <c r="J302" s="21"/>
      <c r="K302" s="24" t="str">
        <f aca="false">IF(OR($I302="",$J302=""),"",$I302+7*$J302-3)</f>
        <v/>
      </c>
      <c r="L302" s="21"/>
      <c r="M302" s="4"/>
      <c r="N302" s="21"/>
      <c r="O302" s="4"/>
      <c r="P302" s="21"/>
      <c r="Q302" s="2" t="n">
        <f aca="false">IF($A302="",0,IF(AND(OR(View!$C$4="All",View!$C$4="",$B302=View!$C$4),OR(View!$C$5="All",View!$C$5="",$C302=View!$C$5),OR(View!$C$6="All",View!$C$6="",$F302=View!$C$6),OR(View!$C$7="All",View!$C$7="",$G302=View!$C$7),OR(View!$C$8="All",View!$C$8="",$H302=View!$C$8,AND(View!$C$8="Open (not Complete)",$H302&lt;&gt;"Complete")),OR(View!$C$9="",ISNUMBER(SEARCH(View!$C$9,$D302&amp;" "&amp;$E302)))),1,0))</f>
        <v>0</v>
      </c>
      <c r="R302" s="2" t="str">
        <f aca="false">IF($Q302=1,COUNTIF($Q$4:$Q302,1),"")</f>
        <v/>
      </c>
    </row>
    <row r="303" customFormat="false" ht="15" hidden="false" customHeight="false" outlineLevel="0" collapsed="false">
      <c r="A303" s="21"/>
      <c r="B303" s="21"/>
      <c r="C303" s="21"/>
      <c r="D303" s="4"/>
      <c r="E303" s="4"/>
      <c r="F303" s="21"/>
      <c r="G303" s="22" t="str">
        <f aca="false">IF($F303="","",IFERROR(INDEX(Lists!$B$4:$B$12,MATCH($F303,Lists!$A$4:$A$12,0)),""))</f>
        <v/>
      </c>
      <c r="H303" s="21"/>
      <c r="I303" s="23"/>
      <c r="J303" s="21"/>
      <c r="K303" s="24" t="str">
        <f aca="false">IF(OR($I303="",$J303=""),"",$I303+7*$J303-3)</f>
        <v/>
      </c>
      <c r="L303" s="21"/>
      <c r="M303" s="4"/>
      <c r="N303" s="21"/>
      <c r="O303" s="4"/>
      <c r="P303" s="21"/>
      <c r="Q303" s="2" t="n">
        <f aca="false">IF($A303="",0,IF(AND(OR(View!$C$4="All",View!$C$4="",$B303=View!$C$4),OR(View!$C$5="All",View!$C$5="",$C303=View!$C$5),OR(View!$C$6="All",View!$C$6="",$F303=View!$C$6),OR(View!$C$7="All",View!$C$7="",$G303=View!$C$7),OR(View!$C$8="All",View!$C$8="",$H303=View!$C$8,AND(View!$C$8="Open (not Complete)",$H303&lt;&gt;"Complete")),OR(View!$C$9="",ISNUMBER(SEARCH(View!$C$9,$D303&amp;" "&amp;$E303)))),1,0))</f>
        <v>0</v>
      </c>
      <c r="R303" s="2" t="str">
        <f aca="false">IF($Q303=1,COUNTIF($Q$4:$Q303,1),"")</f>
        <v/>
      </c>
    </row>
    <row r="304" customFormat="false" ht="15" hidden="false" customHeight="false" outlineLevel="0" collapsed="false">
      <c r="A304" s="21"/>
      <c r="B304" s="21"/>
      <c r="C304" s="21"/>
      <c r="D304" s="4"/>
      <c r="E304" s="4"/>
      <c r="F304" s="21"/>
      <c r="G304" s="22" t="str">
        <f aca="false">IF($F304="","",IFERROR(INDEX(Lists!$B$4:$B$12,MATCH($F304,Lists!$A$4:$A$12,0)),""))</f>
        <v/>
      </c>
      <c r="H304" s="21"/>
      <c r="I304" s="23"/>
      <c r="J304" s="21"/>
      <c r="K304" s="24" t="str">
        <f aca="false">IF(OR($I304="",$J304=""),"",$I304+7*$J304-3)</f>
        <v/>
      </c>
      <c r="L304" s="21"/>
      <c r="M304" s="4"/>
      <c r="N304" s="21"/>
      <c r="O304" s="4"/>
      <c r="P304" s="21"/>
      <c r="Q304" s="2" t="n">
        <f aca="false">IF($A304="",0,IF(AND(OR(View!$C$4="All",View!$C$4="",$B304=View!$C$4),OR(View!$C$5="All",View!$C$5="",$C304=View!$C$5),OR(View!$C$6="All",View!$C$6="",$F304=View!$C$6),OR(View!$C$7="All",View!$C$7="",$G304=View!$C$7),OR(View!$C$8="All",View!$C$8="",$H304=View!$C$8,AND(View!$C$8="Open (not Complete)",$H304&lt;&gt;"Complete")),OR(View!$C$9="",ISNUMBER(SEARCH(View!$C$9,$D304&amp;" "&amp;$E304)))),1,0))</f>
        <v>0</v>
      </c>
      <c r="R304" s="2" t="str">
        <f aca="false">IF($Q304=1,COUNTIF($Q$4:$Q304,1),"")</f>
        <v/>
      </c>
    </row>
    <row r="305" customFormat="false" ht="15" hidden="false" customHeight="false" outlineLevel="0" collapsed="false">
      <c r="A305" s="21"/>
      <c r="B305" s="21"/>
      <c r="C305" s="21"/>
      <c r="D305" s="4"/>
      <c r="E305" s="4"/>
      <c r="F305" s="21"/>
      <c r="G305" s="22" t="str">
        <f aca="false">IF($F305="","",IFERROR(INDEX(Lists!$B$4:$B$12,MATCH($F305,Lists!$A$4:$A$12,0)),""))</f>
        <v/>
      </c>
      <c r="H305" s="21"/>
      <c r="I305" s="23"/>
      <c r="J305" s="21"/>
      <c r="K305" s="24" t="str">
        <f aca="false">IF(OR($I305="",$J305=""),"",$I305+7*$J305-3)</f>
        <v/>
      </c>
      <c r="L305" s="21"/>
      <c r="M305" s="4"/>
      <c r="N305" s="21"/>
      <c r="O305" s="4"/>
      <c r="P305" s="21"/>
      <c r="Q305" s="2" t="n">
        <f aca="false">IF($A305="",0,IF(AND(OR(View!$C$4="All",View!$C$4="",$B305=View!$C$4),OR(View!$C$5="All",View!$C$5="",$C305=View!$C$5),OR(View!$C$6="All",View!$C$6="",$F305=View!$C$6),OR(View!$C$7="All",View!$C$7="",$G305=View!$C$7),OR(View!$C$8="All",View!$C$8="",$H305=View!$C$8,AND(View!$C$8="Open (not Complete)",$H305&lt;&gt;"Complete")),OR(View!$C$9="",ISNUMBER(SEARCH(View!$C$9,$D305&amp;" "&amp;$E305)))),1,0))</f>
        <v>0</v>
      </c>
      <c r="R305" s="2" t="str">
        <f aca="false">IF($Q305=1,COUNTIF($Q$4:$Q305,1),"")</f>
        <v/>
      </c>
    </row>
    <row r="306" customFormat="false" ht="15" hidden="false" customHeight="false" outlineLevel="0" collapsed="false">
      <c r="A306" s="21"/>
      <c r="B306" s="21"/>
      <c r="C306" s="21"/>
      <c r="D306" s="4"/>
      <c r="E306" s="4"/>
      <c r="F306" s="21"/>
      <c r="G306" s="22" t="str">
        <f aca="false">IF($F306="","",IFERROR(INDEX(Lists!$B$4:$B$12,MATCH($F306,Lists!$A$4:$A$12,0)),""))</f>
        <v/>
      </c>
      <c r="H306" s="21"/>
      <c r="I306" s="23"/>
      <c r="J306" s="21"/>
      <c r="K306" s="24" t="str">
        <f aca="false">IF(OR($I306="",$J306=""),"",$I306+7*$J306-3)</f>
        <v/>
      </c>
      <c r="L306" s="21"/>
      <c r="M306" s="4"/>
      <c r="N306" s="21"/>
      <c r="O306" s="4"/>
      <c r="P306" s="21"/>
      <c r="Q306" s="2" t="n">
        <f aca="false">IF($A306="",0,IF(AND(OR(View!$C$4="All",View!$C$4="",$B306=View!$C$4),OR(View!$C$5="All",View!$C$5="",$C306=View!$C$5),OR(View!$C$6="All",View!$C$6="",$F306=View!$C$6),OR(View!$C$7="All",View!$C$7="",$G306=View!$C$7),OR(View!$C$8="All",View!$C$8="",$H306=View!$C$8,AND(View!$C$8="Open (not Complete)",$H306&lt;&gt;"Complete")),OR(View!$C$9="",ISNUMBER(SEARCH(View!$C$9,$D306&amp;" "&amp;$E306)))),1,0))</f>
        <v>0</v>
      </c>
      <c r="R306" s="2" t="str">
        <f aca="false">IF($Q306=1,COUNTIF($Q$4:$Q306,1),"")</f>
        <v/>
      </c>
    </row>
    <row r="307" customFormat="false" ht="15" hidden="false" customHeight="false" outlineLevel="0" collapsed="false">
      <c r="A307" s="21"/>
      <c r="B307" s="21"/>
      <c r="C307" s="21"/>
      <c r="D307" s="4"/>
      <c r="E307" s="4"/>
      <c r="F307" s="21"/>
      <c r="G307" s="22" t="str">
        <f aca="false">IF($F307="","",IFERROR(INDEX(Lists!$B$4:$B$12,MATCH($F307,Lists!$A$4:$A$12,0)),""))</f>
        <v/>
      </c>
      <c r="H307" s="21"/>
      <c r="I307" s="23"/>
      <c r="J307" s="21"/>
      <c r="K307" s="24" t="str">
        <f aca="false">IF(OR($I307="",$J307=""),"",$I307+7*$J307-3)</f>
        <v/>
      </c>
      <c r="L307" s="21"/>
      <c r="M307" s="4"/>
      <c r="N307" s="21"/>
      <c r="O307" s="4"/>
      <c r="P307" s="21"/>
      <c r="Q307" s="2" t="n">
        <f aca="false">IF($A307="",0,IF(AND(OR(View!$C$4="All",View!$C$4="",$B307=View!$C$4),OR(View!$C$5="All",View!$C$5="",$C307=View!$C$5),OR(View!$C$6="All",View!$C$6="",$F307=View!$C$6),OR(View!$C$7="All",View!$C$7="",$G307=View!$C$7),OR(View!$C$8="All",View!$C$8="",$H307=View!$C$8,AND(View!$C$8="Open (not Complete)",$H307&lt;&gt;"Complete")),OR(View!$C$9="",ISNUMBER(SEARCH(View!$C$9,$D307&amp;" "&amp;$E307)))),1,0))</f>
        <v>0</v>
      </c>
      <c r="R307" s="2" t="str">
        <f aca="false">IF($Q307=1,COUNTIF($Q$4:$Q307,1),"")</f>
        <v/>
      </c>
    </row>
    <row r="308" customFormat="false" ht="15" hidden="false" customHeight="false" outlineLevel="0" collapsed="false">
      <c r="A308" s="21"/>
      <c r="B308" s="21"/>
      <c r="C308" s="21"/>
      <c r="D308" s="4"/>
      <c r="E308" s="4"/>
      <c r="F308" s="21"/>
      <c r="G308" s="22" t="str">
        <f aca="false">IF($F308="","",IFERROR(INDEX(Lists!$B$4:$B$12,MATCH($F308,Lists!$A$4:$A$12,0)),""))</f>
        <v/>
      </c>
      <c r="H308" s="21"/>
      <c r="I308" s="23"/>
      <c r="J308" s="21"/>
      <c r="K308" s="24" t="str">
        <f aca="false">IF(OR($I308="",$J308=""),"",$I308+7*$J308-3)</f>
        <v/>
      </c>
      <c r="L308" s="21"/>
      <c r="M308" s="4"/>
      <c r="N308" s="21"/>
      <c r="O308" s="4"/>
      <c r="P308" s="21"/>
      <c r="Q308" s="2" t="n">
        <f aca="false">IF($A308="",0,IF(AND(OR(View!$C$4="All",View!$C$4="",$B308=View!$C$4),OR(View!$C$5="All",View!$C$5="",$C308=View!$C$5),OR(View!$C$6="All",View!$C$6="",$F308=View!$C$6),OR(View!$C$7="All",View!$C$7="",$G308=View!$C$7),OR(View!$C$8="All",View!$C$8="",$H308=View!$C$8,AND(View!$C$8="Open (not Complete)",$H308&lt;&gt;"Complete")),OR(View!$C$9="",ISNUMBER(SEARCH(View!$C$9,$D308&amp;" "&amp;$E308)))),1,0))</f>
        <v>0</v>
      </c>
      <c r="R308" s="2" t="str">
        <f aca="false">IF($Q308=1,COUNTIF($Q$4:$Q308,1),"")</f>
        <v/>
      </c>
    </row>
    <row r="309" customFormat="false" ht="15" hidden="false" customHeight="false" outlineLevel="0" collapsed="false">
      <c r="A309" s="21"/>
      <c r="B309" s="21"/>
      <c r="C309" s="21"/>
      <c r="D309" s="4"/>
      <c r="E309" s="4"/>
      <c r="F309" s="21"/>
      <c r="G309" s="22" t="str">
        <f aca="false">IF($F309="","",IFERROR(INDEX(Lists!$B$4:$B$12,MATCH($F309,Lists!$A$4:$A$12,0)),""))</f>
        <v/>
      </c>
      <c r="H309" s="21"/>
      <c r="I309" s="23"/>
      <c r="J309" s="21"/>
      <c r="K309" s="24" t="str">
        <f aca="false">IF(OR($I309="",$J309=""),"",$I309+7*$J309-3)</f>
        <v/>
      </c>
      <c r="L309" s="21"/>
      <c r="M309" s="4"/>
      <c r="N309" s="21"/>
      <c r="O309" s="4"/>
      <c r="P309" s="21"/>
      <c r="Q309" s="2" t="n">
        <f aca="false">IF($A309="",0,IF(AND(OR(View!$C$4="All",View!$C$4="",$B309=View!$C$4),OR(View!$C$5="All",View!$C$5="",$C309=View!$C$5),OR(View!$C$6="All",View!$C$6="",$F309=View!$C$6),OR(View!$C$7="All",View!$C$7="",$G309=View!$C$7),OR(View!$C$8="All",View!$C$8="",$H309=View!$C$8,AND(View!$C$8="Open (not Complete)",$H309&lt;&gt;"Complete")),OR(View!$C$9="",ISNUMBER(SEARCH(View!$C$9,$D309&amp;" "&amp;$E309)))),1,0))</f>
        <v>0</v>
      </c>
      <c r="R309" s="2" t="str">
        <f aca="false">IF($Q309=1,COUNTIF($Q$4:$Q309,1),"")</f>
        <v/>
      </c>
    </row>
    <row r="310" customFormat="false" ht="15" hidden="false" customHeight="false" outlineLevel="0" collapsed="false">
      <c r="A310" s="21"/>
      <c r="B310" s="21"/>
      <c r="C310" s="21"/>
      <c r="D310" s="4"/>
      <c r="E310" s="4"/>
      <c r="F310" s="21"/>
      <c r="G310" s="22" t="str">
        <f aca="false">IF($F310="","",IFERROR(INDEX(Lists!$B$4:$B$12,MATCH($F310,Lists!$A$4:$A$12,0)),""))</f>
        <v/>
      </c>
      <c r="H310" s="21"/>
      <c r="I310" s="23"/>
      <c r="J310" s="21"/>
      <c r="K310" s="24" t="str">
        <f aca="false">IF(OR($I310="",$J310=""),"",$I310+7*$J310-3)</f>
        <v/>
      </c>
      <c r="L310" s="21"/>
      <c r="M310" s="4"/>
      <c r="N310" s="21"/>
      <c r="O310" s="4"/>
      <c r="P310" s="21"/>
      <c r="Q310" s="2" t="n">
        <f aca="false">IF($A310="",0,IF(AND(OR(View!$C$4="All",View!$C$4="",$B310=View!$C$4),OR(View!$C$5="All",View!$C$5="",$C310=View!$C$5),OR(View!$C$6="All",View!$C$6="",$F310=View!$C$6),OR(View!$C$7="All",View!$C$7="",$G310=View!$C$7),OR(View!$C$8="All",View!$C$8="",$H310=View!$C$8,AND(View!$C$8="Open (not Complete)",$H310&lt;&gt;"Complete")),OR(View!$C$9="",ISNUMBER(SEARCH(View!$C$9,$D310&amp;" "&amp;$E310)))),1,0))</f>
        <v>0</v>
      </c>
      <c r="R310" s="2" t="str">
        <f aca="false">IF($Q310=1,COUNTIF($Q$4:$Q310,1),"")</f>
        <v/>
      </c>
    </row>
    <row r="311" customFormat="false" ht="15" hidden="false" customHeight="false" outlineLevel="0" collapsed="false">
      <c r="A311" s="21"/>
      <c r="B311" s="21"/>
      <c r="C311" s="21"/>
      <c r="D311" s="4"/>
      <c r="E311" s="4"/>
      <c r="F311" s="21"/>
      <c r="G311" s="22" t="str">
        <f aca="false">IF($F311="","",IFERROR(INDEX(Lists!$B$4:$B$12,MATCH($F311,Lists!$A$4:$A$12,0)),""))</f>
        <v/>
      </c>
      <c r="H311" s="21"/>
      <c r="I311" s="23"/>
      <c r="J311" s="21"/>
      <c r="K311" s="24" t="str">
        <f aca="false">IF(OR($I311="",$J311=""),"",$I311+7*$J311-3)</f>
        <v/>
      </c>
      <c r="L311" s="21"/>
      <c r="M311" s="4"/>
      <c r="N311" s="21"/>
      <c r="O311" s="4"/>
      <c r="P311" s="21"/>
      <c r="Q311" s="2" t="n">
        <f aca="false">IF($A311="",0,IF(AND(OR(View!$C$4="All",View!$C$4="",$B311=View!$C$4),OR(View!$C$5="All",View!$C$5="",$C311=View!$C$5),OR(View!$C$6="All",View!$C$6="",$F311=View!$C$6),OR(View!$C$7="All",View!$C$7="",$G311=View!$C$7),OR(View!$C$8="All",View!$C$8="",$H311=View!$C$8,AND(View!$C$8="Open (not Complete)",$H311&lt;&gt;"Complete")),OR(View!$C$9="",ISNUMBER(SEARCH(View!$C$9,$D311&amp;" "&amp;$E311)))),1,0))</f>
        <v>0</v>
      </c>
      <c r="R311" s="2" t="str">
        <f aca="false">IF($Q311=1,COUNTIF($Q$4:$Q311,1),"")</f>
        <v/>
      </c>
    </row>
    <row r="312" customFormat="false" ht="15" hidden="false" customHeight="false" outlineLevel="0" collapsed="false">
      <c r="A312" s="21"/>
      <c r="B312" s="21"/>
      <c r="C312" s="21"/>
      <c r="D312" s="4"/>
      <c r="E312" s="4"/>
      <c r="F312" s="21"/>
      <c r="G312" s="22" t="str">
        <f aca="false">IF($F312="","",IFERROR(INDEX(Lists!$B$4:$B$12,MATCH($F312,Lists!$A$4:$A$12,0)),""))</f>
        <v/>
      </c>
      <c r="H312" s="21"/>
      <c r="I312" s="23"/>
      <c r="J312" s="21"/>
      <c r="K312" s="24" t="str">
        <f aca="false">IF(OR($I312="",$J312=""),"",$I312+7*$J312-3)</f>
        <v/>
      </c>
      <c r="L312" s="21"/>
      <c r="M312" s="4"/>
      <c r="N312" s="21"/>
      <c r="O312" s="4"/>
      <c r="P312" s="21"/>
      <c r="Q312" s="2" t="n">
        <f aca="false">IF($A312="",0,IF(AND(OR(View!$C$4="All",View!$C$4="",$B312=View!$C$4),OR(View!$C$5="All",View!$C$5="",$C312=View!$C$5),OR(View!$C$6="All",View!$C$6="",$F312=View!$C$6),OR(View!$C$7="All",View!$C$7="",$G312=View!$C$7),OR(View!$C$8="All",View!$C$8="",$H312=View!$C$8,AND(View!$C$8="Open (not Complete)",$H312&lt;&gt;"Complete")),OR(View!$C$9="",ISNUMBER(SEARCH(View!$C$9,$D312&amp;" "&amp;$E312)))),1,0))</f>
        <v>0</v>
      </c>
      <c r="R312" s="2" t="str">
        <f aca="false">IF($Q312=1,COUNTIF($Q$4:$Q312,1),"")</f>
        <v/>
      </c>
    </row>
    <row r="313" customFormat="false" ht="15" hidden="false" customHeight="false" outlineLevel="0" collapsed="false">
      <c r="A313" s="21"/>
      <c r="B313" s="21"/>
      <c r="C313" s="21"/>
      <c r="D313" s="4"/>
      <c r="E313" s="4"/>
      <c r="F313" s="21"/>
      <c r="G313" s="22" t="str">
        <f aca="false">IF($F313="","",IFERROR(INDEX(Lists!$B$4:$B$12,MATCH($F313,Lists!$A$4:$A$12,0)),""))</f>
        <v/>
      </c>
      <c r="H313" s="21"/>
      <c r="I313" s="23"/>
      <c r="J313" s="21"/>
      <c r="K313" s="24" t="str">
        <f aca="false">IF(OR($I313="",$J313=""),"",$I313+7*$J313-3)</f>
        <v/>
      </c>
      <c r="L313" s="21"/>
      <c r="M313" s="4"/>
      <c r="N313" s="21"/>
      <c r="O313" s="4"/>
      <c r="P313" s="21"/>
      <c r="Q313" s="2" t="n">
        <f aca="false">IF($A313="",0,IF(AND(OR(View!$C$4="All",View!$C$4="",$B313=View!$C$4),OR(View!$C$5="All",View!$C$5="",$C313=View!$C$5),OR(View!$C$6="All",View!$C$6="",$F313=View!$C$6),OR(View!$C$7="All",View!$C$7="",$G313=View!$C$7),OR(View!$C$8="All",View!$C$8="",$H313=View!$C$8,AND(View!$C$8="Open (not Complete)",$H313&lt;&gt;"Complete")),OR(View!$C$9="",ISNUMBER(SEARCH(View!$C$9,$D313&amp;" "&amp;$E313)))),1,0))</f>
        <v>0</v>
      </c>
      <c r="R313" s="2" t="str">
        <f aca="false">IF($Q313=1,COUNTIF($Q$4:$Q313,1),"")</f>
        <v/>
      </c>
    </row>
    <row r="314" customFormat="false" ht="15" hidden="false" customHeight="false" outlineLevel="0" collapsed="false">
      <c r="A314" s="21"/>
      <c r="B314" s="21"/>
      <c r="C314" s="21"/>
      <c r="D314" s="4"/>
      <c r="E314" s="4"/>
      <c r="F314" s="21"/>
      <c r="G314" s="22" t="str">
        <f aca="false">IF($F314="","",IFERROR(INDEX(Lists!$B$4:$B$12,MATCH($F314,Lists!$A$4:$A$12,0)),""))</f>
        <v/>
      </c>
      <c r="H314" s="21"/>
      <c r="I314" s="23"/>
      <c r="J314" s="21"/>
      <c r="K314" s="24" t="str">
        <f aca="false">IF(OR($I314="",$J314=""),"",$I314+7*$J314-3)</f>
        <v/>
      </c>
      <c r="L314" s="21"/>
      <c r="M314" s="4"/>
      <c r="N314" s="21"/>
      <c r="O314" s="4"/>
      <c r="P314" s="21"/>
      <c r="Q314" s="2" t="n">
        <f aca="false">IF($A314="",0,IF(AND(OR(View!$C$4="All",View!$C$4="",$B314=View!$C$4),OR(View!$C$5="All",View!$C$5="",$C314=View!$C$5),OR(View!$C$6="All",View!$C$6="",$F314=View!$C$6),OR(View!$C$7="All",View!$C$7="",$G314=View!$C$7),OR(View!$C$8="All",View!$C$8="",$H314=View!$C$8,AND(View!$C$8="Open (not Complete)",$H314&lt;&gt;"Complete")),OR(View!$C$9="",ISNUMBER(SEARCH(View!$C$9,$D314&amp;" "&amp;$E314)))),1,0))</f>
        <v>0</v>
      </c>
      <c r="R314" s="2" t="str">
        <f aca="false">IF($Q314=1,COUNTIF($Q$4:$Q314,1),"")</f>
        <v/>
      </c>
    </row>
    <row r="315" customFormat="false" ht="15" hidden="false" customHeight="false" outlineLevel="0" collapsed="false">
      <c r="A315" s="21"/>
      <c r="B315" s="21"/>
      <c r="C315" s="21"/>
      <c r="D315" s="4"/>
      <c r="E315" s="4"/>
      <c r="F315" s="21"/>
      <c r="G315" s="22" t="str">
        <f aca="false">IF($F315="","",IFERROR(INDEX(Lists!$B$4:$B$12,MATCH($F315,Lists!$A$4:$A$12,0)),""))</f>
        <v/>
      </c>
      <c r="H315" s="21"/>
      <c r="I315" s="23"/>
      <c r="J315" s="21"/>
      <c r="K315" s="24" t="str">
        <f aca="false">IF(OR($I315="",$J315=""),"",$I315+7*$J315-3)</f>
        <v/>
      </c>
      <c r="L315" s="21"/>
      <c r="M315" s="4"/>
      <c r="N315" s="21"/>
      <c r="O315" s="4"/>
      <c r="P315" s="21"/>
      <c r="Q315" s="2" t="n">
        <f aca="false">IF($A315="",0,IF(AND(OR(View!$C$4="All",View!$C$4="",$B315=View!$C$4),OR(View!$C$5="All",View!$C$5="",$C315=View!$C$5),OR(View!$C$6="All",View!$C$6="",$F315=View!$C$6),OR(View!$C$7="All",View!$C$7="",$G315=View!$C$7),OR(View!$C$8="All",View!$C$8="",$H315=View!$C$8,AND(View!$C$8="Open (not Complete)",$H315&lt;&gt;"Complete")),OR(View!$C$9="",ISNUMBER(SEARCH(View!$C$9,$D315&amp;" "&amp;$E315)))),1,0))</f>
        <v>0</v>
      </c>
      <c r="R315" s="2" t="str">
        <f aca="false">IF($Q315=1,COUNTIF($Q$4:$Q315,1),"")</f>
        <v/>
      </c>
    </row>
    <row r="316" customFormat="false" ht="15" hidden="false" customHeight="false" outlineLevel="0" collapsed="false">
      <c r="A316" s="21"/>
      <c r="B316" s="21"/>
      <c r="C316" s="21"/>
      <c r="D316" s="4"/>
      <c r="E316" s="4"/>
      <c r="F316" s="21"/>
      <c r="G316" s="22" t="str">
        <f aca="false">IF($F316="","",IFERROR(INDEX(Lists!$B$4:$B$12,MATCH($F316,Lists!$A$4:$A$12,0)),""))</f>
        <v/>
      </c>
      <c r="H316" s="21"/>
      <c r="I316" s="23"/>
      <c r="J316" s="21"/>
      <c r="K316" s="24" t="str">
        <f aca="false">IF(OR($I316="",$J316=""),"",$I316+7*$J316-3)</f>
        <v/>
      </c>
      <c r="L316" s="21"/>
      <c r="M316" s="4"/>
      <c r="N316" s="21"/>
      <c r="O316" s="4"/>
      <c r="P316" s="21"/>
      <c r="Q316" s="2" t="n">
        <f aca="false">IF($A316="",0,IF(AND(OR(View!$C$4="All",View!$C$4="",$B316=View!$C$4),OR(View!$C$5="All",View!$C$5="",$C316=View!$C$5),OR(View!$C$6="All",View!$C$6="",$F316=View!$C$6),OR(View!$C$7="All",View!$C$7="",$G316=View!$C$7),OR(View!$C$8="All",View!$C$8="",$H316=View!$C$8,AND(View!$C$8="Open (not Complete)",$H316&lt;&gt;"Complete")),OR(View!$C$9="",ISNUMBER(SEARCH(View!$C$9,$D316&amp;" "&amp;$E316)))),1,0))</f>
        <v>0</v>
      </c>
      <c r="R316" s="2" t="str">
        <f aca="false">IF($Q316=1,COUNTIF($Q$4:$Q316,1),"")</f>
        <v/>
      </c>
    </row>
    <row r="317" customFormat="false" ht="15" hidden="false" customHeight="false" outlineLevel="0" collapsed="false">
      <c r="A317" s="21"/>
      <c r="B317" s="21"/>
      <c r="C317" s="21"/>
      <c r="D317" s="4"/>
      <c r="E317" s="4"/>
      <c r="F317" s="21"/>
      <c r="G317" s="22" t="str">
        <f aca="false">IF($F317="","",IFERROR(INDEX(Lists!$B$4:$B$12,MATCH($F317,Lists!$A$4:$A$12,0)),""))</f>
        <v/>
      </c>
      <c r="H317" s="21"/>
      <c r="I317" s="23"/>
      <c r="J317" s="21"/>
      <c r="K317" s="24" t="str">
        <f aca="false">IF(OR($I317="",$J317=""),"",$I317+7*$J317-3)</f>
        <v/>
      </c>
      <c r="L317" s="21"/>
      <c r="M317" s="4"/>
      <c r="N317" s="21"/>
      <c r="O317" s="4"/>
      <c r="P317" s="21"/>
      <c r="Q317" s="2" t="n">
        <f aca="false">IF($A317="",0,IF(AND(OR(View!$C$4="All",View!$C$4="",$B317=View!$C$4),OR(View!$C$5="All",View!$C$5="",$C317=View!$C$5),OR(View!$C$6="All",View!$C$6="",$F317=View!$C$6),OR(View!$C$7="All",View!$C$7="",$G317=View!$C$7),OR(View!$C$8="All",View!$C$8="",$H317=View!$C$8,AND(View!$C$8="Open (not Complete)",$H317&lt;&gt;"Complete")),OR(View!$C$9="",ISNUMBER(SEARCH(View!$C$9,$D317&amp;" "&amp;$E317)))),1,0))</f>
        <v>0</v>
      </c>
      <c r="R317" s="2" t="str">
        <f aca="false">IF($Q317=1,COUNTIF($Q$4:$Q317,1),"")</f>
        <v/>
      </c>
    </row>
    <row r="318" customFormat="false" ht="15" hidden="false" customHeight="false" outlineLevel="0" collapsed="false">
      <c r="A318" s="21"/>
      <c r="B318" s="21"/>
      <c r="C318" s="21"/>
      <c r="D318" s="4"/>
      <c r="E318" s="4"/>
      <c r="F318" s="21"/>
      <c r="G318" s="22" t="str">
        <f aca="false">IF($F318="","",IFERROR(INDEX(Lists!$B$4:$B$12,MATCH($F318,Lists!$A$4:$A$12,0)),""))</f>
        <v/>
      </c>
      <c r="H318" s="21"/>
      <c r="I318" s="23"/>
      <c r="J318" s="21"/>
      <c r="K318" s="24" t="str">
        <f aca="false">IF(OR($I318="",$J318=""),"",$I318+7*$J318-3)</f>
        <v/>
      </c>
      <c r="L318" s="21"/>
      <c r="M318" s="4"/>
      <c r="N318" s="21"/>
      <c r="O318" s="4"/>
      <c r="P318" s="21"/>
      <c r="Q318" s="2" t="n">
        <f aca="false">IF($A318="",0,IF(AND(OR(View!$C$4="All",View!$C$4="",$B318=View!$C$4),OR(View!$C$5="All",View!$C$5="",$C318=View!$C$5),OR(View!$C$6="All",View!$C$6="",$F318=View!$C$6),OR(View!$C$7="All",View!$C$7="",$G318=View!$C$7),OR(View!$C$8="All",View!$C$8="",$H318=View!$C$8,AND(View!$C$8="Open (not Complete)",$H318&lt;&gt;"Complete")),OR(View!$C$9="",ISNUMBER(SEARCH(View!$C$9,$D318&amp;" "&amp;$E318)))),1,0))</f>
        <v>0</v>
      </c>
      <c r="R318" s="2" t="str">
        <f aca="false">IF($Q318=1,COUNTIF($Q$4:$Q318,1),"")</f>
        <v/>
      </c>
    </row>
    <row r="319" customFormat="false" ht="15" hidden="false" customHeight="false" outlineLevel="0" collapsed="false">
      <c r="A319" s="21"/>
      <c r="B319" s="21"/>
      <c r="C319" s="21"/>
      <c r="D319" s="4"/>
      <c r="E319" s="4"/>
      <c r="F319" s="21"/>
      <c r="G319" s="22" t="str">
        <f aca="false">IF($F319="","",IFERROR(INDEX(Lists!$B$4:$B$12,MATCH($F319,Lists!$A$4:$A$12,0)),""))</f>
        <v/>
      </c>
      <c r="H319" s="21"/>
      <c r="I319" s="23"/>
      <c r="J319" s="21"/>
      <c r="K319" s="24" t="str">
        <f aca="false">IF(OR($I319="",$J319=""),"",$I319+7*$J319-3)</f>
        <v/>
      </c>
      <c r="L319" s="21"/>
      <c r="M319" s="4"/>
      <c r="N319" s="21"/>
      <c r="O319" s="4"/>
      <c r="P319" s="21"/>
      <c r="Q319" s="2" t="n">
        <f aca="false">IF($A319="",0,IF(AND(OR(View!$C$4="All",View!$C$4="",$B319=View!$C$4),OR(View!$C$5="All",View!$C$5="",$C319=View!$C$5),OR(View!$C$6="All",View!$C$6="",$F319=View!$C$6),OR(View!$C$7="All",View!$C$7="",$G319=View!$C$7),OR(View!$C$8="All",View!$C$8="",$H319=View!$C$8,AND(View!$C$8="Open (not Complete)",$H319&lt;&gt;"Complete")),OR(View!$C$9="",ISNUMBER(SEARCH(View!$C$9,$D319&amp;" "&amp;$E319)))),1,0))</f>
        <v>0</v>
      </c>
      <c r="R319" s="2" t="str">
        <f aca="false">IF($Q319=1,COUNTIF($Q$4:$Q319,1),"")</f>
        <v/>
      </c>
    </row>
    <row r="320" customFormat="false" ht="15" hidden="false" customHeight="false" outlineLevel="0" collapsed="false">
      <c r="A320" s="21"/>
      <c r="B320" s="21"/>
      <c r="C320" s="21"/>
      <c r="D320" s="4"/>
      <c r="E320" s="4"/>
      <c r="F320" s="21"/>
      <c r="G320" s="22" t="str">
        <f aca="false">IF($F320="","",IFERROR(INDEX(Lists!$B$4:$B$12,MATCH($F320,Lists!$A$4:$A$12,0)),""))</f>
        <v/>
      </c>
      <c r="H320" s="21"/>
      <c r="I320" s="23"/>
      <c r="J320" s="21"/>
      <c r="K320" s="24" t="str">
        <f aca="false">IF(OR($I320="",$J320=""),"",$I320+7*$J320-3)</f>
        <v/>
      </c>
      <c r="L320" s="21"/>
      <c r="M320" s="4"/>
      <c r="N320" s="21"/>
      <c r="O320" s="4"/>
      <c r="P320" s="21"/>
      <c r="Q320" s="2" t="n">
        <f aca="false">IF($A320="",0,IF(AND(OR(View!$C$4="All",View!$C$4="",$B320=View!$C$4),OR(View!$C$5="All",View!$C$5="",$C320=View!$C$5),OR(View!$C$6="All",View!$C$6="",$F320=View!$C$6),OR(View!$C$7="All",View!$C$7="",$G320=View!$C$7),OR(View!$C$8="All",View!$C$8="",$H320=View!$C$8,AND(View!$C$8="Open (not Complete)",$H320&lt;&gt;"Complete")),OR(View!$C$9="",ISNUMBER(SEARCH(View!$C$9,$D320&amp;" "&amp;$E320)))),1,0))</f>
        <v>0</v>
      </c>
      <c r="R320" s="2" t="str">
        <f aca="false">IF($Q320=1,COUNTIF($Q$4:$Q320,1),"")</f>
        <v/>
      </c>
    </row>
    <row r="321" customFormat="false" ht="15" hidden="false" customHeight="false" outlineLevel="0" collapsed="false">
      <c r="A321" s="21"/>
      <c r="B321" s="21"/>
      <c r="C321" s="21"/>
      <c r="D321" s="4"/>
      <c r="E321" s="4"/>
      <c r="F321" s="21"/>
      <c r="G321" s="22" t="str">
        <f aca="false">IF($F321="","",IFERROR(INDEX(Lists!$B$4:$B$12,MATCH($F321,Lists!$A$4:$A$12,0)),""))</f>
        <v/>
      </c>
      <c r="H321" s="21"/>
      <c r="I321" s="23"/>
      <c r="J321" s="21"/>
      <c r="K321" s="24" t="str">
        <f aca="false">IF(OR($I321="",$J321=""),"",$I321+7*$J321-3)</f>
        <v/>
      </c>
      <c r="L321" s="21"/>
      <c r="M321" s="4"/>
      <c r="N321" s="21"/>
      <c r="O321" s="4"/>
      <c r="P321" s="21"/>
      <c r="Q321" s="2" t="n">
        <f aca="false">IF($A321="",0,IF(AND(OR(View!$C$4="All",View!$C$4="",$B321=View!$C$4),OR(View!$C$5="All",View!$C$5="",$C321=View!$C$5),OR(View!$C$6="All",View!$C$6="",$F321=View!$C$6),OR(View!$C$7="All",View!$C$7="",$G321=View!$C$7),OR(View!$C$8="All",View!$C$8="",$H321=View!$C$8,AND(View!$C$8="Open (not Complete)",$H321&lt;&gt;"Complete")),OR(View!$C$9="",ISNUMBER(SEARCH(View!$C$9,$D321&amp;" "&amp;$E321)))),1,0))</f>
        <v>0</v>
      </c>
      <c r="R321" s="2" t="str">
        <f aca="false">IF($Q321=1,COUNTIF($Q$4:$Q321,1),"")</f>
        <v/>
      </c>
    </row>
    <row r="322" customFormat="false" ht="15" hidden="false" customHeight="false" outlineLevel="0" collapsed="false">
      <c r="A322" s="21"/>
      <c r="B322" s="21"/>
      <c r="C322" s="21"/>
      <c r="D322" s="4"/>
      <c r="E322" s="4"/>
      <c r="F322" s="21"/>
      <c r="G322" s="22" t="str">
        <f aca="false">IF($F322="","",IFERROR(INDEX(Lists!$B$4:$B$12,MATCH($F322,Lists!$A$4:$A$12,0)),""))</f>
        <v/>
      </c>
      <c r="H322" s="21"/>
      <c r="I322" s="23"/>
      <c r="J322" s="21"/>
      <c r="K322" s="24" t="str">
        <f aca="false">IF(OR($I322="",$J322=""),"",$I322+7*$J322-3)</f>
        <v/>
      </c>
      <c r="L322" s="21"/>
      <c r="M322" s="4"/>
      <c r="N322" s="21"/>
      <c r="O322" s="4"/>
      <c r="P322" s="21"/>
      <c r="Q322" s="2" t="n">
        <f aca="false">IF($A322="",0,IF(AND(OR(View!$C$4="All",View!$C$4="",$B322=View!$C$4),OR(View!$C$5="All",View!$C$5="",$C322=View!$C$5),OR(View!$C$6="All",View!$C$6="",$F322=View!$C$6),OR(View!$C$7="All",View!$C$7="",$G322=View!$C$7),OR(View!$C$8="All",View!$C$8="",$H322=View!$C$8,AND(View!$C$8="Open (not Complete)",$H322&lt;&gt;"Complete")),OR(View!$C$9="",ISNUMBER(SEARCH(View!$C$9,$D322&amp;" "&amp;$E322)))),1,0))</f>
        <v>0</v>
      </c>
      <c r="R322" s="2" t="str">
        <f aca="false">IF($Q322=1,COUNTIF($Q$4:$Q322,1),"")</f>
        <v/>
      </c>
    </row>
    <row r="323" customFormat="false" ht="15" hidden="false" customHeight="false" outlineLevel="0" collapsed="false">
      <c r="A323" s="21"/>
      <c r="B323" s="21"/>
      <c r="C323" s="21"/>
      <c r="D323" s="4"/>
      <c r="E323" s="4"/>
      <c r="F323" s="21"/>
      <c r="G323" s="22" t="str">
        <f aca="false">IF($F323="","",IFERROR(INDEX(Lists!$B$4:$B$12,MATCH($F323,Lists!$A$4:$A$12,0)),""))</f>
        <v/>
      </c>
      <c r="H323" s="21"/>
      <c r="I323" s="23"/>
      <c r="J323" s="21"/>
      <c r="K323" s="24" t="str">
        <f aca="false">IF(OR($I323="",$J323=""),"",$I323+7*$J323-3)</f>
        <v/>
      </c>
      <c r="L323" s="21"/>
      <c r="M323" s="4"/>
      <c r="N323" s="21"/>
      <c r="O323" s="4"/>
      <c r="P323" s="21"/>
      <c r="Q323" s="2" t="n">
        <f aca="false">IF($A323="",0,IF(AND(OR(View!$C$4="All",View!$C$4="",$B323=View!$C$4),OR(View!$C$5="All",View!$C$5="",$C323=View!$C$5),OR(View!$C$6="All",View!$C$6="",$F323=View!$C$6),OR(View!$C$7="All",View!$C$7="",$G323=View!$C$7),OR(View!$C$8="All",View!$C$8="",$H323=View!$C$8,AND(View!$C$8="Open (not Complete)",$H323&lt;&gt;"Complete")),OR(View!$C$9="",ISNUMBER(SEARCH(View!$C$9,$D323&amp;" "&amp;$E323)))),1,0))</f>
        <v>0</v>
      </c>
      <c r="R323" s="2" t="str">
        <f aca="false">IF($Q323=1,COUNTIF($Q$4:$Q323,1),"")</f>
        <v/>
      </c>
    </row>
    <row r="324" customFormat="false" ht="15" hidden="false" customHeight="false" outlineLevel="0" collapsed="false">
      <c r="A324" s="21"/>
      <c r="B324" s="21"/>
      <c r="C324" s="21"/>
      <c r="D324" s="4"/>
      <c r="E324" s="4"/>
      <c r="F324" s="21"/>
      <c r="G324" s="22" t="str">
        <f aca="false">IF($F324="","",IFERROR(INDEX(Lists!$B$4:$B$12,MATCH($F324,Lists!$A$4:$A$12,0)),""))</f>
        <v/>
      </c>
      <c r="H324" s="21"/>
      <c r="I324" s="23"/>
      <c r="J324" s="21"/>
      <c r="K324" s="24" t="str">
        <f aca="false">IF(OR($I324="",$J324=""),"",$I324+7*$J324-3)</f>
        <v/>
      </c>
      <c r="L324" s="21"/>
      <c r="M324" s="4"/>
      <c r="N324" s="21"/>
      <c r="O324" s="4"/>
      <c r="P324" s="21"/>
      <c r="Q324" s="2" t="n">
        <f aca="false">IF($A324="",0,IF(AND(OR(View!$C$4="All",View!$C$4="",$B324=View!$C$4),OR(View!$C$5="All",View!$C$5="",$C324=View!$C$5),OR(View!$C$6="All",View!$C$6="",$F324=View!$C$6),OR(View!$C$7="All",View!$C$7="",$G324=View!$C$7),OR(View!$C$8="All",View!$C$8="",$H324=View!$C$8,AND(View!$C$8="Open (not Complete)",$H324&lt;&gt;"Complete")),OR(View!$C$9="",ISNUMBER(SEARCH(View!$C$9,$D324&amp;" "&amp;$E324)))),1,0))</f>
        <v>0</v>
      </c>
      <c r="R324" s="2" t="str">
        <f aca="false">IF($Q324=1,COUNTIF($Q$4:$Q324,1),"")</f>
        <v/>
      </c>
    </row>
    <row r="325" customFormat="false" ht="15" hidden="false" customHeight="false" outlineLevel="0" collapsed="false">
      <c r="A325" s="21"/>
      <c r="B325" s="21"/>
      <c r="C325" s="21"/>
      <c r="D325" s="4"/>
      <c r="E325" s="4"/>
      <c r="F325" s="21"/>
      <c r="G325" s="22" t="str">
        <f aca="false">IF($F325="","",IFERROR(INDEX(Lists!$B$4:$B$12,MATCH($F325,Lists!$A$4:$A$12,0)),""))</f>
        <v/>
      </c>
      <c r="H325" s="21"/>
      <c r="I325" s="23"/>
      <c r="J325" s="21"/>
      <c r="K325" s="24" t="str">
        <f aca="false">IF(OR($I325="",$J325=""),"",$I325+7*$J325-3)</f>
        <v/>
      </c>
      <c r="L325" s="21"/>
      <c r="M325" s="4"/>
      <c r="N325" s="21"/>
      <c r="O325" s="4"/>
      <c r="P325" s="21"/>
      <c r="Q325" s="2" t="n">
        <f aca="false">IF($A325="",0,IF(AND(OR(View!$C$4="All",View!$C$4="",$B325=View!$C$4),OR(View!$C$5="All",View!$C$5="",$C325=View!$C$5),OR(View!$C$6="All",View!$C$6="",$F325=View!$C$6),OR(View!$C$7="All",View!$C$7="",$G325=View!$C$7),OR(View!$C$8="All",View!$C$8="",$H325=View!$C$8,AND(View!$C$8="Open (not Complete)",$H325&lt;&gt;"Complete")),OR(View!$C$9="",ISNUMBER(SEARCH(View!$C$9,$D325&amp;" "&amp;$E325)))),1,0))</f>
        <v>0</v>
      </c>
      <c r="R325" s="2" t="str">
        <f aca="false">IF($Q325=1,COUNTIF($Q$4:$Q325,1),"")</f>
        <v/>
      </c>
    </row>
    <row r="326" customFormat="false" ht="15" hidden="false" customHeight="false" outlineLevel="0" collapsed="false">
      <c r="A326" s="21"/>
      <c r="B326" s="21"/>
      <c r="C326" s="21"/>
      <c r="D326" s="4"/>
      <c r="E326" s="4"/>
      <c r="F326" s="21"/>
      <c r="G326" s="22" t="str">
        <f aca="false">IF($F326="","",IFERROR(INDEX(Lists!$B$4:$B$12,MATCH($F326,Lists!$A$4:$A$12,0)),""))</f>
        <v/>
      </c>
      <c r="H326" s="21"/>
      <c r="I326" s="23"/>
      <c r="J326" s="21"/>
      <c r="K326" s="24" t="str">
        <f aca="false">IF(OR($I326="",$J326=""),"",$I326+7*$J326-3)</f>
        <v/>
      </c>
      <c r="L326" s="21"/>
      <c r="M326" s="4"/>
      <c r="N326" s="21"/>
      <c r="O326" s="4"/>
      <c r="P326" s="21"/>
      <c r="Q326" s="2" t="n">
        <f aca="false">IF($A326="",0,IF(AND(OR(View!$C$4="All",View!$C$4="",$B326=View!$C$4),OR(View!$C$5="All",View!$C$5="",$C326=View!$C$5),OR(View!$C$6="All",View!$C$6="",$F326=View!$C$6),OR(View!$C$7="All",View!$C$7="",$G326=View!$C$7),OR(View!$C$8="All",View!$C$8="",$H326=View!$C$8,AND(View!$C$8="Open (not Complete)",$H326&lt;&gt;"Complete")),OR(View!$C$9="",ISNUMBER(SEARCH(View!$C$9,$D326&amp;" "&amp;$E326)))),1,0))</f>
        <v>0</v>
      </c>
      <c r="R326" s="2" t="str">
        <f aca="false">IF($Q326=1,COUNTIF($Q$4:$Q326,1),"")</f>
        <v/>
      </c>
    </row>
    <row r="327" customFormat="false" ht="15" hidden="false" customHeight="false" outlineLevel="0" collapsed="false">
      <c r="A327" s="21"/>
      <c r="B327" s="21"/>
      <c r="C327" s="21"/>
      <c r="D327" s="4"/>
      <c r="E327" s="4"/>
      <c r="F327" s="21"/>
      <c r="G327" s="22" t="str">
        <f aca="false">IF($F327="","",IFERROR(INDEX(Lists!$B$4:$B$12,MATCH($F327,Lists!$A$4:$A$12,0)),""))</f>
        <v/>
      </c>
      <c r="H327" s="21"/>
      <c r="I327" s="23"/>
      <c r="J327" s="21"/>
      <c r="K327" s="24" t="str">
        <f aca="false">IF(OR($I327="",$J327=""),"",$I327+7*$J327-3)</f>
        <v/>
      </c>
      <c r="L327" s="21"/>
      <c r="M327" s="4"/>
      <c r="N327" s="21"/>
      <c r="O327" s="4"/>
      <c r="P327" s="21"/>
      <c r="Q327" s="2" t="n">
        <f aca="false">IF($A327="",0,IF(AND(OR(View!$C$4="All",View!$C$4="",$B327=View!$C$4),OR(View!$C$5="All",View!$C$5="",$C327=View!$C$5),OR(View!$C$6="All",View!$C$6="",$F327=View!$C$6),OR(View!$C$7="All",View!$C$7="",$G327=View!$C$7),OR(View!$C$8="All",View!$C$8="",$H327=View!$C$8,AND(View!$C$8="Open (not Complete)",$H327&lt;&gt;"Complete")),OR(View!$C$9="",ISNUMBER(SEARCH(View!$C$9,$D327&amp;" "&amp;$E327)))),1,0))</f>
        <v>0</v>
      </c>
      <c r="R327" s="2" t="str">
        <f aca="false">IF($Q327=1,COUNTIF($Q$4:$Q327,1),"")</f>
        <v/>
      </c>
    </row>
    <row r="328" customFormat="false" ht="15" hidden="false" customHeight="false" outlineLevel="0" collapsed="false">
      <c r="A328" s="21"/>
      <c r="B328" s="21"/>
      <c r="C328" s="21"/>
      <c r="D328" s="4"/>
      <c r="E328" s="4"/>
      <c r="F328" s="21"/>
      <c r="G328" s="22" t="str">
        <f aca="false">IF($F328="","",IFERROR(INDEX(Lists!$B$4:$B$12,MATCH($F328,Lists!$A$4:$A$12,0)),""))</f>
        <v/>
      </c>
      <c r="H328" s="21"/>
      <c r="I328" s="23"/>
      <c r="J328" s="21"/>
      <c r="K328" s="24" t="str">
        <f aca="false">IF(OR($I328="",$J328=""),"",$I328+7*$J328-3)</f>
        <v/>
      </c>
      <c r="L328" s="21"/>
      <c r="M328" s="4"/>
      <c r="N328" s="21"/>
      <c r="O328" s="4"/>
      <c r="P328" s="21"/>
      <c r="Q328" s="2" t="n">
        <f aca="false">IF($A328="",0,IF(AND(OR(View!$C$4="All",View!$C$4="",$B328=View!$C$4),OR(View!$C$5="All",View!$C$5="",$C328=View!$C$5),OR(View!$C$6="All",View!$C$6="",$F328=View!$C$6),OR(View!$C$7="All",View!$C$7="",$G328=View!$C$7),OR(View!$C$8="All",View!$C$8="",$H328=View!$C$8,AND(View!$C$8="Open (not Complete)",$H328&lt;&gt;"Complete")),OR(View!$C$9="",ISNUMBER(SEARCH(View!$C$9,$D328&amp;" "&amp;$E328)))),1,0))</f>
        <v>0</v>
      </c>
      <c r="R328" s="2" t="str">
        <f aca="false">IF($Q328=1,COUNTIF($Q$4:$Q328,1),"")</f>
        <v/>
      </c>
    </row>
    <row r="329" customFormat="false" ht="15" hidden="false" customHeight="false" outlineLevel="0" collapsed="false">
      <c r="A329" s="21"/>
      <c r="B329" s="21"/>
      <c r="C329" s="21"/>
      <c r="D329" s="4"/>
      <c r="E329" s="4"/>
      <c r="F329" s="21"/>
      <c r="G329" s="22" t="str">
        <f aca="false">IF($F329="","",IFERROR(INDEX(Lists!$B$4:$B$12,MATCH($F329,Lists!$A$4:$A$12,0)),""))</f>
        <v/>
      </c>
      <c r="H329" s="21"/>
      <c r="I329" s="23"/>
      <c r="J329" s="21"/>
      <c r="K329" s="24" t="str">
        <f aca="false">IF(OR($I329="",$J329=""),"",$I329+7*$J329-3)</f>
        <v/>
      </c>
      <c r="L329" s="21"/>
      <c r="M329" s="4"/>
      <c r="N329" s="21"/>
      <c r="O329" s="4"/>
      <c r="P329" s="21"/>
      <c r="Q329" s="2" t="n">
        <f aca="false">IF($A329="",0,IF(AND(OR(View!$C$4="All",View!$C$4="",$B329=View!$C$4),OR(View!$C$5="All",View!$C$5="",$C329=View!$C$5),OR(View!$C$6="All",View!$C$6="",$F329=View!$C$6),OR(View!$C$7="All",View!$C$7="",$G329=View!$C$7),OR(View!$C$8="All",View!$C$8="",$H329=View!$C$8,AND(View!$C$8="Open (not Complete)",$H329&lt;&gt;"Complete")),OR(View!$C$9="",ISNUMBER(SEARCH(View!$C$9,$D329&amp;" "&amp;$E329)))),1,0))</f>
        <v>0</v>
      </c>
      <c r="R329" s="2" t="str">
        <f aca="false">IF($Q329=1,COUNTIF($Q$4:$Q329,1),"")</f>
        <v/>
      </c>
    </row>
    <row r="330" customFormat="false" ht="15" hidden="false" customHeight="false" outlineLevel="0" collapsed="false">
      <c r="A330" s="21"/>
      <c r="B330" s="21"/>
      <c r="C330" s="21"/>
      <c r="D330" s="4"/>
      <c r="E330" s="4"/>
      <c r="F330" s="21"/>
      <c r="G330" s="22" t="str">
        <f aca="false">IF($F330="","",IFERROR(INDEX(Lists!$B$4:$B$12,MATCH($F330,Lists!$A$4:$A$12,0)),""))</f>
        <v/>
      </c>
      <c r="H330" s="21"/>
      <c r="I330" s="23"/>
      <c r="J330" s="21"/>
      <c r="K330" s="24" t="str">
        <f aca="false">IF(OR($I330="",$J330=""),"",$I330+7*$J330-3)</f>
        <v/>
      </c>
      <c r="L330" s="21"/>
      <c r="M330" s="4"/>
      <c r="N330" s="21"/>
      <c r="O330" s="4"/>
      <c r="P330" s="21"/>
      <c r="Q330" s="2" t="n">
        <f aca="false">IF($A330="",0,IF(AND(OR(View!$C$4="All",View!$C$4="",$B330=View!$C$4),OR(View!$C$5="All",View!$C$5="",$C330=View!$C$5),OR(View!$C$6="All",View!$C$6="",$F330=View!$C$6),OR(View!$C$7="All",View!$C$7="",$G330=View!$C$7),OR(View!$C$8="All",View!$C$8="",$H330=View!$C$8,AND(View!$C$8="Open (not Complete)",$H330&lt;&gt;"Complete")),OR(View!$C$9="",ISNUMBER(SEARCH(View!$C$9,$D330&amp;" "&amp;$E330)))),1,0))</f>
        <v>0</v>
      </c>
      <c r="R330" s="2" t="str">
        <f aca="false">IF($Q330=1,COUNTIF($Q$4:$Q330,1),"")</f>
        <v/>
      </c>
    </row>
    <row r="331" customFormat="false" ht="15" hidden="false" customHeight="false" outlineLevel="0" collapsed="false">
      <c r="A331" s="21"/>
      <c r="B331" s="21"/>
      <c r="C331" s="21"/>
      <c r="D331" s="4"/>
      <c r="E331" s="4"/>
      <c r="F331" s="21"/>
      <c r="G331" s="22" t="str">
        <f aca="false">IF($F331="","",IFERROR(INDEX(Lists!$B$4:$B$12,MATCH($F331,Lists!$A$4:$A$12,0)),""))</f>
        <v/>
      </c>
      <c r="H331" s="21"/>
      <c r="I331" s="23"/>
      <c r="J331" s="21"/>
      <c r="K331" s="24" t="str">
        <f aca="false">IF(OR($I331="",$J331=""),"",$I331+7*$J331-3)</f>
        <v/>
      </c>
      <c r="L331" s="21"/>
      <c r="M331" s="4"/>
      <c r="N331" s="21"/>
      <c r="O331" s="4"/>
      <c r="P331" s="21"/>
      <c r="Q331" s="2" t="n">
        <f aca="false">IF($A331="",0,IF(AND(OR(View!$C$4="All",View!$C$4="",$B331=View!$C$4),OR(View!$C$5="All",View!$C$5="",$C331=View!$C$5),OR(View!$C$6="All",View!$C$6="",$F331=View!$C$6),OR(View!$C$7="All",View!$C$7="",$G331=View!$C$7),OR(View!$C$8="All",View!$C$8="",$H331=View!$C$8,AND(View!$C$8="Open (not Complete)",$H331&lt;&gt;"Complete")),OR(View!$C$9="",ISNUMBER(SEARCH(View!$C$9,$D331&amp;" "&amp;$E331)))),1,0))</f>
        <v>0</v>
      </c>
      <c r="R331" s="2" t="str">
        <f aca="false">IF($Q331=1,COUNTIF($Q$4:$Q331,1),"")</f>
        <v/>
      </c>
    </row>
    <row r="332" customFormat="false" ht="15" hidden="false" customHeight="false" outlineLevel="0" collapsed="false">
      <c r="A332" s="21"/>
      <c r="B332" s="21"/>
      <c r="C332" s="21"/>
      <c r="D332" s="4"/>
      <c r="E332" s="4"/>
      <c r="F332" s="21"/>
      <c r="G332" s="22" t="str">
        <f aca="false">IF($F332="","",IFERROR(INDEX(Lists!$B$4:$B$12,MATCH($F332,Lists!$A$4:$A$12,0)),""))</f>
        <v/>
      </c>
      <c r="H332" s="21"/>
      <c r="I332" s="23"/>
      <c r="J332" s="21"/>
      <c r="K332" s="24" t="str">
        <f aca="false">IF(OR($I332="",$J332=""),"",$I332+7*$J332-3)</f>
        <v/>
      </c>
      <c r="L332" s="21"/>
      <c r="M332" s="4"/>
      <c r="N332" s="21"/>
      <c r="O332" s="4"/>
      <c r="P332" s="21"/>
      <c r="Q332" s="2" t="n">
        <f aca="false">IF($A332="",0,IF(AND(OR(View!$C$4="All",View!$C$4="",$B332=View!$C$4),OR(View!$C$5="All",View!$C$5="",$C332=View!$C$5),OR(View!$C$6="All",View!$C$6="",$F332=View!$C$6),OR(View!$C$7="All",View!$C$7="",$G332=View!$C$7),OR(View!$C$8="All",View!$C$8="",$H332=View!$C$8,AND(View!$C$8="Open (not Complete)",$H332&lt;&gt;"Complete")),OR(View!$C$9="",ISNUMBER(SEARCH(View!$C$9,$D332&amp;" "&amp;$E332)))),1,0))</f>
        <v>0</v>
      </c>
      <c r="R332" s="2" t="str">
        <f aca="false">IF($Q332=1,COUNTIF($Q$4:$Q332,1),"")</f>
        <v/>
      </c>
    </row>
    <row r="333" customFormat="false" ht="15" hidden="false" customHeight="false" outlineLevel="0" collapsed="false">
      <c r="A333" s="21"/>
      <c r="B333" s="21"/>
      <c r="C333" s="21"/>
      <c r="D333" s="4"/>
      <c r="E333" s="4"/>
      <c r="F333" s="21"/>
      <c r="G333" s="22" t="str">
        <f aca="false">IF($F333="","",IFERROR(INDEX(Lists!$B$4:$B$12,MATCH($F333,Lists!$A$4:$A$12,0)),""))</f>
        <v/>
      </c>
      <c r="H333" s="21"/>
      <c r="I333" s="23"/>
      <c r="J333" s="21"/>
      <c r="K333" s="24" t="str">
        <f aca="false">IF(OR($I333="",$J333=""),"",$I333+7*$J333-3)</f>
        <v/>
      </c>
      <c r="L333" s="21"/>
      <c r="M333" s="4"/>
      <c r="N333" s="21"/>
      <c r="O333" s="4"/>
      <c r="P333" s="21"/>
      <c r="Q333" s="2" t="n">
        <f aca="false">IF($A333="",0,IF(AND(OR(View!$C$4="All",View!$C$4="",$B333=View!$C$4),OR(View!$C$5="All",View!$C$5="",$C333=View!$C$5),OR(View!$C$6="All",View!$C$6="",$F333=View!$C$6),OR(View!$C$7="All",View!$C$7="",$G333=View!$C$7),OR(View!$C$8="All",View!$C$8="",$H333=View!$C$8,AND(View!$C$8="Open (not Complete)",$H333&lt;&gt;"Complete")),OR(View!$C$9="",ISNUMBER(SEARCH(View!$C$9,$D333&amp;" "&amp;$E333)))),1,0))</f>
        <v>0</v>
      </c>
      <c r="R333" s="2" t="str">
        <f aca="false">IF($Q333=1,COUNTIF($Q$4:$Q333,1),"")</f>
        <v/>
      </c>
    </row>
    <row r="334" customFormat="false" ht="15" hidden="false" customHeight="false" outlineLevel="0" collapsed="false">
      <c r="A334" s="21"/>
      <c r="B334" s="21"/>
      <c r="C334" s="21"/>
      <c r="D334" s="4"/>
      <c r="E334" s="4"/>
      <c r="F334" s="21"/>
      <c r="G334" s="22" t="str">
        <f aca="false">IF($F334="","",IFERROR(INDEX(Lists!$B$4:$B$12,MATCH($F334,Lists!$A$4:$A$12,0)),""))</f>
        <v/>
      </c>
      <c r="H334" s="21"/>
      <c r="I334" s="23"/>
      <c r="J334" s="21"/>
      <c r="K334" s="24" t="str">
        <f aca="false">IF(OR($I334="",$J334=""),"",$I334+7*$J334-3)</f>
        <v/>
      </c>
      <c r="L334" s="21"/>
      <c r="M334" s="4"/>
      <c r="N334" s="21"/>
      <c r="O334" s="4"/>
      <c r="P334" s="21"/>
      <c r="Q334" s="2" t="n">
        <f aca="false">IF($A334="",0,IF(AND(OR(View!$C$4="All",View!$C$4="",$B334=View!$C$4),OR(View!$C$5="All",View!$C$5="",$C334=View!$C$5),OR(View!$C$6="All",View!$C$6="",$F334=View!$C$6),OR(View!$C$7="All",View!$C$7="",$G334=View!$C$7),OR(View!$C$8="All",View!$C$8="",$H334=View!$C$8,AND(View!$C$8="Open (not Complete)",$H334&lt;&gt;"Complete")),OR(View!$C$9="",ISNUMBER(SEARCH(View!$C$9,$D334&amp;" "&amp;$E334)))),1,0))</f>
        <v>0</v>
      </c>
      <c r="R334" s="2" t="str">
        <f aca="false">IF($Q334=1,COUNTIF($Q$4:$Q334,1),"")</f>
        <v/>
      </c>
    </row>
    <row r="335" customFormat="false" ht="15" hidden="false" customHeight="false" outlineLevel="0" collapsed="false">
      <c r="A335" s="21"/>
      <c r="B335" s="21"/>
      <c r="C335" s="21"/>
      <c r="D335" s="4"/>
      <c r="E335" s="4"/>
      <c r="F335" s="21"/>
      <c r="G335" s="22" t="str">
        <f aca="false">IF($F335="","",IFERROR(INDEX(Lists!$B$4:$B$12,MATCH($F335,Lists!$A$4:$A$12,0)),""))</f>
        <v/>
      </c>
      <c r="H335" s="21"/>
      <c r="I335" s="23"/>
      <c r="J335" s="21"/>
      <c r="K335" s="24" t="str">
        <f aca="false">IF(OR($I335="",$J335=""),"",$I335+7*$J335-3)</f>
        <v/>
      </c>
      <c r="L335" s="21"/>
      <c r="M335" s="4"/>
      <c r="N335" s="21"/>
      <c r="O335" s="4"/>
      <c r="P335" s="21"/>
      <c r="Q335" s="2" t="n">
        <f aca="false">IF($A335="",0,IF(AND(OR(View!$C$4="All",View!$C$4="",$B335=View!$C$4),OR(View!$C$5="All",View!$C$5="",$C335=View!$C$5),OR(View!$C$6="All",View!$C$6="",$F335=View!$C$6),OR(View!$C$7="All",View!$C$7="",$G335=View!$C$7),OR(View!$C$8="All",View!$C$8="",$H335=View!$C$8,AND(View!$C$8="Open (not Complete)",$H335&lt;&gt;"Complete")),OR(View!$C$9="",ISNUMBER(SEARCH(View!$C$9,$D335&amp;" "&amp;$E335)))),1,0))</f>
        <v>0</v>
      </c>
      <c r="R335" s="2" t="str">
        <f aca="false">IF($Q335=1,COUNTIF($Q$4:$Q335,1),"")</f>
        <v/>
      </c>
    </row>
    <row r="336" customFormat="false" ht="15" hidden="false" customHeight="false" outlineLevel="0" collapsed="false">
      <c r="A336" s="21"/>
      <c r="B336" s="21"/>
      <c r="C336" s="21"/>
      <c r="D336" s="4"/>
      <c r="E336" s="4"/>
      <c r="F336" s="21"/>
      <c r="G336" s="22" t="str">
        <f aca="false">IF($F336="","",IFERROR(INDEX(Lists!$B$4:$B$12,MATCH($F336,Lists!$A$4:$A$12,0)),""))</f>
        <v/>
      </c>
      <c r="H336" s="21"/>
      <c r="I336" s="23"/>
      <c r="J336" s="21"/>
      <c r="K336" s="24" t="str">
        <f aca="false">IF(OR($I336="",$J336=""),"",$I336+7*$J336-3)</f>
        <v/>
      </c>
      <c r="L336" s="21"/>
      <c r="M336" s="4"/>
      <c r="N336" s="21"/>
      <c r="O336" s="4"/>
      <c r="P336" s="21"/>
      <c r="Q336" s="2" t="n">
        <f aca="false">IF($A336="",0,IF(AND(OR(View!$C$4="All",View!$C$4="",$B336=View!$C$4),OR(View!$C$5="All",View!$C$5="",$C336=View!$C$5),OR(View!$C$6="All",View!$C$6="",$F336=View!$C$6),OR(View!$C$7="All",View!$C$7="",$G336=View!$C$7),OR(View!$C$8="All",View!$C$8="",$H336=View!$C$8,AND(View!$C$8="Open (not Complete)",$H336&lt;&gt;"Complete")),OR(View!$C$9="",ISNUMBER(SEARCH(View!$C$9,$D336&amp;" "&amp;$E336)))),1,0))</f>
        <v>0</v>
      </c>
      <c r="R336" s="2" t="str">
        <f aca="false">IF($Q336=1,COUNTIF($Q$4:$Q336,1),"")</f>
        <v/>
      </c>
    </row>
    <row r="337" customFormat="false" ht="15" hidden="false" customHeight="false" outlineLevel="0" collapsed="false">
      <c r="A337" s="21"/>
      <c r="B337" s="21"/>
      <c r="C337" s="21"/>
      <c r="D337" s="4"/>
      <c r="E337" s="4"/>
      <c r="F337" s="21"/>
      <c r="G337" s="22" t="str">
        <f aca="false">IF($F337="","",IFERROR(INDEX(Lists!$B$4:$B$12,MATCH($F337,Lists!$A$4:$A$12,0)),""))</f>
        <v/>
      </c>
      <c r="H337" s="21"/>
      <c r="I337" s="23"/>
      <c r="J337" s="21"/>
      <c r="K337" s="24" t="str">
        <f aca="false">IF(OR($I337="",$J337=""),"",$I337+7*$J337-3)</f>
        <v/>
      </c>
      <c r="L337" s="21"/>
      <c r="M337" s="4"/>
      <c r="N337" s="21"/>
      <c r="O337" s="4"/>
      <c r="P337" s="21"/>
      <c r="Q337" s="2" t="n">
        <f aca="false">IF($A337="",0,IF(AND(OR(View!$C$4="All",View!$C$4="",$B337=View!$C$4),OR(View!$C$5="All",View!$C$5="",$C337=View!$C$5),OR(View!$C$6="All",View!$C$6="",$F337=View!$C$6),OR(View!$C$7="All",View!$C$7="",$G337=View!$C$7),OR(View!$C$8="All",View!$C$8="",$H337=View!$C$8,AND(View!$C$8="Open (not Complete)",$H337&lt;&gt;"Complete")),OR(View!$C$9="",ISNUMBER(SEARCH(View!$C$9,$D337&amp;" "&amp;$E337)))),1,0))</f>
        <v>0</v>
      </c>
      <c r="R337" s="2" t="str">
        <f aca="false">IF($Q337=1,COUNTIF($Q$4:$Q337,1),"")</f>
        <v/>
      </c>
    </row>
    <row r="338" customFormat="false" ht="15" hidden="false" customHeight="false" outlineLevel="0" collapsed="false">
      <c r="A338" s="21"/>
      <c r="B338" s="21"/>
      <c r="C338" s="21"/>
      <c r="D338" s="4"/>
      <c r="E338" s="4"/>
      <c r="F338" s="21"/>
      <c r="G338" s="22" t="str">
        <f aca="false">IF($F338="","",IFERROR(INDEX(Lists!$B$4:$B$12,MATCH($F338,Lists!$A$4:$A$12,0)),""))</f>
        <v/>
      </c>
      <c r="H338" s="21"/>
      <c r="I338" s="23"/>
      <c r="J338" s="21"/>
      <c r="K338" s="24" t="str">
        <f aca="false">IF(OR($I338="",$J338=""),"",$I338+7*$J338-3)</f>
        <v/>
      </c>
      <c r="L338" s="21"/>
      <c r="M338" s="4"/>
      <c r="N338" s="21"/>
      <c r="O338" s="4"/>
      <c r="P338" s="21"/>
      <c r="Q338" s="2" t="n">
        <f aca="false">IF($A338="",0,IF(AND(OR(View!$C$4="All",View!$C$4="",$B338=View!$C$4),OR(View!$C$5="All",View!$C$5="",$C338=View!$C$5),OR(View!$C$6="All",View!$C$6="",$F338=View!$C$6),OR(View!$C$7="All",View!$C$7="",$G338=View!$C$7),OR(View!$C$8="All",View!$C$8="",$H338=View!$C$8,AND(View!$C$8="Open (not Complete)",$H338&lt;&gt;"Complete")),OR(View!$C$9="",ISNUMBER(SEARCH(View!$C$9,$D338&amp;" "&amp;$E338)))),1,0))</f>
        <v>0</v>
      </c>
      <c r="R338" s="2" t="str">
        <f aca="false">IF($Q338=1,COUNTIF($Q$4:$Q338,1),"")</f>
        <v/>
      </c>
    </row>
    <row r="339" customFormat="false" ht="15" hidden="false" customHeight="false" outlineLevel="0" collapsed="false">
      <c r="A339" s="21"/>
      <c r="B339" s="21"/>
      <c r="C339" s="21"/>
      <c r="D339" s="4"/>
      <c r="E339" s="4"/>
      <c r="F339" s="21"/>
      <c r="G339" s="22" t="str">
        <f aca="false">IF($F339="","",IFERROR(INDEX(Lists!$B$4:$B$12,MATCH($F339,Lists!$A$4:$A$12,0)),""))</f>
        <v/>
      </c>
      <c r="H339" s="21"/>
      <c r="I339" s="23"/>
      <c r="J339" s="21"/>
      <c r="K339" s="24" t="str">
        <f aca="false">IF(OR($I339="",$J339=""),"",$I339+7*$J339-3)</f>
        <v/>
      </c>
      <c r="L339" s="21"/>
      <c r="M339" s="4"/>
      <c r="N339" s="21"/>
      <c r="O339" s="4"/>
      <c r="P339" s="21"/>
      <c r="Q339" s="2" t="n">
        <f aca="false">IF($A339="",0,IF(AND(OR(View!$C$4="All",View!$C$4="",$B339=View!$C$4),OR(View!$C$5="All",View!$C$5="",$C339=View!$C$5),OR(View!$C$6="All",View!$C$6="",$F339=View!$C$6),OR(View!$C$7="All",View!$C$7="",$G339=View!$C$7),OR(View!$C$8="All",View!$C$8="",$H339=View!$C$8,AND(View!$C$8="Open (not Complete)",$H339&lt;&gt;"Complete")),OR(View!$C$9="",ISNUMBER(SEARCH(View!$C$9,$D339&amp;" "&amp;$E339)))),1,0))</f>
        <v>0</v>
      </c>
      <c r="R339" s="2" t="str">
        <f aca="false">IF($Q339=1,COUNTIF($Q$4:$Q339,1),"")</f>
        <v/>
      </c>
    </row>
    <row r="340" customFormat="false" ht="15" hidden="false" customHeight="false" outlineLevel="0" collapsed="false">
      <c r="A340" s="21"/>
      <c r="B340" s="21"/>
      <c r="C340" s="21"/>
      <c r="D340" s="4"/>
      <c r="E340" s="4"/>
      <c r="F340" s="21"/>
      <c r="G340" s="22" t="str">
        <f aca="false">IF($F340="","",IFERROR(INDEX(Lists!$B$4:$B$12,MATCH($F340,Lists!$A$4:$A$12,0)),""))</f>
        <v/>
      </c>
      <c r="H340" s="21"/>
      <c r="I340" s="23"/>
      <c r="J340" s="21"/>
      <c r="K340" s="24" t="str">
        <f aca="false">IF(OR($I340="",$J340=""),"",$I340+7*$J340-3)</f>
        <v/>
      </c>
      <c r="L340" s="21"/>
      <c r="M340" s="4"/>
      <c r="N340" s="21"/>
      <c r="O340" s="4"/>
      <c r="P340" s="21"/>
      <c r="Q340" s="2" t="n">
        <f aca="false">IF($A340="",0,IF(AND(OR(View!$C$4="All",View!$C$4="",$B340=View!$C$4),OR(View!$C$5="All",View!$C$5="",$C340=View!$C$5),OR(View!$C$6="All",View!$C$6="",$F340=View!$C$6),OR(View!$C$7="All",View!$C$7="",$G340=View!$C$7),OR(View!$C$8="All",View!$C$8="",$H340=View!$C$8,AND(View!$C$8="Open (not Complete)",$H340&lt;&gt;"Complete")),OR(View!$C$9="",ISNUMBER(SEARCH(View!$C$9,$D340&amp;" "&amp;$E340)))),1,0))</f>
        <v>0</v>
      </c>
      <c r="R340" s="2" t="str">
        <f aca="false">IF($Q340=1,COUNTIF($Q$4:$Q340,1),"")</f>
        <v/>
      </c>
    </row>
    <row r="341" customFormat="false" ht="15" hidden="false" customHeight="false" outlineLevel="0" collapsed="false">
      <c r="A341" s="21"/>
      <c r="B341" s="21"/>
      <c r="C341" s="21"/>
      <c r="D341" s="4"/>
      <c r="E341" s="4"/>
      <c r="F341" s="21"/>
      <c r="G341" s="22" t="str">
        <f aca="false">IF($F341="","",IFERROR(INDEX(Lists!$B$4:$B$12,MATCH($F341,Lists!$A$4:$A$12,0)),""))</f>
        <v/>
      </c>
      <c r="H341" s="21"/>
      <c r="I341" s="23"/>
      <c r="J341" s="21"/>
      <c r="K341" s="24" t="str">
        <f aca="false">IF(OR($I341="",$J341=""),"",$I341+7*$J341-3)</f>
        <v/>
      </c>
      <c r="L341" s="21"/>
      <c r="M341" s="4"/>
      <c r="N341" s="21"/>
      <c r="O341" s="4"/>
      <c r="P341" s="21"/>
      <c r="Q341" s="2" t="n">
        <f aca="false">IF($A341="",0,IF(AND(OR(View!$C$4="All",View!$C$4="",$B341=View!$C$4),OR(View!$C$5="All",View!$C$5="",$C341=View!$C$5),OR(View!$C$6="All",View!$C$6="",$F341=View!$C$6),OR(View!$C$7="All",View!$C$7="",$G341=View!$C$7),OR(View!$C$8="All",View!$C$8="",$H341=View!$C$8,AND(View!$C$8="Open (not Complete)",$H341&lt;&gt;"Complete")),OR(View!$C$9="",ISNUMBER(SEARCH(View!$C$9,$D341&amp;" "&amp;$E341)))),1,0))</f>
        <v>0</v>
      </c>
      <c r="R341" s="2" t="str">
        <f aca="false">IF($Q341=1,COUNTIF($Q$4:$Q341,1),"")</f>
        <v/>
      </c>
    </row>
    <row r="342" customFormat="false" ht="15" hidden="false" customHeight="false" outlineLevel="0" collapsed="false">
      <c r="A342" s="21"/>
      <c r="B342" s="21"/>
      <c r="C342" s="21"/>
      <c r="D342" s="4"/>
      <c r="E342" s="4"/>
      <c r="F342" s="21"/>
      <c r="G342" s="22" t="str">
        <f aca="false">IF($F342="","",IFERROR(INDEX(Lists!$B$4:$B$12,MATCH($F342,Lists!$A$4:$A$12,0)),""))</f>
        <v/>
      </c>
      <c r="H342" s="21"/>
      <c r="I342" s="23"/>
      <c r="J342" s="21"/>
      <c r="K342" s="24" t="str">
        <f aca="false">IF(OR($I342="",$J342=""),"",$I342+7*$J342-3)</f>
        <v/>
      </c>
      <c r="L342" s="21"/>
      <c r="M342" s="4"/>
      <c r="N342" s="21"/>
      <c r="O342" s="4"/>
      <c r="P342" s="21"/>
      <c r="Q342" s="2" t="n">
        <f aca="false">IF($A342="",0,IF(AND(OR(View!$C$4="All",View!$C$4="",$B342=View!$C$4),OR(View!$C$5="All",View!$C$5="",$C342=View!$C$5),OR(View!$C$6="All",View!$C$6="",$F342=View!$C$6),OR(View!$C$7="All",View!$C$7="",$G342=View!$C$7),OR(View!$C$8="All",View!$C$8="",$H342=View!$C$8,AND(View!$C$8="Open (not Complete)",$H342&lt;&gt;"Complete")),OR(View!$C$9="",ISNUMBER(SEARCH(View!$C$9,$D342&amp;" "&amp;$E342)))),1,0))</f>
        <v>0</v>
      </c>
      <c r="R342" s="2" t="str">
        <f aca="false">IF($Q342=1,COUNTIF($Q$4:$Q342,1),"")</f>
        <v/>
      </c>
    </row>
    <row r="343" customFormat="false" ht="15" hidden="false" customHeight="false" outlineLevel="0" collapsed="false">
      <c r="A343" s="21"/>
      <c r="B343" s="21"/>
      <c r="C343" s="21"/>
      <c r="D343" s="4"/>
      <c r="E343" s="4"/>
      <c r="F343" s="21"/>
      <c r="G343" s="22" t="str">
        <f aca="false">IF($F343="","",IFERROR(INDEX(Lists!$B$4:$B$12,MATCH($F343,Lists!$A$4:$A$12,0)),""))</f>
        <v/>
      </c>
      <c r="H343" s="21"/>
      <c r="I343" s="23"/>
      <c r="J343" s="21"/>
      <c r="K343" s="24" t="str">
        <f aca="false">IF(OR($I343="",$J343=""),"",$I343+7*$J343-3)</f>
        <v/>
      </c>
      <c r="L343" s="21"/>
      <c r="M343" s="4"/>
      <c r="N343" s="21"/>
      <c r="O343" s="4"/>
      <c r="P343" s="21"/>
      <c r="Q343" s="2" t="n">
        <f aca="false">IF($A343="",0,IF(AND(OR(View!$C$4="All",View!$C$4="",$B343=View!$C$4),OR(View!$C$5="All",View!$C$5="",$C343=View!$C$5),OR(View!$C$6="All",View!$C$6="",$F343=View!$C$6),OR(View!$C$7="All",View!$C$7="",$G343=View!$C$7),OR(View!$C$8="All",View!$C$8="",$H343=View!$C$8,AND(View!$C$8="Open (not Complete)",$H343&lt;&gt;"Complete")),OR(View!$C$9="",ISNUMBER(SEARCH(View!$C$9,$D343&amp;" "&amp;$E343)))),1,0))</f>
        <v>0</v>
      </c>
      <c r="R343" s="2" t="str">
        <f aca="false">IF($Q343=1,COUNTIF($Q$4:$Q343,1),"")</f>
        <v/>
      </c>
    </row>
    <row r="344" customFormat="false" ht="15" hidden="false" customHeight="false" outlineLevel="0" collapsed="false">
      <c r="A344" s="21"/>
      <c r="B344" s="21"/>
      <c r="C344" s="21"/>
      <c r="D344" s="4"/>
      <c r="E344" s="4"/>
      <c r="F344" s="21"/>
      <c r="G344" s="22" t="str">
        <f aca="false">IF($F344="","",IFERROR(INDEX(Lists!$B$4:$B$12,MATCH($F344,Lists!$A$4:$A$12,0)),""))</f>
        <v/>
      </c>
      <c r="H344" s="21"/>
      <c r="I344" s="23"/>
      <c r="J344" s="21"/>
      <c r="K344" s="24" t="str">
        <f aca="false">IF(OR($I344="",$J344=""),"",$I344+7*$J344-3)</f>
        <v/>
      </c>
      <c r="L344" s="21"/>
      <c r="M344" s="4"/>
      <c r="N344" s="21"/>
      <c r="O344" s="4"/>
      <c r="P344" s="21"/>
      <c r="Q344" s="2" t="n">
        <f aca="false">IF($A344="",0,IF(AND(OR(View!$C$4="All",View!$C$4="",$B344=View!$C$4),OR(View!$C$5="All",View!$C$5="",$C344=View!$C$5),OR(View!$C$6="All",View!$C$6="",$F344=View!$C$6),OR(View!$C$7="All",View!$C$7="",$G344=View!$C$7),OR(View!$C$8="All",View!$C$8="",$H344=View!$C$8,AND(View!$C$8="Open (not Complete)",$H344&lt;&gt;"Complete")),OR(View!$C$9="",ISNUMBER(SEARCH(View!$C$9,$D344&amp;" "&amp;$E344)))),1,0))</f>
        <v>0</v>
      </c>
      <c r="R344" s="2" t="str">
        <f aca="false">IF($Q344=1,COUNTIF($Q$4:$Q344,1),"")</f>
        <v/>
      </c>
    </row>
    <row r="345" customFormat="false" ht="15" hidden="false" customHeight="false" outlineLevel="0" collapsed="false">
      <c r="A345" s="21"/>
      <c r="B345" s="21"/>
      <c r="C345" s="21"/>
      <c r="D345" s="4"/>
      <c r="E345" s="4"/>
      <c r="F345" s="21"/>
      <c r="G345" s="22" t="str">
        <f aca="false">IF($F345="","",IFERROR(INDEX(Lists!$B$4:$B$12,MATCH($F345,Lists!$A$4:$A$12,0)),""))</f>
        <v/>
      </c>
      <c r="H345" s="21"/>
      <c r="I345" s="23"/>
      <c r="J345" s="21"/>
      <c r="K345" s="24" t="str">
        <f aca="false">IF(OR($I345="",$J345=""),"",$I345+7*$J345-3)</f>
        <v/>
      </c>
      <c r="L345" s="21"/>
      <c r="M345" s="4"/>
      <c r="N345" s="21"/>
      <c r="O345" s="4"/>
      <c r="P345" s="21"/>
      <c r="Q345" s="2" t="n">
        <f aca="false">IF($A345="",0,IF(AND(OR(View!$C$4="All",View!$C$4="",$B345=View!$C$4),OR(View!$C$5="All",View!$C$5="",$C345=View!$C$5),OR(View!$C$6="All",View!$C$6="",$F345=View!$C$6),OR(View!$C$7="All",View!$C$7="",$G345=View!$C$7),OR(View!$C$8="All",View!$C$8="",$H345=View!$C$8,AND(View!$C$8="Open (not Complete)",$H345&lt;&gt;"Complete")),OR(View!$C$9="",ISNUMBER(SEARCH(View!$C$9,$D345&amp;" "&amp;$E345)))),1,0))</f>
        <v>0</v>
      </c>
      <c r="R345" s="2" t="str">
        <f aca="false">IF($Q345=1,COUNTIF($Q$4:$Q345,1),"")</f>
        <v/>
      </c>
    </row>
    <row r="346" customFormat="false" ht="15" hidden="false" customHeight="false" outlineLevel="0" collapsed="false">
      <c r="A346" s="21"/>
      <c r="B346" s="21"/>
      <c r="C346" s="21"/>
      <c r="D346" s="4"/>
      <c r="E346" s="4"/>
      <c r="F346" s="21"/>
      <c r="G346" s="22" t="str">
        <f aca="false">IF($F346="","",IFERROR(INDEX(Lists!$B$4:$B$12,MATCH($F346,Lists!$A$4:$A$12,0)),""))</f>
        <v/>
      </c>
      <c r="H346" s="21"/>
      <c r="I346" s="23"/>
      <c r="J346" s="21"/>
      <c r="K346" s="24" t="str">
        <f aca="false">IF(OR($I346="",$J346=""),"",$I346+7*$J346-3)</f>
        <v/>
      </c>
      <c r="L346" s="21"/>
      <c r="M346" s="4"/>
      <c r="N346" s="21"/>
      <c r="O346" s="4"/>
      <c r="P346" s="21"/>
      <c r="Q346" s="2" t="n">
        <f aca="false">IF($A346="",0,IF(AND(OR(View!$C$4="All",View!$C$4="",$B346=View!$C$4),OR(View!$C$5="All",View!$C$5="",$C346=View!$C$5),OR(View!$C$6="All",View!$C$6="",$F346=View!$C$6),OR(View!$C$7="All",View!$C$7="",$G346=View!$C$7),OR(View!$C$8="All",View!$C$8="",$H346=View!$C$8,AND(View!$C$8="Open (not Complete)",$H346&lt;&gt;"Complete")),OR(View!$C$9="",ISNUMBER(SEARCH(View!$C$9,$D346&amp;" "&amp;$E346)))),1,0))</f>
        <v>0</v>
      </c>
      <c r="R346" s="2" t="str">
        <f aca="false">IF($Q346=1,COUNTIF($Q$4:$Q346,1),"")</f>
        <v/>
      </c>
    </row>
    <row r="347" customFormat="false" ht="15" hidden="false" customHeight="false" outlineLevel="0" collapsed="false">
      <c r="A347" s="21"/>
      <c r="B347" s="21"/>
      <c r="C347" s="21"/>
      <c r="D347" s="4"/>
      <c r="E347" s="4"/>
      <c r="F347" s="21"/>
      <c r="G347" s="22" t="str">
        <f aca="false">IF($F347="","",IFERROR(INDEX(Lists!$B$4:$B$12,MATCH($F347,Lists!$A$4:$A$12,0)),""))</f>
        <v/>
      </c>
      <c r="H347" s="21"/>
      <c r="I347" s="23"/>
      <c r="J347" s="21"/>
      <c r="K347" s="24" t="str">
        <f aca="false">IF(OR($I347="",$J347=""),"",$I347+7*$J347-3)</f>
        <v/>
      </c>
      <c r="L347" s="21"/>
      <c r="M347" s="4"/>
      <c r="N347" s="21"/>
      <c r="O347" s="4"/>
      <c r="P347" s="21"/>
      <c r="Q347" s="2" t="n">
        <f aca="false">IF($A347="",0,IF(AND(OR(View!$C$4="All",View!$C$4="",$B347=View!$C$4),OR(View!$C$5="All",View!$C$5="",$C347=View!$C$5),OR(View!$C$6="All",View!$C$6="",$F347=View!$C$6),OR(View!$C$7="All",View!$C$7="",$G347=View!$C$7),OR(View!$C$8="All",View!$C$8="",$H347=View!$C$8,AND(View!$C$8="Open (not Complete)",$H347&lt;&gt;"Complete")),OR(View!$C$9="",ISNUMBER(SEARCH(View!$C$9,$D347&amp;" "&amp;$E347)))),1,0))</f>
        <v>0</v>
      </c>
      <c r="R347" s="2" t="str">
        <f aca="false">IF($Q347=1,COUNTIF($Q$4:$Q347,1),"")</f>
        <v/>
      </c>
    </row>
    <row r="348" customFormat="false" ht="15" hidden="false" customHeight="false" outlineLevel="0" collapsed="false">
      <c r="A348" s="21"/>
      <c r="B348" s="21"/>
      <c r="C348" s="21"/>
      <c r="D348" s="4"/>
      <c r="E348" s="4"/>
      <c r="F348" s="21"/>
      <c r="G348" s="22" t="str">
        <f aca="false">IF($F348="","",IFERROR(INDEX(Lists!$B$4:$B$12,MATCH($F348,Lists!$A$4:$A$12,0)),""))</f>
        <v/>
      </c>
      <c r="H348" s="21"/>
      <c r="I348" s="23"/>
      <c r="J348" s="21"/>
      <c r="K348" s="24" t="str">
        <f aca="false">IF(OR($I348="",$J348=""),"",$I348+7*$J348-3)</f>
        <v/>
      </c>
      <c r="L348" s="21"/>
      <c r="M348" s="4"/>
      <c r="N348" s="21"/>
      <c r="O348" s="4"/>
      <c r="P348" s="21"/>
      <c r="Q348" s="2" t="n">
        <f aca="false">IF($A348="",0,IF(AND(OR(View!$C$4="All",View!$C$4="",$B348=View!$C$4),OR(View!$C$5="All",View!$C$5="",$C348=View!$C$5),OR(View!$C$6="All",View!$C$6="",$F348=View!$C$6),OR(View!$C$7="All",View!$C$7="",$G348=View!$C$7),OR(View!$C$8="All",View!$C$8="",$H348=View!$C$8,AND(View!$C$8="Open (not Complete)",$H348&lt;&gt;"Complete")),OR(View!$C$9="",ISNUMBER(SEARCH(View!$C$9,$D348&amp;" "&amp;$E348)))),1,0))</f>
        <v>0</v>
      </c>
      <c r="R348" s="2" t="str">
        <f aca="false">IF($Q348=1,COUNTIF($Q$4:$Q348,1),"")</f>
        <v/>
      </c>
    </row>
    <row r="349" customFormat="false" ht="15" hidden="false" customHeight="false" outlineLevel="0" collapsed="false">
      <c r="A349" s="21"/>
      <c r="B349" s="21"/>
      <c r="C349" s="21"/>
      <c r="D349" s="4"/>
      <c r="E349" s="4"/>
      <c r="F349" s="21"/>
      <c r="G349" s="22" t="str">
        <f aca="false">IF($F349="","",IFERROR(INDEX(Lists!$B$4:$B$12,MATCH($F349,Lists!$A$4:$A$12,0)),""))</f>
        <v/>
      </c>
      <c r="H349" s="21"/>
      <c r="I349" s="23"/>
      <c r="J349" s="21"/>
      <c r="K349" s="24" t="str">
        <f aca="false">IF(OR($I349="",$J349=""),"",$I349+7*$J349-3)</f>
        <v/>
      </c>
      <c r="L349" s="21"/>
      <c r="M349" s="4"/>
      <c r="N349" s="21"/>
      <c r="O349" s="4"/>
      <c r="P349" s="21"/>
      <c r="Q349" s="2" t="n">
        <f aca="false">IF($A349="",0,IF(AND(OR(View!$C$4="All",View!$C$4="",$B349=View!$C$4),OR(View!$C$5="All",View!$C$5="",$C349=View!$C$5),OR(View!$C$6="All",View!$C$6="",$F349=View!$C$6),OR(View!$C$7="All",View!$C$7="",$G349=View!$C$7),OR(View!$C$8="All",View!$C$8="",$H349=View!$C$8,AND(View!$C$8="Open (not Complete)",$H349&lt;&gt;"Complete")),OR(View!$C$9="",ISNUMBER(SEARCH(View!$C$9,$D349&amp;" "&amp;$E349)))),1,0))</f>
        <v>0</v>
      </c>
      <c r="R349" s="2" t="str">
        <f aca="false">IF($Q349=1,COUNTIF($Q$4:$Q349,1),"")</f>
        <v/>
      </c>
    </row>
    <row r="350" customFormat="false" ht="15" hidden="false" customHeight="false" outlineLevel="0" collapsed="false">
      <c r="A350" s="21"/>
      <c r="B350" s="21"/>
      <c r="C350" s="21"/>
      <c r="D350" s="4"/>
      <c r="E350" s="4"/>
      <c r="F350" s="21"/>
      <c r="G350" s="22" t="str">
        <f aca="false">IF($F350="","",IFERROR(INDEX(Lists!$B$4:$B$12,MATCH($F350,Lists!$A$4:$A$12,0)),""))</f>
        <v/>
      </c>
      <c r="H350" s="21"/>
      <c r="I350" s="23"/>
      <c r="J350" s="21"/>
      <c r="K350" s="24" t="str">
        <f aca="false">IF(OR($I350="",$J350=""),"",$I350+7*$J350-3)</f>
        <v/>
      </c>
      <c r="L350" s="21"/>
      <c r="M350" s="4"/>
      <c r="N350" s="21"/>
      <c r="O350" s="4"/>
      <c r="P350" s="21"/>
      <c r="Q350" s="2" t="n">
        <f aca="false">IF($A350="",0,IF(AND(OR(View!$C$4="All",View!$C$4="",$B350=View!$C$4),OR(View!$C$5="All",View!$C$5="",$C350=View!$C$5),OR(View!$C$6="All",View!$C$6="",$F350=View!$C$6),OR(View!$C$7="All",View!$C$7="",$G350=View!$C$7),OR(View!$C$8="All",View!$C$8="",$H350=View!$C$8,AND(View!$C$8="Open (not Complete)",$H350&lt;&gt;"Complete")),OR(View!$C$9="",ISNUMBER(SEARCH(View!$C$9,$D350&amp;" "&amp;$E350)))),1,0))</f>
        <v>0</v>
      </c>
      <c r="R350" s="2" t="str">
        <f aca="false">IF($Q350=1,COUNTIF($Q$4:$Q350,1),"")</f>
        <v/>
      </c>
    </row>
    <row r="351" customFormat="false" ht="15" hidden="false" customHeight="false" outlineLevel="0" collapsed="false">
      <c r="A351" s="21"/>
      <c r="B351" s="21"/>
      <c r="C351" s="21"/>
      <c r="D351" s="4"/>
      <c r="E351" s="4"/>
      <c r="F351" s="21"/>
      <c r="G351" s="22" t="str">
        <f aca="false">IF($F351="","",IFERROR(INDEX(Lists!$B$4:$B$12,MATCH($F351,Lists!$A$4:$A$12,0)),""))</f>
        <v/>
      </c>
      <c r="H351" s="21"/>
      <c r="I351" s="23"/>
      <c r="J351" s="21"/>
      <c r="K351" s="24" t="str">
        <f aca="false">IF(OR($I351="",$J351=""),"",$I351+7*$J351-3)</f>
        <v/>
      </c>
      <c r="L351" s="21"/>
      <c r="M351" s="4"/>
      <c r="N351" s="21"/>
      <c r="O351" s="4"/>
      <c r="P351" s="21"/>
      <c r="Q351" s="2" t="n">
        <f aca="false">IF($A351="",0,IF(AND(OR(View!$C$4="All",View!$C$4="",$B351=View!$C$4),OR(View!$C$5="All",View!$C$5="",$C351=View!$C$5),OR(View!$C$6="All",View!$C$6="",$F351=View!$C$6),OR(View!$C$7="All",View!$C$7="",$G351=View!$C$7),OR(View!$C$8="All",View!$C$8="",$H351=View!$C$8,AND(View!$C$8="Open (not Complete)",$H351&lt;&gt;"Complete")),OR(View!$C$9="",ISNUMBER(SEARCH(View!$C$9,$D351&amp;" "&amp;$E351)))),1,0))</f>
        <v>0</v>
      </c>
      <c r="R351" s="2" t="str">
        <f aca="false">IF($Q351=1,COUNTIF($Q$4:$Q351,1),"")</f>
        <v/>
      </c>
    </row>
    <row r="352" customFormat="false" ht="15" hidden="false" customHeight="false" outlineLevel="0" collapsed="false">
      <c r="A352" s="21"/>
      <c r="B352" s="21"/>
      <c r="C352" s="21"/>
      <c r="D352" s="4"/>
      <c r="E352" s="4"/>
      <c r="F352" s="21"/>
      <c r="G352" s="22" t="str">
        <f aca="false">IF($F352="","",IFERROR(INDEX(Lists!$B$4:$B$12,MATCH($F352,Lists!$A$4:$A$12,0)),""))</f>
        <v/>
      </c>
      <c r="H352" s="21"/>
      <c r="I352" s="23"/>
      <c r="J352" s="21"/>
      <c r="K352" s="24" t="str">
        <f aca="false">IF(OR($I352="",$J352=""),"",$I352+7*$J352-3)</f>
        <v/>
      </c>
      <c r="L352" s="21"/>
      <c r="M352" s="4"/>
      <c r="N352" s="21"/>
      <c r="O352" s="4"/>
      <c r="P352" s="21"/>
      <c r="Q352" s="2" t="n">
        <f aca="false">IF($A352="",0,IF(AND(OR(View!$C$4="All",View!$C$4="",$B352=View!$C$4),OR(View!$C$5="All",View!$C$5="",$C352=View!$C$5),OR(View!$C$6="All",View!$C$6="",$F352=View!$C$6),OR(View!$C$7="All",View!$C$7="",$G352=View!$C$7),OR(View!$C$8="All",View!$C$8="",$H352=View!$C$8,AND(View!$C$8="Open (not Complete)",$H352&lt;&gt;"Complete")),OR(View!$C$9="",ISNUMBER(SEARCH(View!$C$9,$D352&amp;" "&amp;$E352)))),1,0))</f>
        <v>0</v>
      </c>
      <c r="R352" s="2" t="str">
        <f aca="false">IF($Q352=1,COUNTIF($Q$4:$Q352,1),"")</f>
        <v/>
      </c>
    </row>
    <row r="353" customFormat="false" ht="15" hidden="false" customHeight="false" outlineLevel="0" collapsed="false">
      <c r="A353" s="21"/>
      <c r="B353" s="21"/>
      <c r="C353" s="21"/>
      <c r="D353" s="4"/>
      <c r="E353" s="4"/>
      <c r="F353" s="21"/>
      <c r="G353" s="22" t="str">
        <f aca="false">IF($F353="","",IFERROR(INDEX(Lists!$B$4:$B$12,MATCH($F353,Lists!$A$4:$A$12,0)),""))</f>
        <v/>
      </c>
      <c r="H353" s="21"/>
      <c r="I353" s="23"/>
      <c r="J353" s="21"/>
      <c r="K353" s="24" t="str">
        <f aca="false">IF(OR($I353="",$J353=""),"",$I353+7*$J353-3)</f>
        <v/>
      </c>
      <c r="L353" s="21"/>
      <c r="M353" s="4"/>
      <c r="N353" s="21"/>
      <c r="O353" s="4"/>
      <c r="P353" s="21"/>
      <c r="Q353" s="2" t="n">
        <f aca="false">IF($A353="",0,IF(AND(OR(View!$C$4="All",View!$C$4="",$B353=View!$C$4),OR(View!$C$5="All",View!$C$5="",$C353=View!$C$5),OR(View!$C$6="All",View!$C$6="",$F353=View!$C$6),OR(View!$C$7="All",View!$C$7="",$G353=View!$C$7),OR(View!$C$8="All",View!$C$8="",$H353=View!$C$8,AND(View!$C$8="Open (not Complete)",$H353&lt;&gt;"Complete")),OR(View!$C$9="",ISNUMBER(SEARCH(View!$C$9,$D353&amp;" "&amp;$E353)))),1,0))</f>
        <v>0</v>
      </c>
      <c r="R353" s="2" t="str">
        <f aca="false">IF($Q353=1,COUNTIF($Q$4:$Q353,1),"")</f>
        <v/>
      </c>
    </row>
    <row r="354" customFormat="false" ht="15" hidden="false" customHeight="false" outlineLevel="0" collapsed="false">
      <c r="A354" s="21"/>
      <c r="B354" s="21"/>
      <c r="C354" s="21"/>
      <c r="D354" s="4"/>
      <c r="E354" s="4"/>
      <c r="F354" s="21"/>
      <c r="G354" s="22" t="str">
        <f aca="false">IF($F354="","",IFERROR(INDEX(Lists!$B$4:$B$12,MATCH($F354,Lists!$A$4:$A$12,0)),""))</f>
        <v/>
      </c>
      <c r="H354" s="21"/>
      <c r="I354" s="23"/>
      <c r="J354" s="21"/>
      <c r="K354" s="24" t="str">
        <f aca="false">IF(OR($I354="",$J354=""),"",$I354+7*$J354-3)</f>
        <v/>
      </c>
      <c r="L354" s="21"/>
      <c r="M354" s="4"/>
      <c r="N354" s="21"/>
      <c r="O354" s="4"/>
      <c r="P354" s="21"/>
      <c r="Q354" s="2" t="n">
        <f aca="false">IF($A354="",0,IF(AND(OR(View!$C$4="All",View!$C$4="",$B354=View!$C$4),OR(View!$C$5="All",View!$C$5="",$C354=View!$C$5),OR(View!$C$6="All",View!$C$6="",$F354=View!$C$6),OR(View!$C$7="All",View!$C$7="",$G354=View!$C$7),OR(View!$C$8="All",View!$C$8="",$H354=View!$C$8,AND(View!$C$8="Open (not Complete)",$H354&lt;&gt;"Complete")),OR(View!$C$9="",ISNUMBER(SEARCH(View!$C$9,$D354&amp;" "&amp;$E354)))),1,0))</f>
        <v>0</v>
      </c>
      <c r="R354" s="2" t="str">
        <f aca="false">IF($Q354=1,COUNTIF($Q$4:$Q354,1),"")</f>
        <v/>
      </c>
    </row>
    <row r="355" customFormat="false" ht="15" hidden="false" customHeight="false" outlineLevel="0" collapsed="false">
      <c r="A355" s="21"/>
      <c r="B355" s="21"/>
      <c r="C355" s="21"/>
      <c r="D355" s="4"/>
      <c r="E355" s="4"/>
      <c r="F355" s="21"/>
      <c r="G355" s="22" t="str">
        <f aca="false">IF($F355="","",IFERROR(INDEX(Lists!$B$4:$B$12,MATCH($F355,Lists!$A$4:$A$12,0)),""))</f>
        <v/>
      </c>
      <c r="H355" s="21"/>
      <c r="I355" s="23"/>
      <c r="J355" s="21"/>
      <c r="K355" s="24" t="str">
        <f aca="false">IF(OR($I355="",$J355=""),"",$I355+7*$J355-3)</f>
        <v/>
      </c>
      <c r="L355" s="21"/>
      <c r="M355" s="4"/>
      <c r="N355" s="21"/>
      <c r="O355" s="4"/>
      <c r="P355" s="21"/>
      <c r="Q355" s="2" t="n">
        <f aca="false">IF($A355="",0,IF(AND(OR(View!$C$4="All",View!$C$4="",$B355=View!$C$4),OR(View!$C$5="All",View!$C$5="",$C355=View!$C$5),OR(View!$C$6="All",View!$C$6="",$F355=View!$C$6),OR(View!$C$7="All",View!$C$7="",$G355=View!$C$7),OR(View!$C$8="All",View!$C$8="",$H355=View!$C$8,AND(View!$C$8="Open (not Complete)",$H355&lt;&gt;"Complete")),OR(View!$C$9="",ISNUMBER(SEARCH(View!$C$9,$D355&amp;" "&amp;$E355)))),1,0))</f>
        <v>0</v>
      </c>
      <c r="R355" s="2" t="str">
        <f aca="false">IF($Q355=1,COUNTIF($Q$4:$Q355,1),"")</f>
        <v/>
      </c>
    </row>
    <row r="356" customFormat="false" ht="15" hidden="false" customHeight="false" outlineLevel="0" collapsed="false">
      <c r="A356" s="21"/>
      <c r="B356" s="21"/>
      <c r="C356" s="21"/>
      <c r="D356" s="4"/>
      <c r="E356" s="4"/>
      <c r="F356" s="21"/>
      <c r="G356" s="22" t="str">
        <f aca="false">IF($F356="","",IFERROR(INDEX(Lists!$B$4:$B$12,MATCH($F356,Lists!$A$4:$A$12,0)),""))</f>
        <v/>
      </c>
      <c r="H356" s="21"/>
      <c r="I356" s="23"/>
      <c r="J356" s="21"/>
      <c r="K356" s="24" t="str">
        <f aca="false">IF(OR($I356="",$J356=""),"",$I356+7*$J356-3)</f>
        <v/>
      </c>
      <c r="L356" s="21"/>
      <c r="M356" s="4"/>
      <c r="N356" s="21"/>
      <c r="O356" s="4"/>
      <c r="P356" s="21"/>
      <c r="Q356" s="2" t="n">
        <f aca="false">IF($A356="",0,IF(AND(OR(View!$C$4="All",View!$C$4="",$B356=View!$C$4),OR(View!$C$5="All",View!$C$5="",$C356=View!$C$5),OR(View!$C$6="All",View!$C$6="",$F356=View!$C$6),OR(View!$C$7="All",View!$C$7="",$G356=View!$C$7),OR(View!$C$8="All",View!$C$8="",$H356=View!$C$8,AND(View!$C$8="Open (not Complete)",$H356&lt;&gt;"Complete")),OR(View!$C$9="",ISNUMBER(SEARCH(View!$C$9,$D356&amp;" "&amp;$E356)))),1,0))</f>
        <v>0</v>
      </c>
      <c r="R356" s="2" t="str">
        <f aca="false">IF($Q356=1,COUNTIF($Q$4:$Q356,1),"")</f>
        <v/>
      </c>
    </row>
    <row r="357" customFormat="false" ht="15" hidden="false" customHeight="false" outlineLevel="0" collapsed="false">
      <c r="A357" s="21"/>
      <c r="B357" s="21"/>
      <c r="C357" s="21"/>
      <c r="D357" s="4"/>
      <c r="E357" s="4"/>
      <c r="F357" s="21"/>
      <c r="G357" s="22" t="str">
        <f aca="false">IF($F357="","",IFERROR(INDEX(Lists!$B$4:$B$12,MATCH($F357,Lists!$A$4:$A$12,0)),""))</f>
        <v/>
      </c>
      <c r="H357" s="21"/>
      <c r="I357" s="23"/>
      <c r="J357" s="21"/>
      <c r="K357" s="24" t="str">
        <f aca="false">IF(OR($I357="",$J357=""),"",$I357+7*$J357-3)</f>
        <v/>
      </c>
      <c r="L357" s="21"/>
      <c r="M357" s="4"/>
      <c r="N357" s="21"/>
      <c r="O357" s="4"/>
      <c r="P357" s="21"/>
      <c r="Q357" s="2" t="n">
        <f aca="false">IF($A357="",0,IF(AND(OR(View!$C$4="All",View!$C$4="",$B357=View!$C$4),OR(View!$C$5="All",View!$C$5="",$C357=View!$C$5),OR(View!$C$6="All",View!$C$6="",$F357=View!$C$6),OR(View!$C$7="All",View!$C$7="",$G357=View!$C$7),OR(View!$C$8="All",View!$C$8="",$H357=View!$C$8,AND(View!$C$8="Open (not Complete)",$H357&lt;&gt;"Complete")),OR(View!$C$9="",ISNUMBER(SEARCH(View!$C$9,$D357&amp;" "&amp;$E357)))),1,0))</f>
        <v>0</v>
      </c>
      <c r="R357" s="2" t="str">
        <f aca="false">IF($Q357=1,COUNTIF($Q$4:$Q357,1),"")</f>
        <v/>
      </c>
    </row>
    <row r="358" customFormat="false" ht="15" hidden="false" customHeight="false" outlineLevel="0" collapsed="false">
      <c r="A358" s="21"/>
      <c r="B358" s="21"/>
      <c r="C358" s="21"/>
      <c r="D358" s="4"/>
      <c r="E358" s="4"/>
      <c r="F358" s="21"/>
      <c r="G358" s="22" t="str">
        <f aca="false">IF($F358="","",IFERROR(INDEX(Lists!$B$4:$B$12,MATCH($F358,Lists!$A$4:$A$12,0)),""))</f>
        <v/>
      </c>
      <c r="H358" s="21"/>
      <c r="I358" s="23"/>
      <c r="J358" s="21"/>
      <c r="K358" s="24" t="str">
        <f aca="false">IF(OR($I358="",$J358=""),"",$I358+7*$J358-3)</f>
        <v/>
      </c>
      <c r="L358" s="21"/>
      <c r="M358" s="4"/>
      <c r="N358" s="21"/>
      <c r="O358" s="4"/>
      <c r="P358" s="21"/>
      <c r="Q358" s="2" t="n">
        <f aca="false">IF($A358="",0,IF(AND(OR(View!$C$4="All",View!$C$4="",$B358=View!$C$4),OR(View!$C$5="All",View!$C$5="",$C358=View!$C$5),OR(View!$C$6="All",View!$C$6="",$F358=View!$C$6),OR(View!$C$7="All",View!$C$7="",$G358=View!$C$7),OR(View!$C$8="All",View!$C$8="",$H358=View!$C$8,AND(View!$C$8="Open (not Complete)",$H358&lt;&gt;"Complete")),OR(View!$C$9="",ISNUMBER(SEARCH(View!$C$9,$D358&amp;" "&amp;$E358)))),1,0))</f>
        <v>0</v>
      </c>
      <c r="R358" s="2" t="str">
        <f aca="false">IF($Q358=1,COUNTIF($Q$4:$Q358,1),"")</f>
        <v/>
      </c>
    </row>
    <row r="359" customFormat="false" ht="15" hidden="false" customHeight="false" outlineLevel="0" collapsed="false">
      <c r="A359" s="21"/>
      <c r="B359" s="21"/>
      <c r="C359" s="21"/>
      <c r="D359" s="4"/>
      <c r="E359" s="4"/>
      <c r="F359" s="21"/>
      <c r="G359" s="22" t="str">
        <f aca="false">IF($F359="","",IFERROR(INDEX(Lists!$B$4:$B$12,MATCH($F359,Lists!$A$4:$A$12,0)),""))</f>
        <v/>
      </c>
      <c r="H359" s="21"/>
      <c r="I359" s="23"/>
      <c r="J359" s="21"/>
      <c r="K359" s="24" t="str">
        <f aca="false">IF(OR($I359="",$J359=""),"",$I359+7*$J359-3)</f>
        <v/>
      </c>
      <c r="L359" s="21"/>
      <c r="M359" s="4"/>
      <c r="N359" s="21"/>
      <c r="O359" s="4"/>
      <c r="P359" s="21"/>
      <c r="Q359" s="2" t="n">
        <f aca="false">IF($A359="",0,IF(AND(OR(View!$C$4="All",View!$C$4="",$B359=View!$C$4),OR(View!$C$5="All",View!$C$5="",$C359=View!$C$5),OR(View!$C$6="All",View!$C$6="",$F359=View!$C$6),OR(View!$C$7="All",View!$C$7="",$G359=View!$C$7),OR(View!$C$8="All",View!$C$8="",$H359=View!$C$8,AND(View!$C$8="Open (not Complete)",$H359&lt;&gt;"Complete")),OR(View!$C$9="",ISNUMBER(SEARCH(View!$C$9,$D359&amp;" "&amp;$E359)))),1,0))</f>
        <v>0</v>
      </c>
      <c r="R359" s="2" t="str">
        <f aca="false">IF($Q359=1,COUNTIF($Q$4:$Q359,1),"")</f>
        <v/>
      </c>
    </row>
    <row r="360" customFormat="false" ht="15" hidden="false" customHeight="false" outlineLevel="0" collapsed="false">
      <c r="A360" s="21"/>
      <c r="B360" s="21"/>
      <c r="C360" s="21"/>
      <c r="D360" s="4"/>
      <c r="E360" s="4"/>
      <c r="F360" s="21"/>
      <c r="G360" s="22" t="str">
        <f aca="false">IF($F360="","",IFERROR(INDEX(Lists!$B$4:$B$12,MATCH($F360,Lists!$A$4:$A$12,0)),""))</f>
        <v/>
      </c>
      <c r="H360" s="21"/>
      <c r="I360" s="23"/>
      <c r="J360" s="21"/>
      <c r="K360" s="24" t="str">
        <f aca="false">IF(OR($I360="",$J360=""),"",$I360+7*$J360-3)</f>
        <v/>
      </c>
      <c r="L360" s="21"/>
      <c r="M360" s="4"/>
      <c r="N360" s="21"/>
      <c r="O360" s="4"/>
      <c r="P360" s="21"/>
      <c r="Q360" s="2" t="n">
        <f aca="false">IF($A360="",0,IF(AND(OR(View!$C$4="All",View!$C$4="",$B360=View!$C$4),OR(View!$C$5="All",View!$C$5="",$C360=View!$C$5),OR(View!$C$6="All",View!$C$6="",$F360=View!$C$6),OR(View!$C$7="All",View!$C$7="",$G360=View!$C$7),OR(View!$C$8="All",View!$C$8="",$H360=View!$C$8,AND(View!$C$8="Open (not Complete)",$H360&lt;&gt;"Complete")),OR(View!$C$9="",ISNUMBER(SEARCH(View!$C$9,$D360&amp;" "&amp;$E360)))),1,0))</f>
        <v>0</v>
      </c>
      <c r="R360" s="2" t="str">
        <f aca="false">IF($Q360=1,COUNTIF($Q$4:$Q360,1),"")</f>
        <v/>
      </c>
    </row>
    <row r="361" customFormat="false" ht="15" hidden="false" customHeight="false" outlineLevel="0" collapsed="false">
      <c r="A361" s="21"/>
      <c r="B361" s="21"/>
      <c r="C361" s="21"/>
      <c r="D361" s="4"/>
      <c r="E361" s="4"/>
      <c r="F361" s="21"/>
      <c r="G361" s="22" t="str">
        <f aca="false">IF($F361="","",IFERROR(INDEX(Lists!$B$4:$B$12,MATCH($F361,Lists!$A$4:$A$12,0)),""))</f>
        <v/>
      </c>
      <c r="H361" s="21"/>
      <c r="I361" s="23"/>
      <c r="J361" s="21"/>
      <c r="K361" s="24" t="str">
        <f aca="false">IF(OR($I361="",$J361=""),"",$I361+7*$J361-3)</f>
        <v/>
      </c>
      <c r="L361" s="21"/>
      <c r="M361" s="4"/>
      <c r="N361" s="21"/>
      <c r="O361" s="4"/>
      <c r="P361" s="21"/>
      <c r="Q361" s="2" t="n">
        <f aca="false">IF($A361="",0,IF(AND(OR(View!$C$4="All",View!$C$4="",$B361=View!$C$4),OR(View!$C$5="All",View!$C$5="",$C361=View!$C$5),OR(View!$C$6="All",View!$C$6="",$F361=View!$C$6),OR(View!$C$7="All",View!$C$7="",$G361=View!$C$7),OR(View!$C$8="All",View!$C$8="",$H361=View!$C$8,AND(View!$C$8="Open (not Complete)",$H361&lt;&gt;"Complete")),OR(View!$C$9="",ISNUMBER(SEARCH(View!$C$9,$D361&amp;" "&amp;$E361)))),1,0))</f>
        <v>0</v>
      </c>
      <c r="R361" s="2" t="str">
        <f aca="false">IF($Q361=1,COUNTIF($Q$4:$Q361,1),"")</f>
        <v/>
      </c>
    </row>
    <row r="362" customFormat="false" ht="15" hidden="false" customHeight="false" outlineLevel="0" collapsed="false">
      <c r="A362" s="21"/>
      <c r="B362" s="21"/>
      <c r="C362" s="21"/>
      <c r="D362" s="4"/>
      <c r="E362" s="4"/>
      <c r="F362" s="21"/>
      <c r="G362" s="22" t="str">
        <f aca="false">IF($F362="","",IFERROR(INDEX(Lists!$B$4:$B$12,MATCH($F362,Lists!$A$4:$A$12,0)),""))</f>
        <v/>
      </c>
      <c r="H362" s="21"/>
      <c r="I362" s="23"/>
      <c r="J362" s="21"/>
      <c r="K362" s="24" t="str">
        <f aca="false">IF(OR($I362="",$J362=""),"",$I362+7*$J362-3)</f>
        <v/>
      </c>
      <c r="L362" s="21"/>
      <c r="M362" s="4"/>
      <c r="N362" s="21"/>
      <c r="O362" s="4"/>
      <c r="P362" s="21"/>
      <c r="Q362" s="2" t="n">
        <f aca="false">IF($A362="",0,IF(AND(OR(View!$C$4="All",View!$C$4="",$B362=View!$C$4),OR(View!$C$5="All",View!$C$5="",$C362=View!$C$5),OR(View!$C$6="All",View!$C$6="",$F362=View!$C$6),OR(View!$C$7="All",View!$C$7="",$G362=View!$C$7),OR(View!$C$8="All",View!$C$8="",$H362=View!$C$8,AND(View!$C$8="Open (not Complete)",$H362&lt;&gt;"Complete")),OR(View!$C$9="",ISNUMBER(SEARCH(View!$C$9,$D362&amp;" "&amp;$E362)))),1,0))</f>
        <v>0</v>
      </c>
      <c r="R362" s="2" t="str">
        <f aca="false">IF($Q362=1,COUNTIF($Q$4:$Q362,1),"")</f>
        <v/>
      </c>
    </row>
    <row r="363" customFormat="false" ht="15" hidden="false" customHeight="false" outlineLevel="0" collapsed="false">
      <c r="A363" s="21"/>
      <c r="B363" s="21"/>
      <c r="C363" s="21"/>
      <c r="D363" s="4"/>
      <c r="E363" s="4"/>
      <c r="F363" s="21"/>
      <c r="G363" s="22" t="str">
        <f aca="false">IF($F363="","",IFERROR(INDEX(Lists!$B$4:$B$12,MATCH($F363,Lists!$A$4:$A$12,0)),""))</f>
        <v/>
      </c>
      <c r="H363" s="21"/>
      <c r="I363" s="23"/>
      <c r="J363" s="21"/>
      <c r="K363" s="24" t="str">
        <f aca="false">IF(OR($I363="",$J363=""),"",$I363+7*$J363-3)</f>
        <v/>
      </c>
      <c r="L363" s="21"/>
      <c r="M363" s="4"/>
      <c r="N363" s="21"/>
      <c r="O363" s="4"/>
      <c r="P363" s="21"/>
      <c r="Q363" s="2" t="n">
        <f aca="false">IF($A363="",0,IF(AND(OR(View!$C$4="All",View!$C$4="",$B363=View!$C$4),OR(View!$C$5="All",View!$C$5="",$C363=View!$C$5),OR(View!$C$6="All",View!$C$6="",$F363=View!$C$6),OR(View!$C$7="All",View!$C$7="",$G363=View!$C$7),OR(View!$C$8="All",View!$C$8="",$H363=View!$C$8,AND(View!$C$8="Open (not Complete)",$H363&lt;&gt;"Complete")),OR(View!$C$9="",ISNUMBER(SEARCH(View!$C$9,$D363&amp;" "&amp;$E363)))),1,0))</f>
        <v>0</v>
      </c>
      <c r="R363" s="2" t="str">
        <f aca="false">IF($Q363=1,COUNTIF($Q$4:$Q363,1),"")</f>
        <v/>
      </c>
    </row>
    <row r="364" customFormat="false" ht="15" hidden="false" customHeight="false" outlineLevel="0" collapsed="false">
      <c r="A364" s="21"/>
      <c r="B364" s="21"/>
      <c r="C364" s="21"/>
      <c r="D364" s="4"/>
      <c r="E364" s="4"/>
      <c r="F364" s="21"/>
      <c r="G364" s="22" t="str">
        <f aca="false">IF($F364="","",IFERROR(INDEX(Lists!$B$4:$B$12,MATCH($F364,Lists!$A$4:$A$12,0)),""))</f>
        <v/>
      </c>
      <c r="H364" s="21"/>
      <c r="I364" s="23"/>
      <c r="J364" s="21"/>
      <c r="K364" s="24" t="str">
        <f aca="false">IF(OR($I364="",$J364=""),"",$I364+7*$J364-3)</f>
        <v/>
      </c>
      <c r="L364" s="21"/>
      <c r="M364" s="4"/>
      <c r="N364" s="21"/>
      <c r="O364" s="4"/>
      <c r="P364" s="21"/>
      <c r="Q364" s="2" t="n">
        <f aca="false">IF($A364="",0,IF(AND(OR(View!$C$4="All",View!$C$4="",$B364=View!$C$4),OR(View!$C$5="All",View!$C$5="",$C364=View!$C$5),OR(View!$C$6="All",View!$C$6="",$F364=View!$C$6),OR(View!$C$7="All",View!$C$7="",$G364=View!$C$7),OR(View!$C$8="All",View!$C$8="",$H364=View!$C$8,AND(View!$C$8="Open (not Complete)",$H364&lt;&gt;"Complete")),OR(View!$C$9="",ISNUMBER(SEARCH(View!$C$9,$D364&amp;" "&amp;$E364)))),1,0))</f>
        <v>0</v>
      </c>
      <c r="R364" s="2" t="str">
        <f aca="false">IF($Q364=1,COUNTIF($Q$4:$Q364,1),"")</f>
        <v/>
      </c>
    </row>
    <row r="365" customFormat="false" ht="15" hidden="false" customHeight="false" outlineLevel="0" collapsed="false">
      <c r="A365" s="21"/>
      <c r="B365" s="21"/>
      <c r="C365" s="21"/>
      <c r="D365" s="4"/>
      <c r="E365" s="4"/>
      <c r="F365" s="21"/>
      <c r="G365" s="22" t="str">
        <f aca="false">IF($F365="","",IFERROR(INDEX(Lists!$B$4:$B$12,MATCH($F365,Lists!$A$4:$A$12,0)),""))</f>
        <v/>
      </c>
      <c r="H365" s="21"/>
      <c r="I365" s="23"/>
      <c r="J365" s="21"/>
      <c r="K365" s="24" t="str">
        <f aca="false">IF(OR($I365="",$J365=""),"",$I365+7*$J365-3)</f>
        <v/>
      </c>
      <c r="L365" s="21"/>
      <c r="M365" s="4"/>
      <c r="N365" s="21"/>
      <c r="O365" s="4"/>
      <c r="P365" s="21"/>
      <c r="Q365" s="2" t="n">
        <f aca="false">IF($A365="",0,IF(AND(OR(View!$C$4="All",View!$C$4="",$B365=View!$C$4),OR(View!$C$5="All",View!$C$5="",$C365=View!$C$5),OR(View!$C$6="All",View!$C$6="",$F365=View!$C$6),OR(View!$C$7="All",View!$C$7="",$G365=View!$C$7),OR(View!$C$8="All",View!$C$8="",$H365=View!$C$8,AND(View!$C$8="Open (not Complete)",$H365&lt;&gt;"Complete")),OR(View!$C$9="",ISNUMBER(SEARCH(View!$C$9,$D365&amp;" "&amp;$E365)))),1,0))</f>
        <v>0</v>
      </c>
      <c r="R365" s="2" t="str">
        <f aca="false">IF($Q365=1,COUNTIF($Q$4:$Q365,1),"")</f>
        <v/>
      </c>
    </row>
    <row r="366" customFormat="false" ht="15" hidden="false" customHeight="false" outlineLevel="0" collapsed="false">
      <c r="A366" s="21"/>
      <c r="B366" s="21"/>
      <c r="C366" s="21"/>
      <c r="D366" s="4"/>
      <c r="E366" s="4"/>
      <c r="F366" s="21"/>
      <c r="G366" s="22" t="str">
        <f aca="false">IF($F366="","",IFERROR(INDEX(Lists!$B$4:$B$12,MATCH($F366,Lists!$A$4:$A$12,0)),""))</f>
        <v/>
      </c>
      <c r="H366" s="21"/>
      <c r="I366" s="23"/>
      <c r="J366" s="21"/>
      <c r="K366" s="24" t="str">
        <f aca="false">IF(OR($I366="",$J366=""),"",$I366+7*$J366-3)</f>
        <v/>
      </c>
      <c r="L366" s="21"/>
      <c r="M366" s="4"/>
      <c r="N366" s="21"/>
      <c r="O366" s="4"/>
      <c r="P366" s="21"/>
      <c r="Q366" s="2" t="n">
        <f aca="false">IF($A366="",0,IF(AND(OR(View!$C$4="All",View!$C$4="",$B366=View!$C$4),OR(View!$C$5="All",View!$C$5="",$C366=View!$C$5),OR(View!$C$6="All",View!$C$6="",$F366=View!$C$6),OR(View!$C$7="All",View!$C$7="",$G366=View!$C$7),OR(View!$C$8="All",View!$C$8="",$H366=View!$C$8,AND(View!$C$8="Open (not Complete)",$H366&lt;&gt;"Complete")),OR(View!$C$9="",ISNUMBER(SEARCH(View!$C$9,$D366&amp;" "&amp;$E366)))),1,0))</f>
        <v>0</v>
      </c>
      <c r="R366" s="2" t="str">
        <f aca="false">IF($Q366=1,COUNTIF($Q$4:$Q366,1),"")</f>
        <v/>
      </c>
    </row>
    <row r="367" customFormat="false" ht="15" hidden="false" customHeight="false" outlineLevel="0" collapsed="false">
      <c r="A367" s="21"/>
      <c r="B367" s="21"/>
      <c r="C367" s="21"/>
      <c r="D367" s="4"/>
      <c r="E367" s="4"/>
      <c r="F367" s="21"/>
      <c r="G367" s="22" t="str">
        <f aca="false">IF($F367="","",IFERROR(INDEX(Lists!$B$4:$B$12,MATCH($F367,Lists!$A$4:$A$12,0)),""))</f>
        <v/>
      </c>
      <c r="H367" s="21"/>
      <c r="I367" s="23"/>
      <c r="J367" s="21"/>
      <c r="K367" s="24" t="str">
        <f aca="false">IF(OR($I367="",$J367=""),"",$I367+7*$J367-3)</f>
        <v/>
      </c>
      <c r="L367" s="21"/>
      <c r="M367" s="4"/>
      <c r="N367" s="21"/>
      <c r="O367" s="4"/>
      <c r="P367" s="21"/>
      <c r="Q367" s="2" t="n">
        <f aca="false">IF($A367="",0,IF(AND(OR(View!$C$4="All",View!$C$4="",$B367=View!$C$4),OR(View!$C$5="All",View!$C$5="",$C367=View!$C$5),OR(View!$C$6="All",View!$C$6="",$F367=View!$C$6),OR(View!$C$7="All",View!$C$7="",$G367=View!$C$7),OR(View!$C$8="All",View!$C$8="",$H367=View!$C$8,AND(View!$C$8="Open (not Complete)",$H367&lt;&gt;"Complete")),OR(View!$C$9="",ISNUMBER(SEARCH(View!$C$9,$D367&amp;" "&amp;$E367)))),1,0))</f>
        <v>0</v>
      </c>
      <c r="R367" s="2" t="str">
        <f aca="false">IF($Q367=1,COUNTIF($Q$4:$Q367,1),"")</f>
        <v/>
      </c>
    </row>
    <row r="368" customFormat="false" ht="15" hidden="false" customHeight="false" outlineLevel="0" collapsed="false">
      <c r="A368" s="21"/>
      <c r="B368" s="21"/>
      <c r="C368" s="21"/>
      <c r="D368" s="4"/>
      <c r="E368" s="4"/>
      <c r="F368" s="21"/>
      <c r="G368" s="22" t="str">
        <f aca="false">IF($F368="","",IFERROR(INDEX(Lists!$B$4:$B$12,MATCH($F368,Lists!$A$4:$A$12,0)),""))</f>
        <v/>
      </c>
      <c r="H368" s="21"/>
      <c r="I368" s="23"/>
      <c r="J368" s="21"/>
      <c r="K368" s="24" t="str">
        <f aca="false">IF(OR($I368="",$J368=""),"",$I368+7*$J368-3)</f>
        <v/>
      </c>
      <c r="L368" s="21"/>
      <c r="M368" s="4"/>
      <c r="N368" s="21"/>
      <c r="O368" s="4"/>
      <c r="P368" s="21"/>
      <c r="Q368" s="2" t="n">
        <f aca="false">IF($A368="",0,IF(AND(OR(View!$C$4="All",View!$C$4="",$B368=View!$C$4),OR(View!$C$5="All",View!$C$5="",$C368=View!$C$5),OR(View!$C$6="All",View!$C$6="",$F368=View!$C$6),OR(View!$C$7="All",View!$C$7="",$G368=View!$C$7),OR(View!$C$8="All",View!$C$8="",$H368=View!$C$8,AND(View!$C$8="Open (not Complete)",$H368&lt;&gt;"Complete")),OR(View!$C$9="",ISNUMBER(SEARCH(View!$C$9,$D368&amp;" "&amp;$E368)))),1,0))</f>
        <v>0</v>
      </c>
      <c r="R368" s="2" t="str">
        <f aca="false">IF($Q368=1,COUNTIF($Q$4:$Q368,1),"")</f>
        <v/>
      </c>
    </row>
    <row r="369" customFormat="false" ht="15" hidden="false" customHeight="false" outlineLevel="0" collapsed="false">
      <c r="A369" s="21"/>
      <c r="B369" s="21"/>
      <c r="C369" s="21"/>
      <c r="D369" s="4"/>
      <c r="E369" s="4"/>
      <c r="F369" s="21"/>
      <c r="G369" s="22" t="str">
        <f aca="false">IF($F369="","",IFERROR(INDEX(Lists!$B$4:$B$12,MATCH($F369,Lists!$A$4:$A$12,0)),""))</f>
        <v/>
      </c>
      <c r="H369" s="21"/>
      <c r="I369" s="23"/>
      <c r="J369" s="21"/>
      <c r="K369" s="24" t="str">
        <f aca="false">IF(OR($I369="",$J369=""),"",$I369+7*$J369-3)</f>
        <v/>
      </c>
      <c r="L369" s="21"/>
      <c r="M369" s="4"/>
      <c r="N369" s="21"/>
      <c r="O369" s="4"/>
      <c r="P369" s="21"/>
      <c r="Q369" s="2" t="n">
        <f aca="false">IF($A369="",0,IF(AND(OR(View!$C$4="All",View!$C$4="",$B369=View!$C$4),OR(View!$C$5="All",View!$C$5="",$C369=View!$C$5),OR(View!$C$6="All",View!$C$6="",$F369=View!$C$6),OR(View!$C$7="All",View!$C$7="",$G369=View!$C$7),OR(View!$C$8="All",View!$C$8="",$H369=View!$C$8,AND(View!$C$8="Open (not Complete)",$H369&lt;&gt;"Complete")),OR(View!$C$9="",ISNUMBER(SEARCH(View!$C$9,$D369&amp;" "&amp;$E369)))),1,0))</f>
        <v>0</v>
      </c>
      <c r="R369" s="2" t="str">
        <f aca="false">IF($Q369=1,COUNTIF($Q$4:$Q369,1),"")</f>
        <v/>
      </c>
    </row>
    <row r="370" customFormat="false" ht="15" hidden="false" customHeight="false" outlineLevel="0" collapsed="false">
      <c r="A370" s="21"/>
      <c r="B370" s="21"/>
      <c r="C370" s="21"/>
      <c r="D370" s="4"/>
      <c r="E370" s="4"/>
      <c r="F370" s="21"/>
      <c r="G370" s="22" t="str">
        <f aca="false">IF($F370="","",IFERROR(INDEX(Lists!$B$4:$B$12,MATCH($F370,Lists!$A$4:$A$12,0)),""))</f>
        <v/>
      </c>
      <c r="H370" s="21"/>
      <c r="I370" s="23"/>
      <c r="J370" s="21"/>
      <c r="K370" s="24" t="str">
        <f aca="false">IF(OR($I370="",$J370=""),"",$I370+7*$J370-3)</f>
        <v/>
      </c>
      <c r="L370" s="21"/>
      <c r="M370" s="4"/>
      <c r="N370" s="21"/>
      <c r="O370" s="4"/>
      <c r="P370" s="21"/>
      <c r="Q370" s="2" t="n">
        <f aca="false">IF($A370="",0,IF(AND(OR(View!$C$4="All",View!$C$4="",$B370=View!$C$4),OR(View!$C$5="All",View!$C$5="",$C370=View!$C$5),OR(View!$C$6="All",View!$C$6="",$F370=View!$C$6),OR(View!$C$7="All",View!$C$7="",$G370=View!$C$7),OR(View!$C$8="All",View!$C$8="",$H370=View!$C$8,AND(View!$C$8="Open (not Complete)",$H370&lt;&gt;"Complete")),OR(View!$C$9="",ISNUMBER(SEARCH(View!$C$9,$D370&amp;" "&amp;$E370)))),1,0))</f>
        <v>0</v>
      </c>
      <c r="R370" s="2" t="str">
        <f aca="false">IF($Q370=1,COUNTIF($Q$4:$Q370,1),"")</f>
        <v/>
      </c>
    </row>
    <row r="371" customFormat="false" ht="15" hidden="false" customHeight="false" outlineLevel="0" collapsed="false">
      <c r="A371" s="21"/>
      <c r="B371" s="21"/>
      <c r="C371" s="21"/>
      <c r="D371" s="4"/>
      <c r="E371" s="4"/>
      <c r="F371" s="21"/>
      <c r="G371" s="22" t="str">
        <f aca="false">IF($F371="","",IFERROR(INDEX(Lists!$B$4:$B$12,MATCH($F371,Lists!$A$4:$A$12,0)),""))</f>
        <v/>
      </c>
      <c r="H371" s="21"/>
      <c r="I371" s="23"/>
      <c r="J371" s="21"/>
      <c r="K371" s="24" t="str">
        <f aca="false">IF(OR($I371="",$J371=""),"",$I371+7*$J371-3)</f>
        <v/>
      </c>
      <c r="L371" s="21"/>
      <c r="M371" s="4"/>
      <c r="N371" s="21"/>
      <c r="O371" s="4"/>
      <c r="P371" s="21"/>
      <c r="Q371" s="2" t="n">
        <f aca="false">IF($A371="",0,IF(AND(OR(View!$C$4="All",View!$C$4="",$B371=View!$C$4),OR(View!$C$5="All",View!$C$5="",$C371=View!$C$5),OR(View!$C$6="All",View!$C$6="",$F371=View!$C$6),OR(View!$C$7="All",View!$C$7="",$G371=View!$C$7),OR(View!$C$8="All",View!$C$8="",$H371=View!$C$8,AND(View!$C$8="Open (not Complete)",$H371&lt;&gt;"Complete")),OR(View!$C$9="",ISNUMBER(SEARCH(View!$C$9,$D371&amp;" "&amp;$E371)))),1,0))</f>
        <v>0</v>
      </c>
      <c r="R371" s="2" t="str">
        <f aca="false">IF($Q371=1,COUNTIF($Q$4:$Q371,1),"")</f>
        <v/>
      </c>
    </row>
    <row r="372" customFormat="false" ht="15" hidden="false" customHeight="false" outlineLevel="0" collapsed="false">
      <c r="A372" s="21"/>
      <c r="B372" s="21"/>
      <c r="C372" s="21"/>
      <c r="D372" s="4"/>
      <c r="E372" s="4"/>
      <c r="F372" s="21"/>
      <c r="G372" s="22" t="str">
        <f aca="false">IF($F372="","",IFERROR(INDEX(Lists!$B$4:$B$12,MATCH($F372,Lists!$A$4:$A$12,0)),""))</f>
        <v/>
      </c>
      <c r="H372" s="21"/>
      <c r="I372" s="23"/>
      <c r="J372" s="21"/>
      <c r="K372" s="24" t="str">
        <f aca="false">IF(OR($I372="",$J372=""),"",$I372+7*$J372-3)</f>
        <v/>
      </c>
      <c r="L372" s="21"/>
      <c r="M372" s="4"/>
      <c r="N372" s="21"/>
      <c r="O372" s="4"/>
      <c r="P372" s="21"/>
      <c r="Q372" s="2" t="n">
        <f aca="false">IF($A372="",0,IF(AND(OR(View!$C$4="All",View!$C$4="",$B372=View!$C$4),OR(View!$C$5="All",View!$C$5="",$C372=View!$C$5),OR(View!$C$6="All",View!$C$6="",$F372=View!$C$6),OR(View!$C$7="All",View!$C$7="",$G372=View!$C$7),OR(View!$C$8="All",View!$C$8="",$H372=View!$C$8,AND(View!$C$8="Open (not Complete)",$H372&lt;&gt;"Complete")),OR(View!$C$9="",ISNUMBER(SEARCH(View!$C$9,$D372&amp;" "&amp;$E372)))),1,0))</f>
        <v>0</v>
      </c>
      <c r="R372" s="2" t="str">
        <f aca="false">IF($Q372=1,COUNTIF($Q$4:$Q372,1),"")</f>
        <v/>
      </c>
    </row>
    <row r="373" customFormat="false" ht="15" hidden="false" customHeight="false" outlineLevel="0" collapsed="false">
      <c r="A373" s="21"/>
      <c r="B373" s="21"/>
      <c r="C373" s="21"/>
      <c r="D373" s="4"/>
      <c r="E373" s="4"/>
      <c r="F373" s="21"/>
      <c r="G373" s="22" t="str">
        <f aca="false">IF($F373="","",IFERROR(INDEX(Lists!$B$4:$B$12,MATCH($F373,Lists!$A$4:$A$12,0)),""))</f>
        <v/>
      </c>
      <c r="H373" s="21"/>
      <c r="I373" s="23"/>
      <c r="J373" s="21"/>
      <c r="K373" s="24" t="str">
        <f aca="false">IF(OR($I373="",$J373=""),"",$I373+7*$J373-3)</f>
        <v/>
      </c>
      <c r="L373" s="21"/>
      <c r="M373" s="4"/>
      <c r="N373" s="21"/>
      <c r="O373" s="4"/>
      <c r="P373" s="21"/>
      <c r="Q373" s="2" t="n">
        <f aca="false">IF($A373="",0,IF(AND(OR(View!$C$4="All",View!$C$4="",$B373=View!$C$4),OR(View!$C$5="All",View!$C$5="",$C373=View!$C$5),OR(View!$C$6="All",View!$C$6="",$F373=View!$C$6),OR(View!$C$7="All",View!$C$7="",$G373=View!$C$7),OR(View!$C$8="All",View!$C$8="",$H373=View!$C$8,AND(View!$C$8="Open (not Complete)",$H373&lt;&gt;"Complete")),OR(View!$C$9="",ISNUMBER(SEARCH(View!$C$9,$D373&amp;" "&amp;$E373)))),1,0))</f>
        <v>0</v>
      </c>
      <c r="R373" s="2" t="str">
        <f aca="false">IF($Q373=1,COUNTIF($Q$4:$Q373,1),"")</f>
        <v/>
      </c>
    </row>
    <row r="374" customFormat="false" ht="15" hidden="false" customHeight="false" outlineLevel="0" collapsed="false">
      <c r="A374" s="21"/>
      <c r="B374" s="21"/>
      <c r="C374" s="21"/>
      <c r="D374" s="4"/>
      <c r="E374" s="4"/>
      <c r="F374" s="21"/>
      <c r="G374" s="22" t="str">
        <f aca="false">IF($F374="","",IFERROR(INDEX(Lists!$B$4:$B$12,MATCH($F374,Lists!$A$4:$A$12,0)),""))</f>
        <v/>
      </c>
      <c r="H374" s="21"/>
      <c r="I374" s="23"/>
      <c r="J374" s="21"/>
      <c r="K374" s="24" t="str">
        <f aca="false">IF(OR($I374="",$J374=""),"",$I374+7*$J374-3)</f>
        <v/>
      </c>
      <c r="L374" s="21"/>
      <c r="M374" s="4"/>
      <c r="N374" s="21"/>
      <c r="O374" s="4"/>
      <c r="P374" s="21"/>
      <c r="Q374" s="2" t="n">
        <f aca="false">IF($A374="",0,IF(AND(OR(View!$C$4="All",View!$C$4="",$B374=View!$C$4),OR(View!$C$5="All",View!$C$5="",$C374=View!$C$5),OR(View!$C$6="All",View!$C$6="",$F374=View!$C$6),OR(View!$C$7="All",View!$C$7="",$G374=View!$C$7),OR(View!$C$8="All",View!$C$8="",$H374=View!$C$8,AND(View!$C$8="Open (not Complete)",$H374&lt;&gt;"Complete")),OR(View!$C$9="",ISNUMBER(SEARCH(View!$C$9,$D374&amp;" "&amp;$E374)))),1,0))</f>
        <v>0</v>
      </c>
      <c r="R374" s="2" t="str">
        <f aca="false">IF($Q374=1,COUNTIF($Q$4:$Q374,1),"")</f>
        <v/>
      </c>
    </row>
    <row r="375" customFormat="false" ht="15" hidden="false" customHeight="false" outlineLevel="0" collapsed="false">
      <c r="A375" s="21"/>
      <c r="B375" s="21"/>
      <c r="C375" s="21"/>
      <c r="D375" s="4"/>
      <c r="E375" s="4"/>
      <c r="F375" s="21"/>
      <c r="G375" s="22" t="str">
        <f aca="false">IF($F375="","",IFERROR(INDEX(Lists!$B$4:$B$12,MATCH($F375,Lists!$A$4:$A$12,0)),""))</f>
        <v/>
      </c>
      <c r="H375" s="21"/>
      <c r="I375" s="23"/>
      <c r="J375" s="21"/>
      <c r="K375" s="24" t="str">
        <f aca="false">IF(OR($I375="",$J375=""),"",$I375+7*$J375-3)</f>
        <v/>
      </c>
      <c r="L375" s="21"/>
      <c r="M375" s="4"/>
      <c r="N375" s="21"/>
      <c r="O375" s="4"/>
      <c r="P375" s="21"/>
      <c r="Q375" s="2" t="n">
        <f aca="false">IF($A375="",0,IF(AND(OR(View!$C$4="All",View!$C$4="",$B375=View!$C$4),OR(View!$C$5="All",View!$C$5="",$C375=View!$C$5),OR(View!$C$6="All",View!$C$6="",$F375=View!$C$6),OR(View!$C$7="All",View!$C$7="",$G375=View!$C$7),OR(View!$C$8="All",View!$C$8="",$H375=View!$C$8,AND(View!$C$8="Open (not Complete)",$H375&lt;&gt;"Complete")),OR(View!$C$9="",ISNUMBER(SEARCH(View!$C$9,$D375&amp;" "&amp;$E375)))),1,0))</f>
        <v>0</v>
      </c>
      <c r="R375" s="2" t="str">
        <f aca="false">IF($Q375=1,COUNTIF($Q$4:$Q375,1),"")</f>
        <v/>
      </c>
    </row>
    <row r="376" customFormat="false" ht="15" hidden="false" customHeight="false" outlineLevel="0" collapsed="false">
      <c r="A376" s="21"/>
      <c r="B376" s="21"/>
      <c r="C376" s="21"/>
      <c r="D376" s="4"/>
      <c r="E376" s="4"/>
      <c r="F376" s="21"/>
      <c r="G376" s="22" t="str">
        <f aca="false">IF($F376="","",IFERROR(INDEX(Lists!$B$4:$B$12,MATCH($F376,Lists!$A$4:$A$12,0)),""))</f>
        <v/>
      </c>
      <c r="H376" s="21"/>
      <c r="I376" s="23"/>
      <c r="J376" s="21"/>
      <c r="K376" s="24" t="str">
        <f aca="false">IF(OR($I376="",$J376=""),"",$I376+7*$J376-3)</f>
        <v/>
      </c>
      <c r="L376" s="21"/>
      <c r="M376" s="4"/>
      <c r="N376" s="21"/>
      <c r="O376" s="4"/>
      <c r="P376" s="21"/>
      <c r="Q376" s="2" t="n">
        <f aca="false">IF($A376="",0,IF(AND(OR(View!$C$4="All",View!$C$4="",$B376=View!$C$4),OR(View!$C$5="All",View!$C$5="",$C376=View!$C$5),OR(View!$C$6="All",View!$C$6="",$F376=View!$C$6),OR(View!$C$7="All",View!$C$7="",$G376=View!$C$7),OR(View!$C$8="All",View!$C$8="",$H376=View!$C$8,AND(View!$C$8="Open (not Complete)",$H376&lt;&gt;"Complete")),OR(View!$C$9="",ISNUMBER(SEARCH(View!$C$9,$D376&amp;" "&amp;$E376)))),1,0))</f>
        <v>0</v>
      </c>
      <c r="R376" s="2" t="str">
        <f aca="false">IF($Q376=1,COUNTIF($Q$4:$Q376,1),"")</f>
        <v/>
      </c>
    </row>
    <row r="377" customFormat="false" ht="15" hidden="false" customHeight="false" outlineLevel="0" collapsed="false">
      <c r="A377" s="21"/>
      <c r="B377" s="21"/>
      <c r="C377" s="21"/>
      <c r="D377" s="4"/>
      <c r="E377" s="4"/>
      <c r="F377" s="21"/>
      <c r="G377" s="22" t="str">
        <f aca="false">IF($F377="","",IFERROR(INDEX(Lists!$B$4:$B$12,MATCH($F377,Lists!$A$4:$A$12,0)),""))</f>
        <v/>
      </c>
      <c r="H377" s="21"/>
      <c r="I377" s="23"/>
      <c r="J377" s="21"/>
      <c r="K377" s="24" t="str">
        <f aca="false">IF(OR($I377="",$J377=""),"",$I377+7*$J377-3)</f>
        <v/>
      </c>
      <c r="L377" s="21"/>
      <c r="M377" s="4"/>
      <c r="N377" s="21"/>
      <c r="O377" s="4"/>
      <c r="P377" s="21"/>
      <c r="Q377" s="2" t="n">
        <f aca="false">IF($A377="",0,IF(AND(OR(View!$C$4="All",View!$C$4="",$B377=View!$C$4),OR(View!$C$5="All",View!$C$5="",$C377=View!$C$5),OR(View!$C$6="All",View!$C$6="",$F377=View!$C$6),OR(View!$C$7="All",View!$C$7="",$G377=View!$C$7),OR(View!$C$8="All",View!$C$8="",$H377=View!$C$8,AND(View!$C$8="Open (not Complete)",$H377&lt;&gt;"Complete")),OR(View!$C$9="",ISNUMBER(SEARCH(View!$C$9,$D377&amp;" "&amp;$E377)))),1,0))</f>
        <v>0</v>
      </c>
      <c r="R377" s="2" t="str">
        <f aca="false">IF($Q377=1,COUNTIF($Q$4:$Q377,1),"")</f>
        <v/>
      </c>
    </row>
    <row r="378" customFormat="false" ht="15" hidden="false" customHeight="false" outlineLevel="0" collapsed="false">
      <c r="A378" s="21"/>
      <c r="B378" s="21"/>
      <c r="C378" s="21"/>
      <c r="D378" s="4"/>
      <c r="E378" s="4"/>
      <c r="F378" s="21"/>
      <c r="G378" s="22" t="str">
        <f aca="false">IF($F378="","",IFERROR(INDEX(Lists!$B$4:$B$12,MATCH($F378,Lists!$A$4:$A$12,0)),""))</f>
        <v/>
      </c>
      <c r="H378" s="21"/>
      <c r="I378" s="23"/>
      <c r="J378" s="21"/>
      <c r="K378" s="24" t="str">
        <f aca="false">IF(OR($I378="",$J378=""),"",$I378+7*$J378-3)</f>
        <v/>
      </c>
      <c r="L378" s="21"/>
      <c r="M378" s="4"/>
      <c r="N378" s="21"/>
      <c r="O378" s="4"/>
      <c r="P378" s="21"/>
      <c r="Q378" s="2" t="n">
        <f aca="false">IF($A378="",0,IF(AND(OR(View!$C$4="All",View!$C$4="",$B378=View!$C$4),OR(View!$C$5="All",View!$C$5="",$C378=View!$C$5),OR(View!$C$6="All",View!$C$6="",$F378=View!$C$6),OR(View!$C$7="All",View!$C$7="",$G378=View!$C$7),OR(View!$C$8="All",View!$C$8="",$H378=View!$C$8,AND(View!$C$8="Open (not Complete)",$H378&lt;&gt;"Complete")),OR(View!$C$9="",ISNUMBER(SEARCH(View!$C$9,$D378&amp;" "&amp;$E378)))),1,0))</f>
        <v>0</v>
      </c>
      <c r="R378" s="2" t="str">
        <f aca="false">IF($Q378=1,COUNTIF($Q$4:$Q378,1),"")</f>
        <v/>
      </c>
    </row>
    <row r="379" customFormat="false" ht="15" hidden="false" customHeight="false" outlineLevel="0" collapsed="false">
      <c r="A379" s="21"/>
      <c r="B379" s="21"/>
      <c r="C379" s="21"/>
      <c r="D379" s="4"/>
      <c r="E379" s="4"/>
      <c r="F379" s="21"/>
      <c r="G379" s="22" t="str">
        <f aca="false">IF($F379="","",IFERROR(INDEX(Lists!$B$4:$B$12,MATCH($F379,Lists!$A$4:$A$12,0)),""))</f>
        <v/>
      </c>
      <c r="H379" s="21"/>
      <c r="I379" s="23"/>
      <c r="J379" s="21"/>
      <c r="K379" s="24" t="str">
        <f aca="false">IF(OR($I379="",$J379=""),"",$I379+7*$J379-3)</f>
        <v/>
      </c>
      <c r="L379" s="21"/>
      <c r="M379" s="4"/>
      <c r="N379" s="21"/>
      <c r="O379" s="4"/>
      <c r="P379" s="21"/>
      <c r="Q379" s="2" t="n">
        <f aca="false">IF($A379="",0,IF(AND(OR(View!$C$4="All",View!$C$4="",$B379=View!$C$4),OR(View!$C$5="All",View!$C$5="",$C379=View!$C$5),OR(View!$C$6="All",View!$C$6="",$F379=View!$C$6),OR(View!$C$7="All",View!$C$7="",$G379=View!$C$7),OR(View!$C$8="All",View!$C$8="",$H379=View!$C$8,AND(View!$C$8="Open (not Complete)",$H379&lt;&gt;"Complete")),OR(View!$C$9="",ISNUMBER(SEARCH(View!$C$9,$D379&amp;" "&amp;$E379)))),1,0))</f>
        <v>0</v>
      </c>
      <c r="R379" s="2" t="str">
        <f aca="false">IF($Q379=1,COUNTIF($Q$4:$Q379,1),"")</f>
        <v/>
      </c>
    </row>
    <row r="380" customFormat="false" ht="15" hidden="false" customHeight="false" outlineLevel="0" collapsed="false">
      <c r="A380" s="21"/>
      <c r="B380" s="21"/>
      <c r="C380" s="21"/>
      <c r="D380" s="4"/>
      <c r="E380" s="4"/>
      <c r="F380" s="21"/>
      <c r="G380" s="22" t="str">
        <f aca="false">IF($F380="","",IFERROR(INDEX(Lists!$B$4:$B$12,MATCH($F380,Lists!$A$4:$A$12,0)),""))</f>
        <v/>
      </c>
      <c r="H380" s="21"/>
      <c r="I380" s="23"/>
      <c r="J380" s="21"/>
      <c r="K380" s="24" t="str">
        <f aca="false">IF(OR($I380="",$J380=""),"",$I380+7*$J380-3)</f>
        <v/>
      </c>
      <c r="L380" s="21"/>
      <c r="M380" s="4"/>
      <c r="N380" s="21"/>
      <c r="O380" s="4"/>
      <c r="P380" s="21"/>
      <c r="Q380" s="2" t="n">
        <f aca="false">IF($A380="",0,IF(AND(OR(View!$C$4="All",View!$C$4="",$B380=View!$C$4),OR(View!$C$5="All",View!$C$5="",$C380=View!$C$5),OR(View!$C$6="All",View!$C$6="",$F380=View!$C$6),OR(View!$C$7="All",View!$C$7="",$G380=View!$C$7),OR(View!$C$8="All",View!$C$8="",$H380=View!$C$8,AND(View!$C$8="Open (not Complete)",$H380&lt;&gt;"Complete")),OR(View!$C$9="",ISNUMBER(SEARCH(View!$C$9,$D380&amp;" "&amp;$E380)))),1,0))</f>
        <v>0</v>
      </c>
      <c r="R380" s="2" t="str">
        <f aca="false">IF($Q380=1,COUNTIF($Q$4:$Q380,1),"")</f>
        <v/>
      </c>
    </row>
    <row r="381" customFormat="false" ht="15" hidden="false" customHeight="false" outlineLevel="0" collapsed="false">
      <c r="A381" s="21"/>
      <c r="B381" s="21"/>
      <c r="C381" s="21"/>
      <c r="D381" s="4"/>
      <c r="E381" s="4"/>
      <c r="F381" s="21"/>
      <c r="G381" s="22" t="str">
        <f aca="false">IF($F381="","",IFERROR(INDEX(Lists!$B$4:$B$12,MATCH($F381,Lists!$A$4:$A$12,0)),""))</f>
        <v/>
      </c>
      <c r="H381" s="21"/>
      <c r="I381" s="23"/>
      <c r="J381" s="21"/>
      <c r="K381" s="24" t="str">
        <f aca="false">IF(OR($I381="",$J381=""),"",$I381+7*$J381-3)</f>
        <v/>
      </c>
      <c r="L381" s="21"/>
      <c r="M381" s="4"/>
      <c r="N381" s="21"/>
      <c r="O381" s="4"/>
      <c r="P381" s="21"/>
      <c r="Q381" s="2" t="n">
        <f aca="false">IF($A381="",0,IF(AND(OR(View!$C$4="All",View!$C$4="",$B381=View!$C$4),OR(View!$C$5="All",View!$C$5="",$C381=View!$C$5),OR(View!$C$6="All",View!$C$6="",$F381=View!$C$6),OR(View!$C$7="All",View!$C$7="",$G381=View!$C$7),OR(View!$C$8="All",View!$C$8="",$H381=View!$C$8,AND(View!$C$8="Open (not Complete)",$H381&lt;&gt;"Complete")),OR(View!$C$9="",ISNUMBER(SEARCH(View!$C$9,$D381&amp;" "&amp;$E381)))),1,0))</f>
        <v>0</v>
      </c>
      <c r="R381" s="2" t="str">
        <f aca="false">IF($Q381=1,COUNTIF($Q$4:$Q381,1),"")</f>
        <v/>
      </c>
    </row>
    <row r="382" customFormat="false" ht="15" hidden="false" customHeight="false" outlineLevel="0" collapsed="false">
      <c r="A382" s="21"/>
      <c r="B382" s="21"/>
      <c r="C382" s="21"/>
      <c r="D382" s="4"/>
      <c r="E382" s="4"/>
      <c r="F382" s="21"/>
      <c r="G382" s="22" t="str">
        <f aca="false">IF($F382="","",IFERROR(INDEX(Lists!$B$4:$B$12,MATCH($F382,Lists!$A$4:$A$12,0)),""))</f>
        <v/>
      </c>
      <c r="H382" s="21"/>
      <c r="I382" s="23"/>
      <c r="J382" s="21"/>
      <c r="K382" s="24" t="str">
        <f aca="false">IF(OR($I382="",$J382=""),"",$I382+7*$J382-3)</f>
        <v/>
      </c>
      <c r="L382" s="21"/>
      <c r="M382" s="4"/>
      <c r="N382" s="21"/>
      <c r="O382" s="4"/>
      <c r="P382" s="21"/>
      <c r="Q382" s="2" t="n">
        <f aca="false">IF($A382="",0,IF(AND(OR(View!$C$4="All",View!$C$4="",$B382=View!$C$4),OR(View!$C$5="All",View!$C$5="",$C382=View!$C$5),OR(View!$C$6="All",View!$C$6="",$F382=View!$C$6),OR(View!$C$7="All",View!$C$7="",$G382=View!$C$7),OR(View!$C$8="All",View!$C$8="",$H382=View!$C$8,AND(View!$C$8="Open (not Complete)",$H382&lt;&gt;"Complete")),OR(View!$C$9="",ISNUMBER(SEARCH(View!$C$9,$D382&amp;" "&amp;$E382)))),1,0))</f>
        <v>0</v>
      </c>
      <c r="R382" s="2" t="str">
        <f aca="false">IF($Q382=1,COUNTIF($Q$4:$Q382,1),"")</f>
        <v/>
      </c>
    </row>
    <row r="383" customFormat="false" ht="15" hidden="false" customHeight="false" outlineLevel="0" collapsed="false">
      <c r="A383" s="21"/>
      <c r="B383" s="21"/>
      <c r="C383" s="21"/>
      <c r="D383" s="4"/>
      <c r="E383" s="4"/>
      <c r="F383" s="21"/>
      <c r="G383" s="22" t="str">
        <f aca="false">IF($F383="","",IFERROR(INDEX(Lists!$B$4:$B$12,MATCH($F383,Lists!$A$4:$A$12,0)),""))</f>
        <v/>
      </c>
      <c r="H383" s="21"/>
      <c r="I383" s="23"/>
      <c r="J383" s="21"/>
      <c r="K383" s="24" t="str">
        <f aca="false">IF(OR($I383="",$J383=""),"",$I383+7*$J383-3)</f>
        <v/>
      </c>
      <c r="L383" s="21"/>
      <c r="M383" s="4"/>
      <c r="N383" s="21"/>
      <c r="O383" s="4"/>
      <c r="P383" s="21"/>
      <c r="Q383" s="2" t="n">
        <f aca="false">IF($A383="",0,IF(AND(OR(View!$C$4="All",View!$C$4="",$B383=View!$C$4),OR(View!$C$5="All",View!$C$5="",$C383=View!$C$5),OR(View!$C$6="All",View!$C$6="",$F383=View!$C$6),OR(View!$C$7="All",View!$C$7="",$G383=View!$C$7),OR(View!$C$8="All",View!$C$8="",$H383=View!$C$8,AND(View!$C$8="Open (not Complete)",$H383&lt;&gt;"Complete")),OR(View!$C$9="",ISNUMBER(SEARCH(View!$C$9,$D383&amp;" "&amp;$E383)))),1,0))</f>
        <v>0</v>
      </c>
      <c r="R383" s="2" t="str">
        <f aca="false">IF($Q383=1,COUNTIF($Q$4:$Q383,1),"")</f>
        <v/>
      </c>
    </row>
    <row r="384" customFormat="false" ht="15" hidden="false" customHeight="false" outlineLevel="0" collapsed="false">
      <c r="A384" s="21"/>
      <c r="B384" s="21"/>
      <c r="C384" s="21"/>
      <c r="D384" s="4"/>
      <c r="E384" s="4"/>
      <c r="F384" s="21"/>
      <c r="G384" s="22" t="str">
        <f aca="false">IF($F384="","",IFERROR(INDEX(Lists!$B$4:$B$12,MATCH($F384,Lists!$A$4:$A$12,0)),""))</f>
        <v/>
      </c>
      <c r="H384" s="21"/>
      <c r="I384" s="23"/>
      <c r="J384" s="21"/>
      <c r="K384" s="24" t="str">
        <f aca="false">IF(OR($I384="",$J384=""),"",$I384+7*$J384-3)</f>
        <v/>
      </c>
      <c r="L384" s="21"/>
      <c r="M384" s="4"/>
      <c r="N384" s="21"/>
      <c r="O384" s="4"/>
      <c r="P384" s="21"/>
      <c r="Q384" s="2" t="n">
        <f aca="false">IF($A384="",0,IF(AND(OR(View!$C$4="All",View!$C$4="",$B384=View!$C$4),OR(View!$C$5="All",View!$C$5="",$C384=View!$C$5),OR(View!$C$6="All",View!$C$6="",$F384=View!$C$6),OR(View!$C$7="All",View!$C$7="",$G384=View!$C$7),OR(View!$C$8="All",View!$C$8="",$H384=View!$C$8,AND(View!$C$8="Open (not Complete)",$H384&lt;&gt;"Complete")),OR(View!$C$9="",ISNUMBER(SEARCH(View!$C$9,$D384&amp;" "&amp;$E384)))),1,0))</f>
        <v>0</v>
      </c>
      <c r="R384" s="2" t="str">
        <f aca="false">IF($Q384=1,COUNTIF($Q$4:$Q384,1),"")</f>
        <v/>
      </c>
    </row>
    <row r="385" customFormat="false" ht="15" hidden="false" customHeight="false" outlineLevel="0" collapsed="false">
      <c r="A385" s="21"/>
      <c r="B385" s="21"/>
      <c r="C385" s="21"/>
      <c r="D385" s="4"/>
      <c r="E385" s="4"/>
      <c r="F385" s="21"/>
      <c r="G385" s="22" t="str">
        <f aca="false">IF($F385="","",IFERROR(INDEX(Lists!$B$4:$B$12,MATCH($F385,Lists!$A$4:$A$12,0)),""))</f>
        <v/>
      </c>
      <c r="H385" s="21"/>
      <c r="I385" s="23"/>
      <c r="J385" s="21"/>
      <c r="K385" s="24" t="str">
        <f aca="false">IF(OR($I385="",$J385=""),"",$I385+7*$J385-3)</f>
        <v/>
      </c>
      <c r="L385" s="21"/>
      <c r="M385" s="4"/>
      <c r="N385" s="21"/>
      <c r="O385" s="4"/>
      <c r="P385" s="21"/>
      <c r="Q385" s="2" t="n">
        <f aca="false">IF($A385="",0,IF(AND(OR(View!$C$4="All",View!$C$4="",$B385=View!$C$4),OR(View!$C$5="All",View!$C$5="",$C385=View!$C$5),OR(View!$C$6="All",View!$C$6="",$F385=View!$C$6),OR(View!$C$7="All",View!$C$7="",$G385=View!$C$7),OR(View!$C$8="All",View!$C$8="",$H385=View!$C$8,AND(View!$C$8="Open (not Complete)",$H385&lt;&gt;"Complete")),OR(View!$C$9="",ISNUMBER(SEARCH(View!$C$9,$D385&amp;" "&amp;$E385)))),1,0))</f>
        <v>0</v>
      </c>
      <c r="R385" s="2" t="str">
        <f aca="false">IF($Q385=1,COUNTIF($Q$4:$Q385,1),"")</f>
        <v/>
      </c>
    </row>
    <row r="386" customFormat="false" ht="15" hidden="false" customHeight="false" outlineLevel="0" collapsed="false">
      <c r="A386" s="21"/>
      <c r="B386" s="21"/>
      <c r="C386" s="21"/>
      <c r="D386" s="4"/>
      <c r="E386" s="4"/>
      <c r="F386" s="21"/>
      <c r="G386" s="22" t="str">
        <f aca="false">IF($F386="","",IFERROR(INDEX(Lists!$B$4:$B$12,MATCH($F386,Lists!$A$4:$A$12,0)),""))</f>
        <v/>
      </c>
      <c r="H386" s="21"/>
      <c r="I386" s="23"/>
      <c r="J386" s="21"/>
      <c r="K386" s="24" t="str">
        <f aca="false">IF(OR($I386="",$J386=""),"",$I386+7*$J386-3)</f>
        <v/>
      </c>
      <c r="L386" s="21"/>
      <c r="M386" s="4"/>
      <c r="N386" s="21"/>
      <c r="O386" s="4"/>
      <c r="P386" s="21"/>
      <c r="Q386" s="2" t="n">
        <f aca="false">IF($A386="",0,IF(AND(OR(View!$C$4="All",View!$C$4="",$B386=View!$C$4),OR(View!$C$5="All",View!$C$5="",$C386=View!$C$5),OR(View!$C$6="All",View!$C$6="",$F386=View!$C$6),OR(View!$C$7="All",View!$C$7="",$G386=View!$C$7),OR(View!$C$8="All",View!$C$8="",$H386=View!$C$8,AND(View!$C$8="Open (not Complete)",$H386&lt;&gt;"Complete")),OR(View!$C$9="",ISNUMBER(SEARCH(View!$C$9,$D386&amp;" "&amp;$E386)))),1,0))</f>
        <v>0</v>
      </c>
      <c r="R386" s="2" t="str">
        <f aca="false">IF($Q386=1,COUNTIF($Q$4:$Q386,1),"")</f>
        <v/>
      </c>
    </row>
    <row r="387" customFormat="false" ht="15" hidden="false" customHeight="false" outlineLevel="0" collapsed="false">
      <c r="A387" s="21"/>
      <c r="B387" s="21"/>
      <c r="C387" s="21"/>
      <c r="D387" s="4"/>
      <c r="E387" s="4"/>
      <c r="F387" s="21"/>
      <c r="G387" s="22" t="str">
        <f aca="false">IF($F387="","",IFERROR(INDEX(Lists!$B$4:$B$12,MATCH($F387,Lists!$A$4:$A$12,0)),""))</f>
        <v/>
      </c>
      <c r="H387" s="21"/>
      <c r="I387" s="23"/>
      <c r="J387" s="21"/>
      <c r="K387" s="24" t="str">
        <f aca="false">IF(OR($I387="",$J387=""),"",$I387+7*$J387-3)</f>
        <v/>
      </c>
      <c r="L387" s="21"/>
      <c r="M387" s="4"/>
      <c r="N387" s="21"/>
      <c r="O387" s="4"/>
      <c r="P387" s="21"/>
      <c r="Q387" s="2" t="n">
        <f aca="false">IF($A387="",0,IF(AND(OR(View!$C$4="All",View!$C$4="",$B387=View!$C$4),OR(View!$C$5="All",View!$C$5="",$C387=View!$C$5),OR(View!$C$6="All",View!$C$6="",$F387=View!$C$6),OR(View!$C$7="All",View!$C$7="",$G387=View!$C$7),OR(View!$C$8="All",View!$C$8="",$H387=View!$C$8,AND(View!$C$8="Open (not Complete)",$H387&lt;&gt;"Complete")),OR(View!$C$9="",ISNUMBER(SEARCH(View!$C$9,$D387&amp;" "&amp;$E387)))),1,0))</f>
        <v>0</v>
      </c>
      <c r="R387" s="2" t="str">
        <f aca="false">IF($Q387=1,COUNTIF($Q$4:$Q387,1),"")</f>
        <v/>
      </c>
    </row>
    <row r="388" customFormat="false" ht="15" hidden="false" customHeight="false" outlineLevel="0" collapsed="false">
      <c r="A388" s="21"/>
      <c r="B388" s="21"/>
      <c r="C388" s="21"/>
      <c r="D388" s="4"/>
      <c r="E388" s="4"/>
      <c r="F388" s="21"/>
      <c r="G388" s="22" t="str">
        <f aca="false">IF($F388="","",IFERROR(INDEX(Lists!$B$4:$B$12,MATCH($F388,Lists!$A$4:$A$12,0)),""))</f>
        <v/>
      </c>
      <c r="H388" s="21"/>
      <c r="I388" s="23"/>
      <c r="J388" s="21"/>
      <c r="K388" s="24" t="str">
        <f aca="false">IF(OR($I388="",$J388=""),"",$I388+7*$J388-3)</f>
        <v/>
      </c>
      <c r="L388" s="21"/>
      <c r="M388" s="4"/>
      <c r="N388" s="21"/>
      <c r="O388" s="4"/>
      <c r="P388" s="21"/>
      <c r="Q388" s="2" t="n">
        <f aca="false">IF($A388="",0,IF(AND(OR(View!$C$4="All",View!$C$4="",$B388=View!$C$4),OR(View!$C$5="All",View!$C$5="",$C388=View!$C$5),OR(View!$C$6="All",View!$C$6="",$F388=View!$C$6),OR(View!$C$7="All",View!$C$7="",$G388=View!$C$7),OR(View!$C$8="All",View!$C$8="",$H388=View!$C$8,AND(View!$C$8="Open (not Complete)",$H388&lt;&gt;"Complete")),OR(View!$C$9="",ISNUMBER(SEARCH(View!$C$9,$D388&amp;" "&amp;$E388)))),1,0))</f>
        <v>0</v>
      </c>
      <c r="R388" s="2" t="str">
        <f aca="false">IF($Q388=1,COUNTIF($Q$4:$Q388,1),"")</f>
        <v/>
      </c>
    </row>
    <row r="389" customFormat="false" ht="15" hidden="false" customHeight="false" outlineLevel="0" collapsed="false">
      <c r="A389" s="21"/>
      <c r="B389" s="21"/>
      <c r="C389" s="21"/>
      <c r="D389" s="4"/>
      <c r="E389" s="4"/>
      <c r="F389" s="21"/>
      <c r="G389" s="22" t="str">
        <f aca="false">IF($F389="","",IFERROR(INDEX(Lists!$B$4:$B$12,MATCH($F389,Lists!$A$4:$A$12,0)),""))</f>
        <v/>
      </c>
      <c r="H389" s="21"/>
      <c r="I389" s="23"/>
      <c r="J389" s="21"/>
      <c r="K389" s="24" t="str">
        <f aca="false">IF(OR($I389="",$J389=""),"",$I389+7*$J389-3)</f>
        <v/>
      </c>
      <c r="L389" s="21"/>
      <c r="M389" s="4"/>
      <c r="N389" s="21"/>
      <c r="O389" s="4"/>
      <c r="P389" s="21"/>
      <c r="Q389" s="2" t="n">
        <f aca="false">IF($A389="",0,IF(AND(OR(View!$C$4="All",View!$C$4="",$B389=View!$C$4),OR(View!$C$5="All",View!$C$5="",$C389=View!$C$5),OR(View!$C$6="All",View!$C$6="",$F389=View!$C$6),OR(View!$C$7="All",View!$C$7="",$G389=View!$C$7),OR(View!$C$8="All",View!$C$8="",$H389=View!$C$8,AND(View!$C$8="Open (not Complete)",$H389&lt;&gt;"Complete")),OR(View!$C$9="",ISNUMBER(SEARCH(View!$C$9,$D389&amp;" "&amp;$E389)))),1,0))</f>
        <v>0</v>
      </c>
      <c r="R389" s="2" t="str">
        <f aca="false">IF($Q389=1,COUNTIF($Q$4:$Q389,1),"")</f>
        <v/>
      </c>
    </row>
    <row r="390" customFormat="false" ht="15" hidden="false" customHeight="false" outlineLevel="0" collapsed="false">
      <c r="A390" s="21"/>
      <c r="B390" s="21"/>
      <c r="C390" s="21"/>
      <c r="D390" s="4"/>
      <c r="E390" s="4"/>
      <c r="F390" s="21"/>
      <c r="G390" s="22" t="str">
        <f aca="false">IF($F390="","",IFERROR(INDEX(Lists!$B$4:$B$12,MATCH($F390,Lists!$A$4:$A$12,0)),""))</f>
        <v/>
      </c>
      <c r="H390" s="21"/>
      <c r="I390" s="23"/>
      <c r="J390" s="21"/>
      <c r="K390" s="24" t="str">
        <f aca="false">IF(OR($I390="",$J390=""),"",$I390+7*$J390-3)</f>
        <v/>
      </c>
      <c r="L390" s="21"/>
      <c r="M390" s="4"/>
      <c r="N390" s="21"/>
      <c r="O390" s="4"/>
      <c r="P390" s="21"/>
      <c r="Q390" s="2" t="n">
        <f aca="false">IF($A390="",0,IF(AND(OR(View!$C$4="All",View!$C$4="",$B390=View!$C$4),OR(View!$C$5="All",View!$C$5="",$C390=View!$C$5),OR(View!$C$6="All",View!$C$6="",$F390=View!$C$6),OR(View!$C$7="All",View!$C$7="",$G390=View!$C$7),OR(View!$C$8="All",View!$C$8="",$H390=View!$C$8,AND(View!$C$8="Open (not Complete)",$H390&lt;&gt;"Complete")),OR(View!$C$9="",ISNUMBER(SEARCH(View!$C$9,$D390&amp;" "&amp;$E390)))),1,0))</f>
        <v>0</v>
      </c>
      <c r="R390" s="2" t="str">
        <f aca="false">IF($Q390=1,COUNTIF($Q$4:$Q390,1),"")</f>
        <v/>
      </c>
    </row>
    <row r="391" customFormat="false" ht="15" hidden="false" customHeight="false" outlineLevel="0" collapsed="false">
      <c r="A391" s="21"/>
      <c r="B391" s="21"/>
      <c r="C391" s="21"/>
      <c r="D391" s="4"/>
      <c r="E391" s="4"/>
      <c r="F391" s="21"/>
      <c r="G391" s="22" t="str">
        <f aca="false">IF($F391="","",IFERROR(INDEX(Lists!$B$4:$B$12,MATCH($F391,Lists!$A$4:$A$12,0)),""))</f>
        <v/>
      </c>
      <c r="H391" s="21"/>
      <c r="I391" s="23"/>
      <c r="J391" s="21"/>
      <c r="K391" s="24" t="str">
        <f aca="false">IF(OR($I391="",$J391=""),"",$I391+7*$J391-3)</f>
        <v/>
      </c>
      <c r="L391" s="21"/>
      <c r="M391" s="4"/>
      <c r="N391" s="21"/>
      <c r="O391" s="4"/>
      <c r="P391" s="21"/>
      <c r="Q391" s="2" t="n">
        <f aca="false">IF($A391="",0,IF(AND(OR(View!$C$4="All",View!$C$4="",$B391=View!$C$4),OR(View!$C$5="All",View!$C$5="",$C391=View!$C$5),OR(View!$C$6="All",View!$C$6="",$F391=View!$C$6),OR(View!$C$7="All",View!$C$7="",$G391=View!$C$7),OR(View!$C$8="All",View!$C$8="",$H391=View!$C$8,AND(View!$C$8="Open (not Complete)",$H391&lt;&gt;"Complete")),OR(View!$C$9="",ISNUMBER(SEARCH(View!$C$9,$D391&amp;" "&amp;$E391)))),1,0))</f>
        <v>0</v>
      </c>
      <c r="R391" s="2" t="str">
        <f aca="false">IF($Q391=1,COUNTIF($Q$4:$Q391,1),"")</f>
        <v/>
      </c>
    </row>
    <row r="392" customFormat="false" ht="15" hidden="false" customHeight="false" outlineLevel="0" collapsed="false">
      <c r="A392" s="21"/>
      <c r="B392" s="21"/>
      <c r="C392" s="21"/>
      <c r="D392" s="4"/>
      <c r="E392" s="4"/>
      <c r="F392" s="21"/>
      <c r="G392" s="22" t="str">
        <f aca="false">IF($F392="","",IFERROR(INDEX(Lists!$B$4:$B$12,MATCH($F392,Lists!$A$4:$A$12,0)),""))</f>
        <v/>
      </c>
      <c r="H392" s="21"/>
      <c r="I392" s="23"/>
      <c r="J392" s="21"/>
      <c r="K392" s="24" t="str">
        <f aca="false">IF(OR($I392="",$J392=""),"",$I392+7*$J392-3)</f>
        <v/>
      </c>
      <c r="L392" s="21"/>
      <c r="M392" s="4"/>
      <c r="N392" s="21"/>
      <c r="O392" s="4"/>
      <c r="P392" s="21"/>
      <c r="Q392" s="2" t="n">
        <f aca="false">IF($A392="",0,IF(AND(OR(View!$C$4="All",View!$C$4="",$B392=View!$C$4),OR(View!$C$5="All",View!$C$5="",$C392=View!$C$5),OR(View!$C$6="All",View!$C$6="",$F392=View!$C$6),OR(View!$C$7="All",View!$C$7="",$G392=View!$C$7),OR(View!$C$8="All",View!$C$8="",$H392=View!$C$8,AND(View!$C$8="Open (not Complete)",$H392&lt;&gt;"Complete")),OR(View!$C$9="",ISNUMBER(SEARCH(View!$C$9,$D392&amp;" "&amp;$E392)))),1,0))</f>
        <v>0</v>
      </c>
      <c r="R392" s="2" t="str">
        <f aca="false">IF($Q392=1,COUNTIF($Q$4:$Q392,1),"")</f>
        <v/>
      </c>
    </row>
    <row r="393" customFormat="false" ht="15" hidden="false" customHeight="false" outlineLevel="0" collapsed="false">
      <c r="A393" s="21"/>
      <c r="B393" s="21"/>
      <c r="C393" s="21"/>
      <c r="D393" s="4"/>
      <c r="E393" s="4"/>
      <c r="F393" s="21"/>
      <c r="G393" s="22" t="str">
        <f aca="false">IF($F393="","",IFERROR(INDEX(Lists!$B$4:$B$12,MATCH($F393,Lists!$A$4:$A$12,0)),""))</f>
        <v/>
      </c>
      <c r="H393" s="21"/>
      <c r="I393" s="23"/>
      <c r="J393" s="21"/>
      <c r="K393" s="24" t="str">
        <f aca="false">IF(OR($I393="",$J393=""),"",$I393+7*$J393-3)</f>
        <v/>
      </c>
      <c r="L393" s="21"/>
      <c r="M393" s="4"/>
      <c r="N393" s="21"/>
      <c r="O393" s="4"/>
      <c r="P393" s="21"/>
      <c r="Q393" s="2" t="n">
        <f aca="false">IF($A393="",0,IF(AND(OR(View!$C$4="All",View!$C$4="",$B393=View!$C$4),OR(View!$C$5="All",View!$C$5="",$C393=View!$C$5),OR(View!$C$6="All",View!$C$6="",$F393=View!$C$6),OR(View!$C$7="All",View!$C$7="",$G393=View!$C$7),OR(View!$C$8="All",View!$C$8="",$H393=View!$C$8,AND(View!$C$8="Open (not Complete)",$H393&lt;&gt;"Complete")),OR(View!$C$9="",ISNUMBER(SEARCH(View!$C$9,$D393&amp;" "&amp;$E393)))),1,0))</f>
        <v>0</v>
      </c>
      <c r="R393" s="2" t="str">
        <f aca="false">IF($Q393=1,COUNTIF($Q$4:$Q393,1),"")</f>
        <v/>
      </c>
    </row>
    <row r="394" customFormat="false" ht="15" hidden="false" customHeight="false" outlineLevel="0" collapsed="false">
      <c r="A394" s="21"/>
      <c r="B394" s="21"/>
      <c r="C394" s="21"/>
      <c r="D394" s="4"/>
      <c r="E394" s="4"/>
      <c r="F394" s="21"/>
      <c r="G394" s="22" t="str">
        <f aca="false">IF($F394="","",IFERROR(INDEX(Lists!$B$4:$B$12,MATCH($F394,Lists!$A$4:$A$12,0)),""))</f>
        <v/>
      </c>
      <c r="H394" s="21"/>
      <c r="I394" s="23"/>
      <c r="J394" s="21"/>
      <c r="K394" s="24" t="str">
        <f aca="false">IF(OR($I394="",$J394=""),"",$I394+7*$J394-3)</f>
        <v/>
      </c>
      <c r="L394" s="21"/>
      <c r="M394" s="4"/>
      <c r="N394" s="21"/>
      <c r="O394" s="4"/>
      <c r="P394" s="21"/>
      <c r="Q394" s="2" t="n">
        <f aca="false">IF($A394="",0,IF(AND(OR(View!$C$4="All",View!$C$4="",$B394=View!$C$4),OR(View!$C$5="All",View!$C$5="",$C394=View!$C$5),OR(View!$C$6="All",View!$C$6="",$F394=View!$C$6),OR(View!$C$7="All",View!$C$7="",$G394=View!$C$7),OR(View!$C$8="All",View!$C$8="",$H394=View!$C$8,AND(View!$C$8="Open (not Complete)",$H394&lt;&gt;"Complete")),OR(View!$C$9="",ISNUMBER(SEARCH(View!$C$9,$D394&amp;" "&amp;$E394)))),1,0))</f>
        <v>0</v>
      </c>
      <c r="R394" s="2" t="str">
        <f aca="false">IF($Q394=1,COUNTIF($Q$4:$Q394,1),"")</f>
        <v/>
      </c>
    </row>
    <row r="395" customFormat="false" ht="15" hidden="false" customHeight="false" outlineLevel="0" collapsed="false">
      <c r="A395" s="21"/>
      <c r="B395" s="21"/>
      <c r="C395" s="21"/>
      <c r="D395" s="4"/>
      <c r="E395" s="4"/>
      <c r="F395" s="21"/>
      <c r="G395" s="22" t="str">
        <f aca="false">IF($F395="","",IFERROR(INDEX(Lists!$B$4:$B$12,MATCH($F395,Lists!$A$4:$A$12,0)),""))</f>
        <v/>
      </c>
      <c r="H395" s="21"/>
      <c r="I395" s="23"/>
      <c r="J395" s="21"/>
      <c r="K395" s="24" t="str">
        <f aca="false">IF(OR($I395="",$J395=""),"",$I395+7*$J395-3)</f>
        <v/>
      </c>
      <c r="L395" s="21"/>
      <c r="M395" s="4"/>
      <c r="N395" s="21"/>
      <c r="O395" s="4"/>
      <c r="P395" s="21"/>
      <c r="Q395" s="2" t="n">
        <f aca="false">IF($A395="",0,IF(AND(OR(View!$C$4="All",View!$C$4="",$B395=View!$C$4),OR(View!$C$5="All",View!$C$5="",$C395=View!$C$5),OR(View!$C$6="All",View!$C$6="",$F395=View!$C$6),OR(View!$C$7="All",View!$C$7="",$G395=View!$C$7),OR(View!$C$8="All",View!$C$8="",$H395=View!$C$8,AND(View!$C$8="Open (not Complete)",$H395&lt;&gt;"Complete")),OR(View!$C$9="",ISNUMBER(SEARCH(View!$C$9,$D395&amp;" "&amp;$E395)))),1,0))</f>
        <v>0</v>
      </c>
      <c r="R395" s="2" t="str">
        <f aca="false">IF($Q395=1,COUNTIF($Q$4:$Q395,1),"")</f>
        <v/>
      </c>
    </row>
    <row r="396" customFormat="false" ht="15" hidden="false" customHeight="false" outlineLevel="0" collapsed="false">
      <c r="A396" s="21"/>
      <c r="B396" s="21"/>
      <c r="C396" s="21"/>
      <c r="D396" s="4"/>
      <c r="E396" s="4"/>
      <c r="F396" s="21"/>
      <c r="G396" s="22" t="str">
        <f aca="false">IF($F396="","",IFERROR(INDEX(Lists!$B$4:$B$12,MATCH($F396,Lists!$A$4:$A$12,0)),""))</f>
        <v/>
      </c>
      <c r="H396" s="21"/>
      <c r="I396" s="23"/>
      <c r="J396" s="21"/>
      <c r="K396" s="24" t="str">
        <f aca="false">IF(OR($I396="",$J396=""),"",$I396+7*$J396-3)</f>
        <v/>
      </c>
      <c r="L396" s="21"/>
      <c r="M396" s="4"/>
      <c r="N396" s="21"/>
      <c r="O396" s="4"/>
      <c r="P396" s="21"/>
      <c r="Q396" s="2" t="n">
        <f aca="false">IF($A396="",0,IF(AND(OR(View!$C$4="All",View!$C$4="",$B396=View!$C$4),OR(View!$C$5="All",View!$C$5="",$C396=View!$C$5),OR(View!$C$6="All",View!$C$6="",$F396=View!$C$6),OR(View!$C$7="All",View!$C$7="",$G396=View!$C$7),OR(View!$C$8="All",View!$C$8="",$H396=View!$C$8,AND(View!$C$8="Open (not Complete)",$H396&lt;&gt;"Complete")),OR(View!$C$9="",ISNUMBER(SEARCH(View!$C$9,$D396&amp;" "&amp;$E396)))),1,0))</f>
        <v>0</v>
      </c>
      <c r="R396" s="2" t="str">
        <f aca="false">IF($Q396=1,COUNTIF($Q$4:$Q396,1),"")</f>
        <v/>
      </c>
    </row>
    <row r="397" customFormat="false" ht="15" hidden="false" customHeight="false" outlineLevel="0" collapsed="false">
      <c r="A397" s="21"/>
      <c r="B397" s="21"/>
      <c r="C397" s="21"/>
      <c r="D397" s="4"/>
      <c r="E397" s="4"/>
      <c r="F397" s="21"/>
      <c r="G397" s="22" t="str">
        <f aca="false">IF($F397="","",IFERROR(INDEX(Lists!$B$4:$B$12,MATCH($F397,Lists!$A$4:$A$12,0)),""))</f>
        <v/>
      </c>
      <c r="H397" s="21"/>
      <c r="I397" s="23"/>
      <c r="J397" s="21"/>
      <c r="K397" s="24" t="str">
        <f aca="false">IF(OR($I397="",$J397=""),"",$I397+7*$J397-3)</f>
        <v/>
      </c>
      <c r="L397" s="21"/>
      <c r="M397" s="4"/>
      <c r="N397" s="21"/>
      <c r="O397" s="4"/>
      <c r="P397" s="21"/>
      <c r="Q397" s="2" t="n">
        <f aca="false">IF($A397="",0,IF(AND(OR(View!$C$4="All",View!$C$4="",$B397=View!$C$4),OR(View!$C$5="All",View!$C$5="",$C397=View!$C$5),OR(View!$C$6="All",View!$C$6="",$F397=View!$C$6),OR(View!$C$7="All",View!$C$7="",$G397=View!$C$7),OR(View!$C$8="All",View!$C$8="",$H397=View!$C$8,AND(View!$C$8="Open (not Complete)",$H397&lt;&gt;"Complete")),OR(View!$C$9="",ISNUMBER(SEARCH(View!$C$9,$D397&amp;" "&amp;$E397)))),1,0))</f>
        <v>0</v>
      </c>
      <c r="R397" s="2" t="str">
        <f aca="false">IF($Q397=1,COUNTIF($Q$4:$Q397,1),"")</f>
        <v/>
      </c>
    </row>
    <row r="398" customFormat="false" ht="15" hidden="false" customHeight="false" outlineLevel="0" collapsed="false">
      <c r="A398" s="21"/>
      <c r="B398" s="21"/>
      <c r="C398" s="21"/>
      <c r="D398" s="4"/>
      <c r="E398" s="4"/>
      <c r="F398" s="21"/>
      <c r="G398" s="22" t="str">
        <f aca="false">IF($F398="","",IFERROR(INDEX(Lists!$B$4:$B$12,MATCH($F398,Lists!$A$4:$A$12,0)),""))</f>
        <v/>
      </c>
      <c r="H398" s="21"/>
      <c r="I398" s="23"/>
      <c r="J398" s="21"/>
      <c r="K398" s="24" t="str">
        <f aca="false">IF(OR($I398="",$J398=""),"",$I398+7*$J398-3)</f>
        <v/>
      </c>
      <c r="L398" s="21"/>
      <c r="M398" s="4"/>
      <c r="N398" s="21"/>
      <c r="O398" s="4"/>
      <c r="P398" s="21"/>
      <c r="Q398" s="2" t="n">
        <f aca="false">IF($A398="",0,IF(AND(OR(View!$C$4="All",View!$C$4="",$B398=View!$C$4),OR(View!$C$5="All",View!$C$5="",$C398=View!$C$5),OR(View!$C$6="All",View!$C$6="",$F398=View!$C$6),OR(View!$C$7="All",View!$C$7="",$G398=View!$C$7),OR(View!$C$8="All",View!$C$8="",$H398=View!$C$8,AND(View!$C$8="Open (not Complete)",$H398&lt;&gt;"Complete")),OR(View!$C$9="",ISNUMBER(SEARCH(View!$C$9,$D398&amp;" "&amp;$E398)))),1,0))</f>
        <v>0</v>
      </c>
      <c r="R398" s="2" t="str">
        <f aca="false">IF($Q398=1,COUNTIF($Q$4:$Q398,1),"")</f>
        <v/>
      </c>
    </row>
    <row r="399" customFormat="false" ht="15" hidden="false" customHeight="false" outlineLevel="0" collapsed="false">
      <c r="A399" s="21"/>
      <c r="B399" s="21"/>
      <c r="C399" s="21"/>
      <c r="D399" s="4"/>
      <c r="E399" s="4"/>
      <c r="F399" s="21"/>
      <c r="G399" s="22" t="str">
        <f aca="false">IF($F399="","",IFERROR(INDEX(Lists!$B$4:$B$12,MATCH($F399,Lists!$A$4:$A$12,0)),""))</f>
        <v/>
      </c>
      <c r="H399" s="21"/>
      <c r="I399" s="23"/>
      <c r="J399" s="21"/>
      <c r="K399" s="24" t="str">
        <f aca="false">IF(OR($I399="",$J399=""),"",$I399+7*$J399-3)</f>
        <v/>
      </c>
      <c r="L399" s="21"/>
      <c r="M399" s="4"/>
      <c r="N399" s="21"/>
      <c r="O399" s="4"/>
      <c r="P399" s="21"/>
      <c r="Q399" s="2" t="n">
        <f aca="false">IF($A399="",0,IF(AND(OR(View!$C$4="All",View!$C$4="",$B399=View!$C$4),OR(View!$C$5="All",View!$C$5="",$C399=View!$C$5),OR(View!$C$6="All",View!$C$6="",$F399=View!$C$6),OR(View!$C$7="All",View!$C$7="",$G399=View!$C$7),OR(View!$C$8="All",View!$C$8="",$H399=View!$C$8,AND(View!$C$8="Open (not Complete)",$H399&lt;&gt;"Complete")),OR(View!$C$9="",ISNUMBER(SEARCH(View!$C$9,$D399&amp;" "&amp;$E399)))),1,0))</f>
        <v>0</v>
      </c>
      <c r="R399" s="2" t="str">
        <f aca="false">IF($Q399=1,COUNTIF($Q$4:$Q399,1),"")</f>
        <v/>
      </c>
    </row>
    <row r="400" customFormat="false" ht="15" hidden="false" customHeight="false" outlineLevel="0" collapsed="false">
      <c r="A400" s="21"/>
      <c r="B400" s="21"/>
      <c r="C400" s="21"/>
      <c r="D400" s="4"/>
      <c r="E400" s="4"/>
      <c r="F400" s="21"/>
      <c r="G400" s="22" t="str">
        <f aca="false">IF($F400="","",IFERROR(INDEX(Lists!$B$4:$B$12,MATCH($F400,Lists!$A$4:$A$12,0)),""))</f>
        <v/>
      </c>
      <c r="H400" s="21"/>
      <c r="I400" s="23"/>
      <c r="J400" s="21"/>
      <c r="K400" s="24" t="str">
        <f aca="false">IF(OR($I400="",$J400=""),"",$I400+7*$J400-3)</f>
        <v/>
      </c>
      <c r="L400" s="21"/>
      <c r="M400" s="4"/>
      <c r="N400" s="21"/>
      <c r="O400" s="4"/>
      <c r="P400" s="21"/>
      <c r="Q400" s="2" t="n">
        <f aca="false">IF($A400="",0,IF(AND(OR(View!$C$4="All",View!$C$4="",$B400=View!$C$4),OR(View!$C$5="All",View!$C$5="",$C400=View!$C$5),OR(View!$C$6="All",View!$C$6="",$F400=View!$C$6),OR(View!$C$7="All",View!$C$7="",$G400=View!$C$7),OR(View!$C$8="All",View!$C$8="",$H400=View!$C$8,AND(View!$C$8="Open (not Complete)",$H400&lt;&gt;"Complete")),OR(View!$C$9="",ISNUMBER(SEARCH(View!$C$9,$D400&amp;" "&amp;$E400)))),1,0))</f>
        <v>0</v>
      </c>
      <c r="R400" s="2" t="str">
        <f aca="false">IF($Q400=1,COUNTIF($Q$4:$Q400,1),"")</f>
        <v/>
      </c>
    </row>
    <row r="401" customFormat="false" ht="15" hidden="false" customHeight="false" outlineLevel="0" collapsed="false">
      <c r="A401" s="21"/>
      <c r="B401" s="21"/>
      <c r="C401" s="21"/>
      <c r="D401" s="4"/>
      <c r="E401" s="4"/>
      <c r="F401" s="21"/>
      <c r="G401" s="22" t="str">
        <f aca="false">IF($F401="","",IFERROR(INDEX(Lists!$B$4:$B$12,MATCH($F401,Lists!$A$4:$A$12,0)),""))</f>
        <v/>
      </c>
      <c r="H401" s="21"/>
      <c r="I401" s="23"/>
      <c r="J401" s="21"/>
      <c r="K401" s="24" t="str">
        <f aca="false">IF(OR($I401="",$J401=""),"",$I401+7*$J401-3)</f>
        <v/>
      </c>
      <c r="L401" s="21"/>
      <c r="M401" s="4"/>
      <c r="N401" s="21"/>
      <c r="O401" s="4"/>
      <c r="P401" s="21"/>
      <c r="Q401" s="2" t="n">
        <f aca="false">IF($A401="",0,IF(AND(OR(View!$C$4="All",View!$C$4="",$B401=View!$C$4),OR(View!$C$5="All",View!$C$5="",$C401=View!$C$5),OR(View!$C$6="All",View!$C$6="",$F401=View!$C$6),OR(View!$C$7="All",View!$C$7="",$G401=View!$C$7),OR(View!$C$8="All",View!$C$8="",$H401=View!$C$8,AND(View!$C$8="Open (not Complete)",$H401&lt;&gt;"Complete")),OR(View!$C$9="",ISNUMBER(SEARCH(View!$C$9,$D401&amp;" "&amp;$E401)))),1,0))</f>
        <v>0</v>
      </c>
      <c r="R401" s="2" t="str">
        <f aca="false">IF($Q401=1,COUNTIF($Q$4:$Q401,1),"")</f>
        <v/>
      </c>
    </row>
    <row r="402" customFormat="false" ht="15" hidden="false" customHeight="false" outlineLevel="0" collapsed="false">
      <c r="A402" s="21"/>
      <c r="B402" s="21"/>
      <c r="C402" s="21"/>
      <c r="D402" s="4"/>
      <c r="E402" s="4"/>
      <c r="F402" s="21"/>
      <c r="G402" s="22" t="str">
        <f aca="false">IF($F402="","",IFERROR(INDEX(Lists!$B$4:$B$12,MATCH($F402,Lists!$A$4:$A$12,0)),""))</f>
        <v/>
      </c>
      <c r="H402" s="21"/>
      <c r="I402" s="23"/>
      <c r="J402" s="21"/>
      <c r="K402" s="24" t="str">
        <f aca="false">IF(OR($I402="",$J402=""),"",$I402+7*$J402-3)</f>
        <v/>
      </c>
      <c r="L402" s="21"/>
      <c r="M402" s="4"/>
      <c r="N402" s="21"/>
      <c r="O402" s="4"/>
      <c r="P402" s="21"/>
      <c r="Q402" s="2" t="n">
        <f aca="false">IF($A402="",0,IF(AND(OR(View!$C$4="All",View!$C$4="",$B402=View!$C$4),OR(View!$C$5="All",View!$C$5="",$C402=View!$C$5),OR(View!$C$6="All",View!$C$6="",$F402=View!$C$6),OR(View!$C$7="All",View!$C$7="",$G402=View!$C$7),OR(View!$C$8="All",View!$C$8="",$H402=View!$C$8,AND(View!$C$8="Open (not Complete)",$H402&lt;&gt;"Complete")),OR(View!$C$9="",ISNUMBER(SEARCH(View!$C$9,$D402&amp;" "&amp;$E402)))),1,0))</f>
        <v>0</v>
      </c>
      <c r="R402" s="2" t="str">
        <f aca="false">IF($Q402=1,COUNTIF($Q$4:$Q402,1),"")</f>
        <v/>
      </c>
    </row>
    <row r="403" customFormat="false" ht="15" hidden="false" customHeight="false" outlineLevel="0" collapsed="false">
      <c r="A403" s="21"/>
      <c r="B403" s="21"/>
      <c r="C403" s="21"/>
      <c r="D403" s="4"/>
      <c r="E403" s="4"/>
      <c r="F403" s="21"/>
      <c r="G403" s="22" t="str">
        <f aca="false">IF($F403="","",IFERROR(INDEX(Lists!$B$4:$B$12,MATCH($F403,Lists!$A$4:$A$12,0)),""))</f>
        <v/>
      </c>
      <c r="H403" s="21"/>
      <c r="I403" s="23"/>
      <c r="J403" s="21"/>
      <c r="K403" s="24" t="str">
        <f aca="false">IF(OR($I403="",$J403=""),"",$I403+7*$J403-3)</f>
        <v/>
      </c>
      <c r="L403" s="21"/>
      <c r="M403" s="4"/>
      <c r="N403" s="21"/>
      <c r="O403" s="4"/>
      <c r="P403" s="21"/>
      <c r="Q403" s="2" t="n">
        <f aca="false">IF($A403="",0,IF(AND(OR(View!$C$4="All",View!$C$4="",$B403=View!$C$4),OR(View!$C$5="All",View!$C$5="",$C403=View!$C$5),OR(View!$C$6="All",View!$C$6="",$F403=View!$C$6),OR(View!$C$7="All",View!$C$7="",$G403=View!$C$7),OR(View!$C$8="All",View!$C$8="",$H403=View!$C$8,AND(View!$C$8="Open (not Complete)",$H403&lt;&gt;"Complete")),OR(View!$C$9="",ISNUMBER(SEARCH(View!$C$9,$D403&amp;" "&amp;$E403)))),1,0))</f>
        <v>0</v>
      </c>
      <c r="R403" s="2" t="str">
        <f aca="false">IF($Q403=1,COUNTIF($Q$4:$Q403,1),"")</f>
        <v/>
      </c>
    </row>
  </sheetData>
  <autoFilter ref="A3:P403"/>
  <conditionalFormatting sqref="H4:H403">
    <cfRule type="expression" priority="2" aboveAverage="0" equalAverage="0" bottom="0" percent="0" rank="0" text="" dxfId="7">
      <formula>H4="Not Started"</formula>
    </cfRule>
    <cfRule type="expression" priority="3" aboveAverage="0" equalAverage="0" bottom="0" percent="0" rank="0" text="" dxfId="8">
      <formula>H4="In Progress"</formula>
    </cfRule>
    <cfRule type="expression" priority="4" aboveAverage="0" equalAverage="0" bottom="0" percent="0" rank="0" text="" dxfId="9">
      <formula>H4="Blocked"</formula>
    </cfRule>
    <cfRule type="expression" priority="5" aboveAverage="0" equalAverage="0" bottom="0" percent="0" rank="0" text="" dxfId="10">
      <formula>H4="Complete"</formula>
    </cfRule>
    <cfRule type="expression" priority="6" aboveAverage="0" equalAverage="0" bottom="0" percent="0" rank="0" text="" dxfId="6">
      <formula>H4="Partially Completed"</formula>
    </cfRule>
  </conditionalFormatting>
  <conditionalFormatting sqref="K4:K403">
    <cfRule type="expression" priority="7" aboveAverage="0" equalAverage="0" bottom="0" percent="0" rank="0" text="" dxfId="11">
      <formula>AND(ISNUMBER($K4),$K4&lt;TODAY(),$H4&lt;&gt;"Complete")</formula>
    </cfRule>
  </conditionalFormatting>
  <conditionalFormatting sqref="A4:G403 I4:P403">
    <cfRule type="expression" priority="8" aboveAverage="0" equalAverage="0" bottom="0" percent="0" rank="0" text="" dxfId="12">
      <formula>AND($A4&lt;&gt;"",ISERROR(FIND(".",$A4)))</formula>
    </cfRule>
  </conditionalFormatting>
  <dataValidations count="4">
    <dataValidation allowBlank="true" errorStyle="stop" operator="between" showDropDown="false" showErrorMessage="false" showInputMessage="false" sqref="H4:H403" type="list">
      <formula1>"Not Started,In Progress,Blocked,Complete,Partially Completed"</formula1>
      <formula2>0</formula2>
    </dataValidation>
    <dataValidation allowBlank="true" errorStyle="stop" operator="between" showDropDown="false" showErrorMessage="false" showInputMessage="false" sqref="B4:B403" type="list">
      <formula1>"G1 ED305 live digital twin,G2 SCooP dataset &amp; paper,Shared SCooP testbed,Dual-Link Communication,Semantic Communication"</formula1>
      <formula2>0</formula2>
    </dataValidation>
    <dataValidation allowBlank="true" errorStyle="stop" operator="between" showDropDown="false" showErrorMessage="false" showInputMessage="false" sqref="F4:F403" type="list">
      <formula1>"Sensors &amp; platform,GS-SLAM,Scene detection,Isaac Sim,Sionna RT,SCooP dataset,Dual-link comms,Semantic comms,All (integration)"</formula1>
      <formula2>0</formula2>
    </dataValidation>
    <dataValidation allowBlank="true" errorStyle="stop" operator="between" showDropDown="false" showErrorMessage="false" showInputMessage="false" sqref="J4:J403" type="whole">
      <formula1>1</formula1>
      <formula2>104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A4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0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6" min="5" style="0" width="9"/>
    <col collapsed="false" customWidth="true" hidden="false" outlineLevel="0" max="50" min="7" style="0" width="3.61"/>
    <col collapsed="false" customWidth="true" hidden="false" outlineLevel="0" max="52" min="52" style="0" width="3"/>
    <col collapsed="false" customWidth="true" hidden="false" outlineLevel="0" max="53" min="53" style="0" width="22"/>
  </cols>
  <sheetData>
    <row r="1" customFormat="false" ht="17.35" hidden="false" customHeight="false" outlineLevel="0" collapsed="false">
      <c r="A1" s="1" t="s">
        <v>7</v>
      </c>
    </row>
    <row r="2" customFormat="false" ht="15" hidden="false" customHeight="false" outlineLevel="0" collapsed="false">
      <c r="A2" s="25" t="s">
        <v>573</v>
      </c>
      <c r="B2" s="25"/>
      <c r="C2" s="26" t="n">
        <v>46195</v>
      </c>
      <c r="E2" s="5" t="s">
        <v>574</v>
      </c>
      <c r="F2" s="27" t="n">
        <f aca="true">TODAY()</f>
        <v>46302</v>
      </c>
    </row>
    <row r="4" customFormat="false" ht="42" hidden="false" customHeight="true" outlineLevel="0" collapsed="false">
      <c r="A4" s="13" t="s">
        <v>93</v>
      </c>
      <c r="B4" s="13" t="s">
        <v>94</v>
      </c>
      <c r="C4" s="13" t="s">
        <v>95</v>
      </c>
      <c r="D4" s="13" t="s">
        <v>89</v>
      </c>
      <c r="E4" s="13" t="s">
        <v>96</v>
      </c>
      <c r="F4" s="13" t="s">
        <v>97</v>
      </c>
      <c r="G4" s="14" t="n">
        <f aca="false">$C$2+7*0</f>
        <v>46195</v>
      </c>
      <c r="H4" s="14" t="n">
        <f aca="false">$C$2+7*1</f>
        <v>46202</v>
      </c>
      <c r="I4" s="14" t="n">
        <f aca="false">$C$2+7*2</f>
        <v>46209</v>
      </c>
      <c r="J4" s="14" t="n">
        <f aca="false">$C$2+7*3</f>
        <v>46216</v>
      </c>
      <c r="K4" s="14" t="n">
        <f aca="false">$C$2+7*4</f>
        <v>46223</v>
      </c>
      <c r="L4" s="14" t="n">
        <f aca="false">$C$2+7*5</f>
        <v>46230</v>
      </c>
      <c r="M4" s="14" t="n">
        <f aca="false">$C$2+7*6</f>
        <v>46237</v>
      </c>
      <c r="N4" s="14" t="n">
        <f aca="false">$C$2+7*7</f>
        <v>46244</v>
      </c>
      <c r="O4" s="14" t="n">
        <f aca="false">$C$2+7*8</f>
        <v>46251</v>
      </c>
      <c r="P4" s="14" t="n">
        <f aca="false">$C$2+7*9</f>
        <v>46258</v>
      </c>
      <c r="Q4" s="14" t="n">
        <f aca="false">$C$2+7*10</f>
        <v>46265</v>
      </c>
      <c r="R4" s="14" t="n">
        <f aca="false">$C$2+7*11</f>
        <v>46272</v>
      </c>
      <c r="S4" s="14" t="n">
        <f aca="false">$C$2+7*12</f>
        <v>46279</v>
      </c>
      <c r="T4" s="14" t="n">
        <f aca="false">$C$2+7*13</f>
        <v>46286</v>
      </c>
      <c r="U4" s="14" t="n">
        <f aca="false">$C$2+7*14</f>
        <v>46293</v>
      </c>
      <c r="V4" s="14" t="n">
        <f aca="false">$C$2+7*15</f>
        <v>46300</v>
      </c>
      <c r="W4" s="14" t="n">
        <f aca="false">$C$2+7*16</f>
        <v>46307</v>
      </c>
      <c r="X4" s="14" t="n">
        <f aca="false">$C$2+7*17</f>
        <v>46314</v>
      </c>
      <c r="Y4" s="14" t="n">
        <f aca="false">$C$2+7*18</f>
        <v>46321</v>
      </c>
      <c r="Z4" s="14" t="n">
        <f aca="false">$C$2+7*19</f>
        <v>46328</v>
      </c>
      <c r="AA4" s="14" t="n">
        <f aca="false">$C$2+7*20</f>
        <v>46335</v>
      </c>
      <c r="AB4" s="14" t="n">
        <f aca="false">$C$2+7*21</f>
        <v>46342</v>
      </c>
      <c r="AC4" s="14" t="n">
        <f aca="false">$C$2+7*22</f>
        <v>46349</v>
      </c>
      <c r="AD4" s="14" t="n">
        <f aca="false">$C$2+7*23</f>
        <v>46356</v>
      </c>
      <c r="AE4" s="14" t="n">
        <f aca="false">$C$2+7*24</f>
        <v>46363</v>
      </c>
      <c r="AF4" s="14" t="n">
        <f aca="false">$C$2+7*25</f>
        <v>46370</v>
      </c>
      <c r="AG4" s="14" t="n">
        <f aca="false">$C$2+7*26</f>
        <v>46377</v>
      </c>
      <c r="AH4" s="14" t="n">
        <f aca="false">$C$2+7*27</f>
        <v>46384</v>
      </c>
      <c r="AI4" s="14" t="n">
        <f aca="false">$C$2+7*28</f>
        <v>46391</v>
      </c>
      <c r="AJ4" s="14" t="n">
        <f aca="false">$C$2+7*29</f>
        <v>46398</v>
      </c>
      <c r="AK4" s="14" t="n">
        <f aca="false">$C$2+7*30</f>
        <v>46405</v>
      </c>
      <c r="AL4" s="14" t="n">
        <f aca="false">$C$2+7*31</f>
        <v>46412</v>
      </c>
      <c r="AM4" s="14" t="n">
        <f aca="false">$C$2+7*32</f>
        <v>46419</v>
      </c>
      <c r="AN4" s="14" t="n">
        <f aca="false">$C$2+7*33</f>
        <v>46426</v>
      </c>
      <c r="AO4" s="14" t="n">
        <f aca="false">$C$2+7*34</f>
        <v>46433</v>
      </c>
      <c r="AP4" s="14" t="n">
        <f aca="false">$C$2+7*35</f>
        <v>46440</v>
      </c>
      <c r="AQ4" s="14" t="n">
        <f aca="false">$C$2+7*36</f>
        <v>46447</v>
      </c>
      <c r="AR4" s="14" t="n">
        <f aca="false">$C$2+7*37</f>
        <v>46454</v>
      </c>
      <c r="AS4" s="14" t="n">
        <f aca="false">$C$2+7*38</f>
        <v>46461</v>
      </c>
      <c r="AT4" s="14" t="n">
        <f aca="false">$C$2+7*39</f>
        <v>46468</v>
      </c>
      <c r="AU4" s="14" t="n">
        <f aca="false">$C$2+7*40</f>
        <v>46475</v>
      </c>
      <c r="AV4" s="14" t="n">
        <f aca="false">$C$2+7*41</f>
        <v>46482</v>
      </c>
      <c r="AW4" s="14" t="n">
        <f aca="false">$C$2+7*42</f>
        <v>46489</v>
      </c>
      <c r="AX4" s="14" t="n">
        <f aca="false">$C$2+7*43</f>
        <v>46496</v>
      </c>
      <c r="BA4" s="5" t="s">
        <v>575</v>
      </c>
    </row>
    <row r="5" customFormat="false" ht="15" hidden="false" customHeight="false" outlineLevel="0" collapsed="false">
      <c r="A5" s="16" t="str">
        <f aca="false">IF(INDEX(Tasks!$A:$A,ROW()-1)="","",INDEX(Tasks!$A:$A,ROW()-1))</f>
        <v>TB-1</v>
      </c>
      <c r="B5" s="16" t="str">
        <f aca="false">IF(INDEX(Tasks!$A:$A,ROW()-1)="","",IF(ISERROR(FIND(".",INDEX(Tasks!$A:$A,ROW()-1))),"","   ")&amp;INDEX(Tasks!$D:$D,ROW()-1))</f>
        <v>Hardware inventory &amp; specs</v>
      </c>
      <c r="C5" s="16" t="str">
        <f aca="false">IF(INDEX(Tasks!$G:$G,ROW()-1)="","",INDEX(Tasks!$G:$G,ROW()-1))</f>
        <v>TBD</v>
      </c>
      <c r="D5" s="16" t="str">
        <f aca="false">IF(INDEX(Tasks!$H:$H,ROW()-1)="","",INDEX(Tasks!$H:$H,ROW()-1))</f>
        <v>Not Started</v>
      </c>
      <c r="E5" s="17" t="n">
        <f aca="false">IF(INDEX(Tasks!$I:$I,ROW()-1)="","",INDEX(Tasks!$I:$I,ROW()-1))</f>
        <v>46307</v>
      </c>
      <c r="F5" s="17" t="n">
        <f aca="false">IF(INDEX(Tasks!$K:$K,ROW()-1)="","",INDEX(Tasks!$K:$K,ROW()-1))</f>
        <v>46318</v>
      </c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  <c r="AU5" s="18"/>
      <c r="AV5" s="18"/>
      <c r="AW5" s="18"/>
      <c r="AX5" s="18"/>
      <c r="AZ5" s="28"/>
      <c r="BA5" s="16" t="s">
        <v>49</v>
      </c>
    </row>
    <row r="6" customFormat="false" ht="15" hidden="false" customHeight="false" outlineLevel="0" collapsed="false">
      <c r="A6" s="16" t="str">
        <f aca="false">IF(INDEX(Tasks!$A:$A,ROW()-1)="","",INDEX(Tasks!$A:$A,ROW()-1))</f>
        <v>TB-2</v>
      </c>
      <c r="B6" s="16" t="str">
        <f aca="false">IF(INDEX(Tasks!$A:$A,ROW()-1)="","",IF(ISERROR(FIND(".",INDEX(Tasks!$A:$A,ROW()-1))),"","   ")&amp;INDEX(Tasks!$D:$D,ROW()-1))</f>
        <v>Sensor calibration (all units)</v>
      </c>
      <c r="C6" s="16" t="str">
        <f aca="false">IF(INDEX(Tasks!$G:$G,ROW()-1)="","",INDEX(Tasks!$G:$G,ROW()-1))</f>
        <v>TBD</v>
      </c>
      <c r="D6" s="16" t="str">
        <f aca="false">IF(INDEX(Tasks!$H:$H,ROW()-1)="","",INDEX(Tasks!$H:$H,ROW()-1))</f>
        <v>In Progress</v>
      </c>
      <c r="E6" s="17" t="n">
        <f aca="false">IF(INDEX(Tasks!$I:$I,ROW()-1)="","",INDEX(Tasks!$I:$I,ROW()-1))</f>
        <v>46195</v>
      </c>
      <c r="F6" s="17" t="n">
        <f aca="false">IF(INDEX(Tasks!$K:$K,ROW()-1)="","",INDEX(Tasks!$K:$K,ROW()-1))</f>
        <v>46206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Z6" s="29"/>
      <c r="BA6" s="16" t="s">
        <v>47</v>
      </c>
    </row>
    <row r="7" customFormat="false" ht="15" hidden="false" customHeight="false" outlineLevel="0" collapsed="false">
      <c r="A7" s="16" t="str">
        <f aca="false">IF(INDEX(Tasks!$A:$A,ROW()-1)="","",INDEX(Tasks!$A:$A,ROW()-1))</f>
        <v>TB-2.1</v>
      </c>
      <c r="B7" s="16" t="str">
        <f aca="false">IF(INDEX(Tasks!$A:$A,ROW()-1)="","",IF(ISERROR(FIND(".",INDEX(Tasks!$A:$A,ROW()-1))),"","   ")&amp;INDEX(Tasks!$D:$D,ROW()-1))</f>
        <v>   Sensor Calibration (LiDAR-Camera, LiDAR-IMU, Camera-Radar, Intrinsics, Realsense-Zed, Mobile-Infra Extrinsics)</v>
      </c>
      <c r="C7" s="16" t="str">
        <f aca="false">IF(INDEX(Tasks!$G:$G,ROW()-1)="","",INDEX(Tasks!$G:$G,ROW()-1))</f>
        <v>TBD</v>
      </c>
      <c r="D7" s="16" t="str">
        <f aca="false">IF(INDEX(Tasks!$H:$H,ROW()-1)="","",INDEX(Tasks!$H:$H,ROW()-1))</f>
        <v>In Progress</v>
      </c>
      <c r="E7" s="17" t="n">
        <f aca="false">IF(INDEX(Tasks!$I:$I,ROW()-1)="","",INDEX(Tasks!$I:$I,ROW()-1))</f>
        <v>46195</v>
      </c>
      <c r="F7" s="17" t="n">
        <f aca="false">IF(INDEX(Tasks!$K:$K,ROW()-1)="","",INDEX(Tasks!$K:$K,ROW()-1))</f>
        <v>46206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  <c r="AU7" s="18"/>
      <c r="AV7" s="18"/>
      <c r="AW7" s="18"/>
      <c r="AX7" s="18"/>
      <c r="AZ7" s="30"/>
      <c r="BA7" s="16" t="s">
        <v>50</v>
      </c>
    </row>
    <row r="8" customFormat="false" ht="15" hidden="false" customHeight="false" outlineLevel="0" collapsed="false">
      <c r="A8" s="16" t="str">
        <f aca="false">IF(INDEX(Tasks!$A:$A,ROW()-1)="","",INDEX(Tasks!$A:$A,ROW()-1))</f>
        <v>TB-2.2</v>
      </c>
      <c r="B8" s="16" t="str">
        <f aca="false">IF(INDEX(Tasks!$A:$A,ROW()-1)="","",IF(ISERROR(FIND(".",INDEX(Tasks!$A:$A,ROW()-1))),"","   ")&amp;INDEX(Tasks!$D:$D,ROW()-1))</f>
        <v>   Calibration: LiDAR - Camera</v>
      </c>
      <c r="C8" s="16" t="str">
        <f aca="false">IF(INDEX(Tasks!$G:$G,ROW()-1)="","",INDEX(Tasks!$G:$G,ROW()-1))</f>
        <v>TBD</v>
      </c>
      <c r="D8" s="16" t="str">
        <f aca="false">IF(INDEX(Tasks!$H:$H,ROW()-1)="","",INDEX(Tasks!$H:$H,ROW()-1))</f>
        <v/>
      </c>
      <c r="E8" s="17" t="str">
        <f aca="false">IF(INDEX(Tasks!$I:$I,ROW()-1)="","",INDEX(Tasks!$I:$I,ROW()-1))</f>
        <v/>
      </c>
      <c r="F8" s="17" t="str">
        <f aca="false">IF(INDEX(Tasks!$K:$K,ROW()-1)="","",INDEX(Tasks!$K:$K,ROW()-1))</f>
        <v/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18"/>
      <c r="AW8" s="18"/>
      <c r="AX8" s="18"/>
      <c r="AZ8" s="31"/>
      <c r="BA8" s="16" t="s">
        <v>48</v>
      </c>
    </row>
    <row r="9" customFormat="false" ht="15" hidden="false" customHeight="false" outlineLevel="0" collapsed="false">
      <c r="A9" s="16" t="str">
        <f aca="false">IF(INDEX(Tasks!$A:$A,ROW()-1)="","",INDEX(Tasks!$A:$A,ROW()-1))</f>
        <v>TB-2.3</v>
      </c>
      <c r="B9" s="16" t="str">
        <f aca="false">IF(INDEX(Tasks!$A:$A,ROW()-1)="","",IF(ISERROR(FIND(".",INDEX(Tasks!$A:$A,ROW()-1))),"","   ")&amp;INDEX(Tasks!$D:$D,ROW()-1))</f>
        <v>   Calibration: LiDAR - IMU</v>
      </c>
      <c r="C9" s="16" t="str">
        <f aca="false">IF(INDEX(Tasks!$G:$G,ROW()-1)="","",INDEX(Tasks!$G:$G,ROW()-1))</f>
        <v>TBD</v>
      </c>
      <c r="D9" s="16" t="str">
        <f aca="false">IF(INDEX(Tasks!$H:$H,ROW()-1)="","",INDEX(Tasks!$H:$H,ROW()-1))</f>
        <v/>
      </c>
      <c r="E9" s="17" t="str">
        <f aca="false">IF(INDEX(Tasks!$I:$I,ROW()-1)="","",INDEX(Tasks!$I:$I,ROW()-1))</f>
        <v/>
      </c>
      <c r="F9" s="17" t="str">
        <f aca="false">IF(INDEX(Tasks!$K:$K,ROW()-1)="","",INDEX(Tasks!$K:$K,ROW()-1))</f>
        <v/>
      </c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  <c r="AU9" s="18"/>
      <c r="AV9" s="18"/>
      <c r="AW9" s="18"/>
      <c r="AX9" s="18"/>
      <c r="AZ9" s="32"/>
      <c r="BA9" s="16" t="s">
        <v>46</v>
      </c>
    </row>
    <row r="10" customFormat="false" ht="15" hidden="false" customHeight="false" outlineLevel="0" collapsed="false">
      <c r="A10" s="16" t="str">
        <f aca="false">IF(INDEX(Tasks!$A:$A,ROW()-1)="","",INDEX(Tasks!$A:$A,ROW()-1))</f>
        <v>TB-2.4</v>
      </c>
      <c r="B10" s="16" t="str">
        <f aca="false">IF(INDEX(Tasks!$A:$A,ROW()-1)="","",IF(ISERROR(FIND(".",INDEX(Tasks!$A:$A,ROW()-1))),"","   ")&amp;INDEX(Tasks!$D:$D,ROW()-1))</f>
        <v>   Calibration: RealSense - ZED</v>
      </c>
      <c r="C10" s="16" t="str">
        <f aca="false">IF(INDEX(Tasks!$G:$G,ROW()-1)="","",INDEX(Tasks!$G:$G,ROW()-1))</f>
        <v>TBD</v>
      </c>
      <c r="D10" s="16" t="str">
        <f aca="false">IF(INDEX(Tasks!$H:$H,ROW()-1)="","",INDEX(Tasks!$H:$H,ROW()-1))</f>
        <v/>
      </c>
      <c r="E10" s="17" t="str">
        <f aca="false">IF(INDEX(Tasks!$I:$I,ROW()-1)="","",INDEX(Tasks!$I:$I,ROW()-1))</f>
        <v/>
      </c>
      <c r="F10" s="17" t="str">
        <f aca="false">IF(INDEX(Tasks!$K:$K,ROW()-1)="","",INDEX(Tasks!$K:$K,ROW()-1))</f>
        <v/>
      </c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  <c r="AX10" s="18"/>
      <c r="AZ10" s="33"/>
      <c r="BA10" s="16" t="s">
        <v>266</v>
      </c>
    </row>
    <row r="11" customFormat="false" ht="15" hidden="false" customHeight="false" outlineLevel="0" collapsed="false">
      <c r="A11" s="16" t="str">
        <f aca="false">IF(INDEX(Tasks!$A:$A,ROW()-1)="","",INDEX(Tasks!$A:$A,ROW()-1))</f>
        <v>TB-2.5</v>
      </c>
      <c r="B11" s="16" t="str">
        <f aca="false">IF(INDEX(Tasks!$A:$A,ROW()-1)="","",IF(ISERROR(FIND(".",INDEX(Tasks!$A:$A,ROW()-1))),"","   ")&amp;INDEX(Tasks!$D:$D,ROW()-1))</f>
        <v>   Calibration: ZED - Arducam</v>
      </c>
      <c r="C11" s="16" t="str">
        <f aca="false">IF(INDEX(Tasks!$G:$G,ROW()-1)="","",INDEX(Tasks!$G:$G,ROW()-1))</f>
        <v>TBD</v>
      </c>
      <c r="D11" s="16" t="str">
        <f aca="false">IF(INDEX(Tasks!$H:$H,ROW()-1)="","",INDEX(Tasks!$H:$H,ROW()-1))</f>
        <v/>
      </c>
      <c r="E11" s="17" t="str">
        <f aca="false">IF(INDEX(Tasks!$I:$I,ROW()-1)="","",INDEX(Tasks!$I:$I,ROW()-1))</f>
        <v/>
      </c>
      <c r="F11" s="17" t="str">
        <f aca="false">IF(INDEX(Tasks!$K:$K,ROW()-1)="","",INDEX(Tasks!$K:$K,ROW()-1))</f>
        <v/>
      </c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  <c r="AN11" s="18"/>
      <c r="AO11" s="18"/>
      <c r="AP11" s="18"/>
      <c r="AQ11" s="18"/>
      <c r="AR11" s="18"/>
      <c r="AS11" s="18"/>
      <c r="AT11" s="18"/>
      <c r="AU11" s="18"/>
      <c r="AV11" s="18"/>
      <c r="AW11" s="18"/>
      <c r="AX11" s="18"/>
      <c r="AZ11" s="34"/>
      <c r="BA11" s="16" t="s">
        <v>576</v>
      </c>
    </row>
    <row r="12" customFormat="false" ht="15" hidden="false" customHeight="false" outlineLevel="0" collapsed="false">
      <c r="A12" s="16" t="str">
        <f aca="false">IF(INDEX(Tasks!$A:$A,ROW()-1)="","",INDEX(Tasks!$A:$A,ROW()-1))</f>
        <v>TB-2.6</v>
      </c>
      <c r="B12" s="16" t="str">
        <f aca="false">IF(INDEX(Tasks!$A:$A,ROW()-1)="","",IF(ISERROR(FIND(".",INDEX(Tasks!$A:$A,ROW()-1))),"","   ")&amp;INDEX(Tasks!$D:$D,ROW()-1))</f>
        <v>   Calibration: Radars - ZED</v>
      </c>
      <c r="C12" s="16" t="str">
        <f aca="false">IF(INDEX(Tasks!$G:$G,ROW()-1)="","",INDEX(Tasks!$G:$G,ROW()-1))</f>
        <v>TBD</v>
      </c>
      <c r="D12" s="16" t="str">
        <f aca="false">IF(INDEX(Tasks!$H:$H,ROW()-1)="","",INDEX(Tasks!$H:$H,ROW()-1))</f>
        <v/>
      </c>
      <c r="E12" s="17" t="str">
        <f aca="false">IF(INDEX(Tasks!$I:$I,ROW()-1)="","",INDEX(Tasks!$I:$I,ROW()-1))</f>
        <v/>
      </c>
      <c r="F12" s="17" t="str">
        <f aca="false">IF(INDEX(Tasks!$K:$K,ROW()-1)="","",INDEX(Tasks!$K:$K,ROW()-1))</f>
        <v/>
      </c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</row>
    <row r="13" customFormat="false" ht="15" hidden="false" customHeight="false" outlineLevel="0" collapsed="false">
      <c r="A13" s="16" t="str">
        <f aca="false">IF(INDEX(Tasks!$A:$A,ROW()-1)="","",INDEX(Tasks!$A:$A,ROW()-1))</f>
        <v>TB-3</v>
      </c>
      <c r="B13" s="16" t="str">
        <f aca="false">IF(INDEX(Tasks!$A:$A,ROW()-1)="","",IF(ISERROR(FIND(".",INDEX(Tasks!$A:$A,ROW()-1))),"","   ")&amp;INDEX(Tasks!$D:$D,ROW()-1))</f>
        <v>Time sync &amp; TF chain</v>
      </c>
      <c r="C13" s="16" t="str">
        <f aca="false">IF(INDEX(Tasks!$G:$G,ROW()-1)="","",INDEX(Tasks!$G:$G,ROW()-1))</f>
        <v>TBD</v>
      </c>
      <c r="D13" s="16" t="str">
        <f aca="false">IF(INDEX(Tasks!$H:$H,ROW()-1)="","",INDEX(Tasks!$H:$H,ROW()-1))</f>
        <v>In Progress</v>
      </c>
      <c r="E13" s="17" t="n">
        <f aca="false">IF(INDEX(Tasks!$I:$I,ROW()-1)="","",INDEX(Tasks!$I:$I,ROW()-1))</f>
        <v>46202</v>
      </c>
      <c r="F13" s="17" t="n">
        <f aca="false">IF(INDEX(Tasks!$K:$K,ROW()-1)="","",INDEX(Tasks!$K:$K,ROW()-1))</f>
        <v>46206</v>
      </c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/>
      <c r="AO13" s="18"/>
      <c r="AP13" s="18"/>
      <c r="AQ13" s="18"/>
      <c r="AR13" s="18"/>
      <c r="AS13" s="18"/>
      <c r="AT13" s="18"/>
      <c r="AU13" s="18"/>
      <c r="AV13" s="18"/>
      <c r="AW13" s="18"/>
      <c r="AX13" s="18"/>
      <c r="BA13" s="35" t="s">
        <v>577</v>
      </c>
    </row>
    <row r="14" customFormat="false" ht="15" hidden="false" customHeight="false" outlineLevel="0" collapsed="false">
      <c r="A14" s="16" t="str">
        <f aca="false">IF(INDEX(Tasks!$A:$A,ROW()-1)="","",INDEX(Tasks!$A:$A,ROW()-1))</f>
        <v>TB-4</v>
      </c>
      <c r="B14" s="16" t="str">
        <f aca="false">IF(INDEX(Tasks!$A:$A,ROW()-1)="","",IF(ISERROR(FIND(".",INDEX(Tasks!$A:$A,ROW()-1))),"","   ")&amp;INDEX(Tasks!$D:$D,ROW()-1))</f>
        <v>Wi-Fi &amp; comms logging</v>
      </c>
      <c r="C14" s="16" t="str">
        <f aca="false">IF(INDEX(Tasks!$G:$G,ROW()-1)="","",INDEX(Tasks!$G:$G,ROW()-1))</f>
        <v>TBD</v>
      </c>
      <c r="D14" s="16" t="str">
        <f aca="false">IF(INDEX(Tasks!$H:$H,ROW()-1)="","",INDEX(Tasks!$H:$H,ROW()-1))</f>
        <v>In Progress</v>
      </c>
      <c r="E14" s="17" t="n">
        <f aca="false">IF(INDEX(Tasks!$I:$I,ROW()-1)="","",INDEX(Tasks!$I:$I,ROW()-1))</f>
        <v>46307</v>
      </c>
      <c r="F14" s="17" t="n">
        <f aca="false">IF(INDEX(Tasks!$K:$K,ROW()-1)="","",INDEX(Tasks!$K:$K,ROW()-1))</f>
        <v>46318</v>
      </c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AO14" s="18"/>
      <c r="AP14" s="18"/>
      <c r="AQ14" s="18"/>
      <c r="AR14" s="18"/>
      <c r="AS14" s="18"/>
      <c r="AT14" s="18"/>
      <c r="AU14" s="18"/>
      <c r="AV14" s="18"/>
      <c r="AW14" s="18"/>
      <c r="AX14" s="18"/>
    </row>
    <row r="15" customFormat="false" ht="15" hidden="false" customHeight="false" outlineLevel="0" collapsed="false">
      <c r="A15" s="16" t="str">
        <f aca="false">IF(INDEX(Tasks!$A:$A,ROW()-1)="","",INDEX(Tasks!$A:$A,ROW()-1))</f>
        <v>TB-5</v>
      </c>
      <c r="B15" s="16" t="str">
        <f aca="false">IF(INDEX(Tasks!$A:$A,ROW()-1)="","",IF(ISERROR(FIND(".",INDEX(Tasks!$A:$A,ROW()-1))),"","   ")&amp;INDEX(Tasks!$D:$D,ROW()-1))</f>
        <v>Recording tooling fixes</v>
      </c>
      <c r="C15" s="16" t="str">
        <f aca="false">IF(INDEX(Tasks!$G:$G,ROW()-1)="","",INDEX(Tasks!$G:$G,ROW()-1))</f>
        <v>TBD</v>
      </c>
      <c r="D15" s="16" t="str">
        <f aca="false">IF(INDEX(Tasks!$H:$H,ROW()-1)="","",INDEX(Tasks!$H:$H,ROW()-1))</f>
        <v>Not Started</v>
      </c>
      <c r="E15" s="17" t="n">
        <f aca="false">IF(INDEX(Tasks!$I:$I,ROW()-1)="","",INDEX(Tasks!$I:$I,ROW()-1))</f>
        <v>46307</v>
      </c>
      <c r="F15" s="17" t="n">
        <f aca="false">IF(INDEX(Tasks!$K:$K,ROW()-1)="","",INDEX(Tasks!$K:$K,ROW()-1))</f>
        <v>46318</v>
      </c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  <c r="AN15" s="18"/>
      <c r="AO15" s="18"/>
      <c r="AP15" s="18"/>
      <c r="AQ15" s="18"/>
      <c r="AR15" s="18"/>
      <c r="AS15" s="18"/>
      <c r="AT15" s="18"/>
      <c r="AU15" s="18"/>
      <c r="AV15" s="18"/>
      <c r="AW15" s="18"/>
      <c r="AX15" s="18"/>
    </row>
    <row r="16" customFormat="false" ht="15" hidden="false" customHeight="false" outlineLevel="0" collapsed="false">
      <c r="A16" s="16" t="str">
        <f aca="false">IF(INDEX(Tasks!$A:$A,ROW()-1)="","",INDEX(Tasks!$A:$A,ROW()-1))</f>
        <v>G2-DS-1</v>
      </c>
      <c r="B16" s="16" t="str">
        <f aca="false">IF(INDEX(Tasks!$A:$A,ROW()-1)="","",IF(ISERROR(FIND(".",INDEX(Tasks!$A:$A,ROW()-1))),"","   ")&amp;INDEX(Tasks!$D:$D,ROW()-1))</f>
        <v>Recording campaign</v>
      </c>
      <c r="C16" s="16" t="str">
        <f aca="false">IF(INDEX(Tasks!$G:$G,ROW()-1)="","",INDEX(Tasks!$G:$G,ROW()-1))</f>
        <v>TBD</v>
      </c>
      <c r="D16" s="16" t="str">
        <f aca="false">IF(INDEX(Tasks!$H:$H,ROW()-1)="","",INDEX(Tasks!$H:$H,ROW()-1))</f>
        <v>Partially Completed</v>
      </c>
      <c r="E16" s="17" t="n">
        <f aca="false">IF(INDEX(Tasks!$I:$I,ROW()-1)="","",INDEX(Tasks!$I:$I,ROW()-1))</f>
        <v>46314</v>
      </c>
      <c r="F16" s="17" t="n">
        <f aca="false">IF(INDEX(Tasks!$K:$K,ROW()-1)="","",INDEX(Tasks!$K:$K,ROW()-1))</f>
        <v>46353</v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  <c r="AN16" s="18"/>
      <c r="AO16" s="18"/>
      <c r="AP16" s="18"/>
      <c r="AQ16" s="18"/>
      <c r="AR16" s="18"/>
      <c r="AS16" s="18"/>
      <c r="AT16" s="18"/>
      <c r="AU16" s="18"/>
      <c r="AV16" s="18"/>
      <c r="AW16" s="18"/>
      <c r="AX16" s="18"/>
    </row>
    <row r="17" customFormat="false" ht="15" hidden="false" customHeight="false" outlineLevel="0" collapsed="false">
      <c r="A17" s="16" t="str">
        <f aca="false">IF(INDEX(Tasks!$A:$A,ROW()-1)="","",INDEX(Tasks!$A:$A,ROW()-1))</f>
        <v>G2-DS-1.1</v>
      </c>
      <c r="B17" s="16" t="str">
        <f aca="false">IF(INDEX(Tasks!$A:$A,ROW()-1)="","",IF(ISERROR(FIND(".",INDEX(Tasks!$A:$A,ROW()-1))),"","   ")&amp;INDEX(Tasks!$D:$D,ROW()-1))</f>
        <v>   Indoor Trajectory Sessions</v>
      </c>
      <c r="C17" s="16" t="str">
        <f aca="false">IF(INDEX(Tasks!$G:$G,ROW()-1)="","",INDEX(Tasks!$G:$G,ROW()-1))</f>
        <v>TBD</v>
      </c>
      <c r="D17" s="16" t="str">
        <f aca="false">IF(INDEX(Tasks!$H:$H,ROW()-1)="","",INDEX(Tasks!$H:$H,ROW()-1))</f>
        <v>Partially Completed</v>
      </c>
      <c r="E17" s="17" t="n">
        <f aca="false">IF(INDEX(Tasks!$I:$I,ROW()-1)="","",INDEX(Tasks!$I:$I,ROW()-1))</f>
        <v>46202</v>
      </c>
      <c r="F17" s="17" t="n">
        <f aca="false">IF(INDEX(Tasks!$K:$K,ROW()-1)="","",INDEX(Tasks!$K:$K,ROW()-1))</f>
        <v>46206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  <c r="AN17" s="18"/>
      <c r="AO17" s="18"/>
      <c r="AP17" s="18"/>
      <c r="AQ17" s="18"/>
      <c r="AR17" s="18"/>
      <c r="AS17" s="18"/>
      <c r="AT17" s="18"/>
      <c r="AU17" s="18"/>
      <c r="AV17" s="18"/>
      <c r="AW17" s="18"/>
      <c r="AX17" s="18"/>
    </row>
    <row r="18" customFormat="false" ht="15" hidden="false" customHeight="false" outlineLevel="0" collapsed="false">
      <c r="A18" s="16" t="str">
        <f aca="false">IF(INDEX(Tasks!$A:$A,ROW()-1)="","",INDEX(Tasks!$A:$A,ROW()-1))</f>
        <v>G2-DS-1.2</v>
      </c>
      <c r="B18" s="16" t="str">
        <f aca="false">IF(INDEX(Tasks!$A:$A,ROW()-1)="","",IF(ISERROR(FIND(".",INDEX(Tasks!$A:$A,ROW()-1))),"","   ")&amp;INDEX(Tasks!$D:$D,ROW()-1))</f>
        <v>   Outdoor Trajectory Sessions</v>
      </c>
      <c r="C18" s="16" t="str">
        <f aca="false">IF(INDEX(Tasks!$G:$G,ROW()-1)="","",INDEX(Tasks!$G:$G,ROW()-1))</f>
        <v>TBD</v>
      </c>
      <c r="D18" s="16" t="str">
        <f aca="false">IF(INDEX(Tasks!$H:$H,ROW()-1)="","",INDEX(Tasks!$H:$H,ROW()-1))</f>
        <v>Not Started</v>
      </c>
      <c r="E18" s="17" t="str">
        <f aca="false">IF(INDEX(Tasks!$I:$I,ROW()-1)="","",INDEX(Tasks!$I:$I,ROW()-1))</f>
        <v/>
      </c>
      <c r="F18" s="17" t="str">
        <f aca="false">IF(INDEX(Tasks!$K:$K,ROW()-1)="","",INDEX(Tasks!$K:$K,ROW()-1))</f>
        <v/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/>
      <c r="AT18" s="18"/>
      <c r="AU18" s="18"/>
      <c r="AV18" s="18"/>
      <c r="AW18" s="18"/>
      <c r="AX18" s="18"/>
    </row>
    <row r="19" customFormat="false" ht="15" hidden="false" customHeight="false" outlineLevel="0" collapsed="false">
      <c r="A19" s="16" t="str">
        <f aca="false">IF(INDEX(Tasks!$A:$A,ROW()-1)="","",INDEX(Tasks!$A:$A,ROW()-1))</f>
        <v>G2-DS-1.3</v>
      </c>
      <c r="B19" s="16" t="str">
        <f aca="false">IF(INDEX(Tasks!$A:$A,ROW()-1)="","",IF(ISERROR(FIND(".",INDEX(Tasks!$A:$A,ROW()-1))),"","   ")&amp;INDEX(Tasks!$D:$D,ROW()-1))</f>
        <v>   Record sites 2 and 3</v>
      </c>
      <c r="C19" s="16" t="str">
        <f aca="false">IF(INDEX(Tasks!$G:$G,ROW()-1)="","",INDEX(Tasks!$G:$G,ROW()-1))</f>
        <v>TBD</v>
      </c>
      <c r="D19" s="16" t="str">
        <f aca="false">IF(INDEX(Tasks!$H:$H,ROW()-1)="","",INDEX(Tasks!$H:$H,ROW()-1))</f>
        <v>Not Started</v>
      </c>
      <c r="E19" s="17" t="n">
        <f aca="false">IF(INDEX(Tasks!$I:$I,ROW()-1)="","",INDEX(Tasks!$I:$I,ROW()-1))</f>
        <v>46321</v>
      </c>
      <c r="F19" s="17" t="n">
        <f aca="false">IF(INDEX(Tasks!$K:$K,ROW()-1)="","",INDEX(Tasks!$K:$K,ROW()-1))</f>
        <v>46346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/>
      <c r="AT19" s="18"/>
      <c r="AU19" s="18"/>
      <c r="AV19" s="18"/>
      <c r="AW19" s="18"/>
      <c r="AX19" s="18"/>
    </row>
    <row r="20" customFormat="false" ht="15" hidden="false" customHeight="false" outlineLevel="0" collapsed="false">
      <c r="A20" s="16" t="str">
        <f aca="false">IF(INDEX(Tasks!$A:$A,ROW()-1)="","",INDEX(Tasks!$A:$A,ROW()-1))</f>
        <v>G2-DS-1.4</v>
      </c>
      <c r="B20" s="16" t="str">
        <f aca="false">IF(INDEX(Tasks!$A:$A,ROW()-1)="","",IF(ISERROR(FIND(".",INDEX(Tasks!$A:$A,ROW()-1))),"","   ")&amp;INDEX(Tasks!$D:$D,ROW()-1))</f>
        <v>   Calibration rosbag</v>
      </c>
      <c r="C20" s="16" t="str">
        <f aca="false">IF(INDEX(Tasks!$G:$G,ROW()-1)="","",INDEX(Tasks!$G:$G,ROW()-1))</f>
        <v>TBD</v>
      </c>
      <c r="D20" s="16" t="str">
        <f aca="false">IF(INDEX(Tasks!$H:$H,ROW()-1)="","",INDEX(Tasks!$H:$H,ROW()-1))</f>
        <v/>
      </c>
      <c r="E20" s="17" t="n">
        <f aca="false">IF(INDEX(Tasks!$I:$I,ROW()-1)="","",INDEX(Tasks!$I:$I,ROW()-1))</f>
        <v>46314</v>
      </c>
      <c r="F20" s="17" t="n">
        <f aca="false">IF(INDEX(Tasks!$K:$K,ROW()-1)="","",INDEX(Tasks!$K:$K,ROW()-1))</f>
        <v>46318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/>
      <c r="AT20" s="18"/>
      <c r="AU20" s="18"/>
      <c r="AV20" s="18"/>
      <c r="AW20" s="18"/>
      <c r="AX20" s="18"/>
    </row>
    <row r="21" customFormat="false" ht="15" hidden="false" customHeight="false" outlineLevel="0" collapsed="false">
      <c r="A21" s="16" t="str">
        <f aca="false">IF(INDEX(Tasks!$A:$A,ROW()-1)="","",INDEX(Tasks!$A:$A,ROW()-1))</f>
        <v>G2-DS-1.5</v>
      </c>
      <c r="B21" s="16" t="str">
        <f aca="false">IF(INDEX(Tasks!$A:$A,ROW()-1)="","",IF(ISERROR(FIND(".",INDEX(Tasks!$A:$A,ROW()-1))),"","   ")&amp;INDEX(Tasks!$D:$D,ROW()-1))</f>
        <v>   Short test recordings</v>
      </c>
      <c r="C21" s="16" t="str">
        <f aca="false">IF(INDEX(Tasks!$G:$G,ROW()-1)="","",INDEX(Tasks!$G:$G,ROW()-1))</f>
        <v>TBD</v>
      </c>
      <c r="D21" s="16" t="str">
        <f aca="false">IF(INDEX(Tasks!$H:$H,ROW()-1)="","",INDEX(Tasks!$H:$H,ROW()-1))</f>
        <v/>
      </c>
      <c r="E21" s="17" t="n">
        <f aca="false">IF(INDEX(Tasks!$I:$I,ROW()-1)="","",INDEX(Tasks!$I:$I,ROW()-1))</f>
        <v>46314</v>
      </c>
      <c r="F21" s="17" t="n">
        <f aca="false">IF(INDEX(Tasks!$K:$K,ROW()-1)="","",INDEX(Tasks!$K:$K,ROW()-1))</f>
        <v>46318</v>
      </c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8"/>
      <c r="AT21" s="18"/>
      <c r="AU21" s="18"/>
      <c r="AV21" s="18"/>
      <c r="AW21" s="18"/>
      <c r="AX21" s="18"/>
    </row>
    <row r="22" customFormat="false" ht="15" hidden="false" customHeight="false" outlineLevel="0" collapsed="false">
      <c r="A22" s="16" t="str">
        <f aca="false">IF(INDEX(Tasks!$A:$A,ROW()-1)="","",INDEX(Tasks!$A:$A,ROW()-1))</f>
        <v>G2-DS-2</v>
      </c>
      <c r="B22" s="16" t="str">
        <f aca="false">IF(INDEX(Tasks!$A:$A,ROW()-1)="","",IF(ISERROR(FIND(".",INDEX(Tasks!$A:$A,ROW()-1))),"","   ")&amp;INDEX(Tasks!$D:$D,ROW()-1))</f>
        <v>Per-pass processing</v>
      </c>
      <c r="C22" s="16" t="str">
        <f aca="false">IF(INDEX(Tasks!$G:$G,ROW()-1)="","",INDEX(Tasks!$G:$G,ROW()-1))</f>
        <v>TBD</v>
      </c>
      <c r="D22" s="16" t="str">
        <f aca="false">IF(INDEX(Tasks!$H:$H,ROW()-1)="","",INDEX(Tasks!$H:$H,ROW()-1))</f>
        <v>In Progress</v>
      </c>
      <c r="E22" s="17" t="n">
        <f aca="false">IF(INDEX(Tasks!$I:$I,ROW()-1)="","",INDEX(Tasks!$I:$I,ROW()-1))</f>
        <v>46307</v>
      </c>
      <c r="F22" s="17" t="n">
        <f aca="false">IF(INDEX(Tasks!$K:$K,ROW()-1)="","",INDEX(Tasks!$K:$K,ROW()-1))</f>
        <v>46374</v>
      </c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8"/>
      <c r="AS22" s="18"/>
      <c r="AT22" s="18"/>
      <c r="AU22" s="18"/>
      <c r="AV22" s="18"/>
      <c r="AW22" s="18"/>
      <c r="AX22" s="18"/>
    </row>
    <row r="23" customFormat="false" ht="15" hidden="false" customHeight="false" outlineLevel="0" collapsed="false">
      <c r="A23" s="16" t="str">
        <f aca="false">IF(INDEX(Tasks!$A:$A,ROW()-1)="","",INDEX(Tasks!$A:$A,ROW()-1))</f>
        <v>G2-DS-2.1</v>
      </c>
      <c r="B23" s="16" t="str">
        <f aca="false">IF(INDEX(Tasks!$A:$A,ROW()-1)="","",IF(ISERROR(FIND(".",INDEX(Tasks!$A:$A,ROW()-1))),"","   ")&amp;INDEX(Tasks!$D:$D,ROW()-1))</f>
        <v>   Merging Sensor Data</v>
      </c>
      <c r="C23" s="16" t="str">
        <f aca="false">IF(INDEX(Tasks!$G:$G,ROW()-1)="","",INDEX(Tasks!$G:$G,ROW()-1))</f>
        <v>TBD</v>
      </c>
      <c r="D23" s="16" t="str">
        <f aca="false">IF(INDEX(Tasks!$H:$H,ROW()-1)="","",INDEX(Tasks!$H:$H,ROW()-1))</f>
        <v>In Progress</v>
      </c>
      <c r="E23" s="17" t="n">
        <f aca="false">IF(INDEX(Tasks!$I:$I,ROW()-1)="","",INDEX(Tasks!$I:$I,ROW()-1))</f>
        <v>46202</v>
      </c>
      <c r="F23" s="17" t="n">
        <f aca="false">IF(INDEX(Tasks!$K:$K,ROW()-1)="","",INDEX(Tasks!$K:$K,ROW()-1))</f>
        <v>46206</v>
      </c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  <c r="AN23" s="18"/>
      <c r="AO23" s="18"/>
      <c r="AP23" s="18"/>
      <c r="AQ23" s="18"/>
      <c r="AR23" s="18"/>
      <c r="AS23" s="18"/>
      <c r="AT23" s="18"/>
      <c r="AU23" s="18"/>
      <c r="AV23" s="18"/>
      <c r="AW23" s="18"/>
      <c r="AX23" s="18"/>
    </row>
    <row r="24" customFormat="false" ht="15" hidden="false" customHeight="false" outlineLevel="0" collapsed="false">
      <c r="A24" s="16" t="str">
        <f aca="false">IF(INDEX(Tasks!$A:$A,ROW()-1)="","",INDEX(Tasks!$A:$A,ROW()-1))</f>
        <v>G2-DS-2.2</v>
      </c>
      <c r="B24" s="16" t="str">
        <f aca="false">IF(INDEX(Tasks!$A:$A,ROW()-1)="","",IF(ISERROR(FIND(".",INDEX(Tasks!$A:$A,ROW()-1))),"","   ")&amp;INDEX(Tasks!$D:$D,ROW()-1))</f>
        <v>   Timestamp Alignment Post-Processing</v>
      </c>
      <c r="C24" s="16" t="str">
        <f aca="false">IF(INDEX(Tasks!$G:$G,ROW()-1)="","",INDEX(Tasks!$G:$G,ROW()-1))</f>
        <v>TBD</v>
      </c>
      <c r="D24" s="16" t="str">
        <f aca="false">IF(INDEX(Tasks!$H:$H,ROW()-1)="","",INDEX(Tasks!$H:$H,ROW()-1))</f>
        <v>Not Started</v>
      </c>
      <c r="E24" s="17" t="n">
        <f aca="false">IF(INDEX(Tasks!$I:$I,ROW()-1)="","",INDEX(Tasks!$I:$I,ROW()-1))</f>
        <v>46202</v>
      </c>
      <c r="F24" s="17" t="n">
        <f aca="false">IF(INDEX(Tasks!$K:$K,ROW()-1)="","",INDEX(Tasks!$K:$K,ROW()-1))</f>
        <v>46206</v>
      </c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  <c r="AN24" s="18"/>
      <c r="AO24" s="18"/>
      <c r="AP24" s="18"/>
      <c r="AQ24" s="18"/>
      <c r="AR24" s="18"/>
      <c r="AS24" s="18"/>
      <c r="AT24" s="18"/>
      <c r="AU24" s="18"/>
      <c r="AV24" s="18"/>
      <c r="AW24" s="18"/>
      <c r="AX24" s="18"/>
    </row>
    <row r="25" customFormat="false" ht="15" hidden="false" customHeight="false" outlineLevel="0" collapsed="false">
      <c r="A25" s="16" t="str">
        <f aca="false">IF(INDEX(Tasks!$A:$A,ROW()-1)="","",INDEX(Tasks!$A:$A,ROW()-1))</f>
        <v>G2-DS-3</v>
      </c>
      <c r="B25" s="16" t="str">
        <f aca="false">IF(INDEX(Tasks!$A:$A,ROW()-1)="","",IF(ISERROR(FIND(".",INDEX(Tasks!$A:$A,ROW()-1))),"","   ")&amp;INDEX(Tasks!$D:$D,ROW()-1))</f>
        <v>Reference maps &amp; board networks per site</v>
      </c>
      <c r="C25" s="16" t="str">
        <f aca="false">IF(INDEX(Tasks!$G:$G,ROW()-1)="","",INDEX(Tasks!$G:$G,ROW()-1))</f>
        <v>TBD</v>
      </c>
      <c r="D25" s="16" t="str">
        <f aca="false">IF(INDEX(Tasks!$H:$H,ROW()-1)="","",INDEX(Tasks!$H:$H,ROW()-1))</f>
        <v>In Progress</v>
      </c>
      <c r="E25" s="17" t="n">
        <f aca="false">IF(INDEX(Tasks!$I:$I,ROW()-1)="","",INDEX(Tasks!$I:$I,ROW()-1))</f>
        <v>46307</v>
      </c>
      <c r="F25" s="17" t="n">
        <f aca="false">IF(INDEX(Tasks!$K:$K,ROW()-1)="","",INDEX(Tasks!$K:$K,ROW()-1))</f>
        <v>46360</v>
      </c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18"/>
      <c r="AO25" s="18"/>
      <c r="AP25" s="18"/>
      <c r="AQ25" s="18"/>
      <c r="AR25" s="18"/>
      <c r="AS25" s="18"/>
      <c r="AT25" s="18"/>
      <c r="AU25" s="18"/>
      <c r="AV25" s="18"/>
      <c r="AW25" s="18"/>
      <c r="AX25" s="18"/>
    </row>
    <row r="26" customFormat="false" ht="15" hidden="false" customHeight="false" outlineLevel="0" collapsed="false">
      <c r="A26" s="16" t="str">
        <f aca="false">IF(INDEX(Tasks!$A:$A,ROW()-1)="","",INDEX(Tasks!$A:$A,ROW()-1))</f>
        <v>G2-DS-3.1</v>
      </c>
      <c r="B26" s="16" t="str">
        <f aca="false">IF(INDEX(Tasks!$A:$A,ROW()-1)="","",IF(ISERROR(FIND(".",INDEX(Tasks!$A:$A,ROW()-1))),"","   ")&amp;INDEX(Tasks!$D:$D,ROW()-1))</f>
        <v>   Localization and Mapping</v>
      </c>
      <c r="C26" s="16" t="str">
        <f aca="false">IF(INDEX(Tasks!$G:$G,ROW()-1)="","",INDEX(Tasks!$G:$G,ROW()-1))</f>
        <v>TBD</v>
      </c>
      <c r="D26" s="16" t="str">
        <f aca="false">IF(INDEX(Tasks!$H:$H,ROW()-1)="","",INDEX(Tasks!$H:$H,ROW()-1))</f>
        <v>Not Started</v>
      </c>
      <c r="E26" s="17" t="n">
        <f aca="false">IF(INDEX(Tasks!$I:$I,ROW()-1)="","",INDEX(Tasks!$I:$I,ROW()-1))</f>
        <v>46202</v>
      </c>
      <c r="F26" s="17" t="n">
        <f aca="false">IF(INDEX(Tasks!$K:$K,ROW()-1)="","",INDEX(Tasks!$K:$K,ROW()-1))</f>
        <v>46206</v>
      </c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8"/>
      <c r="AT26" s="18"/>
      <c r="AU26" s="18"/>
      <c r="AV26" s="18"/>
      <c r="AW26" s="18"/>
      <c r="AX26" s="18"/>
    </row>
    <row r="27" customFormat="false" ht="15" hidden="false" customHeight="false" outlineLevel="0" collapsed="false">
      <c r="A27" s="16" t="str">
        <f aca="false">IF(INDEX(Tasks!$A:$A,ROW()-1)="","",INDEX(Tasks!$A:$A,ROW()-1))</f>
        <v>G2-DS-3.2</v>
      </c>
      <c r="B27" s="16" t="str">
        <f aca="false">IF(INDEX(Tasks!$A:$A,ROW()-1)="","",IF(ISERROR(FIND(".",INDEX(Tasks!$A:$A,ROW()-1))),"","   ")&amp;INDEX(Tasks!$D:$D,ROW()-1))</f>
        <v>   Mesh Conversion</v>
      </c>
      <c r="C27" s="16" t="str">
        <f aca="false">IF(INDEX(Tasks!$G:$G,ROW()-1)="","",INDEX(Tasks!$G:$G,ROW()-1))</f>
        <v>TBD</v>
      </c>
      <c r="D27" s="16" t="str">
        <f aca="false">IF(INDEX(Tasks!$H:$H,ROW()-1)="","",INDEX(Tasks!$H:$H,ROW()-1))</f>
        <v>Not Started</v>
      </c>
      <c r="E27" s="17" t="n">
        <f aca="false">IF(INDEX(Tasks!$I:$I,ROW()-1)="","",INDEX(Tasks!$I:$I,ROW()-1))</f>
        <v>46209</v>
      </c>
      <c r="F27" s="17" t="n">
        <f aca="false">IF(INDEX(Tasks!$K:$K,ROW()-1)="","",INDEX(Tasks!$K:$K,ROW()-1))</f>
        <v>46220</v>
      </c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  <c r="AN27" s="18"/>
      <c r="AO27" s="18"/>
      <c r="AP27" s="18"/>
      <c r="AQ27" s="18"/>
      <c r="AR27" s="18"/>
      <c r="AS27" s="18"/>
      <c r="AT27" s="18"/>
      <c r="AU27" s="18"/>
      <c r="AV27" s="18"/>
      <c r="AW27" s="18"/>
      <c r="AX27" s="18"/>
    </row>
    <row r="28" customFormat="false" ht="15" hidden="false" customHeight="false" outlineLevel="0" collapsed="false">
      <c r="A28" s="16" t="str">
        <f aca="false">IF(INDEX(Tasks!$A:$A,ROW()-1)="","",INDEX(Tasks!$A:$A,ROW()-1))</f>
        <v>G2-DS-4</v>
      </c>
      <c r="B28" s="16" t="str">
        <f aca="false">IF(INDEX(Tasks!$A:$A,ROW()-1)="","",IF(ISERROR(FIND(".",INDEX(Tasks!$A:$A,ROW()-1))),"","   ")&amp;INDEX(Tasks!$D:$D,ROW()-1))</f>
        <v>Reference poses (map stages 03-10)</v>
      </c>
      <c r="C28" s="16" t="str">
        <f aca="false">IF(INDEX(Tasks!$G:$G,ROW()-1)="","",INDEX(Tasks!$G:$G,ROW()-1))</f>
        <v>TBD</v>
      </c>
      <c r="D28" s="16" t="str">
        <f aca="false">IF(INDEX(Tasks!$H:$H,ROW()-1)="","",INDEX(Tasks!$H:$H,ROW()-1))</f>
        <v>In Progress</v>
      </c>
      <c r="E28" s="17" t="n">
        <f aca="false">IF(INDEX(Tasks!$I:$I,ROW()-1)="","",INDEX(Tasks!$I:$I,ROW()-1))</f>
        <v>46307</v>
      </c>
      <c r="F28" s="17" t="n">
        <f aca="false">IF(INDEX(Tasks!$K:$K,ROW()-1)="","",INDEX(Tasks!$K:$K,ROW()-1))</f>
        <v>46346</v>
      </c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  <c r="AN28" s="18"/>
      <c r="AO28" s="18"/>
      <c r="AP28" s="18"/>
      <c r="AQ28" s="18"/>
      <c r="AR28" s="18"/>
      <c r="AS28" s="18"/>
      <c r="AT28" s="18"/>
      <c r="AU28" s="18"/>
      <c r="AV28" s="18"/>
      <c r="AW28" s="18"/>
      <c r="AX28" s="18"/>
    </row>
    <row r="29" customFormat="false" ht="15" hidden="false" customHeight="false" outlineLevel="0" collapsed="false">
      <c r="A29" s="16" t="str">
        <f aca="false">IF(INDEX(Tasks!$A:$A,ROW()-1)="","",INDEX(Tasks!$A:$A,ROW()-1))</f>
        <v>G2-DS-5</v>
      </c>
      <c r="B29" s="16" t="str">
        <f aca="false">IF(INDEX(Tasks!$A:$A,ROW()-1)="","",IF(ISERROR(FIND(".",INDEX(Tasks!$A:$A,ROW()-1))),"","   ")&amp;INDEX(Tasks!$D:$D,ROW()-1))</f>
        <v>Ground-truth validation</v>
      </c>
      <c r="C29" s="16" t="str">
        <f aca="false">IF(INDEX(Tasks!$G:$G,ROW()-1)="","",INDEX(Tasks!$G:$G,ROW()-1))</f>
        <v>TBD</v>
      </c>
      <c r="D29" s="16" t="str">
        <f aca="false">IF(INDEX(Tasks!$H:$H,ROW()-1)="","",INDEX(Tasks!$H:$H,ROW()-1))</f>
        <v>Not Started</v>
      </c>
      <c r="E29" s="17" t="n">
        <f aca="false">IF(INDEX(Tasks!$I:$I,ROW()-1)="","",INDEX(Tasks!$I:$I,ROW()-1))</f>
        <v>46342</v>
      </c>
      <c r="F29" s="17" t="n">
        <f aca="false">IF(INDEX(Tasks!$K:$K,ROW()-1)="","",INDEX(Tasks!$K:$K,ROW()-1))</f>
        <v>46360</v>
      </c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  <c r="AN29" s="18"/>
      <c r="AO29" s="18"/>
      <c r="AP29" s="18"/>
      <c r="AQ29" s="18"/>
      <c r="AR29" s="18"/>
      <c r="AS29" s="18"/>
      <c r="AT29" s="18"/>
      <c r="AU29" s="18"/>
      <c r="AV29" s="18"/>
      <c r="AW29" s="18"/>
      <c r="AX29" s="18"/>
    </row>
    <row r="30" customFormat="false" ht="15" hidden="false" customHeight="false" outlineLevel="0" collapsed="false">
      <c r="A30" s="16" t="str">
        <f aca="false">IF(INDEX(Tasks!$A:$A,ROW()-1)="","",INDEX(Tasks!$A:$A,ROW()-1))</f>
        <v>G2-DS-6</v>
      </c>
      <c r="B30" s="16" t="str">
        <f aca="false">IF(INDEX(Tasks!$A:$A,ROW()-1)="","",IF(ISERROR(FIND(".",INDEX(Tasks!$A:$A,ROW()-1))),"","   ")&amp;INDEX(Tasks!$D:$D,ROW()-1))</f>
        <v>Annotations</v>
      </c>
      <c r="C30" s="16" t="str">
        <f aca="false">IF(INDEX(Tasks!$G:$G,ROW()-1)="","",INDEX(Tasks!$G:$G,ROW()-1))</f>
        <v>TBD</v>
      </c>
      <c r="D30" s="16" t="str">
        <f aca="false">IF(INDEX(Tasks!$H:$H,ROW()-1)="","",INDEX(Tasks!$H:$H,ROW()-1))</f>
        <v>Not Started</v>
      </c>
      <c r="E30" s="17" t="n">
        <f aca="false">IF(INDEX(Tasks!$I:$I,ROW()-1)="","",INDEX(Tasks!$I:$I,ROW()-1))</f>
        <v>46335</v>
      </c>
      <c r="F30" s="17" t="n">
        <f aca="false">IF(INDEX(Tasks!$K:$K,ROW()-1)="","",INDEX(Tasks!$K:$K,ROW()-1))</f>
        <v>46381</v>
      </c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8"/>
      <c r="AN30" s="18"/>
      <c r="AO30" s="18"/>
      <c r="AP30" s="18"/>
      <c r="AQ30" s="18"/>
      <c r="AR30" s="18"/>
      <c r="AS30" s="18"/>
      <c r="AT30" s="18"/>
      <c r="AU30" s="18"/>
      <c r="AV30" s="18"/>
      <c r="AW30" s="18"/>
      <c r="AX30" s="18"/>
    </row>
    <row r="31" customFormat="false" ht="15" hidden="false" customHeight="false" outlineLevel="0" collapsed="false">
      <c r="A31" s="16" t="str">
        <f aca="false">IF(INDEX(Tasks!$A:$A,ROW()-1)="","",INDEX(Tasks!$A:$A,ROW()-1))</f>
        <v>G2-DS-6.1</v>
      </c>
      <c r="B31" s="16" t="str">
        <f aca="false">IF(INDEX(Tasks!$A:$A,ROW()-1)="","",IF(ISERROR(FIND(".",INDEX(Tasks!$A:$A,ROW()-1))),"","   ")&amp;INDEX(Tasks!$D:$D,ROW()-1))</f>
        <v>   Label QA (Coverage &amp; Class Balance)</v>
      </c>
      <c r="C31" s="16" t="str">
        <f aca="false">IF(INDEX(Tasks!$G:$G,ROW()-1)="","",INDEX(Tasks!$G:$G,ROW()-1))</f>
        <v>TBD</v>
      </c>
      <c r="D31" s="16" t="str">
        <f aca="false">IF(INDEX(Tasks!$H:$H,ROW()-1)="","",INDEX(Tasks!$H:$H,ROW()-1))</f>
        <v>Not Started</v>
      </c>
      <c r="E31" s="17" t="str">
        <f aca="false">IF(INDEX(Tasks!$I:$I,ROW()-1)="","",INDEX(Tasks!$I:$I,ROW()-1))</f>
        <v/>
      </c>
      <c r="F31" s="17" t="str">
        <f aca="false">IF(INDEX(Tasks!$K:$K,ROW()-1)="","",INDEX(Tasks!$K:$K,ROW()-1))</f>
        <v/>
      </c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AL31" s="18"/>
      <c r="AM31" s="18"/>
      <c r="AN31" s="18"/>
      <c r="AO31" s="18"/>
      <c r="AP31" s="18"/>
      <c r="AQ31" s="18"/>
      <c r="AR31" s="18"/>
      <c r="AS31" s="18"/>
      <c r="AT31" s="18"/>
      <c r="AU31" s="18"/>
      <c r="AV31" s="18"/>
      <c r="AW31" s="18"/>
      <c r="AX31" s="18"/>
    </row>
    <row r="32" customFormat="false" ht="15" hidden="false" customHeight="false" outlineLevel="0" collapsed="false">
      <c r="A32" s="16" t="str">
        <f aca="false">IF(INDEX(Tasks!$A:$A,ROW()-1)="","",INDEX(Tasks!$A:$A,ROW()-1))</f>
        <v>G2-DS-7</v>
      </c>
      <c r="B32" s="16" t="str">
        <f aca="false">IF(INDEX(Tasks!$A:$A,ROW()-1)="","",IF(ISERROR(FIND(".",INDEX(Tasks!$A:$A,ROW()-1))),"","   ")&amp;INDEX(Tasks!$D:$D,ROW()-1))</f>
        <v>Collaboration geometry &amp; comm ground truth</v>
      </c>
      <c r="C32" s="16" t="str">
        <f aca="false">IF(INDEX(Tasks!$G:$G,ROW()-1)="","",INDEX(Tasks!$G:$G,ROW()-1))</f>
        <v>TBD</v>
      </c>
      <c r="D32" s="16" t="str">
        <f aca="false">IF(INDEX(Tasks!$H:$H,ROW()-1)="","",INDEX(Tasks!$H:$H,ROW()-1))</f>
        <v>Not Started</v>
      </c>
      <c r="E32" s="17" t="n">
        <f aca="false">IF(INDEX(Tasks!$I:$I,ROW()-1)="","",INDEX(Tasks!$I:$I,ROW()-1))</f>
        <v>46349</v>
      </c>
      <c r="F32" s="17" t="n">
        <f aca="false">IF(INDEX(Tasks!$K:$K,ROW()-1)="","",INDEX(Tasks!$K:$K,ROW()-1))</f>
        <v>46381</v>
      </c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  <c r="AN32" s="18"/>
      <c r="AO32" s="18"/>
      <c r="AP32" s="18"/>
      <c r="AQ32" s="18"/>
      <c r="AR32" s="18"/>
      <c r="AS32" s="18"/>
      <c r="AT32" s="18"/>
      <c r="AU32" s="18"/>
      <c r="AV32" s="18"/>
      <c r="AW32" s="18"/>
      <c r="AX32" s="18"/>
    </row>
    <row r="33" customFormat="false" ht="15" hidden="false" customHeight="false" outlineLevel="0" collapsed="false">
      <c r="A33" s="16" t="str">
        <f aca="false">IF(INDEX(Tasks!$A:$A,ROW()-1)="","",INDEX(Tasks!$A:$A,ROW()-1))</f>
        <v>G2-DS-8</v>
      </c>
      <c r="B33" s="16" t="str">
        <f aca="false">IF(INDEX(Tasks!$A:$A,ROW()-1)="","",IF(ISERROR(FIND(".",INDEX(Tasks!$A:$A,ROW()-1))),"","   ")&amp;INDEX(Tasks!$D:$D,ROW()-1))</f>
        <v>Release</v>
      </c>
      <c r="C33" s="16" t="str">
        <f aca="false">IF(INDEX(Tasks!$G:$G,ROW()-1)="","",INDEX(Tasks!$G:$G,ROW()-1))</f>
        <v>TBD</v>
      </c>
      <c r="D33" s="16" t="str">
        <f aca="false">IF(INDEX(Tasks!$H:$H,ROW()-1)="","",INDEX(Tasks!$H:$H,ROW()-1))</f>
        <v>Not Started</v>
      </c>
      <c r="E33" s="17" t="n">
        <f aca="false">IF(INDEX(Tasks!$I:$I,ROW()-1)="","",INDEX(Tasks!$I:$I,ROW()-1))</f>
        <v>46384</v>
      </c>
      <c r="F33" s="17" t="n">
        <f aca="false">IF(INDEX(Tasks!$K:$K,ROW()-1)="","",INDEX(Tasks!$K:$K,ROW()-1))</f>
        <v>46416</v>
      </c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  <c r="AN33" s="18"/>
      <c r="AO33" s="18"/>
      <c r="AP33" s="18"/>
      <c r="AQ33" s="18"/>
      <c r="AR33" s="18"/>
      <c r="AS33" s="18"/>
      <c r="AT33" s="18"/>
      <c r="AU33" s="18"/>
      <c r="AV33" s="18"/>
      <c r="AW33" s="18"/>
      <c r="AX33" s="18"/>
    </row>
    <row r="34" customFormat="false" ht="15" hidden="false" customHeight="false" outlineLevel="0" collapsed="false">
      <c r="A34" s="16" t="str">
        <f aca="false">IF(INDEX(Tasks!$A:$A,ROW()-1)="","",INDEX(Tasks!$A:$A,ROW()-1))</f>
        <v>G2-DS-8.1</v>
      </c>
      <c r="B34" s="16" t="str">
        <f aca="false">IF(INDEX(Tasks!$A:$A,ROW()-1)="","",IF(ISERROR(FIND(".",INDEX(Tasks!$A:$A,ROW()-1))),"","   ")&amp;INDEX(Tasks!$D:$D,ROW()-1))</f>
        <v>   Dataset Packaging &amp; Documentation</v>
      </c>
      <c r="C34" s="16" t="str">
        <f aca="false">IF(INDEX(Tasks!$G:$G,ROW()-1)="","",INDEX(Tasks!$G:$G,ROW()-1))</f>
        <v>TBD</v>
      </c>
      <c r="D34" s="16" t="str">
        <f aca="false">IF(INDEX(Tasks!$H:$H,ROW()-1)="","",INDEX(Tasks!$H:$H,ROW()-1))</f>
        <v>Not Started</v>
      </c>
      <c r="E34" s="17" t="str">
        <f aca="false">IF(INDEX(Tasks!$I:$I,ROW()-1)="","",INDEX(Tasks!$I:$I,ROW()-1))</f>
        <v/>
      </c>
      <c r="F34" s="17" t="str">
        <f aca="false">IF(INDEX(Tasks!$K:$K,ROW()-1)="","",INDEX(Tasks!$K:$K,ROW()-1))</f>
        <v/>
      </c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8"/>
      <c r="AW34" s="18"/>
      <c r="AX34" s="18"/>
    </row>
    <row r="35" customFormat="false" ht="15" hidden="false" customHeight="false" outlineLevel="0" collapsed="false">
      <c r="A35" s="16" t="str">
        <f aca="false">IF(INDEX(Tasks!$A:$A,ROW()-1)="","",INDEX(Tasks!$A:$A,ROW()-1))</f>
        <v>G2-DS-8.2</v>
      </c>
      <c r="B35" s="16" t="str">
        <f aca="false">IF(INDEX(Tasks!$A:$A,ROW()-1)="","",IF(ISERROR(FIND(".",INDEX(Tasks!$A:$A,ROW()-1))),"","   ")&amp;INDEX(Tasks!$D:$D,ROW()-1))</f>
        <v>   Devkit</v>
      </c>
      <c r="C35" s="16" t="str">
        <f aca="false">IF(INDEX(Tasks!$G:$G,ROW()-1)="","",INDEX(Tasks!$G:$G,ROW()-1))</f>
        <v>TBD</v>
      </c>
      <c r="D35" s="16" t="str">
        <f aca="false">IF(INDEX(Tasks!$H:$H,ROW()-1)="","",INDEX(Tasks!$H:$H,ROW()-1))</f>
        <v>Not Started</v>
      </c>
      <c r="E35" s="17" t="n">
        <f aca="false">IF(INDEX(Tasks!$I:$I,ROW()-1)="","",INDEX(Tasks!$I:$I,ROW()-1))</f>
        <v>46384</v>
      </c>
      <c r="F35" s="17" t="n">
        <f aca="false">IF(INDEX(Tasks!$K:$K,ROW()-1)="","",INDEX(Tasks!$K:$K,ROW()-1))</f>
        <v>46409</v>
      </c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  <c r="AO35" s="18"/>
      <c r="AP35" s="18"/>
      <c r="AQ35" s="18"/>
      <c r="AR35" s="18"/>
      <c r="AS35" s="18"/>
      <c r="AT35" s="18"/>
      <c r="AU35" s="18"/>
      <c r="AV35" s="18"/>
      <c r="AW35" s="18"/>
      <c r="AX35" s="18"/>
    </row>
    <row r="36" customFormat="false" ht="15" hidden="false" customHeight="false" outlineLevel="0" collapsed="false">
      <c r="A36" s="16" t="str">
        <f aca="false">IF(INDEX(Tasks!$A:$A,ROW()-1)="","",INDEX(Tasks!$A:$A,ROW()-1))</f>
        <v>G2-DS-8.3</v>
      </c>
      <c r="B36" s="16" t="str">
        <f aca="false">IF(INDEX(Tasks!$A:$A,ROW()-1)="","",IF(ISERROR(FIND(".",INDEX(Tasks!$A:$A,ROW()-1))),"","   ")&amp;INDEX(Tasks!$D:$D,ROW()-1))</f>
        <v>   License, DOI, hosting</v>
      </c>
      <c r="C36" s="16" t="str">
        <f aca="false">IF(INDEX(Tasks!$G:$G,ROW()-1)="","",INDEX(Tasks!$G:$G,ROW()-1))</f>
        <v>TBD</v>
      </c>
      <c r="D36" s="16" t="str">
        <f aca="false">IF(INDEX(Tasks!$H:$H,ROW()-1)="","",INDEX(Tasks!$H:$H,ROW()-1))</f>
        <v>Not Started</v>
      </c>
      <c r="E36" s="17" t="n">
        <f aca="false">IF(INDEX(Tasks!$I:$I,ROW()-1)="","",INDEX(Tasks!$I:$I,ROW()-1))</f>
        <v>46398</v>
      </c>
      <c r="F36" s="17" t="n">
        <f aca="false">IF(INDEX(Tasks!$K:$K,ROW()-1)="","",INDEX(Tasks!$K:$K,ROW()-1))</f>
        <v>46409</v>
      </c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  <c r="AQ36" s="18"/>
      <c r="AR36" s="18"/>
      <c r="AS36" s="18"/>
      <c r="AT36" s="18"/>
      <c r="AU36" s="18"/>
      <c r="AV36" s="18"/>
      <c r="AW36" s="18"/>
      <c r="AX36" s="18"/>
    </row>
    <row r="37" customFormat="false" ht="15" hidden="false" customHeight="false" outlineLevel="0" collapsed="false">
      <c r="A37" s="16" t="str">
        <f aca="false">IF(INDEX(Tasks!$A:$A,ROW()-1)="","",INDEX(Tasks!$A:$A,ROW()-1))</f>
        <v>G2-BP-A</v>
      </c>
      <c r="B37" s="16" t="str">
        <f aca="false">IF(INDEX(Tasks!$A:$A,ROW()-1)="","",IF(ISERROR(FIND(".",INDEX(Tasks!$A:$A,ROW()-1))),"","   ")&amp;INDEX(Tasks!$D:$D,ROW()-1))</f>
        <v>Ground-truth numbers (RESULTS_PLAN A0)</v>
      </c>
      <c r="C37" s="16" t="str">
        <f aca="false">IF(INDEX(Tasks!$G:$G,ROW()-1)="","",INDEX(Tasks!$G:$G,ROW()-1))</f>
        <v>TBD</v>
      </c>
      <c r="D37" s="16" t="str">
        <f aca="false">IF(INDEX(Tasks!$H:$H,ROW()-1)="","",INDEX(Tasks!$H:$H,ROW()-1))</f>
        <v>Not Started</v>
      </c>
      <c r="E37" s="17" t="n">
        <f aca="false">IF(INDEX(Tasks!$I:$I,ROW()-1)="","",INDEX(Tasks!$I:$I,ROW()-1))</f>
        <v>46314</v>
      </c>
      <c r="F37" s="17" t="n">
        <f aca="false">IF(INDEX(Tasks!$K:$K,ROW()-1)="","",INDEX(Tasks!$K:$K,ROW()-1))</f>
        <v>46332</v>
      </c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  <c r="AP37" s="18"/>
      <c r="AQ37" s="18"/>
      <c r="AR37" s="18"/>
      <c r="AS37" s="18"/>
      <c r="AT37" s="18"/>
      <c r="AU37" s="18"/>
      <c r="AV37" s="18"/>
      <c r="AW37" s="18"/>
      <c r="AX37" s="18"/>
    </row>
    <row r="38" customFormat="false" ht="15" hidden="false" customHeight="false" outlineLevel="0" collapsed="false">
      <c r="A38" s="16" t="str">
        <f aca="false">IF(INDEX(Tasks!$A:$A,ROW()-1)="","",INDEX(Tasks!$A:$A,ROW()-1))</f>
        <v>G2-BP-B</v>
      </c>
      <c r="B38" s="16" t="str">
        <f aca="false">IF(INDEX(Tasks!$A:$A,ROW()-1)="","",IF(ISERROR(FIND(".",INDEX(Tasks!$A:$A,ROW()-1))),"","   ")&amp;INDEX(Tasks!$D:$D,ROW()-1))</f>
        <v>Inventory &amp; statistics tables (B)</v>
      </c>
      <c r="C38" s="16" t="str">
        <f aca="false">IF(INDEX(Tasks!$G:$G,ROW()-1)="","",INDEX(Tasks!$G:$G,ROW()-1))</f>
        <v>TBD</v>
      </c>
      <c r="D38" s="16" t="str">
        <f aca="false">IF(INDEX(Tasks!$H:$H,ROW()-1)="","",INDEX(Tasks!$H:$H,ROW()-1))</f>
        <v>Not Started</v>
      </c>
      <c r="E38" s="17" t="n">
        <f aca="false">IF(INDEX(Tasks!$I:$I,ROW()-1)="","",INDEX(Tasks!$I:$I,ROW()-1))</f>
        <v>46342</v>
      </c>
      <c r="F38" s="17" t="n">
        <f aca="false">IF(INDEX(Tasks!$K:$K,ROW()-1)="","",INDEX(Tasks!$K:$K,ROW()-1))</f>
        <v>46360</v>
      </c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  <c r="AV38" s="18"/>
      <c r="AW38" s="18"/>
      <c r="AX38" s="18"/>
    </row>
    <row r="39" customFormat="false" ht="15" hidden="false" customHeight="false" outlineLevel="0" collapsed="false">
      <c r="A39" s="16" t="str">
        <f aca="false">IF(INDEX(Tasks!$A:$A,ROW()-1)="","",INDEX(Tasks!$A:$A,ROW()-1))</f>
        <v>G2-BP-C</v>
      </c>
      <c r="B39" s="16" t="str">
        <f aca="false">IF(INDEX(Tasks!$A:$A,ROW()-1)="","",IF(ISERROR(FIND(".",INDEX(Tasks!$A:$A,ROW()-1))),"","   ")&amp;INDEX(Tasks!$D:$D,ROW()-1))</f>
        <v>Geometry validation (C)</v>
      </c>
      <c r="C39" s="16" t="str">
        <f aca="false">IF(INDEX(Tasks!$G:$G,ROW()-1)="","",INDEX(Tasks!$G:$G,ROW()-1))</f>
        <v>TBD</v>
      </c>
      <c r="D39" s="16" t="str">
        <f aca="false">IF(INDEX(Tasks!$H:$H,ROW()-1)="","",INDEX(Tasks!$H:$H,ROW()-1))</f>
        <v>Not Started</v>
      </c>
      <c r="E39" s="17" t="n">
        <f aca="false">IF(INDEX(Tasks!$I:$I,ROW()-1)="","",INDEX(Tasks!$I:$I,ROW()-1))</f>
        <v>46363</v>
      </c>
      <c r="F39" s="17" t="n">
        <f aca="false">IF(INDEX(Tasks!$K:$K,ROW()-1)="","",INDEX(Tasks!$K:$K,ROW()-1))</f>
        <v>46381</v>
      </c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AL39" s="18"/>
      <c r="AM39" s="18"/>
      <c r="AN39" s="18"/>
      <c r="AO39" s="18"/>
      <c r="AP39" s="18"/>
      <c r="AQ39" s="18"/>
      <c r="AR39" s="18"/>
      <c r="AS39" s="18"/>
      <c r="AT39" s="18"/>
      <c r="AU39" s="18"/>
      <c r="AV39" s="18"/>
      <c r="AW39" s="18"/>
      <c r="AX39" s="18"/>
    </row>
    <row r="40" customFormat="false" ht="15" hidden="false" customHeight="false" outlineLevel="0" collapsed="false">
      <c r="A40" s="16" t="str">
        <f aca="false">IF(INDEX(Tasks!$A:$A,ROW()-1)="","",INDEX(Tasks!$A:$A,ROW()-1))</f>
        <v>G2-BP-D</v>
      </c>
      <c r="B40" s="16" t="str">
        <f aca="false">IF(INDEX(Tasks!$A:$A,ROW()-1)="","",IF(ISERROR(FIND(".",INDEX(Tasks!$A:$A,ROW()-1))),"","   ")&amp;INDEX(Tasks!$D:$D,ROW()-1))</f>
        <v>T2 collaborative perception under 3 channels (D)</v>
      </c>
      <c r="C40" s="16" t="str">
        <f aca="false">IF(INDEX(Tasks!$G:$G,ROW()-1)="","",INDEX(Tasks!$G:$G,ROW()-1))</f>
        <v>TBD</v>
      </c>
      <c r="D40" s="16" t="str">
        <f aca="false">IF(INDEX(Tasks!$H:$H,ROW()-1)="","",INDEX(Tasks!$H:$H,ROW()-1))</f>
        <v>Not Started</v>
      </c>
      <c r="E40" s="17" t="n">
        <f aca="false">IF(INDEX(Tasks!$I:$I,ROW()-1)="","",INDEX(Tasks!$I:$I,ROW()-1))</f>
        <v>46363</v>
      </c>
      <c r="F40" s="17" t="n">
        <f aca="false">IF(INDEX(Tasks!$K:$K,ROW()-1)="","",INDEX(Tasks!$K:$K,ROW()-1))</f>
        <v>46395</v>
      </c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  <c r="AT40" s="18"/>
      <c r="AU40" s="18"/>
      <c r="AV40" s="18"/>
      <c r="AW40" s="18"/>
      <c r="AX40" s="18"/>
    </row>
    <row r="41" customFormat="false" ht="15" hidden="false" customHeight="false" outlineLevel="0" collapsed="false">
      <c r="A41" s="16" t="str">
        <f aca="false">IF(INDEX(Tasks!$A:$A,ROW()-1)="","",INDEX(Tasks!$A:$A,ROW()-1))</f>
        <v>G2-BP-E</v>
      </c>
      <c r="B41" s="16" t="str">
        <f aca="false">IF(INDEX(Tasks!$A:$A,ROW()-1)="","",IF(ISERROR(FIND(".",INDEX(Tasks!$A:$A,ROW()-1))),"","   ")&amp;INDEX(Tasks!$D:$D,ROW()-1))</f>
        <v>T1 collaborative SLAM (E)</v>
      </c>
      <c r="C41" s="16" t="str">
        <f aca="false">IF(INDEX(Tasks!$G:$G,ROW()-1)="","",INDEX(Tasks!$G:$G,ROW()-1))</f>
        <v>TBD</v>
      </c>
      <c r="D41" s="16" t="str">
        <f aca="false">IF(INDEX(Tasks!$H:$H,ROW()-1)="","",INDEX(Tasks!$H:$H,ROW()-1))</f>
        <v>Not Started</v>
      </c>
      <c r="E41" s="17" t="n">
        <f aca="false">IF(INDEX(Tasks!$I:$I,ROW()-1)="","",INDEX(Tasks!$I:$I,ROW()-1))</f>
        <v>46363</v>
      </c>
      <c r="F41" s="17" t="n">
        <f aca="false">IF(INDEX(Tasks!$K:$K,ROW()-1)="","",INDEX(Tasks!$K:$K,ROW()-1))</f>
        <v>46395</v>
      </c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  <c r="AP41" s="18"/>
      <c r="AQ41" s="18"/>
      <c r="AR41" s="18"/>
      <c r="AS41" s="18"/>
      <c r="AT41" s="18"/>
      <c r="AU41" s="18"/>
      <c r="AV41" s="18"/>
      <c r="AW41" s="18"/>
      <c r="AX41" s="18"/>
    </row>
    <row r="42" customFormat="false" ht="15" hidden="false" customHeight="false" outlineLevel="0" collapsed="false">
      <c r="A42" s="16" t="str">
        <f aca="false">IF(INDEX(Tasks!$A:$A,ROW()-1)="","",INDEX(Tasks!$A:$A,ROW()-1))</f>
        <v>G2-BP-F</v>
      </c>
      <c r="B42" s="16" t="str">
        <f aca="false">IF(INDEX(Tasks!$A:$A,ROW()-1)="","",IF(ISERROR(FIND(".",INDEX(Tasks!$A:$A,ROW()-1))),"","   ")&amp;INDEX(Tasks!$D:$D,ROW()-1))</f>
        <v>Q2 regression (F)</v>
      </c>
      <c r="C42" s="16" t="str">
        <f aca="false">IF(INDEX(Tasks!$G:$G,ROW()-1)="","",INDEX(Tasks!$G:$G,ROW()-1))</f>
        <v>TBD</v>
      </c>
      <c r="D42" s="16" t="str">
        <f aca="false">IF(INDEX(Tasks!$H:$H,ROW()-1)="","",INDEX(Tasks!$H:$H,ROW()-1))</f>
        <v>Not Started</v>
      </c>
      <c r="E42" s="17" t="n">
        <f aca="false">IF(INDEX(Tasks!$I:$I,ROW()-1)="","",INDEX(Tasks!$I:$I,ROW()-1))</f>
        <v>46398</v>
      </c>
      <c r="F42" s="17" t="n">
        <f aca="false">IF(INDEX(Tasks!$K:$K,ROW()-1)="","",INDEX(Tasks!$K:$K,ROW()-1))</f>
        <v>46409</v>
      </c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  <c r="AP42" s="18"/>
      <c r="AQ42" s="18"/>
      <c r="AR42" s="18"/>
      <c r="AS42" s="18"/>
      <c r="AT42" s="18"/>
      <c r="AU42" s="18"/>
      <c r="AV42" s="18"/>
      <c r="AW42" s="18"/>
      <c r="AX42" s="18"/>
    </row>
    <row r="43" customFormat="false" ht="15" hidden="false" customHeight="false" outlineLevel="0" collapsed="false">
      <c r="A43" s="16" t="str">
        <f aca="false">IF(INDEX(Tasks!$A:$A,ROW()-1)="","",INDEX(Tasks!$A:$A,ROW()-1))</f>
        <v>G2-BP-G</v>
      </c>
      <c r="B43" s="16" t="str">
        <f aca="false">IF(INDEX(Tasks!$A:$A,ROW()-1)="","",IF(ISERROR(FIND(".",INDEX(Tasks!$A:$A,ROW()-1))),"","   ")&amp;INDEX(Tasks!$D:$D,ROW()-1))</f>
        <v>Write-up (G)</v>
      </c>
      <c r="C43" s="16" t="str">
        <f aca="false">IF(INDEX(Tasks!$G:$G,ROW()-1)="","",INDEX(Tasks!$G:$G,ROW()-1))</f>
        <v>TBD</v>
      </c>
      <c r="D43" s="16" t="str">
        <f aca="false">IF(INDEX(Tasks!$H:$H,ROW()-1)="","",INDEX(Tasks!$H:$H,ROW()-1))</f>
        <v>Not Started</v>
      </c>
      <c r="E43" s="17" t="n">
        <f aca="false">IF(INDEX(Tasks!$I:$I,ROW()-1)="","",INDEX(Tasks!$I:$I,ROW()-1))</f>
        <v>46398</v>
      </c>
      <c r="F43" s="17" t="n">
        <f aca="false">IF(INDEX(Tasks!$K:$K,ROW()-1)="","",INDEX(Tasks!$K:$K,ROW()-1))</f>
        <v>46423</v>
      </c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18"/>
      <c r="AT43" s="18"/>
      <c r="AU43" s="18"/>
      <c r="AV43" s="18"/>
      <c r="AW43" s="18"/>
      <c r="AX43" s="18"/>
    </row>
    <row r="44" customFormat="false" ht="15" hidden="false" customHeight="false" outlineLevel="0" collapsed="false">
      <c r="A44" s="16" t="str">
        <f aca="false">IF(INDEX(Tasks!$A:$A,ROW()-1)="","",INDEX(Tasks!$A:$A,ROW()-1))</f>
        <v>G2-M1</v>
      </c>
      <c r="B44" s="16" t="str">
        <f aca="false">IF(INDEX(Tasks!$A:$A,ROW()-1)="","",IF(ISERROR(FIND(".",INDEX(Tasks!$A:$A,ROW()-1))),"","   ")&amp;INDEX(Tasks!$D:$D,ROW()-1))</f>
        <v>Paper submitted (IJRR)</v>
      </c>
      <c r="C44" s="16" t="str">
        <f aca="false">IF(INDEX(Tasks!$G:$G,ROW()-1)="","",INDEX(Tasks!$G:$G,ROW()-1))</f>
        <v>TBD</v>
      </c>
      <c r="D44" s="16" t="str">
        <f aca="false">IF(INDEX(Tasks!$H:$H,ROW()-1)="","",INDEX(Tasks!$H:$H,ROW()-1))</f>
        <v>Not Started</v>
      </c>
      <c r="E44" s="17" t="n">
        <f aca="false">IF(INDEX(Tasks!$I:$I,ROW()-1)="","",INDEX(Tasks!$I:$I,ROW()-1))</f>
        <v>46426</v>
      </c>
      <c r="F44" s="17" t="n">
        <f aca="false">IF(INDEX(Tasks!$K:$K,ROW()-1)="","",INDEX(Tasks!$K:$K,ROW()-1))</f>
        <v>46430</v>
      </c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  <c r="AT44" s="18"/>
      <c r="AU44" s="18"/>
      <c r="AV44" s="18"/>
      <c r="AW44" s="18"/>
      <c r="AX44" s="18"/>
    </row>
    <row r="45" customFormat="false" ht="15" hidden="false" customHeight="false" outlineLevel="0" collapsed="false">
      <c r="A45" s="16" t="str">
        <f aca="false">IF(INDEX(Tasks!$A:$A,ROW()-1)="","",INDEX(Tasks!$A:$A,ROW()-1))</f>
        <v>G1-SP-1</v>
      </c>
      <c r="B45" s="16" t="str">
        <f aca="false">IF(INDEX(Tasks!$A:$A,ROW()-1)="","",IF(ISERROR(FIND(".",INDEX(Tasks!$A:$A,ROW()-1))),"","   ")&amp;INDEX(Tasks!$D:$D,ROW()-1))</f>
        <v>Sensor rig &amp; TF tree per robot</v>
      </c>
      <c r="C45" s="16" t="str">
        <f aca="false">IF(INDEX(Tasks!$G:$G,ROW()-1)="","",INDEX(Tasks!$G:$G,ROW()-1))</f>
        <v>TBD</v>
      </c>
      <c r="D45" s="16" t="str">
        <f aca="false">IF(INDEX(Tasks!$H:$H,ROW()-1)="","",INDEX(Tasks!$H:$H,ROW()-1))</f>
        <v>Not Started</v>
      </c>
      <c r="E45" s="17" t="n">
        <f aca="false">IF(INDEX(Tasks!$I:$I,ROW()-1)="","",INDEX(Tasks!$I:$I,ROW()-1))</f>
        <v>46307</v>
      </c>
      <c r="F45" s="17" t="n">
        <f aca="false">IF(INDEX(Tasks!$K:$K,ROW()-1)="","",INDEX(Tasks!$K:$K,ROW()-1))</f>
        <v>46318</v>
      </c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  <c r="AT45" s="18"/>
      <c r="AU45" s="18"/>
      <c r="AV45" s="18"/>
      <c r="AW45" s="18"/>
      <c r="AX45" s="18"/>
    </row>
    <row r="46" customFormat="false" ht="15" hidden="false" customHeight="false" outlineLevel="0" collapsed="false">
      <c r="A46" s="16" t="str">
        <f aca="false">IF(INDEX(Tasks!$A:$A,ROW()-1)="","",INDEX(Tasks!$A:$A,ROW()-1))</f>
        <v>G1-SP-2</v>
      </c>
      <c r="B46" s="16" t="str">
        <f aca="false">IF(INDEX(Tasks!$A:$A,ROW()-1)="","",IF(ISERROR(FIND(".",INDEX(Tasks!$A:$A,ROW()-1))),"","   ")&amp;INDEX(Tasks!$D:$D,ROW()-1))</f>
        <v>Odometry: front end + fusion filter</v>
      </c>
      <c r="C46" s="16" t="str">
        <f aca="false">IF(INDEX(Tasks!$G:$G,ROW()-1)="","",INDEX(Tasks!$G:$G,ROW()-1))</f>
        <v>TBD</v>
      </c>
      <c r="D46" s="16" t="str">
        <f aca="false">IF(INDEX(Tasks!$H:$H,ROW()-1)="","",INDEX(Tasks!$H:$H,ROW()-1))</f>
        <v>Not Started</v>
      </c>
      <c r="E46" s="17" t="n">
        <f aca="false">IF(INDEX(Tasks!$I:$I,ROW()-1)="","",INDEX(Tasks!$I:$I,ROW()-1))</f>
        <v>46314</v>
      </c>
      <c r="F46" s="17" t="n">
        <f aca="false">IF(INDEX(Tasks!$K:$K,ROW()-1)="","",INDEX(Tasks!$K:$K,ROW()-1))</f>
        <v>46339</v>
      </c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  <c r="AN46" s="18"/>
      <c r="AO46" s="18"/>
      <c r="AP46" s="18"/>
      <c r="AQ46" s="18"/>
      <c r="AR46" s="18"/>
      <c r="AS46" s="18"/>
      <c r="AT46" s="18"/>
      <c r="AU46" s="18"/>
      <c r="AV46" s="18"/>
      <c r="AW46" s="18"/>
      <c r="AX46" s="18"/>
    </row>
    <row r="47" customFormat="false" ht="15" hidden="false" customHeight="false" outlineLevel="0" collapsed="false">
      <c r="A47" s="16" t="str">
        <f aca="false">IF(INDEX(Tasks!$A:$A,ROW()-1)="","",INDEX(Tasks!$A:$A,ROW()-1))</f>
        <v>G1-SP-3</v>
      </c>
      <c r="B47" s="16" t="str">
        <f aca="false">IF(INDEX(Tasks!$A:$A,ROW()-1)="","",IF(ISERROR(FIND(".",INDEX(Tasks!$A:$A,ROW()-1))),"","   ")&amp;INDEX(Tasks!$D:$D,ROW()-1))</f>
        <v>ED305 camera calibration in the room frame</v>
      </c>
      <c r="C47" s="16" t="str">
        <f aca="false">IF(INDEX(Tasks!$G:$G,ROW()-1)="","",INDEX(Tasks!$G:$G,ROW()-1))</f>
        <v>TBD</v>
      </c>
      <c r="D47" s="16" t="str">
        <f aca="false">IF(INDEX(Tasks!$H:$H,ROW()-1)="","",INDEX(Tasks!$H:$H,ROW()-1))</f>
        <v>Blocked</v>
      </c>
      <c r="E47" s="17" t="n">
        <f aca="false">IF(INDEX(Tasks!$I:$I,ROW()-1)="","",INDEX(Tasks!$I:$I,ROW()-1))</f>
        <v>46307</v>
      </c>
      <c r="F47" s="17" t="n">
        <f aca="false">IF(INDEX(Tasks!$K:$K,ROW()-1)="","",INDEX(Tasks!$K:$K,ROW()-1))</f>
        <v>46318</v>
      </c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  <c r="AP47" s="18"/>
      <c r="AQ47" s="18"/>
      <c r="AR47" s="18"/>
      <c r="AS47" s="18"/>
      <c r="AT47" s="18"/>
      <c r="AU47" s="18"/>
      <c r="AV47" s="18"/>
      <c r="AW47" s="18"/>
      <c r="AX47" s="18"/>
    </row>
    <row r="48" customFormat="false" ht="15" hidden="false" customHeight="false" outlineLevel="0" collapsed="false">
      <c r="A48" s="16" t="str">
        <f aca="false">IF(INDEX(Tasks!$A:$A,ROW()-1)="","",INDEX(Tasks!$A:$A,ROW()-1))</f>
        <v>G1-SP-4</v>
      </c>
      <c r="B48" s="16" t="str">
        <f aca="false">IF(INDEX(Tasks!$A:$A,ROW()-1)="","",IF(ISERROR(FIND(".",INDEX(Tasks!$A:$A,ROW()-1))),"","   ")&amp;INDEX(Tasks!$D:$D,ROW()-1))</f>
        <v>ED305 coverage &amp; camera placement</v>
      </c>
      <c r="C48" s="16" t="str">
        <f aca="false">IF(INDEX(Tasks!$G:$G,ROW()-1)="","",INDEX(Tasks!$G:$G,ROW()-1))</f>
        <v>TBD</v>
      </c>
      <c r="D48" s="16" t="str">
        <f aca="false">IF(INDEX(Tasks!$H:$H,ROW()-1)="","",INDEX(Tasks!$H:$H,ROW()-1))</f>
        <v>In Progress</v>
      </c>
      <c r="E48" s="17" t="n">
        <f aca="false">IF(INDEX(Tasks!$I:$I,ROW()-1)="","",INDEX(Tasks!$I:$I,ROW()-1))</f>
        <v>46321</v>
      </c>
      <c r="F48" s="17" t="n">
        <f aca="false">IF(INDEX(Tasks!$K:$K,ROW()-1)="","",INDEX(Tasks!$K:$K,ROW()-1))</f>
        <v>46339</v>
      </c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AL48" s="18"/>
      <c r="AM48" s="18"/>
      <c r="AN48" s="18"/>
      <c r="AO48" s="18"/>
      <c r="AP48" s="18"/>
      <c r="AQ48" s="18"/>
      <c r="AR48" s="18"/>
      <c r="AS48" s="18"/>
      <c r="AT48" s="18"/>
      <c r="AU48" s="18"/>
      <c r="AV48" s="18"/>
      <c r="AW48" s="18"/>
      <c r="AX48" s="18"/>
    </row>
    <row r="49" customFormat="false" ht="15" hidden="false" customHeight="false" outlineLevel="0" collapsed="false">
      <c r="A49" s="16" t="str">
        <f aca="false">IF(INDEX(Tasks!$A:$A,ROW()-1)="","",INDEX(Tasks!$A:$A,ROW()-1))</f>
        <v>G1-SP-5</v>
      </c>
      <c r="B49" s="16" t="str">
        <f aca="false">IF(INDEX(Tasks!$A:$A,ROW()-1)="","",IF(ISERROR(FIND(".",INDEX(Tasks!$A:$A,ROW()-1))),"","   ")&amp;INDEX(Tasks!$D:$D,ROW()-1))</f>
        <v>Printed pan-tilt heads</v>
      </c>
      <c r="C49" s="16" t="str">
        <f aca="false">IF(INDEX(Tasks!$G:$G,ROW()-1)="","",INDEX(Tasks!$G:$G,ROW()-1))</f>
        <v>TBD</v>
      </c>
      <c r="D49" s="16" t="str">
        <f aca="false">IF(INDEX(Tasks!$H:$H,ROW()-1)="","",INDEX(Tasks!$H:$H,ROW()-1))</f>
        <v>Not Started</v>
      </c>
      <c r="E49" s="17" t="n">
        <f aca="false">IF(INDEX(Tasks!$I:$I,ROW()-1)="","",INDEX(Tasks!$I:$I,ROW()-1))</f>
        <v>46314</v>
      </c>
      <c r="F49" s="17" t="n">
        <f aca="false">IF(INDEX(Tasks!$K:$K,ROW()-1)="","",INDEX(Tasks!$K:$K,ROW()-1))</f>
        <v>46332</v>
      </c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AL49" s="18"/>
      <c r="AM49" s="18"/>
      <c r="AN49" s="18"/>
      <c r="AO49" s="18"/>
      <c r="AP49" s="18"/>
      <c r="AQ49" s="18"/>
      <c r="AR49" s="18"/>
      <c r="AS49" s="18"/>
      <c r="AT49" s="18"/>
      <c r="AU49" s="18"/>
      <c r="AV49" s="18"/>
      <c r="AW49" s="18"/>
      <c r="AX49" s="18"/>
    </row>
    <row r="50" customFormat="false" ht="15" hidden="false" customHeight="false" outlineLevel="0" collapsed="false">
      <c r="A50" s="16" t="str">
        <f aca="false">IF(INDEX(Tasks!$A:$A,ROW()-1)="","",INDEX(Tasks!$A:$A,ROW()-1))</f>
        <v>G1-SP-6</v>
      </c>
      <c r="B50" s="16" t="str">
        <f aca="false">IF(INDEX(Tasks!$A:$A,ROW()-1)="","",IF(ISERROR(FIND(".",INDEX(Tasks!$A:$A,ROW()-1))),"","   ")&amp;INDEX(Tasks!$D:$D,ROW()-1))</f>
        <v>ED305 camera time sync</v>
      </c>
      <c r="C50" s="16" t="str">
        <f aca="false">IF(INDEX(Tasks!$G:$G,ROW()-1)="","",INDEX(Tasks!$G:$G,ROW()-1))</f>
        <v>TBD</v>
      </c>
      <c r="D50" s="16" t="str">
        <f aca="false">IF(INDEX(Tasks!$H:$H,ROW()-1)="","",INDEX(Tasks!$H:$H,ROW()-1))</f>
        <v>Not Started</v>
      </c>
      <c r="E50" s="17" t="n">
        <f aca="false">IF(INDEX(Tasks!$I:$I,ROW()-1)="","",INDEX(Tasks!$I:$I,ROW()-1))</f>
        <v>46321</v>
      </c>
      <c r="F50" s="17" t="n">
        <f aca="false">IF(INDEX(Tasks!$K:$K,ROW()-1)="","",INDEX(Tasks!$K:$K,ROW()-1))</f>
        <v>46332</v>
      </c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AL50" s="18"/>
      <c r="AM50" s="18"/>
      <c r="AN50" s="18"/>
      <c r="AO50" s="18"/>
      <c r="AP50" s="18"/>
      <c r="AQ50" s="18"/>
      <c r="AR50" s="18"/>
      <c r="AS50" s="18"/>
      <c r="AT50" s="18"/>
      <c r="AU50" s="18"/>
      <c r="AV50" s="18"/>
      <c r="AW50" s="18"/>
      <c r="AX50" s="18"/>
    </row>
    <row r="51" customFormat="false" ht="15" hidden="false" customHeight="false" outlineLevel="0" collapsed="false">
      <c r="A51" s="16" t="str">
        <f aca="false">IF(INDEX(Tasks!$A:$A,ROW()-1)="","",INDEX(Tasks!$A:$A,ROW()-1))</f>
        <v>G1-GS-1</v>
      </c>
      <c r="B51" s="16" t="str">
        <f aca="false">IF(INDEX(Tasks!$A:$A,ROW()-1)="","",IF(ISERROR(FIND(".",INDEX(Tasks!$A:$A,ROW()-1))),"","   ")&amp;INDEX(Tasks!$D:$D,ROW()-1))</f>
        <v>Metric prior</v>
      </c>
      <c r="C51" s="16" t="str">
        <f aca="false">IF(INDEX(Tasks!$G:$G,ROW()-1)="","",INDEX(Tasks!$G:$G,ROW()-1))</f>
        <v>TBD</v>
      </c>
      <c r="D51" s="16" t="str">
        <f aca="false">IF(INDEX(Tasks!$H:$H,ROW()-1)="","",INDEX(Tasks!$H:$H,ROW()-1))</f>
        <v>Not Started</v>
      </c>
      <c r="E51" s="17" t="n">
        <f aca="false">IF(INDEX(Tasks!$I:$I,ROW()-1)="","",INDEX(Tasks!$I:$I,ROW()-1))</f>
        <v>46307</v>
      </c>
      <c r="F51" s="17" t="n">
        <f aca="false">IF(INDEX(Tasks!$K:$K,ROW()-1)="","",INDEX(Tasks!$K:$K,ROW()-1))</f>
        <v>46318</v>
      </c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  <c r="AT51" s="18"/>
      <c r="AU51" s="18"/>
      <c r="AV51" s="18"/>
      <c r="AW51" s="18"/>
      <c r="AX51" s="18"/>
    </row>
    <row r="52" customFormat="false" ht="15" hidden="false" customHeight="false" outlineLevel="0" collapsed="false">
      <c r="A52" s="16" t="str">
        <f aca="false">IF(INDEX(Tasks!$A:$A,ROW()-1)="","",INDEX(Tasks!$A:$A,ROW()-1))</f>
        <v>G1-GS-2</v>
      </c>
      <c r="B52" s="16" t="str">
        <f aca="false">IF(INDEX(Tasks!$A:$A,ROW()-1)="","",IF(ISERROR(FIND(".",INDEX(Tasks!$A:$A,ROW()-1))),"","   ")&amp;INDEX(Tasks!$D:$D,ROW()-1))</f>
        <v>Tracking + keyframe gate</v>
      </c>
      <c r="C52" s="16" t="str">
        <f aca="false">IF(INDEX(Tasks!$G:$G,ROW()-1)="","",INDEX(Tasks!$G:$G,ROW()-1))</f>
        <v>TBD</v>
      </c>
      <c r="D52" s="16" t="str">
        <f aca="false">IF(INDEX(Tasks!$H:$H,ROW()-1)="","",INDEX(Tasks!$H:$H,ROW()-1))</f>
        <v>Not Started</v>
      </c>
      <c r="E52" s="17" t="n">
        <f aca="false">IF(INDEX(Tasks!$I:$I,ROW()-1)="","",INDEX(Tasks!$I:$I,ROW()-1))</f>
        <v>46314</v>
      </c>
      <c r="F52" s="17" t="n">
        <f aca="false">IF(INDEX(Tasks!$K:$K,ROW()-1)="","",INDEX(Tasks!$K:$K,ROW()-1))</f>
        <v>46339</v>
      </c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  <c r="AT52" s="18"/>
      <c r="AU52" s="18"/>
      <c r="AV52" s="18"/>
      <c r="AW52" s="18"/>
      <c r="AX52" s="18"/>
    </row>
    <row r="53" customFormat="false" ht="15" hidden="false" customHeight="false" outlineLevel="0" collapsed="false">
      <c r="A53" s="16" t="str">
        <f aca="false">IF(INDEX(Tasks!$A:$A,ROW()-1)="","",INDEX(Tasks!$A:$A,ROW()-1))</f>
        <v>G1-GS-3</v>
      </c>
      <c r="B53" s="16" t="str">
        <f aca="false">IF(INDEX(Tasks!$A:$A,ROW()-1)="","",IF(ISERROR(FIND(".",INDEX(Tasks!$A:$A,ROW()-1))),"","   ")&amp;INDEX(Tasks!$D:$D,ROW()-1))</f>
        <v>Mapping + loop closure</v>
      </c>
      <c r="C53" s="16" t="str">
        <f aca="false">IF(INDEX(Tasks!$G:$G,ROW()-1)="","",INDEX(Tasks!$G:$G,ROW()-1))</f>
        <v>TBD</v>
      </c>
      <c r="D53" s="16" t="str">
        <f aca="false">IF(INDEX(Tasks!$H:$H,ROW()-1)="","",INDEX(Tasks!$H:$H,ROW()-1))</f>
        <v>Not Started</v>
      </c>
      <c r="E53" s="17" t="n">
        <f aca="false">IF(INDEX(Tasks!$I:$I,ROW()-1)="","",INDEX(Tasks!$I:$I,ROW()-1))</f>
        <v>46328</v>
      </c>
      <c r="F53" s="17" t="n">
        <f aca="false">IF(INDEX(Tasks!$K:$K,ROW()-1)="","",INDEX(Tasks!$K:$K,ROW()-1))</f>
        <v>46353</v>
      </c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  <c r="AT53" s="18"/>
      <c r="AU53" s="18"/>
      <c r="AV53" s="18"/>
      <c r="AW53" s="18"/>
      <c r="AX53" s="18"/>
    </row>
    <row r="54" customFormat="false" ht="15" hidden="false" customHeight="false" outlineLevel="0" collapsed="false">
      <c r="A54" s="16" t="str">
        <f aca="false">IF(INDEX(Tasks!$A:$A,ROW()-1)="","",INDEX(Tasks!$A:$A,ROW()-1))</f>
        <v>G1-GS-3.1</v>
      </c>
      <c r="B54" s="16" t="str">
        <f aca="false">IF(INDEX(Tasks!$A:$A,ROW()-1)="","",IF(ISERROR(FIND(".",INDEX(Tasks!$A:$A,ROW()-1))),"","   ")&amp;INDEX(Tasks!$D:$D,ROW()-1))</f>
        <v>   Dynamic-Object Filter (Pre-Registration)</v>
      </c>
      <c r="C54" s="16" t="str">
        <f aca="false">IF(INDEX(Tasks!$G:$G,ROW()-1)="","",INDEX(Tasks!$G:$G,ROW()-1))</f>
        <v>TBD</v>
      </c>
      <c r="D54" s="16" t="str">
        <f aca="false">IF(INDEX(Tasks!$H:$H,ROW()-1)="","",INDEX(Tasks!$H:$H,ROW()-1))</f>
        <v>Not Started</v>
      </c>
      <c r="E54" s="17" t="n">
        <f aca="false">IF(INDEX(Tasks!$I:$I,ROW()-1)="","",INDEX(Tasks!$I:$I,ROW()-1))</f>
        <v>46202</v>
      </c>
      <c r="F54" s="17" t="n">
        <f aca="false">IF(INDEX(Tasks!$K:$K,ROW()-1)="","",INDEX(Tasks!$K:$K,ROW()-1))</f>
        <v>46206</v>
      </c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  <c r="AT54" s="18"/>
      <c r="AU54" s="18"/>
      <c r="AV54" s="18"/>
      <c r="AW54" s="18"/>
      <c r="AX54" s="18"/>
    </row>
    <row r="55" customFormat="false" ht="15" hidden="false" customHeight="false" outlineLevel="0" collapsed="false">
      <c r="A55" s="16" t="str">
        <f aca="false">IF(INDEX(Tasks!$A:$A,ROW()-1)="","",INDEX(Tasks!$A:$A,ROW()-1))</f>
        <v>G1-GS-3.2</v>
      </c>
      <c r="B55" s="16" t="str">
        <f aca="false">IF(INDEX(Tasks!$A:$A,ROW()-1)="","",IF(ISERROR(FIND(".",INDEX(Tasks!$A:$A,ROW()-1))),"","   ")&amp;INDEX(Tasks!$D:$D,ROW()-1))</f>
        <v>   Static Point Cloud Registration</v>
      </c>
      <c r="C55" s="16" t="str">
        <f aca="false">IF(INDEX(Tasks!$G:$G,ROW()-1)="","",INDEX(Tasks!$G:$G,ROW()-1))</f>
        <v>TBD</v>
      </c>
      <c r="D55" s="16" t="str">
        <f aca="false">IF(INDEX(Tasks!$H:$H,ROW()-1)="","",INDEX(Tasks!$H:$H,ROW()-1))</f>
        <v>Not Started</v>
      </c>
      <c r="E55" s="17" t="n">
        <f aca="false">IF(INDEX(Tasks!$I:$I,ROW()-1)="","",INDEX(Tasks!$I:$I,ROW()-1))</f>
        <v>46202</v>
      </c>
      <c r="F55" s="17" t="n">
        <f aca="false">IF(INDEX(Tasks!$K:$K,ROW()-1)="","",INDEX(Tasks!$K:$K,ROW()-1))</f>
        <v>46206</v>
      </c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18"/>
      <c r="AT55" s="18"/>
      <c r="AU55" s="18"/>
      <c r="AV55" s="18"/>
      <c r="AW55" s="18"/>
      <c r="AX55" s="18"/>
    </row>
    <row r="56" customFormat="false" ht="15" hidden="false" customHeight="false" outlineLevel="0" collapsed="false">
      <c r="A56" s="16" t="str">
        <f aca="false">IF(INDEX(Tasks!$A:$A,ROW()-1)="","",INDEX(Tasks!$A:$A,ROW()-1))</f>
        <v>G1-GS-4</v>
      </c>
      <c r="B56" s="16" t="str">
        <f aca="false">IF(INDEX(Tasks!$A:$A,ROW()-1)="","",IF(ISERROR(FIND(".",INDEX(Tasks!$A:$A,ROW()-1))),"","   ")&amp;INDEX(Tasks!$D:$D,ROW()-1))</f>
        <v>Real-time budget</v>
      </c>
      <c r="C56" s="16" t="str">
        <f aca="false">IF(INDEX(Tasks!$G:$G,ROW()-1)="","",INDEX(Tasks!$G:$G,ROW()-1))</f>
        <v>TBD</v>
      </c>
      <c r="D56" s="16" t="str">
        <f aca="false">IF(INDEX(Tasks!$H:$H,ROW()-1)="","",INDEX(Tasks!$H:$H,ROW()-1))</f>
        <v>Not Started</v>
      </c>
      <c r="E56" s="17" t="n">
        <f aca="false">IF(INDEX(Tasks!$I:$I,ROW()-1)="","",INDEX(Tasks!$I:$I,ROW()-1))</f>
        <v>46349</v>
      </c>
      <c r="F56" s="17" t="n">
        <f aca="false">IF(INDEX(Tasks!$K:$K,ROW()-1)="","",INDEX(Tasks!$K:$K,ROW()-1))</f>
        <v>46360</v>
      </c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AL56" s="18"/>
      <c r="AM56" s="18"/>
      <c r="AN56" s="18"/>
      <c r="AO56" s="18"/>
      <c r="AP56" s="18"/>
      <c r="AQ56" s="18"/>
      <c r="AR56" s="18"/>
      <c r="AS56" s="18"/>
      <c r="AT56" s="18"/>
      <c r="AU56" s="18"/>
      <c r="AV56" s="18"/>
      <c r="AW56" s="18"/>
      <c r="AX56" s="18"/>
    </row>
    <row r="57" customFormat="false" ht="15" hidden="false" customHeight="false" outlineLevel="0" collapsed="false">
      <c r="A57" s="16" t="str">
        <f aca="false">IF(INDEX(Tasks!$A:$A,ROW()-1)="","",INDEX(Tasks!$A:$A,ROW()-1))</f>
        <v>G1-GS-5</v>
      </c>
      <c r="B57" s="16" t="str">
        <f aca="false">IF(INDEX(Tasks!$A:$A,ROW()-1)="","",IF(ISERROR(FIND(".",INDEX(Tasks!$A:$A,ROW()-1))),"","   ")&amp;INDEX(Tasks!$D:$D,ROW()-1))</f>
        <v>Map fusion (multi-robot)</v>
      </c>
      <c r="C57" s="16" t="str">
        <f aca="false">IF(INDEX(Tasks!$G:$G,ROW()-1)="","",INDEX(Tasks!$G:$G,ROW()-1))</f>
        <v>TBD</v>
      </c>
      <c r="D57" s="16" t="str">
        <f aca="false">IF(INDEX(Tasks!$H:$H,ROW()-1)="","",INDEX(Tasks!$H:$H,ROW()-1))</f>
        <v>Not Started</v>
      </c>
      <c r="E57" s="17" t="n">
        <f aca="false">IF(INDEX(Tasks!$I:$I,ROW()-1)="","",INDEX(Tasks!$I:$I,ROW()-1))</f>
        <v>46356</v>
      </c>
      <c r="F57" s="17" t="n">
        <f aca="false">IF(INDEX(Tasks!$K:$K,ROW()-1)="","",INDEX(Tasks!$K:$K,ROW()-1))</f>
        <v>46381</v>
      </c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  <c r="AT57" s="18"/>
      <c r="AU57" s="18"/>
      <c r="AV57" s="18"/>
      <c r="AW57" s="18"/>
      <c r="AX57" s="18"/>
    </row>
    <row r="58" customFormat="false" ht="15" hidden="false" customHeight="false" outlineLevel="0" collapsed="false">
      <c r="A58" s="16" t="str">
        <f aca="false">IF(INDEX(Tasks!$A:$A,ROW()-1)="","",INDEX(Tasks!$A:$A,ROW()-1))</f>
        <v>G1-GS-6</v>
      </c>
      <c r="B58" s="16" t="str">
        <f aca="false">IF(INDEX(Tasks!$A:$A,ROW()-1)="","",IF(ISERROR(FIND(".",INDEX(Tasks!$A:$A,ROW()-1))),"","   ")&amp;INDEX(Tasks!$D:$D,ROW()-1))</f>
        <v>Evaluation</v>
      </c>
      <c r="C58" s="16" t="str">
        <f aca="false">IF(INDEX(Tasks!$G:$G,ROW()-1)="","",INDEX(Tasks!$G:$G,ROW()-1))</f>
        <v>TBD</v>
      </c>
      <c r="D58" s="16" t="str">
        <f aca="false">IF(INDEX(Tasks!$H:$H,ROW()-1)="","",INDEX(Tasks!$H:$H,ROW()-1))</f>
        <v>Not Started</v>
      </c>
      <c r="E58" s="17" t="n">
        <f aca="false">IF(INDEX(Tasks!$I:$I,ROW()-1)="","",INDEX(Tasks!$I:$I,ROW()-1))</f>
        <v>46377</v>
      </c>
      <c r="F58" s="17" t="n">
        <f aca="false">IF(INDEX(Tasks!$K:$K,ROW()-1)="","",INDEX(Tasks!$K:$K,ROW()-1))</f>
        <v>46388</v>
      </c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  <c r="AT58" s="18"/>
      <c r="AU58" s="18"/>
      <c r="AV58" s="18"/>
      <c r="AW58" s="18"/>
      <c r="AX58" s="18"/>
    </row>
    <row r="59" customFormat="false" ht="15" hidden="false" customHeight="false" outlineLevel="0" collapsed="false">
      <c r="A59" s="16" t="str">
        <f aca="false">IF(INDEX(Tasks!$A:$A,ROW()-1)="","",INDEX(Tasks!$A:$A,ROW()-1))</f>
        <v>G1-SD-1</v>
      </c>
      <c r="B59" s="16" t="str">
        <f aca="false">IF(INDEX(Tasks!$A:$A,ROW()-1)="","",IF(ISERROR(FIND(".",INDEX(Tasks!$A:$A,ROW()-1))),"","   ")&amp;INDEX(Tasks!$D:$D,ROW()-1))</f>
        <v>Object asset library</v>
      </c>
      <c r="C59" s="16" t="str">
        <f aca="false">IF(INDEX(Tasks!$G:$G,ROW()-1)="","",INDEX(Tasks!$G:$G,ROW()-1))</f>
        <v>TBD</v>
      </c>
      <c r="D59" s="16" t="str">
        <f aca="false">IF(INDEX(Tasks!$H:$H,ROW()-1)="","",INDEX(Tasks!$H:$H,ROW()-1))</f>
        <v>Not Started</v>
      </c>
      <c r="E59" s="17" t="n">
        <f aca="false">IF(INDEX(Tasks!$I:$I,ROW()-1)="","",INDEX(Tasks!$I:$I,ROW()-1))</f>
        <v>46307</v>
      </c>
      <c r="F59" s="17" t="n">
        <f aca="false">IF(INDEX(Tasks!$K:$K,ROW()-1)="","",INDEX(Tasks!$K:$K,ROW()-1))</f>
        <v>46325</v>
      </c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  <c r="AT59" s="18"/>
      <c r="AU59" s="18"/>
      <c r="AV59" s="18"/>
      <c r="AW59" s="18"/>
      <c r="AX59" s="18"/>
    </row>
    <row r="60" customFormat="false" ht="15" hidden="false" customHeight="false" outlineLevel="0" collapsed="false">
      <c r="A60" s="16" t="str">
        <f aca="false">IF(INDEX(Tasks!$A:$A,ROW()-1)="","",INDEX(Tasks!$A:$A,ROW()-1))</f>
        <v>G1-SD-2</v>
      </c>
      <c r="B60" s="16" t="str">
        <f aca="false">IF(INDEX(Tasks!$A:$A,ROW()-1)="","",IF(ISERROR(FIND(".",INDEX(Tasks!$A:$A,ROW()-1))),"","   ")&amp;INDEX(Tasks!$D:$D,ROW()-1))</f>
        <v>Object retrieval from G*</v>
      </c>
      <c r="C60" s="16" t="str">
        <f aca="false">IF(INDEX(Tasks!$G:$G,ROW()-1)="","",INDEX(Tasks!$G:$G,ROW()-1))</f>
        <v>TBD</v>
      </c>
      <c r="D60" s="16" t="str">
        <f aca="false">IF(INDEX(Tasks!$H:$H,ROW()-1)="","",INDEX(Tasks!$H:$H,ROW()-1))</f>
        <v>Not Started</v>
      </c>
      <c r="E60" s="17" t="n">
        <f aca="false">IF(INDEX(Tasks!$I:$I,ROW()-1)="","",INDEX(Tasks!$I:$I,ROW()-1))</f>
        <v>46328</v>
      </c>
      <c r="F60" s="17" t="n">
        <f aca="false">IF(INDEX(Tasks!$K:$K,ROW()-1)="","",INDEX(Tasks!$K:$K,ROW()-1))</f>
        <v>46353</v>
      </c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8"/>
      <c r="AS60" s="18"/>
      <c r="AT60" s="18"/>
      <c r="AU60" s="18"/>
      <c r="AV60" s="18"/>
      <c r="AW60" s="18"/>
      <c r="AX60" s="18"/>
    </row>
    <row r="61" customFormat="false" ht="15" hidden="false" customHeight="false" outlineLevel="0" collapsed="false">
      <c r="A61" s="16" t="str">
        <f aca="false">IF(INDEX(Tasks!$A:$A,ROW()-1)="","",INDEX(Tasks!$A:$A,ROW()-1))</f>
        <v>G1-SD-2.1</v>
      </c>
      <c r="B61" s="16" t="str">
        <f aca="false">IF(INDEX(Tasks!$A:$A,ROW()-1)="","",IF(ISERROR(FIND(".",INDEX(Tasks!$A:$A,ROW()-1))),"","   ")&amp;INDEX(Tasks!$D:$D,ROW()-1))</f>
        <v>   Object Detection &amp; Instance Identification (RGB / RGBD / LiDAR / Radar)</v>
      </c>
      <c r="C61" s="16" t="str">
        <f aca="false">IF(INDEX(Tasks!$G:$G,ROW()-1)="","",INDEX(Tasks!$G:$G,ROW()-1))</f>
        <v>TBD</v>
      </c>
      <c r="D61" s="16" t="str">
        <f aca="false">IF(INDEX(Tasks!$H:$H,ROW()-1)="","",INDEX(Tasks!$H:$H,ROW()-1))</f>
        <v>Not Started</v>
      </c>
      <c r="E61" s="17" t="n">
        <f aca="false">IF(INDEX(Tasks!$I:$I,ROW()-1)="","",INDEX(Tasks!$I:$I,ROW()-1))</f>
        <v>46209</v>
      </c>
      <c r="F61" s="17" t="n">
        <f aca="false">IF(INDEX(Tasks!$K:$K,ROW()-1)="","",INDEX(Tasks!$K:$K,ROW()-1))</f>
        <v>46220</v>
      </c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8"/>
      <c r="AS61" s="18"/>
      <c r="AT61" s="18"/>
      <c r="AU61" s="18"/>
      <c r="AV61" s="18"/>
      <c r="AW61" s="18"/>
      <c r="AX61" s="18"/>
    </row>
    <row r="62" customFormat="false" ht="15" hidden="false" customHeight="false" outlineLevel="0" collapsed="false">
      <c r="A62" s="16" t="str">
        <f aca="false">IF(INDEX(Tasks!$A:$A,ROW()-1)="","",INDEX(Tasks!$A:$A,ROW()-1))</f>
        <v>G1-SD-2.2</v>
      </c>
      <c r="B62" s="16" t="str">
        <f aca="false">IF(INDEX(Tasks!$A:$A,ROW()-1)="","",IF(ISERROR(FIND(".",INDEX(Tasks!$A:$A,ROW()-1))),"","   ")&amp;INDEX(Tasks!$D:$D,ROW()-1))</f>
        <v>   Radar + Panoptic Fusion Tracking</v>
      </c>
      <c r="C62" s="16" t="str">
        <f aca="false">IF(INDEX(Tasks!$G:$G,ROW()-1)="","",INDEX(Tasks!$G:$G,ROW()-1))</f>
        <v>TBD</v>
      </c>
      <c r="D62" s="16" t="str">
        <f aca="false">IF(INDEX(Tasks!$H:$H,ROW()-1)="","",INDEX(Tasks!$H:$H,ROW()-1))</f>
        <v>Not Started</v>
      </c>
      <c r="E62" s="17" t="n">
        <f aca="false">IF(INDEX(Tasks!$I:$I,ROW()-1)="","",INDEX(Tasks!$I:$I,ROW()-1))</f>
        <v>46209</v>
      </c>
      <c r="F62" s="17" t="n">
        <f aca="false">IF(INDEX(Tasks!$K:$K,ROW()-1)="","",INDEX(Tasks!$K:$K,ROW()-1))</f>
        <v>46220</v>
      </c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AL62" s="18"/>
      <c r="AM62" s="18"/>
      <c r="AN62" s="18"/>
      <c r="AO62" s="18"/>
      <c r="AP62" s="18"/>
      <c r="AQ62" s="18"/>
      <c r="AR62" s="18"/>
      <c r="AS62" s="18"/>
      <c r="AT62" s="18"/>
      <c r="AU62" s="18"/>
      <c r="AV62" s="18"/>
      <c r="AW62" s="18"/>
      <c r="AX62" s="18"/>
    </row>
    <row r="63" customFormat="false" ht="15" hidden="false" customHeight="false" outlineLevel="0" collapsed="false">
      <c r="A63" s="16" t="str">
        <f aca="false">IF(INDEX(Tasks!$A:$A,ROW()-1)="","",INDEX(Tasks!$A:$A,ROW()-1))</f>
        <v>G1-SD-3</v>
      </c>
      <c r="B63" s="16" t="str">
        <f aca="false">IF(INDEX(Tasks!$A:$A,ROW()-1)="","",IF(ISERROR(FIND(".",INDEX(Tasks!$A:$A,ROW()-1))),"","   ")&amp;INDEX(Tasks!$D:$D,ROW()-1))</f>
        <v>Decomposition: segments &amp; materials</v>
      </c>
      <c r="C63" s="16" t="str">
        <f aca="false">IF(INDEX(Tasks!$G:$G,ROW()-1)="","",INDEX(Tasks!$G:$G,ROW()-1))</f>
        <v>TBD</v>
      </c>
      <c r="D63" s="16" t="str">
        <f aca="false">IF(INDEX(Tasks!$H:$H,ROW()-1)="","",INDEX(Tasks!$H:$H,ROW()-1))</f>
        <v>Not Started</v>
      </c>
      <c r="E63" s="17" t="n">
        <f aca="false">IF(INDEX(Tasks!$I:$I,ROW()-1)="","",INDEX(Tasks!$I:$I,ROW()-1))</f>
        <v>46335</v>
      </c>
      <c r="F63" s="17" t="n">
        <f aca="false">IF(INDEX(Tasks!$K:$K,ROW()-1)="","",INDEX(Tasks!$K:$K,ROW()-1))</f>
        <v>46360</v>
      </c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  <c r="AL63" s="18"/>
      <c r="AM63" s="18"/>
      <c r="AN63" s="18"/>
      <c r="AO63" s="18"/>
      <c r="AP63" s="18"/>
      <c r="AQ63" s="18"/>
      <c r="AR63" s="18"/>
      <c r="AS63" s="18"/>
      <c r="AT63" s="18"/>
      <c r="AU63" s="18"/>
      <c r="AV63" s="18"/>
      <c r="AW63" s="18"/>
      <c r="AX63" s="18"/>
    </row>
    <row r="64" customFormat="false" ht="15" hidden="false" customHeight="false" outlineLevel="0" collapsed="false">
      <c r="A64" s="16" t="str">
        <f aca="false">IF(INDEX(Tasks!$A:$A,ROW()-1)="","",INDEX(Tasks!$A:$A,ROW()-1))</f>
        <v>G1-SD-4</v>
      </c>
      <c r="B64" s="16" t="str">
        <f aca="false">IF(INDEX(Tasks!$A:$A,ROW()-1)="","",IF(ISERROR(FIND(".",INDEX(Tasks!$A:$A,ROW()-1))),"","   ")&amp;INDEX(Tasks!$D:$D,ROW()-1))</f>
        <v>Change detection</v>
      </c>
      <c r="C64" s="16" t="str">
        <f aca="false">IF(INDEX(Tasks!$G:$G,ROW()-1)="","",INDEX(Tasks!$G:$G,ROW()-1))</f>
        <v>TBD</v>
      </c>
      <c r="D64" s="16" t="str">
        <f aca="false">IF(INDEX(Tasks!$H:$H,ROW()-1)="","",INDEX(Tasks!$H:$H,ROW()-1))</f>
        <v>Not Started</v>
      </c>
      <c r="E64" s="17" t="n">
        <f aca="false">IF(INDEX(Tasks!$I:$I,ROW()-1)="","",INDEX(Tasks!$I:$I,ROW()-1))</f>
        <v>46356</v>
      </c>
      <c r="F64" s="17" t="n">
        <f aca="false">IF(INDEX(Tasks!$K:$K,ROW()-1)="","",INDEX(Tasks!$K:$K,ROW()-1))</f>
        <v>46381</v>
      </c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AL64" s="18"/>
      <c r="AM64" s="18"/>
      <c r="AN64" s="18"/>
      <c r="AO64" s="18"/>
      <c r="AP64" s="18"/>
      <c r="AQ64" s="18"/>
      <c r="AR64" s="18"/>
      <c r="AS64" s="18"/>
      <c r="AT64" s="18"/>
      <c r="AU64" s="18"/>
      <c r="AV64" s="18"/>
      <c r="AW64" s="18"/>
      <c r="AX64" s="18"/>
    </row>
    <row r="65" customFormat="false" ht="15" hidden="false" customHeight="false" outlineLevel="0" collapsed="false">
      <c r="A65" s="16" t="str">
        <f aca="false">IF(INDEX(Tasks!$A:$A,ROW()-1)="","",INDEX(Tasks!$A:$A,ROW()-1))</f>
        <v>G1-SD-4.1</v>
      </c>
      <c r="B65" s="16" t="str">
        <f aca="false">IF(INDEX(Tasks!$A:$A,ROW()-1)="","",IF(ISERROR(FIND(".",INDEX(Tasks!$A:$A,ROW()-1))),"","   ")&amp;INDEX(Tasks!$D:$D,ROW()-1))</f>
        <v>   Change Detection (Object Moved / Appeared / Disappeared)</v>
      </c>
      <c r="C65" s="16" t="str">
        <f aca="false">IF(INDEX(Tasks!$G:$G,ROW()-1)="","",INDEX(Tasks!$G:$G,ROW()-1))</f>
        <v>TBD</v>
      </c>
      <c r="D65" s="16" t="str">
        <f aca="false">IF(INDEX(Tasks!$H:$H,ROW()-1)="","",INDEX(Tasks!$H:$H,ROW()-1))</f>
        <v>Not Started</v>
      </c>
      <c r="E65" s="17" t="n">
        <f aca="false">IF(INDEX(Tasks!$I:$I,ROW()-1)="","",INDEX(Tasks!$I:$I,ROW()-1))</f>
        <v>46223</v>
      </c>
      <c r="F65" s="17" t="n">
        <f aca="false">IF(INDEX(Tasks!$K:$K,ROW()-1)="","",INDEX(Tasks!$K:$K,ROW()-1))</f>
        <v>46227</v>
      </c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  <c r="AT65" s="18"/>
      <c r="AU65" s="18"/>
      <c r="AV65" s="18"/>
      <c r="AW65" s="18"/>
      <c r="AX65" s="18"/>
    </row>
    <row r="66" customFormat="false" ht="15" hidden="false" customHeight="false" outlineLevel="0" collapsed="false">
      <c r="A66" s="16" t="str">
        <f aca="false">IF(INDEX(Tasks!$A:$A,ROW()-1)="","",INDEX(Tasks!$A:$A,ROW()-1))</f>
        <v>G1-SD-5</v>
      </c>
      <c r="B66" s="16" t="str">
        <f aca="false">IF(INDEX(Tasks!$A:$A,ROW()-1)="","",IF(ISERROR(FIND(".",INDEX(Tasks!$A:$A,ROW()-1))),"","   ")&amp;INDEX(Tasks!$D:$D,ROW()-1))</f>
        <v>Maintenance with change history</v>
      </c>
      <c r="C66" s="16" t="str">
        <f aca="false">IF(INDEX(Tasks!$G:$G,ROW()-1)="","",INDEX(Tasks!$G:$G,ROW()-1))</f>
        <v>TBD</v>
      </c>
      <c r="D66" s="16" t="str">
        <f aca="false">IF(INDEX(Tasks!$H:$H,ROW()-1)="","",INDEX(Tasks!$H:$H,ROW()-1))</f>
        <v>Not Started</v>
      </c>
      <c r="E66" s="17" t="n">
        <f aca="false">IF(INDEX(Tasks!$I:$I,ROW()-1)="","",INDEX(Tasks!$I:$I,ROW()-1))</f>
        <v>46370</v>
      </c>
      <c r="F66" s="17" t="n">
        <f aca="false">IF(INDEX(Tasks!$K:$K,ROW()-1)="","",INDEX(Tasks!$K:$K,ROW()-1))</f>
        <v>46388</v>
      </c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  <c r="AS66" s="18"/>
      <c r="AT66" s="18"/>
      <c r="AU66" s="18"/>
      <c r="AV66" s="18"/>
      <c r="AW66" s="18"/>
      <c r="AX66" s="18"/>
    </row>
    <row r="67" customFormat="false" ht="15" hidden="false" customHeight="false" outlineLevel="0" collapsed="false">
      <c r="A67" s="16" t="str">
        <f aca="false">IF(INDEX(Tasks!$A:$A,ROW()-1)="","",INDEX(Tasks!$A:$A,ROW()-1))</f>
        <v>G1-SD-5.1</v>
      </c>
      <c r="B67" s="16" t="str">
        <f aca="false">IF(INDEX(Tasks!$A:$A,ROW()-1)="","",IF(ISERROR(FIND(".",INDEX(Tasks!$A:$A,ROW()-1))),"","   ")&amp;INDEX(Tasks!$D:$D,ROW()-1))</f>
        <v>   Scene Graph &amp; Map Update on Change (with Change History)</v>
      </c>
      <c r="C67" s="16" t="str">
        <f aca="false">IF(INDEX(Tasks!$G:$G,ROW()-1)="","",INDEX(Tasks!$G:$G,ROW()-1))</f>
        <v>TBD</v>
      </c>
      <c r="D67" s="16" t="str">
        <f aca="false">IF(INDEX(Tasks!$H:$H,ROW()-1)="","",INDEX(Tasks!$H:$H,ROW()-1))</f>
        <v>Not Started</v>
      </c>
      <c r="E67" s="17" t="n">
        <f aca="false">IF(INDEX(Tasks!$I:$I,ROW()-1)="","",INDEX(Tasks!$I:$I,ROW()-1))</f>
        <v>46223</v>
      </c>
      <c r="F67" s="17" t="n">
        <f aca="false">IF(INDEX(Tasks!$K:$K,ROW()-1)="","",INDEX(Tasks!$K:$K,ROW()-1))</f>
        <v>46234</v>
      </c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  <c r="AT67" s="18"/>
      <c r="AU67" s="18"/>
      <c r="AV67" s="18"/>
      <c r="AW67" s="18"/>
      <c r="AX67" s="18"/>
    </row>
    <row r="68" customFormat="false" ht="15" hidden="false" customHeight="false" outlineLevel="0" collapsed="false">
      <c r="A68" s="16" t="str">
        <f aca="false">IF(INDEX(Tasks!$A:$A,ROW()-1)="","",INDEX(Tasks!$A:$A,ROW()-1))</f>
        <v>G1-SD-6</v>
      </c>
      <c r="B68" s="16" t="str">
        <f aca="false">IF(INDEX(Tasks!$A:$A,ROW()-1)="","",IF(ISERROR(FIND(".",INDEX(Tasks!$A:$A,ROW()-1))),"","   ")&amp;INDEX(Tasks!$D:$D,ROW()-1))</f>
        <v>USD edits to Isaac</v>
      </c>
      <c r="C68" s="16" t="str">
        <f aca="false">IF(INDEX(Tasks!$G:$G,ROW()-1)="","",INDEX(Tasks!$G:$G,ROW()-1))</f>
        <v>TBD</v>
      </c>
      <c r="D68" s="16" t="str">
        <f aca="false">IF(INDEX(Tasks!$H:$H,ROW()-1)="","",INDEX(Tasks!$H:$H,ROW()-1))</f>
        <v>Not Started</v>
      </c>
      <c r="E68" s="17" t="n">
        <f aca="false">IF(INDEX(Tasks!$I:$I,ROW()-1)="","",INDEX(Tasks!$I:$I,ROW()-1))</f>
        <v>46370</v>
      </c>
      <c r="F68" s="17" t="n">
        <f aca="false">IF(INDEX(Tasks!$K:$K,ROW()-1)="","",INDEX(Tasks!$K:$K,ROW()-1))</f>
        <v>46388</v>
      </c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  <c r="AT68" s="18"/>
      <c r="AU68" s="18"/>
      <c r="AV68" s="18"/>
      <c r="AW68" s="18"/>
      <c r="AX68" s="18"/>
    </row>
    <row r="69" customFormat="false" ht="15" hidden="false" customHeight="false" outlineLevel="0" collapsed="false">
      <c r="A69" s="16" t="str">
        <f aca="false">IF(INDEX(Tasks!$A:$A,ROW()-1)="","",INDEX(Tasks!$A:$A,ROW()-1))</f>
        <v>G1-SD-7</v>
      </c>
      <c r="B69" s="16" t="str">
        <f aca="false">IF(INDEX(Tasks!$A:$A,ROW()-1)="","",IF(ISERROR(FIND(".",INDEX(Tasks!$A:$A,ROW()-1))),"","   ")&amp;INDEX(Tasks!$D:$D,ROW()-1))</f>
        <v>Live targets from the ED305 cameras</v>
      </c>
      <c r="C69" s="16" t="str">
        <f aca="false">IF(INDEX(Tasks!$G:$G,ROW()-1)="","",INDEX(Tasks!$G:$G,ROW()-1))</f>
        <v>TBD</v>
      </c>
      <c r="D69" s="16" t="str">
        <f aca="false">IF(INDEX(Tasks!$H:$H,ROW()-1)="","",INDEX(Tasks!$H:$H,ROW()-1))</f>
        <v>Not Started</v>
      </c>
      <c r="E69" s="17" t="n">
        <f aca="false">IF(INDEX(Tasks!$I:$I,ROW()-1)="","",INDEX(Tasks!$I:$I,ROW()-1))</f>
        <v>46349</v>
      </c>
      <c r="F69" s="17" t="n">
        <f aca="false">IF(INDEX(Tasks!$K:$K,ROW()-1)="","",INDEX(Tasks!$K:$K,ROW()-1))</f>
        <v>46374</v>
      </c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AL69" s="18"/>
      <c r="AM69" s="18"/>
      <c r="AN69" s="18"/>
      <c r="AO69" s="18"/>
      <c r="AP69" s="18"/>
      <c r="AQ69" s="18"/>
      <c r="AR69" s="18"/>
      <c r="AS69" s="18"/>
      <c r="AT69" s="18"/>
      <c r="AU69" s="18"/>
      <c r="AV69" s="18"/>
      <c r="AW69" s="18"/>
      <c r="AX69" s="18"/>
    </row>
    <row r="70" customFormat="false" ht="15" hidden="false" customHeight="false" outlineLevel="0" collapsed="false">
      <c r="A70" s="16" t="str">
        <f aca="false">IF(INDEX(Tasks!$A:$A,ROW()-1)="","",INDEX(Tasks!$A:$A,ROW()-1))</f>
        <v>G1-IS-1</v>
      </c>
      <c r="B70" s="16" t="str">
        <f aca="false">IF(INDEX(Tasks!$A:$A,ROW()-1)="","",IF(ISERROR(FIND(".",INDEX(Tasks!$A:$A,ROW()-1))),"","   ")&amp;INDEX(Tasks!$D:$D,ROW()-1))</f>
        <v>ED305 USD stage in the room frame</v>
      </c>
      <c r="C70" s="16" t="str">
        <f aca="false">IF(INDEX(Tasks!$G:$G,ROW()-1)="","",INDEX(Tasks!$G:$G,ROW()-1))</f>
        <v>TBD</v>
      </c>
      <c r="D70" s="16" t="str">
        <f aca="false">IF(INDEX(Tasks!$H:$H,ROW()-1)="","",INDEX(Tasks!$H:$H,ROW()-1))</f>
        <v>Not Started</v>
      </c>
      <c r="E70" s="17" t="n">
        <f aca="false">IF(INDEX(Tasks!$I:$I,ROW()-1)="","",INDEX(Tasks!$I:$I,ROW()-1))</f>
        <v>46307</v>
      </c>
      <c r="F70" s="17" t="n">
        <f aca="false">IF(INDEX(Tasks!$K:$K,ROW()-1)="","",INDEX(Tasks!$K:$K,ROW()-1))</f>
        <v>46325</v>
      </c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AL70" s="18"/>
      <c r="AM70" s="18"/>
      <c r="AN70" s="18"/>
      <c r="AO70" s="18"/>
      <c r="AP70" s="18"/>
      <c r="AQ70" s="18"/>
      <c r="AR70" s="18"/>
      <c r="AS70" s="18"/>
      <c r="AT70" s="18"/>
      <c r="AU70" s="18"/>
      <c r="AV70" s="18"/>
      <c r="AW70" s="18"/>
      <c r="AX70" s="18"/>
    </row>
    <row r="71" customFormat="false" ht="15" hidden="false" customHeight="false" outlineLevel="0" collapsed="false">
      <c r="A71" s="16" t="str">
        <f aca="false">IF(INDEX(Tasks!$A:$A,ROW()-1)="","",INDEX(Tasks!$A:$A,ROW()-1))</f>
        <v>G1-IS-2</v>
      </c>
      <c r="B71" s="16" t="str">
        <f aca="false">IF(INDEX(Tasks!$A:$A,ROW()-1)="","",IF(ISERROR(FIND(".",INDEX(Tasks!$A:$A,ROW()-1))),"","   ")&amp;INDEX(Tasks!$D:$D,ROW()-1))</f>
        <v>Robot + antenna prims, live pose</v>
      </c>
      <c r="C71" s="16" t="str">
        <f aca="false">IF(INDEX(Tasks!$G:$G,ROW()-1)="","",INDEX(Tasks!$G:$G,ROW()-1))</f>
        <v>TBD</v>
      </c>
      <c r="D71" s="16" t="str">
        <f aca="false">IF(INDEX(Tasks!$H:$H,ROW()-1)="","",INDEX(Tasks!$H:$H,ROW()-1))</f>
        <v>Not Started</v>
      </c>
      <c r="E71" s="17" t="n">
        <f aca="false">IF(INDEX(Tasks!$I:$I,ROW()-1)="","",INDEX(Tasks!$I:$I,ROW()-1))</f>
        <v>46321</v>
      </c>
      <c r="F71" s="17" t="n">
        <f aca="false">IF(INDEX(Tasks!$K:$K,ROW()-1)="","",INDEX(Tasks!$K:$K,ROW()-1))</f>
        <v>46339</v>
      </c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  <c r="AT71" s="18"/>
      <c r="AU71" s="18"/>
      <c r="AV71" s="18"/>
      <c r="AW71" s="18"/>
      <c r="AX71" s="18"/>
    </row>
    <row r="72" customFormat="false" ht="15" hidden="false" customHeight="false" outlineLevel="0" collapsed="false">
      <c r="A72" s="16" t="str">
        <f aca="false">IF(INDEX(Tasks!$A:$A,ROW()-1)="","",INDEX(Tasks!$A:$A,ROW()-1))</f>
        <v>G1-IS-3</v>
      </c>
      <c r="B72" s="16" t="str">
        <f aca="false">IF(INDEX(Tasks!$A:$A,ROW()-1)="","",IF(ISERROR(FIND(".",INDEX(Tasks!$A:$A,ROW()-1))),"","   ")&amp;INDEX(Tasks!$D:$D,ROW()-1))</f>
        <v>Gaussian layer</v>
      </c>
      <c r="C72" s="16" t="str">
        <f aca="false">IF(INDEX(Tasks!$G:$G,ROW()-1)="","",INDEX(Tasks!$G:$G,ROW()-1))</f>
        <v>TBD</v>
      </c>
      <c r="D72" s="16" t="str">
        <f aca="false">IF(INDEX(Tasks!$H:$H,ROW()-1)="","",INDEX(Tasks!$H:$H,ROW()-1))</f>
        <v>Not Started</v>
      </c>
      <c r="E72" s="17" t="n">
        <f aca="false">IF(INDEX(Tasks!$I:$I,ROW()-1)="","",INDEX(Tasks!$I:$I,ROW()-1))</f>
        <v>46335</v>
      </c>
      <c r="F72" s="17" t="n">
        <f aca="false">IF(INDEX(Tasks!$K:$K,ROW()-1)="","",INDEX(Tasks!$K:$K,ROW()-1))</f>
        <v>46353</v>
      </c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  <c r="AT72" s="18"/>
      <c r="AU72" s="18"/>
      <c r="AV72" s="18"/>
      <c r="AW72" s="18"/>
      <c r="AX72" s="18"/>
    </row>
    <row r="73" customFormat="false" ht="15" hidden="false" customHeight="false" outlineLevel="0" collapsed="false">
      <c r="A73" s="16" t="str">
        <f aca="false">IF(INDEX(Tasks!$A:$A,ROW()-1)="","",INDEX(Tasks!$A:$A,ROW()-1))</f>
        <v>G1-IS-4</v>
      </c>
      <c r="B73" s="16" t="str">
        <f aca="false">IF(INDEX(Tasks!$A:$A,ROW()-1)="","",IF(ISERROR(FIND(".",INDEX(Tasks!$A:$A,ROW()-1))),"","   ")&amp;INDEX(Tasks!$D:$D,ROW()-1))</f>
        <v>Mesh layer</v>
      </c>
      <c r="C73" s="16" t="str">
        <f aca="false">IF(INDEX(Tasks!$G:$G,ROW()-1)="","",INDEX(Tasks!$G:$G,ROW()-1))</f>
        <v>TBD</v>
      </c>
      <c r="D73" s="16" t="str">
        <f aca="false">IF(INDEX(Tasks!$H:$H,ROW()-1)="","",INDEX(Tasks!$H:$H,ROW()-1))</f>
        <v>Not Started</v>
      </c>
      <c r="E73" s="17" t="n">
        <f aca="false">IF(INDEX(Tasks!$I:$I,ROW()-1)="","",INDEX(Tasks!$I:$I,ROW()-1))</f>
        <v>46328</v>
      </c>
      <c r="F73" s="17" t="n">
        <f aca="false">IF(INDEX(Tasks!$K:$K,ROW()-1)="","",INDEX(Tasks!$K:$K,ROW()-1))</f>
        <v>46346</v>
      </c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  <c r="AT73" s="18"/>
      <c r="AU73" s="18"/>
      <c r="AV73" s="18"/>
      <c r="AW73" s="18"/>
      <c r="AX73" s="18"/>
    </row>
    <row r="74" customFormat="false" ht="15" hidden="false" customHeight="false" outlineLevel="0" collapsed="false">
      <c r="A74" s="16" t="str">
        <f aca="false">IF(INDEX(Tasks!$A:$A,ROW()-1)="","",INDEX(Tasks!$A:$A,ROW()-1))</f>
        <v>G1-IS-5</v>
      </c>
      <c r="B74" s="16" t="str">
        <f aca="false">IF(INDEX(Tasks!$A:$A,ROW()-1)="","",IF(ISERROR(FIND(".",INDEX(Tasks!$A:$A,ROW()-1))),"","   ")&amp;INDEX(Tasks!$D:$D,ROW()-1))</f>
        <v>Expected-view render</v>
      </c>
      <c r="C74" s="16" t="str">
        <f aca="false">IF(INDEX(Tasks!$G:$G,ROW()-1)="","",INDEX(Tasks!$G:$G,ROW()-1))</f>
        <v>TBD</v>
      </c>
      <c r="D74" s="16" t="str">
        <f aca="false">IF(INDEX(Tasks!$H:$H,ROW()-1)="","",INDEX(Tasks!$H:$H,ROW()-1))</f>
        <v>Not Started</v>
      </c>
      <c r="E74" s="17" t="n">
        <f aca="false">IF(INDEX(Tasks!$I:$I,ROW()-1)="","",INDEX(Tasks!$I:$I,ROW()-1))</f>
        <v>46349</v>
      </c>
      <c r="F74" s="17" t="n">
        <f aca="false">IF(INDEX(Tasks!$K:$K,ROW()-1)="","",INDEX(Tasks!$K:$K,ROW()-1))</f>
        <v>46367</v>
      </c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  <c r="AT74" s="18"/>
      <c r="AU74" s="18"/>
      <c r="AV74" s="18"/>
      <c r="AW74" s="18"/>
      <c r="AX74" s="18"/>
    </row>
    <row r="75" customFormat="false" ht="15" hidden="false" customHeight="false" outlineLevel="0" collapsed="false">
      <c r="A75" s="16" t="str">
        <f aca="false">IF(INDEX(Tasks!$A:$A,ROW()-1)="","",INDEX(Tasks!$A:$A,ROW()-1))</f>
        <v>G1-IS-6</v>
      </c>
      <c r="B75" s="16" t="str">
        <f aca="false">IF(INDEX(Tasks!$A:$A,ROW()-1)="","",IF(ISERROR(FIND(".",INDEX(Tasks!$A:$A,ROW()-1))),"","   ")&amp;INDEX(Tasks!$D:$D,ROW()-1))</f>
        <v>Apply live USD edits</v>
      </c>
      <c r="C75" s="16" t="str">
        <f aca="false">IF(INDEX(Tasks!$G:$G,ROW()-1)="","",INDEX(Tasks!$G:$G,ROW()-1))</f>
        <v>TBD</v>
      </c>
      <c r="D75" s="16" t="str">
        <f aca="false">IF(INDEX(Tasks!$H:$H,ROW()-1)="","",INDEX(Tasks!$H:$H,ROW()-1))</f>
        <v>Not Started</v>
      </c>
      <c r="E75" s="17" t="n">
        <f aca="false">IF(INDEX(Tasks!$I:$I,ROW()-1)="","",INDEX(Tasks!$I:$I,ROW()-1))</f>
        <v>46370</v>
      </c>
      <c r="F75" s="17" t="n">
        <f aca="false">IF(INDEX(Tasks!$K:$K,ROW()-1)="","",INDEX(Tasks!$K:$K,ROW()-1))</f>
        <v>46388</v>
      </c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  <c r="AU75" s="18"/>
      <c r="AV75" s="18"/>
      <c r="AW75" s="18"/>
      <c r="AX75" s="18"/>
    </row>
    <row r="76" customFormat="false" ht="15" hidden="false" customHeight="false" outlineLevel="0" collapsed="false">
      <c r="A76" s="16" t="str">
        <f aca="false">IF(INDEX(Tasks!$A:$A,ROW()-1)="","",INDEX(Tasks!$A:$A,ROW()-1))</f>
        <v>G1-IS-7</v>
      </c>
      <c r="B76" s="16" t="str">
        <f aca="false">IF(INDEX(Tasks!$A:$A,ROW()-1)="","",IF(ISERROR(FIND(".",INDEX(Tasks!$A:$A,ROW()-1))),"","   ")&amp;INDEX(Tasks!$D:$D,ROW()-1))</f>
        <v>Control commands to robots</v>
      </c>
      <c r="C76" s="16" t="str">
        <f aca="false">IF(INDEX(Tasks!$G:$G,ROW()-1)="","",INDEX(Tasks!$G:$G,ROW()-1))</f>
        <v>TBD</v>
      </c>
      <c r="D76" s="16" t="str">
        <f aca="false">IF(INDEX(Tasks!$H:$H,ROW()-1)="","",INDEX(Tasks!$H:$H,ROW()-1))</f>
        <v>Not Started</v>
      </c>
      <c r="E76" s="17" t="n">
        <f aca="false">IF(INDEX(Tasks!$I:$I,ROW()-1)="","",INDEX(Tasks!$I:$I,ROW()-1))</f>
        <v>46391</v>
      </c>
      <c r="F76" s="17" t="n">
        <f aca="false">IF(INDEX(Tasks!$K:$K,ROW()-1)="","",INDEX(Tasks!$K:$K,ROW()-1))</f>
        <v>46402</v>
      </c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  <c r="AU76" s="18"/>
      <c r="AV76" s="18"/>
      <c r="AW76" s="18"/>
      <c r="AX76" s="18"/>
    </row>
    <row r="77" customFormat="false" ht="15" hidden="false" customHeight="false" outlineLevel="0" collapsed="false">
      <c r="A77" s="16" t="str">
        <f aca="false">IF(INDEX(Tasks!$A:$A,ROW()-1)="","",INDEX(Tasks!$A:$A,ROW()-1))</f>
        <v>G1-IS-8</v>
      </c>
      <c r="B77" s="16" t="str">
        <f aca="false">IF(INDEX(Tasks!$A:$A,ROW()-1)="","",IF(ISERROR(FIND(".",INDEX(Tasks!$A:$A,ROW()-1))),"","   ")&amp;INDEX(Tasks!$D:$D,ROW()-1))</f>
        <v>Export to Sionna</v>
      </c>
      <c r="C77" s="16" t="str">
        <f aca="false">IF(INDEX(Tasks!$G:$G,ROW()-1)="","",INDEX(Tasks!$G:$G,ROW()-1))</f>
        <v>TBD</v>
      </c>
      <c r="D77" s="16" t="str">
        <f aca="false">IF(INDEX(Tasks!$H:$H,ROW()-1)="","",INDEX(Tasks!$H:$H,ROW()-1))</f>
        <v>Not Started</v>
      </c>
      <c r="E77" s="17" t="n">
        <f aca="false">IF(INDEX(Tasks!$I:$I,ROW()-1)="","",INDEX(Tasks!$I:$I,ROW()-1))</f>
        <v>46356</v>
      </c>
      <c r="F77" s="17" t="n">
        <f aca="false">IF(INDEX(Tasks!$K:$K,ROW()-1)="","",INDEX(Tasks!$K:$K,ROW()-1))</f>
        <v>46367</v>
      </c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  <c r="AU77" s="18"/>
      <c r="AV77" s="18"/>
      <c r="AW77" s="18"/>
      <c r="AX77" s="18"/>
    </row>
    <row r="78" customFormat="false" ht="15" hidden="false" customHeight="false" outlineLevel="0" collapsed="false">
      <c r="A78" s="16" t="str">
        <f aca="false">IF(INDEX(Tasks!$A:$A,ROW()-1)="","",INDEX(Tasks!$A:$A,ROW()-1))</f>
        <v>G1-SR-1</v>
      </c>
      <c r="B78" s="16" t="str">
        <f aca="false">IF(INDEX(Tasks!$A:$A,ROW()-1)="","",IF(ISERROR(FIND(".",INDEX(Tasks!$A:$A,ROW()-1))),"","   ")&amp;INDEX(Tasks!$D:$D,ROW()-1))</f>
        <v>Scene export USD -&gt; Mitsuba</v>
      </c>
      <c r="C78" s="16" t="str">
        <f aca="false">IF(INDEX(Tasks!$G:$G,ROW()-1)="","",INDEX(Tasks!$G:$G,ROW()-1))</f>
        <v>TBD</v>
      </c>
      <c r="D78" s="16" t="str">
        <f aca="false">IF(INDEX(Tasks!$H:$H,ROW()-1)="","",INDEX(Tasks!$H:$H,ROW()-1))</f>
        <v>Not Started</v>
      </c>
      <c r="E78" s="17" t="n">
        <f aca="false">IF(INDEX(Tasks!$I:$I,ROW()-1)="","",INDEX(Tasks!$I:$I,ROW()-1))</f>
        <v>46363</v>
      </c>
      <c r="F78" s="17" t="n">
        <f aca="false">IF(INDEX(Tasks!$K:$K,ROW()-1)="","",INDEX(Tasks!$K:$K,ROW()-1))</f>
        <v>46374</v>
      </c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  <c r="AU78" s="18"/>
      <c r="AV78" s="18"/>
      <c r="AW78" s="18"/>
      <c r="AX78" s="18"/>
    </row>
    <row r="79" customFormat="false" ht="15" hidden="false" customHeight="false" outlineLevel="0" collapsed="false">
      <c r="A79" s="16" t="str">
        <f aca="false">IF(INDEX(Tasks!$A:$A,ROW()-1)="","",INDEX(Tasks!$A:$A,ROW()-1))</f>
        <v>G1-SR-2</v>
      </c>
      <c r="B79" s="16" t="str">
        <f aca="false">IF(INDEX(Tasks!$A:$A,ROW()-1)="","",IF(ISERROR(FIND(".",INDEX(Tasks!$A:$A,ROW()-1))),"","   ")&amp;INDEX(Tasks!$D:$D,ROW()-1))</f>
        <v>Path solver, all Tx/Rx links</v>
      </c>
      <c r="C79" s="16" t="str">
        <f aca="false">IF(INDEX(Tasks!$G:$G,ROW()-1)="","",INDEX(Tasks!$G:$G,ROW()-1))</f>
        <v>TBD</v>
      </c>
      <c r="D79" s="16" t="str">
        <f aca="false">IF(INDEX(Tasks!$H:$H,ROW()-1)="","",INDEX(Tasks!$H:$H,ROW()-1))</f>
        <v>Not Started</v>
      </c>
      <c r="E79" s="17" t="n">
        <f aca="false">IF(INDEX(Tasks!$I:$I,ROW()-1)="","",INDEX(Tasks!$I:$I,ROW()-1))</f>
        <v>46370</v>
      </c>
      <c r="F79" s="17" t="n">
        <f aca="false">IF(INDEX(Tasks!$K:$K,ROW()-1)="","",INDEX(Tasks!$K:$K,ROW()-1))</f>
        <v>46388</v>
      </c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  <c r="AU79" s="18"/>
      <c r="AV79" s="18"/>
      <c r="AW79" s="18"/>
      <c r="AX79" s="18"/>
    </row>
    <row r="80" customFormat="false" ht="15" hidden="false" customHeight="false" outlineLevel="0" collapsed="false">
      <c r="A80" s="16" t="str">
        <f aca="false">IF(INDEX(Tasks!$A:$A,ROW()-1)="","",INDEX(Tasks!$A:$A,ROW()-1))</f>
        <v>G1-SR-3</v>
      </c>
      <c r="B80" s="16" t="str">
        <f aca="false">IF(INDEX(Tasks!$A:$A,ROW()-1)="","",IF(ISERROR(FIND(".",INDEX(Tasks!$A:$A,ROW()-1))),"","   ")&amp;INDEX(Tasks!$D:$D,ROW()-1))</f>
        <v>Channel output</v>
      </c>
      <c r="C80" s="16" t="str">
        <f aca="false">IF(INDEX(Tasks!$G:$G,ROW()-1)="","",INDEX(Tasks!$G:$G,ROW()-1))</f>
        <v>TBD</v>
      </c>
      <c r="D80" s="16" t="str">
        <f aca="false">IF(INDEX(Tasks!$H:$H,ROW()-1)="","",INDEX(Tasks!$H:$H,ROW()-1))</f>
        <v>Not Started</v>
      </c>
      <c r="E80" s="17" t="n">
        <f aca="false">IF(INDEX(Tasks!$I:$I,ROW()-1)="","",INDEX(Tasks!$I:$I,ROW()-1))</f>
        <v>46384</v>
      </c>
      <c r="F80" s="17" t="n">
        <f aca="false">IF(INDEX(Tasks!$K:$K,ROW()-1)="","",INDEX(Tasks!$K:$K,ROW()-1))</f>
        <v>46395</v>
      </c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  <c r="AU80" s="18"/>
      <c r="AV80" s="18"/>
      <c r="AW80" s="18"/>
      <c r="AX80" s="18"/>
    </row>
    <row r="81" customFormat="false" ht="15" hidden="false" customHeight="false" outlineLevel="0" collapsed="false">
      <c r="A81" s="16" t="str">
        <f aca="false">IF(INDEX(Tasks!$A:$A,ROW()-1)="","",INDEX(Tasks!$A:$A,ROW()-1))</f>
        <v>G1-SR-4</v>
      </c>
      <c r="B81" s="16" t="str">
        <f aca="false">IF(INDEX(Tasks!$A:$A,ROW()-1)="","",IF(ISERROR(FIND(".",INDEX(Tasks!$A:$A,ROW()-1))),"","   ")&amp;INDEX(Tasks!$D:$D,ROW()-1))</f>
        <v>Validate against measured channels</v>
      </c>
      <c r="C81" s="16" t="str">
        <f aca="false">IF(INDEX(Tasks!$G:$G,ROW()-1)="","",INDEX(Tasks!$G:$G,ROW()-1))</f>
        <v>TBD</v>
      </c>
      <c r="D81" s="16" t="str">
        <f aca="false">IF(INDEX(Tasks!$H:$H,ROW()-1)="","",INDEX(Tasks!$H:$H,ROW()-1))</f>
        <v>Not Started</v>
      </c>
      <c r="E81" s="17" t="n">
        <f aca="false">IF(INDEX(Tasks!$I:$I,ROW()-1)="","",INDEX(Tasks!$I:$I,ROW()-1))</f>
        <v>46391</v>
      </c>
      <c r="F81" s="17" t="n">
        <f aca="false">IF(INDEX(Tasks!$K:$K,ROW()-1)="","",INDEX(Tasks!$K:$K,ROW()-1))</f>
        <v>46409</v>
      </c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  <c r="AU81" s="18"/>
      <c r="AV81" s="18"/>
      <c r="AW81" s="18"/>
      <c r="AX81" s="18"/>
    </row>
    <row r="82" customFormat="false" ht="15" hidden="false" customHeight="false" outlineLevel="0" collapsed="false">
      <c r="A82" s="16" t="str">
        <f aca="false">IF(INDEX(Tasks!$A:$A,ROW()-1)="","",INDEX(Tasks!$A:$A,ROW()-1))</f>
        <v>G1-M1</v>
      </c>
      <c r="B82" s="16" t="str">
        <f aca="false">IF(INDEX(Tasks!$A:$A,ROW()-1)="","",IF(ISERROR(FIND(".",INDEX(Tasks!$A:$A,ROW()-1))),"","   ")&amp;INDEX(Tasks!$D:$D,ROW()-1))</f>
        <v>M1 Offline map in Isaac</v>
      </c>
      <c r="C82" s="16" t="str">
        <f aca="false">IF(INDEX(Tasks!$G:$G,ROW()-1)="","",INDEX(Tasks!$G:$G,ROW()-1))</f>
        <v>TBD</v>
      </c>
      <c r="D82" s="16" t="str">
        <f aca="false">IF(INDEX(Tasks!$H:$H,ROW()-1)="","",INDEX(Tasks!$H:$H,ROW()-1))</f>
        <v>Not Started</v>
      </c>
      <c r="E82" s="17" t="n">
        <f aca="false">IF(INDEX(Tasks!$I:$I,ROW()-1)="","",INDEX(Tasks!$I:$I,ROW()-1))</f>
        <v>46349</v>
      </c>
      <c r="F82" s="17" t="n">
        <f aca="false">IF(INDEX(Tasks!$K:$K,ROW()-1)="","",INDEX(Tasks!$K:$K,ROW()-1))</f>
        <v>46353</v>
      </c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  <c r="AU82" s="18"/>
      <c r="AV82" s="18"/>
      <c r="AW82" s="18"/>
      <c r="AX82" s="18"/>
    </row>
    <row r="83" customFormat="false" ht="15" hidden="false" customHeight="false" outlineLevel="0" collapsed="false">
      <c r="A83" s="16" t="str">
        <f aca="false">IF(INDEX(Tasks!$A:$A,ROW()-1)="","",INDEX(Tasks!$A:$A,ROW()-1))</f>
        <v>G1-M2</v>
      </c>
      <c r="B83" s="16" t="str">
        <f aca="false">IF(INDEX(Tasks!$A:$A,ROW()-1)="","",IF(ISERROR(FIND(".",INDEX(Tasks!$A:$A,ROW()-1))),"","   ")&amp;INDEX(Tasks!$D:$D,ROW()-1))</f>
        <v>M2 Live robot pose in Isaac</v>
      </c>
      <c r="C83" s="16" t="str">
        <f aca="false">IF(INDEX(Tasks!$G:$G,ROW()-1)="","",INDEX(Tasks!$G:$G,ROW()-1))</f>
        <v>TBD</v>
      </c>
      <c r="D83" s="16" t="str">
        <f aca="false">IF(INDEX(Tasks!$H:$H,ROW()-1)="","",INDEX(Tasks!$H:$H,ROW()-1))</f>
        <v>Not Started</v>
      </c>
      <c r="E83" s="17" t="n">
        <f aca="false">IF(INDEX(Tasks!$I:$I,ROW()-1)="","",INDEX(Tasks!$I:$I,ROW()-1))</f>
        <v>46363</v>
      </c>
      <c r="F83" s="17" t="n">
        <f aca="false">IF(INDEX(Tasks!$K:$K,ROW()-1)="","",INDEX(Tasks!$K:$K,ROW()-1))</f>
        <v>46367</v>
      </c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  <c r="AU83" s="18"/>
      <c r="AV83" s="18"/>
      <c r="AW83" s="18"/>
      <c r="AX83" s="18"/>
    </row>
    <row r="84" customFormat="false" ht="15" hidden="false" customHeight="false" outlineLevel="0" collapsed="false">
      <c r="A84" s="16" t="str">
        <f aca="false">IF(INDEX(Tasks!$A:$A,ROW()-1)="","",INDEX(Tasks!$A:$A,ROW()-1))</f>
        <v>G1-M3</v>
      </c>
      <c r="B84" s="16" t="str">
        <f aca="false">IF(INDEX(Tasks!$A:$A,ROW()-1)="","",IF(ISERROR(FIND(".",INDEX(Tasks!$A:$A,ROW()-1))),"","   ")&amp;INDEX(Tasks!$D:$D,ROW()-1))</f>
        <v>M3 Change loop</v>
      </c>
      <c r="C84" s="16" t="str">
        <f aca="false">IF(INDEX(Tasks!$G:$G,ROW()-1)="","",INDEX(Tasks!$G:$G,ROW()-1))</f>
        <v>TBD</v>
      </c>
      <c r="D84" s="16" t="str">
        <f aca="false">IF(INDEX(Tasks!$H:$H,ROW()-1)="","",INDEX(Tasks!$H:$H,ROW()-1))</f>
        <v>Not Started</v>
      </c>
      <c r="E84" s="17" t="n">
        <f aca="false">IF(INDEX(Tasks!$I:$I,ROW()-1)="","",INDEX(Tasks!$I:$I,ROW()-1))</f>
        <v>46391</v>
      </c>
      <c r="F84" s="17" t="n">
        <f aca="false">IF(INDEX(Tasks!$K:$K,ROW()-1)="","",INDEX(Tasks!$K:$K,ROW()-1))</f>
        <v>46395</v>
      </c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  <c r="AU84" s="18"/>
      <c r="AV84" s="18"/>
      <c r="AW84" s="18"/>
      <c r="AX84" s="18"/>
    </row>
    <row r="85" customFormat="false" ht="15" hidden="false" customHeight="false" outlineLevel="0" collapsed="false">
      <c r="A85" s="16" t="str">
        <f aca="false">IF(INDEX(Tasks!$A:$A,ROW()-1)="","",INDEX(Tasks!$A:$A,ROW()-1))</f>
        <v>G1-M4</v>
      </c>
      <c r="B85" s="16" t="str">
        <f aca="false">IF(INDEX(Tasks!$A:$A,ROW()-1)="","",IF(ISERROR(FIND(".",INDEX(Tasks!$A:$A,ROW()-1))),"","   ")&amp;INDEX(Tasks!$D:$D,ROW()-1))</f>
        <v>M4 Two robots, fused map</v>
      </c>
      <c r="C85" s="16" t="str">
        <f aca="false">IF(INDEX(Tasks!$G:$G,ROW()-1)="","",INDEX(Tasks!$G:$G,ROW()-1))</f>
        <v>TBD</v>
      </c>
      <c r="D85" s="16" t="str">
        <f aca="false">IF(INDEX(Tasks!$H:$H,ROW()-1)="","",INDEX(Tasks!$H:$H,ROW()-1))</f>
        <v>Not Started</v>
      </c>
      <c r="E85" s="17" t="n">
        <f aca="false">IF(INDEX(Tasks!$I:$I,ROW()-1)="","",INDEX(Tasks!$I:$I,ROW()-1))</f>
        <v>46391</v>
      </c>
      <c r="F85" s="17" t="n">
        <f aca="false">IF(INDEX(Tasks!$K:$K,ROW()-1)="","",INDEX(Tasks!$K:$K,ROW()-1))</f>
        <v>46395</v>
      </c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  <c r="AT85" s="18"/>
      <c r="AU85" s="18"/>
      <c r="AV85" s="18"/>
      <c r="AW85" s="18"/>
      <c r="AX85" s="18"/>
    </row>
    <row r="86" customFormat="false" ht="15" hidden="false" customHeight="false" outlineLevel="0" collapsed="false">
      <c r="A86" s="16" t="str">
        <f aca="false">IF(INDEX(Tasks!$A:$A,ROW()-1)="","",INDEX(Tasks!$A:$A,ROW()-1))</f>
        <v>G1-M5</v>
      </c>
      <c r="B86" s="16" t="str">
        <f aca="false">IF(INDEX(Tasks!$A:$A,ROW()-1)="","",IF(ISERROR(FIND(".",INDEX(Tasks!$A:$A,ROW()-1))),"","   ")&amp;INDEX(Tasks!$D:$D,ROW()-1))</f>
        <v>M5 ED305 targets live in the twin</v>
      </c>
      <c r="C86" s="16" t="str">
        <f aca="false">IF(INDEX(Tasks!$G:$G,ROW()-1)="","",INDEX(Tasks!$G:$G,ROW()-1))</f>
        <v>TBD</v>
      </c>
      <c r="D86" s="16" t="str">
        <f aca="false">IF(INDEX(Tasks!$H:$H,ROW()-1)="","",INDEX(Tasks!$H:$H,ROW()-1))</f>
        <v>Not Started</v>
      </c>
      <c r="E86" s="17" t="n">
        <f aca="false">IF(INDEX(Tasks!$I:$I,ROW()-1)="","",INDEX(Tasks!$I:$I,ROW()-1))</f>
        <v>46398</v>
      </c>
      <c r="F86" s="17" t="n">
        <f aca="false">IF(INDEX(Tasks!$K:$K,ROW()-1)="","",INDEX(Tasks!$K:$K,ROW()-1))</f>
        <v>46402</v>
      </c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  <c r="AT86" s="18"/>
      <c r="AU86" s="18"/>
      <c r="AV86" s="18"/>
      <c r="AW86" s="18"/>
      <c r="AX86" s="18"/>
    </row>
    <row r="87" customFormat="false" ht="15" hidden="false" customHeight="false" outlineLevel="0" collapsed="false">
      <c r="A87" s="16" t="str">
        <f aca="false">IF(INDEX(Tasks!$A:$A,ROW()-1)="","",INDEX(Tasks!$A:$A,ROW()-1))</f>
        <v>G1-M6</v>
      </c>
      <c r="B87" s="16" t="str">
        <f aca="false">IF(INDEX(Tasks!$A:$A,ROW()-1)="","",IF(ISERROR(FIND(".",INDEX(Tasks!$A:$A,ROW()-1))),"","   ")&amp;INDEX(Tasks!$D:$D,ROW()-1))</f>
        <v>M6 Radio channels from the live twin</v>
      </c>
      <c r="C87" s="16" t="str">
        <f aca="false">IF(INDEX(Tasks!$G:$G,ROW()-1)="","",INDEX(Tasks!$G:$G,ROW()-1))</f>
        <v>TBD</v>
      </c>
      <c r="D87" s="16" t="str">
        <f aca="false">IF(INDEX(Tasks!$H:$H,ROW()-1)="","",INDEX(Tasks!$H:$H,ROW()-1))</f>
        <v>Not Started</v>
      </c>
      <c r="E87" s="17" t="n">
        <f aca="false">IF(INDEX(Tasks!$I:$I,ROW()-1)="","",INDEX(Tasks!$I:$I,ROW()-1))</f>
        <v>46405</v>
      </c>
      <c r="F87" s="17" t="n">
        <f aca="false">IF(INDEX(Tasks!$K:$K,ROW()-1)="","",INDEX(Tasks!$K:$K,ROW()-1))</f>
        <v>46409</v>
      </c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  <c r="AT87" s="18"/>
      <c r="AU87" s="18"/>
      <c r="AV87" s="18"/>
      <c r="AW87" s="18"/>
      <c r="AX87" s="18"/>
    </row>
    <row r="88" customFormat="false" ht="15" hidden="false" customHeight="false" outlineLevel="0" collapsed="false">
      <c r="A88" s="16" t="str">
        <f aca="false">IF(INDEX(Tasks!$A:$A,ROW()-1)="","",INDEX(Tasks!$A:$A,ROW()-1))</f>
        <v>DL-1</v>
      </c>
      <c r="B88" s="16" t="str">
        <f aca="false">IF(INDEX(Tasks!$A:$A,ROW()-1)="","",IF(ISERROR(FIND(".",INDEX(Tasks!$A:$A,ROW()-1))),"","   ")&amp;INDEX(Tasks!$D:$D,ROW()-1))</f>
        <v>Define dual-link architecture</v>
      </c>
      <c r="C88" s="16" t="str">
        <f aca="false">IF(INDEX(Tasks!$G:$G,ROW()-1)="","",INDEX(Tasks!$G:$G,ROW()-1))</f>
        <v>TBD</v>
      </c>
      <c r="D88" s="16" t="str">
        <f aca="false">IF(INDEX(Tasks!$H:$H,ROW()-1)="","",INDEX(Tasks!$H:$H,ROW()-1))</f>
        <v>Partially Completed</v>
      </c>
      <c r="E88" s="17" t="n">
        <f aca="false">IF(INDEX(Tasks!$I:$I,ROW()-1)="","",INDEX(Tasks!$I:$I,ROW()-1))</f>
        <v>46195</v>
      </c>
      <c r="F88" s="17" t="n">
        <f aca="false">IF(INDEX(Tasks!$K:$K,ROW()-1)="","",INDEX(Tasks!$K:$K,ROW()-1))</f>
        <v>46199</v>
      </c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  <c r="AT88" s="18"/>
      <c r="AU88" s="18"/>
      <c r="AV88" s="18"/>
      <c r="AW88" s="18"/>
      <c r="AX88" s="18"/>
    </row>
    <row r="89" customFormat="false" ht="15" hidden="false" customHeight="false" outlineLevel="0" collapsed="false">
      <c r="A89" s="16" t="str">
        <f aca="false">IF(INDEX(Tasks!$A:$A,ROW()-1)="","",INDEX(Tasks!$A:$A,ROW()-1))</f>
        <v>DL-1.1</v>
      </c>
      <c r="B89" s="16" t="str">
        <f aca="false">IF(INDEX(Tasks!$A:$A,ROW()-1)="","",IF(ISERROR(FIND(".",INDEX(Tasks!$A:$A,ROW()-1))),"","   ")&amp;INDEX(Tasks!$D:$D,ROW()-1))</f>
        <v>   Link Pairing Selection (WiFi + WiFi)</v>
      </c>
      <c r="C89" s="16" t="str">
        <f aca="false">IF(INDEX(Tasks!$G:$G,ROW()-1)="","",INDEX(Tasks!$G:$G,ROW()-1))</f>
        <v>TBD</v>
      </c>
      <c r="D89" s="16" t="str">
        <f aca="false">IF(INDEX(Tasks!$H:$H,ROW()-1)="","",INDEX(Tasks!$H:$H,ROW()-1))</f>
        <v>Partially Completed</v>
      </c>
      <c r="E89" s="17" t="n">
        <f aca="false">IF(INDEX(Tasks!$I:$I,ROW()-1)="","",INDEX(Tasks!$I:$I,ROW()-1))</f>
        <v>46195</v>
      </c>
      <c r="F89" s="17" t="n">
        <f aca="false">IF(INDEX(Tasks!$K:$K,ROW()-1)="","",INDEX(Tasks!$K:$K,ROW()-1))</f>
        <v>46199</v>
      </c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  <c r="AT89" s="18"/>
      <c r="AU89" s="18"/>
      <c r="AV89" s="18"/>
      <c r="AW89" s="18"/>
      <c r="AX89" s="18"/>
    </row>
    <row r="90" customFormat="false" ht="15" hidden="false" customHeight="false" outlineLevel="0" collapsed="false">
      <c r="A90" s="16" t="str">
        <f aca="false">IF(INDEX(Tasks!$A:$A,ROW()-1)="","",INDEX(Tasks!$A:$A,ROW()-1))</f>
        <v>DL-1.2</v>
      </c>
      <c r="B90" s="16" t="str">
        <f aca="false">IF(INDEX(Tasks!$A:$A,ROW()-1)="","",IF(ISERROR(FIND(".",INDEX(Tasks!$A:$A,ROW()-1))),"","   ")&amp;INDEX(Tasks!$D:$D,ROW()-1))</f>
        <v>   QoS-Tiered Traffic-Steering Policy</v>
      </c>
      <c r="C90" s="16" t="str">
        <f aca="false">IF(INDEX(Tasks!$G:$G,ROW()-1)="","",INDEX(Tasks!$G:$G,ROW()-1))</f>
        <v>TBD</v>
      </c>
      <c r="D90" s="16" t="str">
        <f aca="false">IF(INDEX(Tasks!$H:$H,ROW()-1)="","",INDEX(Tasks!$H:$H,ROW()-1))</f>
        <v>Partially Completed</v>
      </c>
      <c r="E90" s="17" t="n">
        <f aca="false">IF(INDEX(Tasks!$I:$I,ROW()-1)="","",INDEX(Tasks!$I:$I,ROW()-1))</f>
        <v>46195</v>
      </c>
      <c r="F90" s="17" t="n">
        <f aca="false">IF(INDEX(Tasks!$K:$K,ROW()-1)="","",INDEX(Tasks!$K:$K,ROW()-1))</f>
        <v>46199</v>
      </c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AL90" s="18"/>
      <c r="AM90" s="18"/>
      <c r="AN90" s="18"/>
      <c r="AO90" s="18"/>
      <c r="AP90" s="18"/>
      <c r="AQ90" s="18"/>
      <c r="AR90" s="18"/>
      <c r="AS90" s="18"/>
      <c r="AT90" s="18"/>
      <c r="AU90" s="18"/>
      <c r="AV90" s="18"/>
      <c r="AW90" s="18"/>
      <c r="AX90" s="18"/>
    </row>
    <row r="91" customFormat="false" ht="15" hidden="false" customHeight="false" outlineLevel="0" collapsed="false">
      <c r="A91" s="16" t="str">
        <f aca="false">IF(INDEX(Tasks!$A:$A,ROW()-1)="","",INDEX(Tasks!$A:$A,ROW()-1))</f>
        <v>DL-2</v>
      </c>
      <c r="B91" s="16" t="str">
        <f aca="false">IF(INDEX(Tasks!$A:$A,ROW()-1)="","",IF(ISERROR(FIND(".",INDEX(Tasks!$A:$A,ROW()-1))),"","   ")&amp;INDEX(Tasks!$D:$D,ROW()-1))</f>
        <v>Build link monitor</v>
      </c>
      <c r="C91" s="16" t="str">
        <f aca="false">IF(INDEX(Tasks!$G:$G,ROW()-1)="","",INDEX(Tasks!$G:$G,ROW()-1))</f>
        <v>TBD</v>
      </c>
      <c r="D91" s="16" t="str">
        <f aca="false">IF(INDEX(Tasks!$H:$H,ROW()-1)="","",INDEX(Tasks!$H:$H,ROW()-1))</f>
        <v>Partially Completed</v>
      </c>
      <c r="E91" s="17" t="n">
        <f aca="false">IF(INDEX(Tasks!$I:$I,ROW()-1)="","",INDEX(Tasks!$I:$I,ROW()-1))</f>
        <v>46195</v>
      </c>
      <c r="F91" s="17" t="n">
        <f aca="false">IF(INDEX(Tasks!$K:$K,ROW()-1)="","",INDEX(Tasks!$K:$K,ROW()-1))</f>
        <v>46199</v>
      </c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AL91" s="18"/>
      <c r="AM91" s="18"/>
      <c r="AN91" s="18"/>
      <c r="AO91" s="18"/>
      <c r="AP91" s="18"/>
      <c r="AQ91" s="18"/>
      <c r="AR91" s="18"/>
      <c r="AS91" s="18"/>
      <c r="AT91" s="18"/>
      <c r="AU91" s="18"/>
      <c r="AV91" s="18"/>
      <c r="AW91" s="18"/>
      <c r="AX91" s="18"/>
    </row>
    <row r="92" customFormat="false" ht="15" hidden="false" customHeight="false" outlineLevel="0" collapsed="false">
      <c r="A92" s="16" t="str">
        <f aca="false">IF(INDEX(Tasks!$A:$A,ROW()-1)="","",INDEX(Tasks!$A:$A,ROW()-1))</f>
        <v>DL-2.1</v>
      </c>
      <c r="B92" s="16" t="str">
        <f aca="false">IF(INDEX(Tasks!$A:$A,ROW()-1)="","",IF(ISERROR(FIND(".",INDEX(Tasks!$A:$A,ROW()-1))),"","   ")&amp;INDEX(Tasks!$D:$D,ROW()-1))</f>
        <v>   PER / MTU Tracking</v>
      </c>
      <c r="C92" s="16" t="str">
        <f aca="false">IF(INDEX(Tasks!$G:$G,ROW()-1)="","",INDEX(Tasks!$G:$G,ROW()-1))</f>
        <v>TBD</v>
      </c>
      <c r="D92" s="16" t="str">
        <f aca="false">IF(INDEX(Tasks!$H:$H,ROW()-1)="","",INDEX(Tasks!$H:$H,ROW()-1))</f>
        <v>Partially Completed</v>
      </c>
      <c r="E92" s="17" t="n">
        <f aca="false">IF(INDEX(Tasks!$I:$I,ROW()-1)="","",INDEX(Tasks!$I:$I,ROW()-1))</f>
        <v>46195</v>
      </c>
      <c r="F92" s="17" t="n">
        <f aca="false">IF(INDEX(Tasks!$K:$K,ROW()-1)="","",INDEX(Tasks!$K:$K,ROW()-1))</f>
        <v>46199</v>
      </c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  <c r="AT92" s="18"/>
      <c r="AU92" s="18"/>
      <c r="AV92" s="18"/>
      <c r="AW92" s="18"/>
      <c r="AX92" s="18"/>
    </row>
    <row r="93" customFormat="false" ht="15" hidden="false" customHeight="false" outlineLevel="0" collapsed="false">
      <c r="A93" s="16" t="str">
        <f aca="false">IF(INDEX(Tasks!$A:$A,ROW()-1)="","",INDEX(Tasks!$A:$A,ROW()-1))</f>
        <v>DL-2.2</v>
      </c>
      <c r="B93" s="16" t="str">
        <f aca="false">IF(INDEX(Tasks!$A:$A,ROW()-1)="","",IF(ISERROR(FIND(".",INDEX(Tasks!$A:$A,ROW()-1))),"","   ")&amp;INDEX(Tasks!$D:$D,ROW()-1))</f>
        <v>   Throughput / RTT / Queue-Health Tracking</v>
      </c>
      <c r="C93" s="16" t="str">
        <f aca="false">IF(INDEX(Tasks!$G:$G,ROW()-1)="","",INDEX(Tasks!$G:$G,ROW()-1))</f>
        <v>TBD</v>
      </c>
      <c r="D93" s="16" t="str">
        <f aca="false">IF(INDEX(Tasks!$H:$H,ROW()-1)="","",INDEX(Tasks!$H:$H,ROW()-1))</f>
        <v>Partially Completed</v>
      </c>
      <c r="E93" s="17" t="n">
        <f aca="false">IF(INDEX(Tasks!$I:$I,ROW()-1)="","",INDEX(Tasks!$I:$I,ROW()-1))</f>
        <v>46195</v>
      </c>
      <c r="F93" s="17" t="n">
        <f aca="false">IF(INDEX(Tasks!$K:$K,ROW()-1)="","",INDEX(Tasks!$K:$K,ROW()-1))</f>
        <v>46199</v>
      </c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  <c r="AT93" s="18"/>
      <c r="AU93" s="18"/>
      <c r="AV93" s="18"/>
      <c r="AW93" s="18"/>
      <c r="AX93" s="18"/>
    </row>
    <row r="94" customFormat="false" ht="15" hidden="false" customHeight="false" outlineLevel="0" collapsed="false">
      <c r="A94" s="16" t="str">
        <f aca="false">IF(INDEX(Tasks!$A:$A,ROW()-1)="","",INDEX(Tasks!$A:$A,ROW()-1))</f>
        <v>DL-3</v>
      </c>
      <c r="B94" s="16" t="str">
        <f aca="false">IF(INDEX(Tasks!$A:$A,ROW()-1)="","",IF(ISERROR(FIND(".",INDEX(Tasks!$A:$A,ROW()-1))),"","   ")&amp;INDEX(Tasks!$D:$D,ROW()-1))</f>
        <v>Implement link compression</v>
      </c>
      <c r="C94" s="16" t="str">
        <f aca="false">IF(INDEX(Tasks!$G:$G,ROW()-1)="","",INDEX(Tasks!$G:$G,ROW()-1))</f>
        <v>TBD</v>
      </c>
      <c r="D94" s="16" t="str">
        <f aca="false">IF(INDEX(Tasks!$H:$H,ROW()-1)="","",INDEX(Tasks!$H:$H,ROW()-1))</f>
        <v>In Progress</v>
      </c>
      <c r="E94" s="17" t="n">
        <f aca="false">IF(INDEX(Tasks!$I:$I,ROW()-1)="","",INDEX(Tasks!$I:$I,ROW()-1))</f>
        <v>46195</v>
      </c>
      <c r="F94" s="17" t="n">
        <f aca="false">IF(INDEX(Tasks!$K:$K,ROW()-1)="","",INDEX(Tasks!$K:$K,ROW()-1))</f>
        <v>46199</v>
      </c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  <c r="AT94" s="18"/>
      <c r="AU94" s="18"/>
      <c r="AV94" s="18"/>
      <c r="AW94" s="18"/>
      <c r="AX94" s="18"/>
    </row>
    <row r="95" customFormat="false" ht="15" hidden="false" customHeight="false" outlineLevel="0" collapsed="false">
      <c r="A95" s="16" t="str">
        <f aca="false">IF(INDEX(Tasks!$A:$A,ROW()-1)="","",INDEX(Tasks!$A:$A,ROW()-1))</f>
        <v>DL-3.1</v>
      </c>
      <c r="B95" s="16" t="str">
        <f aca="false">IF(INDEX(Tasks!$A:$A,ROW()-1)="","",IF(ISERROR(FIND(".",INDEX(Tasks!$A:$A,ROW()-1))),"","   ")&amp;INDEX(Tasks!$D:$D,ROW()-1))</f>
        <v>   Compression Module (Link-Monitor Reactive)</v>
      </c>
      <c r="C95" s="16" t="str">
        <f aca="false">IF(INDEX(Tasks!$G:$G,ROW()-1)="","",INDEX(Tasks!$G:$G,ROW()-1))</f>
        <v>TBD</v>
      </c>
      <c r="D95" s="16" t="str">
        <f aca="false">IF(INDEX(Tasks!$H:$H,ROW()-1)="","",INDEX(Tasks!$H:$H,ROW()-1))</f>
        <v>Partially Completed</v>
      </c>
      <c r="E95" s="17" t="n">
        <f aca="false">IF(INDEX(Tasks!$I:$I,ROW()-1)="","",INDEX(Tasks!$I:$I,ROW()-1))</f>
        <v>46195</v>
      </c>
      <c r="F95" s="17" t="n">
        <f aca="false">IF(INDEX(Tasks!$K:$K,ROW()-1)="","",INDEX(Tasks!$K:$K,ROW()-1))</f>
        <v>46199</v>
      </c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  <c r="AT95" s="18"/>
      <c r="AU95" s="18"/>
      <c r="AV95" s="18"/>
      <c r="AW95" s="18"/>
      <c r="AX95" s="18"/>
    </row>
    <row r="96" customFormat="false" ht="15" hidden="false" customHeight="false" outlineLevel="0" collapsed="false">
      <c r="A96" s="16" t="str">
        <f aca="false">IF(INDEX(Tasks!$A:$A,ROW()-1)="","",INDEX(Tasks!$A:$A,ROW()-1))</f>
        <v>DL-3.2</v>
      </c>
      <c r="B96" s="16" t="str">
        <f aca="false">IF(INDEX(Tasks!$A:$A,ROW()-1)="","",IF(ISERROR(FIND(".",INDEX(Tasks!$A:$A,ROW()-1))),"","   ")&amp;INDEX(Tasks!$D:$D,ROW()-1))</f>
        <v>   Compression Threshold Tuning</v>
      </c>
      <c r="C96" s="16" t="str">
        <f aca="false">IF(INDEX(Tasks!$G:$G,ROW()-1)="","",INDEX(Tasks!$G:$G,ROW()-1))</f>
        <v>TBD</v>
      </c>
      <c r="D96" s="16" t="str">
        <f aca="false">IF(INDEX(Tasks!$H:$H,ROW()-1)="","",INDEX(Tasks!$H:$H,ROW()-1))</f>
        <v>In Progress</v>
      </c>
      <c r="E96" s="17" t="n">
        <f aca="false">IF(INDEX(Tasks!$I:$I,ROW()-1)="","",INDEX(Tasks!$I:$I,ROW()-1))</f>
        <v>46195</v>
      </c>
      <c r="F96" s="17" t="n">
        <f aca="false">IF(INDEX(Tasks!$K:$K,ROW()-1)="","",INDEX(Tasks!$K:$K,ROW()-1))</f>
        <v>46199</v>
      </c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  <c r="AT96" s="18"/>
      <c r="AU96" s="18"/>
      <c r="AV96" s="18"/>
      <c r="AW96" s="18"/>
      <c r="AX96" s="18"/>
    </row>
    <row r="97" customFormat="false" ht="15" hidden="false" customHeight="false" outlineLevel="0" collapsed="false">
      <c r="A97" s="16" t="str">
        <f aca="false">IF(INDEX(Tasks!$A:$A,ROW()-1)="","",INDEX(Tasks!$A:$A,ROW()-1))</f>
        <v>DL-4</v>
      </c>
      <c r="B97" s="16" t="str">
        <f aca="false">IF(INDEX(Tasks!$A:$A,ROW()-1)="","",IF(ISERROR(FIND(".",INDEX(Tasks!$A:$A,ROW()-1))),"","   ")&amp;INDEX(Tasks!$D:$D,ROW()-1))</f>
        <v>Validate Switching Strategies — WiFi1 + WiFi2</v>
      </c>
      <c r="C97" s="16" t="str">
        <f aca="false">IF(INDEX(Tasks!$G:$G,ROW()-1)="","",INDEX(Tasks!$G:$G,ROW()-1))</f>
        <v>TBD</v>
      </c>
      <c r="D97" s="16" t="str">
        <f aca="false">IF(INDEX(Tasks!$H:$H,ROW()-1)="","",INDEX(Tasks!$H:$H,ROW()-1))</f>
        <v>Not Started</v>
      </c>
      <c r="E97" s="17" t="n">
        <f aca="false">IF(INDEX(Tasks!$I:$I,ROW()-1)="","",INDEX(Tasks!$I:$I,ROW()-1))</f>
        <v>46195</v>
      </c>
      <c r="F97" s="17" t="n">
        <f aca="false">IF(INDEX(Tasks!$K:$K,ROW()-1)="","",INDEX(Tasks!$K:$K,ROW()-1))</f>
        <v>46199</v>
      </c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  <c r="AT97" s="18"/>
      <c r="AU97" s="18"/>
      <c r="AV97" s="18"/>
      <c r="AW97" s="18"/>
      <c r="AX97" s="18"/>
    </row>
    <row r="98" customFormat="false" ht="15" hidden="false" customHeight="false" outlineLevel="0" collapsed="false">
      <c r="A98" s="16" t="str">
        <f aca="false">IF(INDEX(Tasks!$A:$A,ROW()-1)="","",INDEX(Tasks!$A:$A,ROW()-1))</f>
        <v>DL-4.1</v>
      </c>
      <c r="B98" s="16" t="str">
        <f aca="false">IF(INDEX(Tasks!$A:$A,ROW()-1)="","",IF(ISERROR(FIND(".",INDEX(Tasks!$A:$A,ROW()-1))),"","   ")&amp;INDEX(Tasks!$D:$D,ROW()-1))</f>
        <v>   Single-Link Baseline</v>
      </c>
      <c r="C98" s="16" t="str">
        <f aca="false">IF(INDEX(Tasks!$G:$G,ROW()-1)="","",INDEX(Tasks!$G:$G,ROW()-1))</f>
        <v>TBD</v>
      </c>
      <c r="D98" s="16" t="str">
        <f aca="false">IF(INDEX(Tasks!$H:$H,ROW()-1)="","",INDEX(Tasks!$H:$H,ROW()-1))</f>
        <v>Not Started</v>
      </c>
      <c r="E98" s="17" t="n">
        <f aca="false">IF(INDEX(Tasks!$I:$I,ROW()-1)="","",INDEX(Tasks!$I:$I,ROW()-1))</f>
        <v>46195</v>
      </c>
      <c r="F98" s="17" t="n">
        <f aca="false">IF(INDEX(Tasks!$K:$K,ROW()-1)="","",INDEX(Tasks!$K:$K,ROW()-1))</f>
        <v>46199</v>
      </c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  <c r="AT98" s="18"/>
      <c r="AU98" s="18"/>
      <c r="AV98" s="18"/>
      <c r="AW98" s="18"/>
      <c r="AX98" s="18"/>
    </row>
    <row r="99" customFormat="false" ht="15" hidden="false" customHeight="false" outlineLevel="0" collapsed="false">
      <c r="A99" s="16" t="str">
        <f aca="false">IF(INDEX(Tasks!$A:$A,ROW()-1)="","",INDEX(Tasks!$A:$A,ROW()-1))</f>
        <v>DL-4.2</v>
      </c>
      <c r="B99" s="16" t="str">
        <f aca="false">IF(INDEX(Tasks!$A:$A,ROW()-1)="","",IF(ISERROR(FIND(".",INDEX(Tasks!$A:$A,ROW()-1))),"","   ")&amp;INDEX(Tasks!$D:$D,ROW()-1))</f>
        <v>   Full Topic Switchover</v>
      </c>
      <c r="C99" s="16" t="str">
        <f aca="false">IF(INDEX(Tasks!$G:$G,ROW()-1)="","",INDEX(Tasks!$G:$G,ROW()-1))</f>
        <v>TBD</v>
      </c>
      <c r="D99" s="16" t="str">
        <f aca="false">IF(INDEX(Tasks!$H:$H,ROW()-1)="","",INDEX(Tasks!$H:$H,ROW()-1))</f>
        <v>Not Started</v>
      </c>
      <c r="E99" s="17" t="n">
        <f aca="false">IF(INDEX(Tasks!$I:$I,ROW()-1)="","",INDEX(Tasks!$I:$I,ROW()-1))</f>
        <v>46195</v>
      </c>
      <c r="F99" s="17" t="n">
        <f aca="false">IF(INDEX(Tasks!$K:$K,ROW()-1)="","",INDEX(Tasks!$K:$K,ROW()-1))</f>
        <v>46199</v>
      </c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  <c r="AT99" s="18"/>
      <c r="AU99" s="18"/>
      <c r="AV99" s="18"/>
      <c r="AW99" s="18"/>
      <c r="AX99" s="18"/>
    </row>
    <row r="100" customFormat="false" ht="15" hidden="false" customHeight="false" outlineLevel="0" collapsed="false">
      <c r="A100" s="16" t="str">
        <f aca="false">IF(INDEX(Tasks!$A:$A,ROW()-1)="","",INDEX(Tasks!$A:$A,ROW()-1))</f>
        <v>DL-4.3</v>
      </c>
      <c r="B100" s="16" t="str">
        <f aca="false">IF(INDEX(Tasks!$A:$A,ROW()-1)="","",IF(ISERROR(FIND(".",INDEX(Tasks!$A:$A,ROW()-1))),"","   ")&amp;INDEX(Tasks!$D:$D,ROW()-1))</f>
        <v>   True Dual-Link (QoS-Tiered Per-Topic)</v>
      </c>
      <c r="C100" s="16" t="str">
        <f aca="false">IF(INDEX(Tasks!$G:$G,ROW()-1)="","",INDEX(Tasks!$G:$G,ROW()-1))</f>
        <v>TBD</v>
      </c>
      <c r="D100" s="16" t="str">
        <f aca="false">IF(INDEX(Tasks!$H:$H,ROW()-1)="","",INDEX(Tasks!$H:$H,ROW()-1))</f>
        <v>Not Started</v>
      </c>
      <c r="E100" s="17" t="n">
        <f aca="false">IF(INDEX(Tasks!$I:$I,ROW()-1)="","",INDEX(Tasks!$I:$I,ROW()-1))</f>
        <v>46202</v>
      </c>
      <c r="F100" s="17" t="n">
        <f aca="false">IF(INDEX(Tasks!$K:$K,ROW()-1)="","",INDEX(Tasks!$K:$K,ROW()-1))</f>
        <v>46206</v>
      </c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  <c r="AT100" s="18"/>
      <c r="AU100" s="18"/>
      <c r="AV100" s="18"/>
      <c r="AW100" s="18"/>
      <c r="AX100" s="18"/>
    </row>
    <row r="101" customFormat="false" ht="15" hidden="false" customHeight="false" outlineLevel="0" collapsed="false">
      <c r="A101" s="16" t="str">
        <f aca="false">IF(INDEX(Tasks!$A:$A,ROW()-1)="","",INDEX(Tasks!$A:$A,ROW()-1))</f>
        <v>DL-5</v>
      </c>
      <c r="B101" s="16" t="str">
        <f aca="false">IF(INDEX(Tasks!$A:$A,ROW()-1)="","",IF(ISERROR(FIND(".",INDEX(Tasks!$A:$A,ROW()-1))),"","   ")&amp;INDEX(Tasks!$D:$D,ROW()-1))</f>
        <v>Extend to WiFi + 5G</v>
      </c>
      <c r="C101" s="16" t="str">
        <f aca="false">IF(INDEX(Tasks!$G:$G,ROW()-1)="","",INDEX(Tasks!$G:$G,ROW()-1))</f>
        <v>TBD</v>
      </c>
      <c r="D101" s="16" t="str">
        <f aca="false">IF(INDEX(Tasks!$H:$H,ROW()-1)="","",INDEX(Tasks!$H:$H,ROW()-1))</f>
        <v>Not Started</v>
      </c>
      <c r="E101" s="17" t="n">
        <f aca="false">IF(INDEX(Tasks!$I:$I,ROW()-1)="","",INDEX(Tasks!$I:$I,ROW()-1))</f>
        <v>46202</v>
      </c>
      <c r="F101" s="17" t="n">
        <f aca="false">IF(INDEX(Tasks!$K:$K,ROW()-1)="","",INDEX(Tasks!$K:$K,ROW()-1))</f>
        <v>46213</v>
      </c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  <c r="AT101" s="18"/>
      <c r="AU101" s="18"/>
      <c r="AV101" s="18"/>
      <c r="AW101" s="18"/>
      <c r="AX101" s="18"/>
    </row>
    <row r="102" customFormat="false" ht="15" hidden="false" customHeight="false" outlineLevel="0" collapsed="false">
      <c r="A102" s="16" t="str">
        <f aca="false">IF(INDEX(Tasks!$A:$A,ROW()-1)="","",INDEX(Tasks!$A:$A,ROW()-1))</f>
        <v>DL-5.1</v>
      </c>
      <c r="B102" s="16" t="str">
        <f aca="false">IF(INDEX(Tasks!$A:$A,ROW()-1)="","",IF(ISERROR(FIND(".",INDEX(Tasks!$A:$A,ROW()-1))),"","   ")&amp;INDEX(Tasks!$D:$D,ROW()-1))</f>
        <v>   WiFi + 5G Link Pairing &amp; Switching Validation</v>
      </c>
      <c r="C102" s="16" t="str">
        <f aca="false">IF(INDEX(Tasks!$G:$G,ROW()-1)="","",INDEX(Tasks!$G:$G,ROW()-1))</f>
        <v>TBD</v>
      </c>
      <c r="D102" s="16" t="str">
        <f aca="false">IF(INDEX(Tasks!$H:$H,ROW()-1)="","",INDEX(Tasks!$H:$H,ROW()-1))</f>
        <v>Not Started</v>
      </c>
      <c r="E102" s="17" t="n">
        <f aca="false">IF(INDEX(Tasks!$I:$I,ROW()-1)="","",INDEX(Tasks!$I:$I,ROW()-1))</f>
        <v>46202</v>
      </c>
      <c r="F102" s="17" t="n">
        <f aca="false">IF(INDEX(Tasks!$K:$K,ROW()-1)="","",INDEX(Tasks!$K:$K,ROW()-1))</f>
        <v>46206</v>
      </c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  <c r="AT102" s="18"/>
      <c r="AU102" s="18"/>
      <c r="AV102" s="18"/>
      <c r="AW102" s="18"/>
      <c r="AX102" s="18"/>
    </row>
    <row r="103" customFormat="false" ht="15" hidden="false" customHeight="false" outlineLevel="0" collapsed="false">
      <c r="A103" s="16" t="str">
        <f aca="false">IF(INDEX(Tasks!$A:$A,ROW()-1)="","",INDEX(Tasks!$A:$A,ROW()-1))</f>
        <v>DL-5.2</v>
      </c>
      <c r="B103" s="16" t="str">
        <f aca="false">IF(INDEX(Tasks!$A:$A,ROW()-1)="","",IF(ISERROR(FIND(".",INDEX(Tasks!$A:$A,ROW()-1))),"","   ")&amp;INDEX(Tasks!$D:$D,ROW()-1))</f>
        <v>   Application-Level Testing on WiFi + 5G</v>
      </c>
      <c r="C103" s="16" t="str">
        <f aca="false">IF(INDEX(Tasks!$G:$G,ROW()-1)="","",INDEX(Tasks!$G:$G,ROW()-1))</f>
        <v>TBD</v>
      </c>
      <c r="D103" s="16" t="str">
        <f aca="false">IF(INDEX(Tasks!$H:$H,ROW()-1)="","",INDEX(Tasks!$H:$H,ROW()-1))</f>
        <v>Not Started</v>
      </c>
      <c r="E103" s="17" t="n">
        <f aca="false">IF(INDEX(Tasks!$I:$I,ROW()-1)="","",INDEX(Tasks!$I:$I,ROW()-1))</f>
        <v>46209</v>
      </c>
      <c r="F103" s="17" t="n">
        <f aca="false">IF(INDEX(Tasks!$K:$K,ROW()-1)="","",INDEX(Tasks!$K:$K,ROW()-1))</f>
        <v>46213</v>
      </c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  <c r="AT103" s="18"/>
      <c r="AU103" s="18"/>
      <c r="AV103" s="18"/>
      <c r="AW103" s="18"/>
      <c r="AX103" s="18"/>
    </row>
    <row r="104" customFormat="false" ht="15" hidden="false" customHeight="false" outlineLevel="0" collapsed="false">
      <c r="A104" s="16" t="str">
        <f aca="false">IF(INDEX(Tasks!$A:$A,ROW()-1)="","",INDEX(Tasks!$A:$A,ROW()-1))</f>
        <v>DL-6</v>
      </c>
      <c r="B104" s="16" t="str">
        <f aca="false">IF(INDEX(Tasks!$A:$A,ROW()-1)="","",IF(ISERROR(FIND(".",INDEX(Tasks!$A:$A,ROW()-1))),"","   ")&amp;INDEX(Tasks!$D:$D,ROW()-1))</f>
        <v>Test failover &amp; reliability</v>
      </c>
      <c r="C104" s="16" t="str">
        <f aca="false">IF(INDEX(Tasks!$G:$G,ROW()-1)="","",INDEX(Tasks!$G:$G,ROW()-1))</f>
        <v>TBD</v>
      </c>
      <c r="D104" s="16" t="str">
        <f aca="false">IF(INDEX(Tasks!$H:$H,ROW()-1)="","",INDEX(Tasks!$H:$H,ROW()-1))</f>
        <v>Not Started</v>
      </c>
      <c r="E104" s="17" t="n">
        <f aca="false">IF(INDEX(Tasks!$I:$I,ROW()-1)="","",INDEX(Tasks!$I:$I,ROW()-1))</f>
        <v>46216</v>
      </c>
      <c r="F104" s="17" t="n">
        <f aca="false">IF(INDEX(Tasks!$K:$K,ROW()-1)="","",INDEX(Tasks!$K:$K,ROW()-1))</f>
        <v>46220</v>
      </c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  <c r="AM104" s="18"/>
      <c r="AN104" s="18"/>
      <c r="AO104" s="18"/>
      <c r="AP104" s="18"/>
      <c r="AQ104" s="18"/>
      <c r="AR104" s="18"/>
      <c r="AS104" s="18"/>
      <c r="AT104" s="18"/>
      <c r="AU104" s="18"/>
      <c r="AV104" s="18"/>
      <c r="AW104" s="18"/>
      <c r="AX104" s="18"/>
    </row>
    <row r="105" customFormat="false" ht="15" hidden="false" customHeight="false" outlineLevel="0" collapsed="false">
      <c r="A105" s="16" t="str">
        <f aca="false">IF(INDEX(Tasks!$A:$A,ROW()-1)="","",INDEX(Tasks!$A:$A,ROW()-1))</f>
        <v>DL-6.1</v>
      </c>
      <c r="B105" s="16" t="str">
        <f aca="false">IF(INDEX(Tasks!$A:$A,ROW()-1)="","",IF(ISERROR(FIND(".",INDEX(Tasks!$A:$A,ROW()-1))),"","   ")&amp;INDEX(Tasks!$D:$D,ROW()-1))</f>
        <v>   Failover Test Scenarios</v>
      </c>
      <c r="C105" s="16" t="str">
        <f aca="false">IF(INDEX(Tasks!$G:$G,ROW()-1)="","",INDEX(Tasks!$G:$G,ROW()-1))</f>
        <v>TBD</v>
      </c>
      <c r="D105" s="16" t="str">
        <f aca="false">IF(INDEX(Tasks!$H:$H,ROW()-1)="","",INDEX(Tasks!$H:$H,ROW()-1))</f>
        <v>Not Started</v>
      </c>
      <c r="E105" s="17" t="n">
        <f aca="false">IF(INDEX(Tasks!$I:$I,ROW()-1)="","",INDEX(Tasks!$I:$I,ROW()-1))</f>
        <v>46216</v>
      </c>
      <c r="F105" s="17" t="n">
        <f aca="false">IF(INDEX(Tasks!$K:$K,ROW()-1)="","",INDEX(Tasks!$K:$K,ROW()-1))</f>
        <v>46220</v>
      </c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8"/>
      <c r="AM105" s="18"/>
      <c r="AN105" s="18"/>
      <c r="AO105" s="18"/>
      <c r="AP105" s="18"/>
      <c r="AQ105" s="18"/>
      <c r="AR105" s="18"/>
      <c r="AS105" s="18"/>
      <c r="AT105" s="18"/>
      <c r="AU105" s="18"/>
      <c r="AV105" s="18"/>
      <c r="AW105" s="18"/>
      <c r="AX105" s="18"/>
    </row>
    <row r="106" customFormat="false" ht="15" hidden="false" customHeight="false" outlineLevel="0" collapsed="false">
      <c r="A106" s="16" t="str">
        <f aca="false">IF(INDEX(Tasks!$A:$A,ROW()-1)="","",INDEX(Tasks!$A:$A,ROW()-1))</f>
        <v>DL-6.2</v>
      </c>
      <c r="B106" s="16" t="str">
        <f aca="false">IF(INDEX(Tasks!$A:$A,ROW()-1)="","",IF(ISERROR(FIND(".",INDEX(Tasks!$A:$A,ROW()-1))),"","   ")&amp;INDEX(Tasks!$D:$D,ROW()-1))</f>
        <v>   Availability / Latency Target Validation</v>
      </c>
      <c r="C106" s="16" t="str">
        <f aca="false">IF(INDEX(Tasks!$G:$G,ROW()-1)="","",INDEX(Tasks!$G:$G,ROW()-1))</f>
        <v>TBD</v>
      </c>
      <c r="D106" s="16" t="str">
        <f aca="false">IF(INDEX(Tasks!$H:$H,ROW()-1)="","",INDEX(Tasks!$H:$H,ROW()-1))</f>
        <v>Not Started</v>
      </c>
      <c r="E106" s="17" t="n">
        <f aca="false">IF(INDEX(Tasks!$I:$I,ROW()-1)="","",INDEX(Tasks!$I:$I,ROW()-1))</f>
        <v>46216</v>
      </c>
      <c r="F106" s="17" t="n">
        <f aca="false">IF(INDEX(Tasks!$K:$K,ROW()-1)="","",INDEX(Tasks!$K:$K,ROW()-1))</f>
        <v>46220</v>
      </c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18"/>
      <c r="AO106" s="18"/>
      <c r="AP106" s="18"/>
      <c r="AQ106" s="18"/>
      <c r="AR106" s="18"/>
      <c r="AS106" s="18"/>
      <c r="AT106" s="18"/>
      <c r="AU106" s="18"/>
      <c r="AV106" s="18"/>
      <c r="AW106" s="18"/>
      <c r="AX106" s="18"/>
    </row>
    <row r="107" customFormat="false" ht="15" hidden="false" customHeight="false" outlineLevel="0" collapsed="false">
      <c r="A107" s="16" t="str">
        <f aca="false">IF(INDEX(Tasks!$A:$A,ROW()-1)="","",INDEX(Tasks!$A:$A,ROW()-1))</f>
        <v>DL-7</v>
      </c>
      <c r="B107" s="16" t="str">
        <f aca="false">IF(INDEX(Tasks!$A:$A,ROW()-1)="","",IF(ISERROR(FIND(".",INDEX(Tasks!$A:$A,ROW()-1))),"","   ")&amp;INDEX(Tasks!$D:$D,ROW()-1))</f>
        <v>Integrate with digital twin</v>
      </c>
      <c r="C107" s="16" t="str">
        <f aca="false">IF(INDEX(Tasks!$G:$G,ROW()-1)="","",INDEX(Tasks!$G:$G,ROW()-1))</f>
        <v>TBD</v>
      </c>
      <c r="D107" s="16" t="str">
        <f aca="false">IF(INDEX(Tasks!$H:$H,ROW()-1)="","",INDEX(Tasks!$H:$H,ROW()-1))</f>
        <v>Not Started</v>
      </c>
      <c r="E107" s="17" t="n">
        <f aca="false">IF(INDEX(Tasks!$I:$I,ROW()-1)="","",INDEX(Tasks!$I:$I,ROW()-1))</f>
        <v>46223</v>
      </c>
      <c r="F107" s="17" t="n">
        <f aca="false">IF(INDEX(Tasks!$K:$K,ROW()-1)="","",INDEX(Tasks!$K:$K,ROW()-1))</f>
        <v>46234</v>
      </c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/>
      <c r="AT107" s="18"/>
      <c r="AU107" s="18"/>
      <c r="AV107" s="18"/>
      <c r="AW107" s="18"/>
      <c r="AX107" s="18"/>
    </row>
    <row r="108" customFormat="false" ht="15" hidden="false" customHeight="false" outlineLevel="0" collapsed="false">
      <c r="A108" s="16" t="str">
        <f aca="false">IF(INDEX(Tasks!$A:$A,ROW()-1)="","",INDEX(Tasks!$A:$A,ROW()-1))</f>
        <v>DL-7.1</v>
      </c>
      <c r="B108" s="16" t="str">
        <f aca="false">IF(INDEX(Tasks!$A:$A,ROW()-1)="","",IF(ISERROR(FIND(".",INDEX(Tasks!$A:$A,ROW()-1))),"","   ")&amp;INDEX(Tasks!$D:$D,ROW()-1))</f>
        <v>   Predictive Handover &lt;-&gt; Twin Tracking Wiring</v>
      </c>
      <c r="C108" s="16" t="str">
        <f aca="false">IF(INDEX(Tasks!$G:$G,ROW()-1)="","",INDEX(Tasks!$G:$G,ROW()-1))</f>
        <v>TBD</v>
      </c>
      <c r="D108" s="16" t="str">
        <f aca="false">IF(INDEX(Tasks!$H:$H,ROW()-1)="","",INDEX(Tasks!$H:$H,ROW()-1))</f>
        <v>Not Started</v>
      </c>
      <c r="E108" s="17" t="n">
        <f aca="false">IF(INDEX(Tasks!$I:$I,ROW()-1)="","",INDEX(Tasks!$I:$I,ROW()-1))</f>
        <v>46223</v>
      </c>
      <c r="F108" s="17" t="n">
        <f aca="false">IF(INDEX(Tasks!$K:$K,ROW()-1)="","",INDEX(Tasks!$K:$K,ROW()-1))</f>
        <v>46227</v>
      </c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  <c r="AT108" s="18"/>
      <c r="AU108" s="18"/>
      <c r="AV108" s="18"/>
      <c r="AW108" s="18"/>
      <c r="AX108" s="18"/>
    </row>
    <row r="109" customFormat="false" ht="15" hidden="false" customHeight="false" outlineLevel="0" collapsed="false">
      <c r="A109" s="16" t="str">
        <f aca="false">IF(INDEX(Tasks!$A:$A,ROW()-1)="","",INDEX(Tasks!$A:$A,ROW()-1))</f>
        <v>DL-7.2</v>
      </c>
      <c r="B109" s="16" t="str">
        <f aca="false">IF(INDEX(Tasks!$A:$A,ROW()-1)="","",IF(ISERROR(FIND(".",INDEX(Tasks!$A:$A,ROW()-1))),"","   ")&amp;INDEX(Tasks!$D:$D,ROW()-1))</f>
        <v>   End-to-End Integration Test</v>
      </c>
      <c r="C109" s="16" t="str">
        <f aca="false">IF(INDEX(Tasks!$G:$G,ROW()-1)="","",INDEX(Tasks!$G:$G,ROW()-1))</f>
        <v>TBD</v>
      </c>
      <c r="D109" s="16" t="str">
        <f aca="false">IF(INDEX(Tasks!$H:$H,ROW()-1)="","",INDEX(Tasks!$H:$H,ROW()-1))</f>
        <v>Not Started</v>
      </c>
      <c r="E109" s="17" t="n">
        <f aca="false">IF(INDEX(Tasks!$I:$I,ROW()-1)="","",INDEX(Tasks!$I:$I,ROW()-1))</f>
        <v>46230</v>
      </c>
      <c r="F109" s="17" t="n">
        <f aca="false">IF(INDEX(Tasks!$K:$K,ROW()-1)="","",INDEX(Tasks!$K:$K,ROW()-1))</f>
        <v>46234</v>
      </c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/>
      <c r="AT109" s="18"/>
      <c r="AU109" s="18"/>
      <c r="AV109" s="18"/>
      <c r="AW109" s="18"/>
      <c r="AX109" s="18"/>
    </row>
    <row r="110" customFormat="false" ht="15" hidden="false" customHeight="false" outlineLevel="0" collapsed="false">
      <c r="A110" s="16" t="str">
        <f aca="false">IF(INDEX(Tasks!$A:$A,ROW()-1)="","",INDEX(Tasks!$A:$A,ROW()-1))</f>
        <v>SC-1</v>
      </c>
      <c r="B110" s="16" t="str">
        <f aca="false">IF(INDEX(Tasks!$A:$A,ROW()-1)="","",IF(ISERROR(FIND(".",INDEX(Tasks!$A:$A,ROW()-1))),"","   ")&amp;INDEX(Tasks!$D:$D,ROW()-1))</f>
        <v>Object Recognition (Camera Encoder/Decoder)</v>
      </c>
      <c r="C110" s="16" t="str">
        <f aca="false">IF(INDEX(Tasks!$G:$G,ROW()-1)="","",INDEX(Tasks!$G:$G,ROW()-1))</f>
        <v>TBD</v>
      </c>
      <c r="D110" s="16" t="str">
        <f aca="false">IF(INDEX(Tasks!$H:$H,ROW()-1)="","",INDEX(Tasks!$H:$H,ROW()-1))</f>
        <v>Not Started</v>
      </c>
      <c r="E110" s="17" t="n">
        <f aca="false">IF(INDEX(Tasks!$I:$I,ROW()-1)="","",INDEX(Tasks!$I:$I,ROW()-1))</f>
        <v>46195</v>
      </c>
      <c r="F110" s="17" t="n">
        <f aca="false">IF(INDEX(Tasks!$K:$K,ROW()-1)="","",INDEX(Tasks!$K:$K,ROW()-1))</f>
        <v>46206</v>
      </c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  <c r="AT110" s="18"/>
      <c r="AU110" s="18"/>
      <c r="AV110" s="18"/>
      <c r="AW110" s="18"/>
      <c r="AX110" s="18"/>
    </row>
    <row r="111" customFormat="false" ht="15" hidden="false" customHeight="false" outlineLevel="0" collapsed="false">
      <c r="A111" s="16" t="str">
        <f aca="false">IF(INDEX(Tasks!$A:$A,ROW()-1)="","",INDEX(Tasks!$A:$A,ROW()-1))</f>
        <v>SC-1.1</v>
      </c>
      <c r="B111" s="16" t="str">
        <f aca="false">IF(INDEX(Tasks!$A:$A,ROW()-1)="","",IF(ISERROR(FIND(".",INDEX(Tasks!$A:$A,ROW()-1))),"","   ")&amp;INDEX(Tasks!$D:$D,ROW()-1))</f>
        <v>   Encoder + Decoder</v>
      </c>
      <c r="C111" s="16" t="str">
        <f aca="false">IF(INDEX(Tasks!$G:$G,ROW()-1)="","",INDEX(Tasks!$G:$G,ROW()-1))</f>
        <v>TBD</v>
      </c>
      <c r="D111" s="16" t="str">
        <f aca="false">IF(INDEX(Tasks!$H:$H,ROW()-1)="","",INDEX(Tasks!$H:$H,ROW()-1))</f>
        <v>Not Started</v>
      </c>
      <c r="E111" s="17" t="n">
        <f aca="false">IF(INDEX(Tasks!$I:$I,ROW()-1)="","",INDEX(Tasks!$I:$I,ROW()-1))</f>
        <v>46195</v>
      </c>
      <c r="F111" s="17" t="n">
        <f aca="false">IF(INDEX(Tasks!$K:$K,ROW()-1)="","",INDEX(Tasks!$K:$K,ROW()-1))</f>
        <v>46206</v>
      </c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18"/>
      <c r="AL111" s="18"/>
      <c r="AM111" s="18"/>
      <c r="AN111" s="18"/>
      <c r="AO111" s="18"/>
      <c r="AP111" s="18"/>
      <c r="AQ111" s="18"/>
      <c r="AR111" s="18"/>
      <c r="AS111" s="18"/>
      <c r="AT111" s="18"/>
      <c r="AU111" s="18"/>
      <c r="AV111" s="18"/>
      <c r="AW111" s="18"/>
      <c r="AX111" s="18"/>
    </row>
    <row r="112" customFormat="false" ht="15" hidden="false" customHeight="false" outlineLevel="0" collapsed="false">
      <c r="A112" s="16" t="str">
        <f aca="false">IF(INDEX(Tasks!$A:$A,ROW()-1)="","",INDEX(Tasks!$A:$A,ROW()-1))</f>
        <v>SC-1.2</v>
      </c>
      <c r="B112" s="16" t="str">
        <f aca="false">IF(INDEX(Tasks!$A:$A,ROW()-1)="","",IF(ISERROR(FIND(".",INDEX(Tasks!$A:$A,ROW()-1))),"","   ")&amp;INDEX(Tasks!$D:$D,ROW()-1))</f>
        <v>   Accuracy Validation</v>
      </c>
      <c r="C112" s="16" t="str">
        <f aca="false">IF(INDEX(Tasks!$G:$G,ROW()-1)="","",INDEX(Tasks!$G:$G,ROW()-1))</f>
        <v>TBD</v>
      </c>
      <c r="D112" s="16" t="str">
        <f aca="false">IF(INDEX(Tasks!$H:$H,ROW()-1)="","",INDEX(Tasks!$H:$H,ROW()-1))</f>
        <v>Not Started</v>
      </c>
      <c r="E112" s="17" t="n">
        <f aca="false">IF(INDEX(Tasks!$I:$I,ROW()-1)="","",INDEX(Tasks!$I:$I,ROW()-1))</f>
        <v>46202</v>
      </c>
      <c r="F112" s="17" t="n">
        <f aca="false">IF(INDEX(Tasks!$K:$K,ROW()-1)="","",INDEX(Tasks!$K:$K,ROW()-1))</f>
        <v>46206</v>
      </c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  <c r="AH112" s="18"/>
      <c r="AI112" s="18"/>
      <c r="AJ112" s="18"/>
      <c r="AK112" s="18"/>
      <c r="AL112" s="18"/>
      <c r="AM112" s="18"/>
      <c r="AN112" s="18"/>
      <c r="AO112" s="18"/>
      <c r="AP112" s="18"/>
      <c r="AQ112" s="18"/>
      <c r="AR112" s="18"/>
      <c r="AS112" s="18"/>
      <c r="AT112" s="18"/>
      <c r="AU112" s="18"/>
      <c r="AV112" s="18"/>
      <c r="AW112" s="18"/>
      <c r="AX112" s="18"/>
    </row>
    <row r="113" customFormat="false" ht="15" hidden="false" customHeight="false" outlineLevel="0" collapsed="false">
      <c r="A113" s="16" t="str">
        <f aca="false">IF(INDEX(Tasks!$A:$A,ROW()-1)="","",INDEX(Tasks!$A:$A,ROW()-1))</f>
        <v>SC-2</v>
      </c>
      <c r="B113" s="16" t="str">
        <f aca="false">IF(INDEX(Tasks!$A:$A,ROW()-1)="","",IF(ISERROR(FIND(".",INDEX(Tasks!$A:$A,ROW()-1))),"","   ")&amp;INDEX(Tasks!$D:$D,ROW()-1))</f>
        <v>Build Core Framework</v>
      </c>
      <c r="C113" s="16" t="str">
        <f aca="false">IF(INDEX(Tasks!$G:$G,ROW()-1)="","",INDEX(Tasks!$G:$G,ROW()-1))</f>
        <v>TBD</v>
      </c>
      <c r="D113" s="16" t="str">
        <f aca="false">IF(INDEX(Tasks!$H:$H,ROW()-1)="","",INDEX(Tasks!$H:$H,ROW()-1))</f>
        <v>Not Started</v>
      </c>
      <c r="E113" s="17" t="n">
        <f aca="false">IF(INDEX(Tasks!$I:$I,ROW()-1)="","",INDEX(Tasks!$I:$I,ROW()-1))</f>
        <v>46209</v>
      </c>
      <c r="F113" s="17" t="n">
        <f aca="false">IF(INDEX(Tasks!$K:$K,ROW()-1)="","",INDEX(Tasks!$K:$K,ROW()-1))</f>
        <v>46220</v>
      </c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  <c r="AT113" s="18"/>
      <c r="AU113" s="18"/>
      <c r="AV113" s="18"/>
      <c r="AW113" s="18"/>
      <c r="AX113" s="18"/>
    </row>
    <row r="114" customFormat="false" ht="15" hidden="false" customHeight="false" outlineLevel="0" collapsed="false">
      <c r="A114" s="16" t="str">
        <f aca="false">IF(INDEX(Tasks!$A:$A,ROW()-1)="","",INDEX(Tasks!$A:$A,ROW()-1))</f>
        <v>SC-2.1</v>
      </c>
      <c r="B114" s="16" t="str">
        <f aca="false">IF(INDEX(Tasks!$A:$A,ROW()-1)="","",IF(ISERROR(FIND(".",INDEX(Tasks!$A:$A,ROW()-1))),"","   ")&amp;INDEX(Tasks!$D:$D,ROW()-1))</f>
        <v>   Baseline 3-Stage Framework</v>
      </c>
      <c r="C114" s="16" t="str">
        <f aca="false">IF(INDEX(Tasks!$G:$G,ROW()-1)="","",INDEX(Tasks!$G:$G,ROW()-1))</f>
        <v>TBD</v>
      </c>
      <c r="D114" s="16" t="str">
        <f aca="false">IF(INDEX(Tasks!$H:$H,ROW()-1)="","",INDEX(Tasks!$H:$H,ROW()-1))</f>
        <v>Not Started</v>
      </c>
      <c r="E114" s="17" t="n">
        <f aca="false">IF(INDEX(Tasks!$I:$I,ROW()-1)="","",INDEX(Tasks!$I:$I,ROW()-1))</f>
        <v>46209</v>
      </c>
      <c r="F114" s="17" t="n">
        <f aca="false">IF(INDEX(Tasks!$K:$K,ROW()-1)="","",INDEX(Tasks!$K:$K,ROW()-1))</f>
        <v>46220</v>
      </c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18"/>
      <c r="AO114" s="18"/>
      <c r="AP114" s="18"/>
      <c r="AQ114" s="18"/>
      <c r="AR114" s="18"/>
      <c r="AS114" s="18"/>
      <c r="AT114" s="18"/>
      <c r="AU114" s="18"/>
      <c r="AV114" s="18"/>
      <c r="AW114" s="18"/>
      <c r="AX114" s="18"/>
    </row>
    <row r="115" customFormat="false" ht="15" hidden="false" customHeight="false" outlineLevel="0" collapsed="false">
      <c r="A115" s="16" t="str">
        <f aca="false">IF(INDEX(Tasks!$A:$A,ROW()-1)="","",INDEX(Tasks!$A:$A,ROW()-1))</f>
        <v>SC-2.2</v>
      </c>
      <c r="B115" s="16" t="str">
        <f aca="false">IF(INDEX(Tasks!$A:$A,ROW()-1)="","",IF(ISERROR(FIND(".",INDEX(Tasks!$A:$A,ROW()-1))),"","   ")&amp;INDEX(Tasks!$D:$D,ROW()-1))</f>
        <v>   Realistic Channel Model</v>
      </c>
      <c r="C115" s="16" t="str">
        <f aca="false">IF(INDEX(Tasks!$G:$G,ROW()-1)="","",INDEX(Tasks!$G:$G,ROW()-1))</f>
        <v>TBD</v>
      </c>
      <c r="D115" s="16" t="str">
        <f aca="false">IF(INDEX(Tasks!$H:$H,ROW()-1)="","",INDEX(Tasks!$H:$H,ROW()-1))</f>
        <v>Not Started</v>
      </c>
      <c r="E115" s="17" t="n">
        <f aca="false">IF(INDEX(Tasks!$I:$I,ROW()-1)="","",INDEX(Tasks!$I:$I,ROW()-1))</f>
        <v>46216</v>
      </c>
      <c r="F115" s="17" t="n">
        <f aca="false">IF(INDEX(Tasks!$K:$K,ROW()-1)="","",INDEX(Tasks!$K:$K,ROW()-1))</f>
        <v>46220</v>
      </c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  <c r="AU115" s="18"/>
      <c r="AV115" s="18"/>
      <c r="AW115" s="18"/>
      <c r="AX115" s="18"/>
    </row>
    <row r="116" customFormat="false" ht="15" hidden="false" customHeight="false" outlineLevel="0" collapsed="false">
      <c r="A116" s="16" t="str">
        <f aca="false">IF(INDEX(Tasks!$A:$A,ROW()-1)="","",INDEX(Tasks!$A:$A,ROW()-1))</f>
        <v>SC-3</v>
      </c>
      <c r="B116" s="16" t="str">
        <f aca="false">IF(INDEX(Tasks!$A:$A,ROW()-1)="","",IF(ISERROR(FIND(".",INDEX(Tasks!$A:$A,ROW()-1))),"","   ")&amp;INDEX(Tasks!$D:$D,ROW()-1))</f>
        <v>Dynamic Bandwidth Management</v>
      </c>
      <c r="C116" s="16" t="str">
        <f aca="false">IF(INDEX(Tasks!$G:$G,ROW()-1)="","",INDEX(Tasks!$G:$G,ROW()-1))</f>
        <v>TBD</v>
      </c>
      <c r="D116" s="16" t="str">
        <f aca="false">IF(INDEX(Tasks!$H:$H,ROW()-1)="","",INDEX(Tasks!$H:$H,ROW()-1))</f>
        <v>Not Started</v>
      </c>
      <c r="E116" s="17" t="str">
        <f aca="false">IF(INDEX(Tasks!$I:$I,ROW()-1)="","",INDEX(Tasks!$I:$I,ROW()-1))</f>
        <v/>
      </c>
      <c r="F116" s="17" t="str">
        <f aca="false">IF(INDEX(Tasks!$K:$K,ROW()-1)="","",INDEX(Tasks!$K:$K,ROW()-1))</f>
        <v/>
      </c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  <c r="AU116" s="18"/>
      <c r="AV116" s="18"/>
      <c r="AW116" s="18"/>
      <c r="AX116" s="18"/>
    </row>
    <row r="117" customFormat="false" ht="15" hidden="false" customHeight="false" outlineLevel="0" collapsed="false">
      <c r="A117" s="16" t="str">
        <f aca="false">IF(INDEX(Tasks!$A:$A,ROW()-1)="","",INDEX(Tasks!$A:$A,ROW()-1))</f>
        <v>SC-3.1</v>
      </c>
      <c r="B117" s="16" t="str">
        <f aca="false">IF(INDEX(Tasks!$A:$A,ROW()-1)="","",IF(ISERROR(FIND(".",INDEX(Tasks!$A:$A,ROW()-1))),"","   ")&amp;INDEX(Tasks!$D:$D,ROW()-1))</f>
        <v>   Semantic Allocation</v>
      </c>
      <c r="C117" s="16" t="str">
        <f aca="false">IF(INDEX(Tasks!$G:$G,ROW()-1)="","",INDEX(Tasks!$G:$G,ROW()-1))</f>
        <v>TBD</v>
      </c>
      <c r="D117" s="16" t="str">
        <f aca="false">IF(INDEX(Tasks!$H:$H,ROW()-1)="","",INDEX(Tasks!$H:$H,ROW()-1))</f>
        <v>Not Started</v>
      </c>
      <c r="E117" s="17" t="str">
        <f aca="false">IF(INDEX(Tasks!$I:$I,ROW()-1)="","",INDEX(Tasks!$I:$I,ROW()-1))</f>
        <v/>
      </c>
      <c r="F117" s="17" t="str">
        <f aca="false">IF(INDEX(Tasks!$K:$K,ROW()-1)="","",INDEX(Tasks!$K:$K,ROW()-1))</f>
        <v/>
      </c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  <c r="AU117" s="18"/>
      <c r="AV117" s="18"/>
      <c r="AW117" s="18"/>
      <c r="AX117" s="18"/>
    </row>
    <row r="118" customFormat="false" ht="15" hidden="false" customHeight="false" outlineLevel="0" collapsed="false">
      <c r="A118" s="16" t="str">
        <f aca="false">IF(INDEX(Tasks!$A:$A,ROW()-1)="","",INDEX(Tasks!$A:$A,ROW()-1))</f>
        <v>SC-3.2</v>
      </c>
      <c r="B118" s="16" t="str">
        <f aca="false">IF(INDEX(Tasks!$A:$A,ROW()-1)="","",IF(ISERROR(FIND(".",INDEX(Tasks!$A:$A,ROW()-1))),"","   ")&amp;INDEX(Tasks!$D:$D,ROW()-1))</f>
        <v>   Physical Constraint Bounds</v>
      </c>
      <c r="C118" s="16" t="str">
        <f aca="false">IF(INDEX(Tasks!$G:$G,ROW()-1)="","",INDEX(Tasks!$G:$G,ROW()-1))</f>
        <v>TBD</v>
      </c>
      <c r="D118" s="16" t="str">
        <f aca="false">IF(INDEX(Tasks!$H:$H,ROW()-1)="","",INDEX(Tasks!$H:$H,ROW()-1))</f>
        <v>Not Started</v>
      </c>
      <c r="E118" s="17" t="str">
        <f aca="false">IF(INDEX(Tasks!$I:$I,ROW()-1)="","",INDEX(Tasks!$I:$I,ROW()-1))</f>
        <v/>
      </c>
      <c r="F118" s="17" t="str">
        <f aca="false">IF(INDEX(Tasks!$K:$K,ROW()-1)="","",INDEX(Tasks!$K:$K,ROW()-1))</f>
        <v/>
      </c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  <c r="AU118" s="18"/>
      <c r="AV118" s="18"/>
      <c r="AW118" s="18"/>
      <c r="AX118" s="18"/>
    </row>
    <row r="119" customFormat="false" ht="15" hidden="false" customHeight="false" outlineLevel="0" collapsed="false">
      <c r="A119" s="16" t="str">
        <f aca="false">IF(INDEX(Tasks!$A:$A,ROW()-1)="","",INDEX(Tasks!$A:$A,ROW()-1))</f>
        <v>SC-3.3</v>
      </c>
      <c r="B119" s="16" t="str">
        <f aca="false">IF(INDEX(Tasks!$A:$A,ROW()-1)="","",IF(ISERROR(FIND(".",INDEX(Tasks!$A:$A,ROW()-1))),"","   ")&amp;INDEX(Tasks!$D:$D,ROW()-1))</f>
        <v>   Per-Modality Truncation</v>
      </c>
      <c r="C119" s="16" t="str">
        <f aca="false">IF(INDEX(Tasks!$G:$G,ROW()-1)="","",INDEX(Tasks!$G:$G,ROW()-1))</f>
        <v>TBD</v>
      </c>
      <c r="D119" s="16" t="str">
        <f aca="false">IF(INDEX(Tasks!$H:$H,ROW()-1)="","",INDEX(Tasks!$H:$H,ROW()-1))</f>
        <v>Not Started</v>
      </c>
      <c r="E119" s="17" t="str">
        <f aca="false">IF(INDEX(Tasks!$I:$I,ROW()-1)="","",INDEX(Tasks!$I:$I,ROW()-1))</f>
        <v/>
      </c>
      <c r="F119" s="17" t="str">
        <f aca="false">IF(INDEX(Tasks!$K:$K,ROW()-1)="","",INDEX(Tasks!$K:$K,ROW()-1))</f>
        <v/>
      </c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  <c r="AU119" s="18"/>
      <c r="AV119" s="18"/>
      <c r="AW119" s="18"/>
      <c r="AX119" s="18"/>
    </row>
    <row r="120" customFormat="false" ht="15" hidden="false" customHeight="false" outlineLevel="0" collapsed="false">
      <c r="A120" s="16" t="str">
        <f aca="false">IF(INDEX(Tasks!$A:$A,ROW()-1)="","",INDEX(Tasks!$A:$A,ROW()-1))</f>
        <v>SC-3.4</v>
      </c>
      <c r="B120" s="16" t="str">
        <f aca="false">IF(INDEX(Tasks!$A:$A,ROW()-1)="","",IF(ISERROR(FIND(".",INDEX(Tasks!$A:$A,ROW()-1))),"","   ")&amp;INDEX(Tasks!$D:$D,ROW()-1))</f>
        <v>   Cost-Aware Feedback Loop</v>
      </c>
      <c r="C120" s="16" t="str">
        <f aca="false">IF(INDEX(Tasks!$G:$G,ROW()-1)="","",INDEX(Tasks!$G:$G,ROW()-1))</f>
        <v>TBD</v>
      </c>
      <c r="D120" s="16" t="str">
        <f aca="false">IF(INDEX(Tasks!$H:$H,ROW()-1)="","",INDEX(Tasks!$H:$H,ROW()-1))</f>
        <v>Not Started</v>
      </c>
      <c r="E120" s="17" t="str">
        <f aca="false">IF(INDEX(Tasks!$I:$I,ROW()-1)="","",INDEX(Tasks!$I:$I,ROW()-1))</f>
        <v/>
      </c>
      <c r="F120" s="17" t="str">
        <f aca="false">IF(INDEX(Tasks!$K:$K,ROW()-1)="","",INDEX(Tasks!$K:$K,ROW()-1))</f>
        <v/>
      </c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  <c r="AU120" s="18"/>
      <c r="AV120" s="18"/>
      <c r="AW120" s="18"/>
      <c r="AX120" s="18"/>
    </row>
    <row r="121" customFormat="false" ht="15" hidden="false" customHeight="false" outlineLevel="0" collapsed="false">
      <c r="A121" s="16" t="str">
        <f aca="false">IF(INDEX(Tasks!$A:$A,ROW()-1)="","",INDEX(Tasks!$A:$A,ROW()-1))</f>
        <v>SC-4</v>
      </c>
      <c r="B121" s="16" t="str">
        <f aca="false">IF(INDEX(Tasks!$A:$A,ROW()-1)="","",IF(ISERROR(FIND(".",INDEX(Tasks!$A:$A,ROW()-1))),"","   ")&amp;INDEX(Tasks!$D:$D,ROW()-1))</f>
        <v>Multi-Task Transmission</v>
      </c>
      <c r="C121" s="16" t="str">
        <f aca="false">IF(INDEX(Tasks!$G:$G,ROW()-1)="","",INDEX(Tasks!$G:$G,ROW()-1))</f>
        <v>TBD</v>
      </c>
      <c r="D121" s="16" t="str">
        <f aca="false">IF(INDEX(Tasks!$H:$H,ROW()-1)="","",INDEX(Tasks!$H:$H,ROW()-1))</f>
        <v>Not Started</v>
      </c>
      <c r="E121" s="17" t="str">
        <f aca="false">IF(INDEX(Tasks!$I:$I,ROW()-1)="","",INDEX(Tasks!$I:$I,ROW()-1))</f>
        <v/>
      </c>
      <c r="F121" s="17" t="str">
        <f aca="false">IF(INDEX(Tasks!$K:$K,ROW()-1)="","",INDEX(Tasks!$K:$K,ROW()-1))</f>
        <v/>
      </c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  <c r="AU121" s="18"/>
      <c r="AV121" s="18"/>
      <c r="AW121" s="18"/>
      <c r="AX121" s="18"/>
    </row>
    <row r="122" customFormat="false" ht="15" hidden="false" customHeight="false" outlineLevel="0" collapsed="false">
      <c r="A122" s="16" t="str">
        <f aca="false">IF(INDEX(Tasks!$A:$A,ROW()-1)="","",INDEX(Tasks!$A:$A,ROW()-1))</f>
        <v>SC-5</v>
      </c>
      <c r="B122" s="16" t="str">
        <f aca="false">IF(INDEX(Tasks!$A:$A,ROW()-1)="","",IF(ISERROR(FIND(".",INDEX(Tasks!$A:$A,ROW()-1))),"","   ")&amp;INDEX(Tasks!$D:$D,ROW()-1))</f>
        <v>Train &amp; Evaluate on Dataset</v>
      </c>
      <c r="C122" s="16" t="str">
        <f aca="false">IF(INDEX(Tasks!$G:$G,ROW()-1)="","",INDEX(Tasks!$G:$G,ROW()-1))</f>
        <v>TBD</v>
      </c>
      <c r="D122" s="16" t="str">
        <f aca="false">IF(INDEX(Tasks!$H:$H,ROW()-1)="","",INDEX(Tasks!$H:$H,ROW()-1))</f>
        <v>Not Started</v>
      </c>
      <c r="E122" s="17" t="str">
        <f aca="false">IF(INDEX(Tasks!$I:$I,ROW()-1)="","",INDEX(Tasks!$I:$I,ROW()-1))</f>
        <v/>
      </c>
      <c r="F122" s="17" t="str">
        <f aca="false">IF(INDEX(Tasks!$K:$K,ROW()-1)="","",INDEX(Tasks!$K:$K,ROW()-1))</f>
        <v/>
      </c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  <c r="AU122" s="18"/>
      <c r="AV122" s="18"/>
      <c r="AW122" s="18"/>
      <c r="AX122" s="18"/>
    </row>
    <row r="123" customFormat="false" ht="15" hidden="false" customHeight="false" outlineLevel="0" collapsed="false">
      <c r="A123" s="16" t="str">
        <f aca="false">IF(INDEX(Tasks!$A:$A,ROW()-1)="","",INDEX(Tasks!$A:$A,ROW()-1))</f>
        <v>SC-6</v>
      </c>
      <c r="B123" s="16" t="str">
        <f aca="false">IF(INDEX(Tasks!$A:$A,ROW()-1)="","",IF(ISERROR(FIND(".",INDEX(Tasks!$A:$A,ROW()-1))),"","   ")&amp;INDEX(Tasks!$D:$D,ROW()-1))</f>
        <v>Integrate with Dual-Link</v>
      </c>
      <c r="C123" s="16" t="str">
        <f aca="false">IF(INDEX(Tasks!$G:$G,ROW()-1)="","",INDEX(Tasks!$G:$G,ROW()-1))</f>
        <v>TBD</v>
      </c>
      <c r="D123" s="16" t="str">
        <f aca="false">IF(INDEX(Tasks!$H:$H,ROW()-1)="","",INDEX(Tasks!$H:$H,ROW()-1))</f>
        <v>Not Started</v>
      </c>
      <c r="E123" s="17" t="str">
        <f aca="false">IF(INDEX(Tasks!$I:$I,ROW()-1)="","",INDEX(Tasks!$I:$I,ROW()-1))</f>
        <v/>
      </c>
      <c r="F123" s="17" t="str">
        <f aca="false">IF(INDEX(Tasks!$K:$K,ROW()-1)="","",INDEX(Tasks!$K:$K,ROW()-1))</f>
        <v/>
      </c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  <c r="AU123" s="18"/>
      <c r="AV123" s="18"/>
      <c r="AW123" s="18"/>
      <c r="AX123" s="18"/>
    </row>
    <row r="124" customFormat="false" ht="15" hidden="false" customHeight="false" outlineLevel="0" collapsed="false">
      <c r="A124" s="16" t="str">
        <f aca="false">IF(INDEX(Tasks!$A:$A,ROW()-1)="","",INDEX(Tasks!$A:$A,ROW()-1))</f>
        <v/>
      </c>
      <c r="B124" s="16" t="str">
        <f aca="false">IF(INDEX(Tasks!$A:$A,ROW()-1)="","",IF(ISERROR(FIND(".",INDEX(Tasks!$A:$A,ROW()-1))),"","   ")&amp;INDEX(Tasks!$D:$D,ROW()-1))</f>
        <v/>
      </c>
      <c r="C124" s="16" t="str">
        <f aca="false">IF(INDEX(Tasks!$G:$G,ROW()-1)="","",INDEX(Tasks!$G:$G,ROW()-1))</f>
        <v/>
      </c>
      <c r="D124" s="16" t="str">
        <f aca="false">IF(INDEX(Tasks!$H:$H,ROW()-1)="","",INDEX(Tasks!$H:$H,ROW()-1))</f>
        <v/>
      </c>
      <c r="E124" s="17" t="str">
        <f aca="false">IF(INDEX(Tasks!$I:$I,ROW()-1)="","",INDEX(Tasks!$I:$I,ROW()-1))</f>
        <v/>
      </c>
      <c r="F124" s="17" t="str">
        <f aca="false">IF(INDEX(Tasks!$K:$K,ROW()-1)="","",INDEX(Tasks!$K:$K,ROW()-1))</f>
        <v/>
      </c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  <c r="AU124" s="18"/>
      <c r="AV124" s="18"/>
      <c r="AW124" s="18"/>
      <c r="AX124" s="18"/>
    </row>
    <row r="125" customFormat="false" ht="15" hidden="false" customHeight="false" outlineLevel="0" collapsed="false">
      <c r="A125" s="16" t="str">
        <f aca="false">IF(INDEX(Tasks!$A:$A,ROW()-1)="","",INDEX(Tasks!$A:$A,ROW()-1))</f>
        <v/>
      </c>
      <c r="B125" s="16" t="str">
        <f aca="false">IF(INDEX(Tasks!$A:$A,ROW()-1)="","",IF(ISERROR(FIND(".",INDEX(Tasks!$A:$A,ROW()-1))),"","   ")&amp;INDEX(Tasks!$D:$D,ROW()-1))</f>
        <v/>
      </c>
      <c r="C125" s="16" t="str">
        <f aca="false">IF(INDEX(Tasks!$G:$G,ROW()-1)="","",INDEX(Tasks!$G:$G,ROW()-1))</f>
        <v/>
      </c>
      <c r="D125" s="16" t="str">
        <f aca="false">IF(INDEX(Tasks!$H:$H,ROW()-1)="","",INDEX(Tasks!$H:$H,ROW()-1))</f>
        <v/>
      </c>
      <c r="E125" s="17" t="str">
        <f aca="false">IF(INDEX(Tasks!$I:$I,ROW()-1)="","",INDEX(Tasks!$I:$I,ROW()-1))</f>
        <v/>
      </c>
      <c r="F125" s="17" t="str">
        <f aca="false">IF(INDEX(Tasks!$K:$K,ROW()-1)="","",INDEX(Tasks!$K:$K,ROW()-1))</f>
        <v/>
      </c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  <c r="AT125" s="18"/>
      <c r="AU125" s="18"/>
      <c r="AV125" s="18"/>
      <c r="AW125" s="18"/>
      <c r="AX125" s="18"/>
    </row>
    <row r="126" customFormat="false" ht="15" hidden="false" customHeight="false" outlineLevel="0" collapsed="false">
      <c r="A126" s="16" t="str">
        <f aca="false">IF(INDEX(Tasks!$A:$A,ROW()-1)="","",INDEX(Tasks!$A:$A,ROW()-1))</f>
        <v/>
      </c>
      <c r="B126" s="16" t="str">
        <f aca="false">IF(INDEX(Tasks!$A:$A,ROW()-1)="","",IF(ISERROR(FIND(".",INDEX(Tasks!$A:$A,ROW()-1))),"","   ")&amp;INDEX(Tasks!$D:$D,ROW()-1))</f>
        <v/>
      </c>
      <c r="C126" s="16" t="str">
        <f aca="false">IF(INDEX(Tasks!$G:$G,ROW()-1)="","",INDEX(Tasks!$G:$G,ROW()-1))</f>
        <v/>
      </c>
      <c r="D126" s="16" t="str">
        <f aca="false">IF(INDEX(Tasks!$H:$H,ROW()-1)="","",INDEX(Tasks!$H:$H,ROW()-1))</f>
        <v/>
      </c>
      <c r="E126" s="17" t="str">
        <f aca="false">IF(INDEX(Tasks!$I:$I,ROW()-1)="","",INDEX(Tasks!$I:$I,ROW()-1))</f>
        <v/>
      </c>
      <c r="F126" s="17" t="str">
        <f aca="false">IF(INDEX(Tasks!$K:$K,ROW()-1)="","",INDEX(Tasks!$K:$K,ROW()-1))</f>
        <v/>
      </c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  <c r="AT126" s="18"/>
      <c r="AU126" s="18"/>
      <c r="AV126" s="18"/>
      <c r="AW126" s="18"/>
      <c r="AX126" s="18"/>
    </row>
    <row r="127" customFormat="false" ht="15" hidden="false" customHeight="false" outlineLevel="0" collapsed="false">
      <c r="A127" s="16" t="str">
        <f aca="false">IF(INDEX(Tasks!$A:$A,ROW()-1)="","",INDEX(Tasks!$A:$A,ROW()-1))</f>
        <v/>
      </c>
      <c r="B127" s="16" t="str">
        <f aca="false">IF(INDEX(Tasks!$A:$A,ROW()-1)="","",IF(ISERROR(FIND(".",INDEX(Tasks!$A:$A,ROW()-1))),"","   ")&amp;INDEX(Tasks!$D:$D,ROW()-1))</f>
        <v/>
      </c>
      <c r="C127" s="16" t="str">
        <f aca="false">IF(INDEX(Tasks!$G:$G,ROW()-1)="","",INDEX(Tasks!$G:$G,ROW()-1))</f>
        <v/>
      </c>
      <c r="D127" s="16" t="str">
        <f aca="false">IF(INDEX(Tasks!$H:$H,ROW()-1)="","",INDEX(Tasks!$H:$H,ROW()-1))</f>
        <v/>
      </c>
      <c r="E127" s="17" t="str">
        <f aca="false">IF(INDEX(Tasks!$I:$I,ROW()-1)="","",INDEX(Tasks!$I:$I,ROW()-1))</f>
        <v/>
      </c>
      <c r="F127" s="17" t="str">
        <f aca="false">IF(INDEX(Tasks!$K:$K,ROW()-1)="","",INDEX(Tasks!$K:$K,ROW()-1))</f>
        <v/>
      </c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  <c r="AT127" s="18"/>
      <c r="AU127" s="18"/>
      <c r="AV127" s="18"/>
      <c r="AW127" s="18"/>
      <c r="AX127" s="18"/>
    </row>
    <row r="128" customFormat="false" ht="15" hidden="false" customHeight="false" outlineLevel="0" collapsed="false">
      <c r="A128" s="16" t="str">
        <f aca="false">IF(INDEX(Tasks!$A:$A,ROW()-1)="","",INDEX(Tasks!$A:$A,ROW()-1))</f>
        <v/>
      </c>
      <c r="B128" s="16" t="str">
        <f aca="false">IF(INDEX(Tasks!$A:$A,ROW()-1)="","",IF(ISERROR(FIND(".",INDEX(Tasks!$A:$A,ROW()-1))),"","   ")&amp;INDEX(Tasks!$D:$D,ROW()-1))</f>
        <v/>
      </c>
      <c r="C128" s="16" t="str">
        <f aca="false">IF(INDEX(Tasks!$G:$G,ROW()-1)="","",INDEX(Tasks!$G:$G,ROW()-1))</f>
        <v/>
      </c>
      <c r="D128" s="16" t="str">
        <f aca="false">IF(INDEX(Tasks!$H:$H,ROW()-1)="","",INDEX(Tasks!$H:$H,ROW()-1))</f>
        <v/>
      </c>
      <c r="E128" s="17" t="str">
        <f aca="false">IF(INDEX(Tasks!$I:$I,ROW()-1)="","",INDEX(Tasks!$I:$I,ROW()-1))</f>
        <v/>
      </c>
      <c r="F128" s="17" t="str">
        <f aca="false">IF(INDEX(Tasks!$K:$K,ROW()-1)="","",INDEX(Tasks!$K:$K,ROW()-1))</f>
        <v/>
      </c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  <c r="AT128" s="18"/>
      <c r="AU128" s="18"/>
      <c r="AV128" s="18"/>
      <c r="AW128" s="18"/>
      <c r="AX128" s="18"/>
    </row>
    <row r="129" customFormat="false" ht="15" hidden="false" customHeight="false" outlineLevel="0" collapsed="false">
      <c r="A129" s="16" t="str">
        <f aca="false">IF(INDEX(Tasks!$A:$A,ROW()-1)="","",INDEX(Tasks!$A:$A,ROW()-1))</f>
        <v/>
      </c>
      <c r="B129" s="16" t="str">
        <f aca="false">IF(INDEX(Tasks!$A:$A,ROW()-1)="","",IF(ISERROR(FIND(".",INDEX(Tasks!$A:$A,ROW()-1))),"","   ")&amp;INDEX(Tasks!$D:$D,ROW()-1))</f>
        <v/>
      </c>
      <c r="C129" s="16" t="str">
        <f aca="false">IF(INDEX(Tasks!$G:$G,ROW()-1)="","",INDEX(Tasks!$G:$G,ROW()-1))</f>
        <v/>
      </c>
      <c r="D129" s="16" t="str">
        <f aca="false">IF(INDEX(Tasks!$H:$H,ROW()-1)="","",INDEX(Tasks!$H:$H,ROW()-1))</f>
        <v/>
      </c>
      <c r="E129" s="17" t="str">
        <f aca="false">IF(INDEX(Tasks!$I:$I,ROW()-1)="","",INDEX(Tasks!$I:$I,ROW()-1))</f>
        <v/>
      </c>
      <c r="F129" s="17" t="str">
        <f aca="false">IF(INDEX(Tasks!$K:$K,ROW()-1)="","",INDEX(Tasks!$K:$K,ROW()-1))</f>
        <v/>
      </c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  <c r="AT129" s="18"/>
      <c r="AU129" s="18"/>
      <c r="AV129" s="18"/>
      <c r="AW129" s="18"/>
      <c r="AX129" s="18"/>
    </row>
    <row r="130" customFormat="false" ht="15" hidden="false" customHeight="false" outlineLevel="0" collapsed="false">
      <c r="A130" s="16" t="str">
        <f aca="false">IF(INDEX(Tasks!$A:$A,ROW()-1)="","",INDEX(Tasks!$A:$A,ROW()-1))</f>
        <v/>
      </c>
      <c r="B130" s="16" t="str">
        <f aca="false">IF(INDEX(Tasks!$A:$A,ROW()-1)="","",IF(ISERROR(FIND(".",INDEX(Tasks!$A:$A,ROW()-1))),"","   ")&amp;INDEX(Tasks!$D:$D,ROW()-1))</f>
        <v/>
      </c>
      <c r="C130" s="16" t="str">
        <f aca="false">IF(INDEX(Tasks!$G:$G,ROW()-1)="","",INDEX(Tasks!$G:$G,ROW()-1))</f>
        <v/>
      </c>
      <c r="D130" s="16" t="str">
        <f aca="false">IF(INDEX(Tasks!$H:$H,ROW()-1)="","",INDEX(Tasks!$H:$H,ROW()-1))</f>
        <v/>
      </c>
      <c r="E130" s="17" t="str">
        <f aca="false">IF(INDEX(Tasks!$I:$I,ROW()-1)="","",INDEX(Tasks!$I:$I,ROW()-1))</f>
        <v/>
      </c>
      <c r="F130" s="17" t="str">
        <f aca="false">IF(INDEX(Tasks!$K:$K,ROW()-1)="","",INDEX(Tasks!$K:$K,ROW()-1))</f>
        <v/>
      </c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  <c r="AT130" s="18"/>
      <c r="AU130" s="18"/>
      <c r="AV130" s="18"/>
      <c r="AW130" s="18"/>
      <c r="AX130" s="18"/>
    </row>
    <row r="131" customFormat="false" ht="15" hidden="false" customHeight="false" outlineLevel="0" collapsed="false">
      <c r="A131" s="16" t="str">
        <f aca="false">IF(INDEX(Tasks!$A:$A,ROW()-1)="","",INDEX(Tasks!$A:$A,ROW()-1))</f>
        <v/>
      </c>
      <c r="B131" s="16" t="str">
        <f aca="false">IF(INDEX(Tasks!$A:$A,ROW()-1)="","",IF(ISERROR(FIND(".",INDEX(Tasks!$A:$A,ROW()-1))),"","   ")&amp;INDEX(Tasks!$D:$D,ROW()-1))</f>
        <v/>
      </c>
      <c r="C131" s="16" t="str">
        <f aca="false">IF(INDEX(Tasks!$G:$G,ROW()-1)="","",INDEX(Tasks!$G:$G,ROW()-1))</f>
        <v/>
      </c>
      <c r="D131" s="16" t="str">
        <f aca="false">IF(INDEX(Tasks!$H:$H,ROW()-1)="","",INDEX(Tasks!$H:$H,ROW()-1))</f>
        <v/>
      </c>
      <c r="E131" s="17" t="str">
        <f aca="false">IF(INDEX(Tasks!$I:$I,ROW()-1)="","",INDEX(Tasks!$I:$I,ROW()-1))</f>
        <v/>
      </c>
      <c r="F131" s="17" t="str">
        <f aca="false">IF(INDEX(Tasks!$K:$K,ROW()-1)="","",INDEX(Tasks!$K:$K,ROW()-1))</f>
        <v/>
      </c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  <c r="AT131" s="18"/>
      <c r="AU131" s="18"/>
      <c r="AV131" s="18"/>
      <c r="AW131" s="18"/>
      <c r="AX131" s="18"/>
    </row>
    <row r="132" customFormat="false" ht="15" hidden="false" customHeight="false" outlineLevel="0" collapsed="false">
      <c r="A132" s="16" t="str">
        <f aca="false">IF(INDEX(Tasks!$A:$A,ROW()-1)="","",INDEX(Tasks!$A:$A,ROW()-1))</f>
        <v/>
      </c>
      <c r="B132" s="16" t="str">
        <f aca="false">IF(INDEX(Tasks!$A:$A,ROW()-1)="","",IF(ISERROR(FIND(".",INDEX(Tasks!$A:$A,ROW()-1))),"","   ")&amp;INDEX(Tasks!$D:$D,ROW()-1))</f>
        <v/>
      </c>
      <c r="C132" s="16" t="str">
        <f aca="false">IF(INDEX(Tasks!$G:$G,ROW()-1)="","",INDEX(Tasks!$G:$G,ROW()-1))</f>
        <v/>
      </c>
      <c r="D132" s="16" t="str">
        <f aca="false">IF(INDEX(Tasks!$H:$H,ROW()-1)="","",INDEX(Tasks!$H:$H,ROW()-1))</f>
        <v/>
      </c>
      <c r="E132" s="17" t="str">
        <f aca="false">IF(INDEX(Tasks!$I:$I,ROW()-1)="","",INDEX(Tasks!$I:$I,ROW()-1))</f>
        <v/>
      </c>
      <c r="F132" s="17" t="str">
        <f aca="false">IF(INDEX(Tasks!$K:$K,ROW()-1)="","",INDEX(Tasks!$K:$K,ROW()-1))</f>
        <v/>
      </c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  <c r="AH132" s="18"/>
      <c r="AI132" s="18"/>
      <c r="AJ132" s="18"/>
      <c r="AK132" s="18"/>
      <c r="AL132" s="18"/>
      <c r="AM132" s="18"/>
      <c r="AN132" s="18"/>
      <c r="AO132" s="18"/>
      <c r="AP132" s="18"/>
      <c r="AQ132" s="18"/>
      <c r="AR132" s="18"/>
      <c r="AS132" s="18"/>
      <c r="AT132" s="18"/>
      <c r="AU132" s="18"/>
      <c r="AV132" s="18"/>
      <c r="AW132" s="18"/>
      <c r="AX132" s="18"/>
    </row>
    <row r="133" customFormat="false" ht="15" hidden="false" customHeight="false" outlineLevel="0" collapsed="false">
      <c r="A133" s="16" t="str">
        <f aca="false">IF(INDEX(Tasks!$A:$A,ROW()-1)="","",INDEX(Tasks!$A:$A,ROW()-1))</f>
        <v/>
      </c>
      <c r="B133" s="16" t="str">
        <f aca="false">IF(INDEX(Tasks!$A:$A,ROW()-1)="","",IF(ISERROR(FIND(".",INDEX(Tasks!$A:$A,ROW()-1))),"","   ")&amp;INDEX(Tasks!$D:$D,ROW()-1))</f>
        <v/>
      </c>
      <c r="C133" s="16" t="str">
        <f aca="false">IF(INDEX(Tasks!$G:$G,ROW()-1)="","",INDEX(Tasks!$G:$G,ROW()-1))</f>
        <v/>
      </c>
      <c r="D133" s="16" t="str">
        <f aca="false">IF(INDEX(Tasks!$H:$H,ROW()-1)="","",INDEX(Tasks!$H:$H,ROW()-1))</f>
        <v/>
      </c>
      <c r="E133" s="17" t="str">
        <f aca="false">IF(INDEX(Tasks!$I:$I,ROW()-1)="","",INDEX(Tasks!$I:$I,ROW()-1))</f>
        <v/>
      </c>
      <c r="F133" s="17" t="str">
        <f aca="false">IF(INDEX(Tasks!$K:$K,ROW()-1)="","",INDEX(Tasks!$K:$K,ROW()-1))</f>
        <v/>
      </c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  <c r="AH133" s="18"/>
      <c r="AI133" s="18"/>
      <c r="AJ133" s="18"/>
      <c r="AK133" s="18"/>
      <c r="AL133" s="18"/>
      <c r="AM133" s="18"/>
      <c r="AN133" s="18"/>
      <c r="AO133" s="18"/>
      <c r="AP133" s="18"/>
      <c r="AQ133" s="18"/>
      <c r="AR133" s="18"/>
      <c r="AS133" s="18"/>
      <c r="AT133" s="18"/>
      <c r="AU133" s="18"/>
      <c r="AV133" s="18"/>
      <c r="AW133" s="18"/>
      <c r="AX133" s="18"/>
    </row>
    <row r="134" customFormat="false" ht="15" hidden="false" customHeight="false" outlineLevel="0" collapsed="false">
      <c r="A134" s="16" t="str">
        <f aca="false">IF(INDEX(Tasks!$A:$A,ROW()-1)="","",INDEX(Tasks!$A:$A,ROW()-1))</f>
        <v/>
      </c>
      <c r="B134" s="16" t="str">
        <f aca="false">IF(INDEX(Tasks!$A:$A,ROW()-1)="","",IF(ISERROR(FIND(".",INDEX(Tasks!$A:$A,ROW()-1))),"","   ")&amp;INDEX(Tasks!$D:$D,ROW()-1))</f>
        <v/>
      </c>
      <c r="C134" s="16" t="str">
        <f aca="false">IF(INDEX(Tasks!$G:$G,ROW()-1)="","",INDEX(Tasks!$G:$G,ROW()-1))</f>
        <v/>
      </c>
      <c r="D134" s="16" t="str">
        <f aca="false">IF(INDEX(Tasks!$H:$H,ROW()-1)="","",INDEX(Tasks!$H:$H,ROW()-1))</f>
        <v/>
      </c>
      <c r="E134" s="17" t="str">
        <f aca="false">IF(INDEX(Tasks!$I:$I,ROW()-1)="","",INDEX(Tasks!$I:$I,ROW()-1))</f>
        <v/>
      </c>
      <c r="F134" s="17" t="str">
        <f aca="false">IF(INDEX(Tasks!$K:$K,ROW()-1)="","",INDEX(Tasks!$K:$K,ROW()-1))</f>
        <v/>
      </c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  <c r="AH134" s="18"/>
      <c r="AI134" s="18"/>
      <c r="AJ134" s="18"/>
      <c r="AK134" s="18"/>
      <c r="AL134" s="18"/>
      <c r="AM134" s="18"/>
      <c r="AN134" s="18"/>
      <c r="AO134" s="18"/>
      <c r="AP134" s="18"/>
      <c r="AQ134" s="18"/>
      <c r="AR134" s="18"/>
      <c r="AS134" s="18"/>
      <c r="AT134" s="18"/>
      <c r="AU134" s="18"/>
      <c r="AV134" s="18"/>
      <c r="AW134" s="18"/>
      <c r="AX134" s="18"/>
    </row>
    <row r="135" customFormat="false" ht="15" hidden="false" customHeight="false" outlineLevel="0" collapsed="false">
      <c r="A135" s="16" t="str">
        <f aca="false">IF(INDEX(Tasks!$A:$A,ROW()-1)="","",INDEX(Tasks!$A:$A,ROW()-1))</f>
        <v/>
      </c>
      <c r="B135" s="16" t="str">
        <f aca="false">IF(INDEX(Tasks!$A:$A,ROW()-1)="","",IF(ISERROR(FIND(".",INDEX(Tasks!$A:$A,ROW()-1))),"","   ")&amp;INDEX(Tasks!$D:$D,ROW()-1))</f>
        <v/>
      </c>
      <c r="C135" s="16" t="str">
        <f aca="false">IF(INDEX(Tasks!$G:$G,ROW()-1)="","",INDEX(Tasks!$G:$G,ROW()-1))</f>
        <v/>
      </c>
      <c r="D135" s="16" t="str">
        <f aca="false">IF(INDEX(Tasks!$H:$H,ROW()-1)="","",INDEX(Tasks!$H:$H,ROW()-1))</f>
        <v/>
      </c>
      <c r="E135" s="17" t="str">
        <f aca="false">IF(INDEX(Tasks!$I:$I,ROW()-1)="","",INDEX(Tasks!$I:$I,ROW()-1))</f>
        <v/>
      </c>
      <c r="F135" s="17" t="str">
        <f aca="false">IF(INDEX(Tasks!$K:$K,ROW()-1)="","",INDEX(Tasks!$K:$K,ROW()-1))</f>
        <v/>
      </c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  <c r="AH135" s="18"/>
      <c r="AI135" s="18"/>
      <c r="AJ135" s="18"/>
      <c r="AK135" s="18"/>
      <c r="AL135" s="18"/>
      <c r="AM135" s="18"/>
      <c r="AN135" s="18"/>
      <c r="AO135" s="18"/>
      <c r="AP135" s="18"/>
      <c r="AQ135" s="18"/>
      <c r="AR135" s="18"/>
      <c r="AS135" s="18"/>
      <c r="AT135" s="18"/>
      <c r="AU135" s="18"/>
      <c r="AV135" s="18"/>
      <c r="AW135" s="18"/>
      <c r="AX135" s="18"/>
    </row>
    <row r="136" customFormat="false" ht="15" hidden="false" customHeight="false" outlineLevel="0" collapsed="false">
      <c r="A136" s="16" t="str">
        <f aca="false">IF(INDEX(Tasks!$A:$A,ROW()-1)="","",INDEX(Tasks!$A:$A,ROW()-1))</f>
        <v/>
      </c>
      <c r="B136" s="16" t="str">
        <f aca="false">IF(INDEX(Tasks!$A:$A,ROW()-1)="","",IF(ISERROR(FIND(".",INDEX(Tasks!$A:$A,ROW()-1))),"","   ")&amp;INDEX(Tasks!$D:$D,ROW()-1))</f>
        <v/>
      </c>
      <c r="C136" s="16" t="str">
        <f aca="false">IF(INDEX(Tasks!$G:$G,ROW()-1)="","",INDEX(Tasks!$G:$G,ROW()-1))</f>
        <v/>
      </c>
      <c r="D136" s="16" t="str">
        <f aca="false">IF(INDEX(Tasks!$H:$H,ROW()-1)="","",INDEX(Tasks!$H:$H,ROW()-1))</f>
        <v/>
      </c>
      <c r="E136" s="17" t="str">
        <f aca="false">IF(INDEX(Tasks!$I:$I,ROW()-1)="","",INDEX(Tasks!$I:$I,ROW()-1))</f>
        <v/>
      </c>
      <c r="F136" s="17" t="str">
        <f aca="false">IF(INDEX(Tasks!$K:$K,ROW()-1)="","",INDEX(Tasks!$K:$K,ROW()-1))</f>
        <v/>
      </c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  <c r="AH136" s="18"/>
      <c r="AI136" s="18"/>
      <c r="AJ136" s="18"/>
      <c r="AK136" s="18"/>
      <c r="AL136" s="18"/>
      <c r="AM136" s="18"/>
      <c r="AN136" s="18"/>
      <c r="AO136" s="18"/>
      <c r="AP136" s="18"/>
      <c r="AQ136" s="18"/>
      <c r="AR136" s="18"/>
      <c r="AS136" s="18"/>
      <c r="AT136" s="18"/>
      <c r="AU136" s="18"/>
      <c r="AV136" s="18"/>
      <c r="AW136" s="18"/>
      <c r="AX136" s="18"/>
    </row>
    <row r="137" customFormat="false" ht="15" hidden="false" customHeight="false" outlineLevel="0" collapsed="false">
      <c r="A137" s="16" t="str">
        <f aca="false">IF(INDEX(Tasks!$A:$A,ROW()-1)="","",INDEX(Tasks!$A:$A,ROW()-1))</f>
        <v/>
      </c>
      <c r="B137" s="16" t="str">
        <f aca="false">IF(INDEX(Tasks!$A:$A,ROW()-1)="","",IF(ISERROR(FIND(".",INDEX(Tasks!$A:$A,ROW()-1))),"","   ")&amp;INDEX(Tasks!$D:$D,ROW()-1))</f>
        <v/>
      </c>
      <c r="C137" s="16" t="str">
        <f aca="false">IF(INDEX(Tasks!$G:$G,ROW()-1)="","",INDEX(Tasks!$G:$G,ROW()-1))</f>
        <v/>
      </c>
      <c r="D137" s="16" t="str">
        <f aca="false">IF(INDEX(Tasks!$H:$H,ROW()-1)="","",INDEX(Tasks!$H:$H,ROW()-1))</f>
        <v/>
      </c>
      <c r="E137" s="17" t="str">
        <f aca="false">IF(INDEX(Tasks!$I:$I,ROW()-1)="","",INDEX(Tasks!$I:$I,ROW()-1))</f>
        <v/>
      </c>
      <c r="F137" s="17" t="str">
        <f aca="false">IF(INDEX(Tasks!$K:$K,ROW()-1)="","",INDEX(Tasks!$K:$K,ROW()-1))</f>
        <v/>
      </c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  <c r="AH137" s="18"/>
      <c r="AI137" s="18"/>
      <c r="AJ137" s="18"/>
      <c r="AK137" s="18"/>
      <c r="AL137" s="18"/>
      <c r="AM137" s="18"/>
      <c r="AN137" s="18"/>
      <c r="AO137" s="18"/>
      <c r="AP137" s="18"/>
      <c r="AQ137" s="18"/>
      <c r="AR137" s="18"/>
      <c r="AS137" s="18"/>
      <c r="AT137" s="18"/>
      <c r="AU137" s="18"/>
      <c r="AV137" s="18"/>
      <c r="AW137" s="18"/>
      <c r="AX137" s="18"/>
    </row>
    <row r="138" customFormat="false" ht="15" hidden="false" customHeight="false" outlineLevel="0" collapsed="false">
      <c r="A138" s="16" t="str">
        <f aca="false">IF(INDEX(Tasks!$A:$A,ROW()-1)="","",INDEX(Tasks!$A:$A,ROW()-1))</f>
        <v/>
      </c>
      <c r="B138" s="16" t="str">
        <f aca="false">IF(INDEX(Tasks!$A:$A,ROW()-1)="","",IF(ISERROR(FIND(".",INDEX(Tasks!$A:$A,ROW()-1))),"","   ")&amp;INDEX(Tasks!$D:$D,ROW()-1))</f>
        <v/>
      </c>
      <c r="C138" s="16" t="str">
        <f aca="false">IF(INDEX(Tasks!$G:$G,ROW()-1)="","",INDEX(Tasks!$G:$G,ROW()-1))</f>
        <v/>
      </c>
      <c r="D138" s="16" t="str">
        <f aca="false">IF(INDEX(Tasks!$H:$H,ROW()-1)="","",INDEX(Tasks!$H:$H,ROW()-1))</f>
        <v/>
      </c>
      <c r="E138" s="17" t="str">
        <f aca="false">IF(INDEX(Tasks!$I:$I,ROW()-1)="","",INDEX(Tasks!$I:$I,ROW()-1))</f>
        <v/>
      </c>
      <c r="F138" s="17" t="str">
        <f aca="false">IF(INDEX(Tasks!$K:$K,ROW()-1)="","",INDEX(Tasks!$K:$K,ROW()-1))</f>
        <v/>
      </c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  <c r="AH138" s="18"/>
      <c r="AI138" s="18"/>
      <c r="AJ138" s="18"/>
      <c r="AK138" s="18"/>
      <c r="AL138" s="18"/>
      <c r="AM138" s="18"/>
      <c r="AN138" s="18"/>
      <c r="AO138" s="18"/>
      <c r="AP138" s="18"/>
      <c r="AQ138" s="18"/>
      <c r="AR138" s="18"/>
      <c r="AS138" s="18"/>
      <c r="AT138" s="18"/>
      <c r="AU138" s="18"/>
      <c r="AV138" s="18"/>
      <c r="AW138" s="18"/>
      <c r="AX138" s="18"/>
    </row>
    <row r="139" customFormat="false" ht="15" hidden="false" customHeight="false" outlineLevel="0" collapsed="false">
      <c r="A139" s="16" t="str">
        <f aca="false">IF(INDEX(Tasks!$A:$A,ROW()-1)="","",INDEX(Tasks!$A:$A,ROW()-1))</f>
        <v/>
      </c>
      <c r="B139" s="16" t="str">
        <f aca="false">IF(INDEX(Tasks!$A:$A,ROW()-1)="","",IF(ISERROR(FIND(".",INDEX(Tasks!$A:$A,ROW()-1))),"","   ")&amp;INDEX(Tasks!$D:$D,ROW()-1))</f>
        <v/>
      </c>
      <c r="C139" s="16" t="str">
        <f aca="false">IF(INDEX(Tasks!$G:$G,ROW()-1)="","",INDEX(Tasks!$G:$G,ROW()-1))</f>
        <v/>
      </c>
      <c r="D139" s="16" t="str">
        <f aca="false">IF(INDEX(Tasks!$H:$H,ROW()-1)="","",INDEX(Tasks!$H:$H,ROW()-1))</f>
        <v/>
      </c>
      <c r="E139" s="17" t="str">
        <f aca="false">IF(INDEX(Tasks!$I:$I,ROW()-1)="","",INDEX(Tasks!$I:$I,ROW()-1))</f>
        <v/>
      </c>
      <c r="F139" s="17" t="str">
        <f aca="false">IF(INDEX(Tasks!$K:$K,ROW()-1)="","",INDEX(Tasks!$K:$K,ROW()-1))</f>
        <v/>
      </c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  <c r="AH139" s="18"/>
      <c r="AI139" s="18"/>
      <c r="AJ139" s="18"/>
      <c r="AK139" s="18"/>
      <c r="AL139" s="18"/>
      <c r="AM139" s="18"/>
      <c r="AN139" s="18"/>
      <c r="AO139" s="18"/>
      <c r="AP139" s="18"/>
      <c r="AQ139" s="18"/>
      <c r="AR139" s="18"/>
      <c r="AS139" s="18"/>
      <c r="AT139" s="18"/>
      <c r="AU139" s="18"/>
      <c r="AV139" s="18"/>
      <c r="AW139" s="18"/>
      <c r="AX139" s="18"/>
    </row>
    <row r="140" customFormat="false" ht="15" hidden="false" customHeight="false" outlineLevel="0" collapsed="false">
      <c r="A140" s="16" t="str">
        <f aca="false">IF(INDEX(Tasks!$A:$A,ROW()-1)="","",INDEX(Tasks!$A:$A,ROW()-1))</f>
        <v/>
      </c>
      <c r="B140" s="16" t="str">
        <f aca="false">IF(INDEX(Tasks!$A:$A,ROW()-1)="","",IF(ISERROR(FIND(".",INDEX(Tasks!$A:$A,ROW()-1))),"","   ")&amp;INDEX(Tasks!$D:$D,ROW()-1))</f>
        <v/>
      </c>
      <c r="C140" s="16" t="str">
        <f aca="false">IF(INDEX(Tasks!$G:$G,ROW()-1)="","",INDEX(Tasks!$G:$G,ROW()-1))</f>
        <v/>
      </c>
      <c r="D140" s="16" t="str">
        <f aca="false">IF(INDEX(Tasks!$H:$H,ROW()-1)="","",INDEX(Tasks!$H:$H,ROW()-1))</f>
        <v/>
      </c>
      <c r="E140" s="17" t="str">
        <f aca="false">IF(INDEX(Tasks!$I:$I,ROW()-1)="","",INDEX(Tasks!$I:$I,ROW()-1))</f>
        <v/>
      </c>
      <c r="F140" s="17" t="str">
        <f aca="false">IF(INDEX(Tasks!$K:$K,ROW()-1)="","",INDEX(Tasks!$K:$K,ROW()-1))</f>
        <v/>
      </c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  <c r="AH140" s="18"/>
      <c r="AI140" s="18"/>
      <c r="AJ140" s="18"/>
      <c r="AK140" s="18"/>
      <c r="AL140" s="18"/>
      <c r="AM140" s="18"/>
      <c r="AN140" s="18"/>
      <c r="AO140" s="18"/>
      <c r="AP140" s="18"/>
      <c r="AQ140" s="18"/>
      <c r="AR140" s="18"/>
      <c r="AS140" s="18"/>
      <c r="AT140" s="18"/>
      <c r="AU140" s="18"/>
      <c r="AV140" s="18"/>
      <c r="AW140" s="18"/>
      <c r="AX140" s="18"/>
    </row>
    <row r="141" customFormat="false" ht="15" hidden="false" customHeight="false" outlineLevel="0" collapsed="false">
      <c r="A141" s="16" t="str">
        <f aca="false">IF(INDEX(Tasks!$A:$A,ROW()-1)="","",INDEX(Tasks!$A:$A,ROW()-1))</f>
        <v/>
      </c>
      <c r="B141" s="16" t="str">
        <f aca="false">IF(INDEX(Tasks!$A:$A,ROW()-1)="","",IF(ISERROR(FIND(".",INDEX(Tasks!$A:$A,ROW()-1))),"","   ")&amp;INDEX(Tasks!$D:$D,ROW()-1))</f>
        <v/>
      </c>
      <c r="C141" s="16" t="str">
        <f aca="false">IF(INDEX(Tasks!$G:$G,ROW()-1)="","",INDEX(Tasks!$G:$G,ROW()-1))</f>
        <v/>
      </c>
      <c r="D141" s="16" t="str">
        <f aca="false">IF(INDEX(Tasks!$H:$H,ROW()-1)="","",INDEX(Tasks!$H:$H,ROW()-1))</f>
        <v/>
      </c>
      <c r="E141" s="17" t="str">
        <f aca="false">IF(INDEX(Tasks!$I:$I,ROW()-1)="","",INDEX(Tasks!$I:$I,ROW()-1))</f>
        <v/>
      </c>
      <c r="F141" s="17" t="str">
        <f aca="false">IF(INDEX(Tasks!$K:$K,ROW()-1)="","",INDEX(Tasks!$K:$K,ROW()-1))</f>
        <v/>
      </c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  <c r="AH141" s="18"/>
      <c r="AI141" s="18"/>
      <c r="AJ141" s="18"/>
      <c r="AK141" s="18"/>
      <c r="AL141" s="18"/>
      <c r="AM141" s="18"/>
      <c r="AN141" s="18"/>
      <c r="AO141" s="18"/>
      <c r="AP141" s="18"/>
      <c r="AQ141" s="18"/>
      <c r="AR141" s="18"/>
      <c r="AS141" s="18"/>
      <c r="AT141" s="18"/>
      <c r="AU141" s="18"/>
      <c r="AV141" s="18"/>
      <c r="AW141" s="18"/>
      <c r="AX141" s="18"/>
    </row>
    <row r="142" customFormat="false" ht="15" hidden="false" customHeight="false" outlineLevel="0" collapsed="false">
      <c r="A142" s="16" t="str">
        <f aca="false">IF(INDEX(Tasks!$A:$A,ROW()-1)="","",INDEX(Tasks!$A:$A,ROW()-1))</f>
        <v/>
      </c>
      <c r="B142" s="16" t="str">
        <f aca="false">IF(INDEX(Tasks!$A:$A,ROW()-1)="","",IF(ISERROR(FIND(".",INDEX(Tasks!$A:$A,ROW()-1))),"","   ")&amp;INDEX(Tasks!$D:$D,ROW()-1))</f>
        <v/>
      </c>
      <c r="C142" s="16" t="str">
        <f aca="false">IF(INDEX(Tasks!$G:$G,ROW()-1)="","",INDEX(Tasks!$G:$G,ROW()-1))</f>
        <v/>
      </c>
      <c r="D142" s="16" t="str">
        <f aca="false">IF(INDEX(Tasks!$H:$H,ROW()-1)="","",INDEX(Tasks!$H:$H,ROW()-1))</f>
        <v/>
      </c>
      <c r="E142" s="17" t="str">
        <f aca="false">IF(INDEX(Tasks!$I:$I,ROW()-1)="","",INDEX(Tasks!$I:$I,ROW()-1))</f>
        <v/>
      </c>
      <c r="F142" s="17" t="str">
        <f aca="false">IF(INDEX(Tasks!$K:$K,ROW()-1)="","",INDEX(Tasks!$K:$K,ROW()-1))</f>
        <v/>
      </c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  <c r="AH142" s="18"/>
      <c r="AI142" s="18"/>
      <c r="AJ142" s="18"/>
      <c r="AK142" s="18"/>
      <c r="AL142" s="18"/>
      <c r="AM142" s="18"/>
      <c r="AN142" s="18"/>
      <c r="AO142" s="18"/>
      <c r="AP142" s="18"/>
      <c r="AQ142" s="18"/>
      <c r="AR142" s="18"/>
      <c r="AS142" s="18"/>
      <c r="AT142" s="18"/>
      <c r="AU142" s="18"/>
      <c r="AV142" s="18"/>
      <c r="AW142" s="18"/>
      <c r="AX142" s="18"/>
    </row>
    <row r="143" customFormat="false" ht="15" hidden="false" customHeight="false" outlineLevel="0" collapsed="false">
      <c r="A143" s="16" t="str">
        <f aca="false">IF(INDEX(Tasks!$A:$A,ROW()-1)="","",INDEX(Tasks!$A:$A,ROW()-1))</f>
        <v/>
      </c>
      <c r="B143" s="16" t="str">
        <f aca="false">IF(INDEX(Tasks!$A:$A,ROW()-1)="","",IF(ISERROR(FIND(".",INDEX(Tasks!$A:$A,ROW()-1))),"","   ")&amp;INDEX(Tasks!$D:$D,ROW()-1))</f>
        <v/>
      </c>
      <c r="C143" s="16" t="str">
        <f aca="false">IF(INDEX(Tasks!$G:$G,ROW()-1)="","",INDEX(Tasks!$G:$G,ROW()-1))</f>
        <v/>
      </c>
      <c r="D143" s="16" t="str">
        <f aca="false">IF(INDEX(Tasks!$H:$H,ROW()-1)="","",INDEX(Tasks!$H:$H,ROW()-1))</f>
        <v/>
      </c>
      <c r="E143" s="17" t="str">
        <f aca="false">IF(INDEX(Tasks!$I:$I,ROW()-1)="","",INDEX(Tasks!$I:$I,ROW()-1))</f>
        <v/>
      </c>
      <c r="F143" s="17" t="str">
        <f aca="false">IF(INDEX(Tasks!$K:$K,ROW()-1)="","",INDEX(Tasks!$K:$K,ROW()-1))</f>
        <v/>
      </c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  <c r="AH143" s="18"/>
      <c r="AI143" s="18"/>
      <c r="AJ143" s="18"/>
      <c r="AK143" s="18"/>
      <c r="AL143" s="18"/>
      <c r="AM143" s="18"/>
      <c r="AN143" s="18"/>
      <c r="AO143" s="18"/>
      <c r="AP143" s="18"/>
      <c r="AQ143" s="18"/>
      <c r="AR143" s="18"/>
      <c r="AS143" s="18"/>
      <c r="AT143" s="18"/>
      <c r="AU143" s="18"/>
      <c r="AV143" s="18"/>
      <c r="AW143" s="18"/>
      <c r="AX143" s="18"/>
    </row>
    <row r="144" customFormat="false" ht="15" hidden="false" customHeight="false" outlineLevel="0" collapsed="false">
      <c r="A144" s="16" t="str">
        <f aca="false">IF(INDEX(Tasks!$A:$A,ROW()-1)="","",INDEX(Tasks!$A:$A,ROW()-1))</f>
        <v/>
      </c>
      <c r="B144" s="16" t="str">
        <f aca="false">IF(INDEX(Tasks!$A:$A,ROW()-1)="","",IF(ISERROR(FIND(".",INDEX(Tasks!$A:$A,ROW()-1))),"","   ")&amp;INDEX(Tasks!$D:$D,ROW()-1))</f>
        <v/>
      </c>
      <c r="C144" s="16" t="str">
        <f aca="false">IF(INDEX(Tasks!$G:$G,ROW()-1)="","",INDEX(Tasks!$G:$G,ROW()-1))</f>
        <v/>
      </c>
      <c r="D144" s="16" t="str">
        <f aca="false">IF(INDEX(Tasks!$H:$H,ROW()-1)="","",INDEX(Tasks!$H:$H,ROW()-1))</f>
        <v/>
      </c>
      <c r="E144" s="17" t="str">
        <f aca="false">IF(INDEX(Tasks!$I:$I,ROW()-1)="","",INDEX(Tasks!$I:$I,ROW()-1))</f>
        <v/>
      </c>
      <c r="F144" s="17" t="str">
        <f aca="false">IF(INDEX(Tasks!$K:$K,ROW()-1)="","",INDEX(Tasks!$K:$K,ROW()-1))</f>
        <v/>
      </c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18"/>
      <c r="AH144" s="18"/>
      <c r="AI144" s="18"/>
      <c r="AJ144" s="18"/>
      <c r="AK144" s="18"/>
      <c r="AL144" s="18"/>
      <c r="AM144" s="18"/>
      <c r="AN144" s="18"/>
      <c r="AO144" s="18"/>
      <c r="AP144" s="18"/>
      <c r="AQ144" s="18"/>
      <c r="AR144" s="18"/>
      <c r="AS144" s="18"/>
      <c r="AT144" s="18"/>
      <c r="AU144" s="18"/>
      <c r="AV144" s="18"/>
      <c r="AW144" s="18"/>
      <c r="AX144" s="18"/>
    </row>
    <row r="145" customFormat="false" ht="15" hidden="false" customHeight="false" outlineLevel="0" collapsed="false">
      <c r="A145" s="16" t="str">
        <f aca="false">IF(INDEX(Tasks!$A:$A,ROW()-1)="","",INDEX(Tasks!$A:$A,ROW()-1))</f>
        <v/>
      </c>
      <c r="B145" s="16" t="str">
        <f aca="false">IF(INDEX(Tasks!$A:$A,ROW()-1)="","",IF(ISERROR(FIND(".",INDEX(Tasks!$A:$A,ROW()-1))),"","   ")&amp;INDEX(Tasks!$D:$D,ROW()-1))</f>
        <v/>
      </c>
      <c r="C145" s="16" t="str">
        <f aca="false">IF(INDEX(Tasks!$G:$G,ROW()-1)="","",INDEX(Tasks!$G:$G,ROW()-1))</f>
        <v/>
      </c>
      <c r="D145" s="16" t="str">
        <f aca="false">IF(INDEX(Tasks!$H:$H,ROW()-1)="","",INDEX(Tasks!$H:$H,ROW()-1))</f>
        <v/>
      </c>
      <c r="E145" s="17" t="str">
        <f aca="false">IF(INDEX(Tasks!$I:$I,ROW()-1)="","",INDEX(Tasks!$I:$I,ROW()-1))</f>
        <v/>
      </c>
      <c r="F145" s="17" t="str">
        <f aca="false">IF(INDEX(Tasks!$K:$K,ROW()-1)="","",INDEX(Tasks!$K:$K,ROW()-1))</f>
        <v/>
      </c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  <c r="AH145" s="18"/>
      <c r="AI145" s="18"/>
      <c r="AJ145" s="18"/>
      <c r="AK145" s="18"/>
      <c r="AL145" s="18"/>
      <c r="AM145" s="18"/>
      <c r="AN145" s="18"/>
      <c r="AO145" s="18"/>
      <c r="AP145" s="18"/>
      <c r="AQ145" s="18"/>
      <c r="AR145" s="18"/>
      <c r="AS145" s="18"/>
      <c r="AT145" s="18"/>
      <c r="AU145" s="18"/>
      <c r="AV145" s="18"/>
      <c r="AW145" s="18"/>
      <c r="AX145" s="18"/>
    </row>
    <row r="146" customFormat="false" ht="15" hidden="false" customHeight="false" outlineLevel="0" collapsed="false">
      <c r="A146" s="16" t="str">
        <f aca="false">IF(INDEX(Tasks!$A:$A,ROW()-1)="","",INDEX(Tasks!$A:$A,ROW()-1))</f>
        <v/>
      </c>
      <c r="B146" s="16" t="str">
        <f aca="false">IF(INDEX(Tasks!$A:$A,ROW()-1)="","",IF(ISERROR(FIND(".",INDEX(Tasks!$A:$A,ROW()-1))),"","   ")&amp;INDEX(Tasks!$D:$D,ROW()-1))</f>
        <v/>
      </c>
      <c r="C146" s="16" t="str">
        <f aca="false">IF(INDEX(Tasks!$G:$G,ROW()-1)="","",INDEX(Tasks!$G:$G,ROW()-1))</f>
        <v/>
      </c>
      <c r="D146" s="16" t="str">
        <f aca="false">IF(INDEX(Tasks!$H:$H,ROW()-1)="","",INDEX(Tasks!$H:$H,ROW()-1))</f>
        <v/>
      </c>
      <c r="E146" s="17" t="str">
        <f aca="false">IF(INDEX(Tasks!$I:$I,ROW()-1)="","",INDEX(Tasks!$I:$I,ROW()-1))</f>
        <v/>
      </c>
      <c r="F146" s="17" t="str">
        <f aca="false">IF(INDEX(Tasks!$K:$K,ROW()-1)="","",INDEX(Tasks!$K:$K,ROW()-1))</f>
        <v/>
      </c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  <c r="AH146" s="18"/>
      <c r="AI146" s="18"/>
      <c r="AJ146" s="18"/>
      <c r="AK146" s="18"/>
      <c r="AL146" s="18"/>
      <c r="AM146" s="18"/>
      <c r="AN146" s="18"/>
      <c r="AO146" s="18"/>
      <c r="AP146" s="18"/>
      <c r="AQ146" s="18"/>
      <c r="AR146" s="18"/>
      <c r="AS146" s="18"/>
      <c r="AT146" s="18"/>
      <c r="AU146" s="18"/>
      <c r="AV146" s="18"/>
      <c r="AW146" s="18"/>
      <c r="AX146" s="18"/>
    </row>
    <row r="147" customFormat="false" ht="15" hidden="false" customHeight="false" outlineLevel="0" collapsed="false">
      <c r="A147" s="16" t="str">
        <f aca="false">IF(INDEX(Tasks!$A:$A,ROW()-1)="","",INDEX(Tasks!$A:$A,ROW()-1))</f>
        <v/>
      </c>
      <c r="B147" s="16" t="str">
        <f aca="false">IF(INDEX(Tasks!$A:$A,ROW()-1)="","",IF(ISERROR(FIND(".",INDEX(Tasks!$A:$A,ROW()-1))),"","   ")&amp;INDEX(Tasks!$D:$D,ROW()-1))</f>
        <v/>
      </c>
      <c r="C147" s="16" t="str">
        <f aca="false">IF(INDEX(Tasks!$G:$G,ROW()-1)="","",INDEX(Tasks!$G:$G,ROW()-1))</f>
        <v/>
      </c>
      <c r="D147" s="16" t="str">
        <f aca="false">IF(INDEX(Tasks!$H:$H,ROW()-1)="","",INDEX(Tasks!$H:$H,ROW()-1))</f>
        <v/>
      </c>
      <c r="E147" s="17" t="str">
        <f aca="false">IF(INDEX(Tasks!$I:$I,ROW()-1)="","",INDEX(Tasks!$I:$I,ROW()-1))</f>
        <v/>
      </c>
      <c r="F147" s="17" t="str">
        <f aca="false">IF(INDEX(Tasks!$K:$K,ROW()-1)="","",INDEX(Tasks!$K:$K,ROW()-1))</f>
        <v/>
      </c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K147" s="18"/>
      <c r="AL147" s="18"/>
      <c r="AM147" s="18"/>
      <c r="AN147" s="18"/>
      <c r="AO147" s="18"/>
      <c r="AP147" s="18"/>
      <c r="AQ147" s="18"/>
      <c r="AR147" s="18"/>
      <c r="AS147" s="18"/>
      <c r="AT147" s="18"/>
      <c r="AU147" s="18"/>
      <c r="AV147" s="18"/>
      <c r="AW147" s="18"/>
      <c r="AX147" s="18"/>
    </row>
    <row r="148" customFormat="false" ht="15" hidden="false" customHeight="false" outlineLevel="0" collapsed="false">
      <c r="A148" s="16" t="str">
        <f aca="false">IF(INDEX(Tasks!$A:$A,ROW()-1)="","",INDEX(Tasks!$A:$A,ROW()-1))</f>
        <v/>
      </c>
      <c r="B148" s="16" t="str">
        <f aca="false">IF(INDEX(Tasks!$A:$A,ROW()-1)="","",IF(ISERROR(FIND(".",INDEX(Tasks!$A:$A,ROW()-1))),"","   ")&amp;INDEX(Tasks!$D:$D,ROW()-1))</f>
        <v/>
      </c>
      <c r="C148" s="16" t="str">
        <f aca="false">IF(INDEX(Tasks!$G:$G,ROW()-1)="","",INDEX(Tasks!$G:$G,ROW()-1))</f>
        <v/>
      </c>
      <c r="D148" s="16" t="str">
        <f aca="false">IF(INDEX(Tasks!$H:$H,ROW()-1)="","",INDEX(Tasks!$H:$H,ROW()-1))</f>
        <v/>
      </c>
      <c r="E148" s="17" t="str">
        <f aca="false">IF(INDEX(Tasks!$I:$I,ROW()-1)="","",INDEX(Tasks!$I:$I,ROW()-1))</f>
        <v/>
      </c>
      <c r="F148" s="17" t="str">
        <f aca="false">IF(INDEX(Tasks!$K:$K,ROW()-1)="","",INDEX(Tasks!$K:$K,ROW()-1))</f>
        <v/>
      </c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  <c r="AH148" s="18"/>
      <c r="AI148" s="18"/>
      <c r="AJ148" s="18"/>
      <c r="AK148" s="18"/>
      <c r="AL148" s="18"/>
      <c r="AM148" s="18"/>
      <c r="AN148" s="18"/>
      <c r="AO148" s="18"/>
      <c r="AP148" s="18"/>
      <c r="AQ148" s="18"/>
      <c r="AR148" s="18"/>
      <c r="AS148" s="18"/>
      <c r="AT148" s="18"/>
      <c r="AU148" s="18"/>
      <c r="AV148" s="18"/>
      <c r="AW148" s="18"/>
      <c r="AX148" s="18"/>
    </row>
    <row r="149" customFormat="false" ht="15" hidden="false" customHeight="false" outlineLevel="0" collapsed="false">
      <c r="A149" s="16" t="str">
        <f aca="false">IF(INDEX(Tasks!$A:$A,ROW()-1)="","",INDEX(Tasks!$A:$A,ROW()-1))</f>
        <v/>
      </c>
      <c r="B149" s="16" t="str">
        <f aca="false">IF(INDEX(Tasks!$A:$A,ROW()-1)="","",IF(ISERROR(FIND(".",INDEX(Tasks!$A:$A,ROW()-1))),"","   ")&amp;INDEX(Tasks!$D:$D,ROW()-1))</f>
        <v/>
      </c>
      <c r="C149" s="16" t="str">
        <f aca="false">IF(INDEX(Tasks!$G:$G,ROW()-1)="","",INDEX(Tasks!$G:$G,ROW()-1))</f>
        <v/>
      </c>
      <c r="D149" s="16" t="str">
        <f aca="false">IF(INDEX(Tasks!$H:$H,ROW()-1)="","",INDEX(Tasks!$H:$H,ROW()-1))</f>
        <v/>
      </c>
      <c r="E149" s="17" t="str">
        <f aca="false">IF(INDEX(Tasks!$I:$I,ROW()-1)="","",INDEX(Tasks!$I:$I,ROW()-1))</f>
        <v/>
      </c>
      <c r="F149" s="17" t="str">
        <f aca="false">IF(INDEX(Tasks!$K:$K,ROW()-1)="","",INDEX(Tasks!$K:$K,ROW()-1))</f>
        <v/>
      </c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  <c r="AG149" s="18"/>
      <c r="AH149" s="18"/>
      <c r="AI149" s="18"/>
      <c r="AJ149" s="18"/>
      <c r="AK149" s="18"/>
      <c r="AL149" s="18"/>
      <c r="AM149" s="18"/>
      <c r="AN149" s="18"/>
      <c r="AO149" s="18"/>
      <c r="AP149" s="18"/>
      <c r="AQ149" s="18"/>
      <c r="AR149" s="18"/>
      <c r="AS149" s="18"/>
      <c r="AT149" s="18"/>
      <c r="AU149" s="18"/>
      <c r="AV149" s="18"/>
      <c r="AW149" s="18"/>
      <c r="AX149" s="18"/>
    </row>
    <row r="150" customFormat="false" ht="15" hidden="false" customHeight="false" outlineLevel="0" collapsed="false">
      <c r="A150" s="16" t="str">
        <f aca="false">IF(INDEX(Tasks!$A:$A,ROW()-1)="","",INDEX(Tasks!$A:$A,ROW()-1))</f>
        <v/>
      </c>
      <c r="B150" s="16" t="str">
        <f aca="false">IF(INDEX(Tasks!$A:$A,ROW()-1)="","",IF(ISERROR(FIND(".",INDEX(Tasks!$A:$A,ROW()-1))),"","   ")&amp;INDEX(Tasks!$D:$D,ROW()-1))</f>
        <v/>
      </c>
      <c r="C150" s="16" t="str">
        <f aca="false">IF(INDEX(Tasks!$G:$G,ROW()-1)="","",INDEX(Tasks!$G:$G,ROW()-1))</f>
        <v/>
      </c>
      <c r="D150" s="16" t="str">
        <f aca="false">IF(INDEX(Tasks!$H:$H,ROW()-1)="","",INDEX(Tasks!$H:$H,ROW()-1))</f>
        <v/>
      </c>
      <c r="E150" s="17" t="str">
        <f aca="false">IF(INDEX(Tasks!$I:$I,ROW()-1)="","",INDEX(Tasks!$I:$I,ROW()-1))</f>
        <v/>
      </c>
      <c r="F150" s="17" t="str">
        <f aca="false">IF(INDEX(Tasks!$K:$K,ROW()-1)="","",INDEX(Tasks!$K:$K,ROW()-1))</f>
        <v/>
      </c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  <c r="AH150" s="18"/>
      <c r="AI150" s="18"/>
      <c r="AJ150" s="18"/>
      <c r="AK150" s="18"/>
      <c r="AL150" s="18"/>
      <c r="AM150" s="18"/>
      <c r="AN150" s="18"/>
      <c r="AO150" s="18"/>
      <c r="AP150" s="18"/>
      <c r="AQ150" s="18"/>
      <c r="AR150" s="18"/>
      <c r="AS150" s="18"/>
      <c r="AT150" s="18"/>
      <c r="AU150" s="18"/>
      <c r="AV150" s="18"/>
      <c r="AW150" s="18"/>
      <c r="AX150" s="18"/>
    </row>
    <row r="151" customFormat="false" ht="15" hidden="false" customHeight="false" outlineLevel="0" collapsed="false">
      <c r="A151" s="16" t="str">
        <f aca="false">IF(INDEX(Tasks!$A:$A,ROW()-1)="","",INDEX(Tasks!$A:$A,ROW()-1))</f>
        <v/>
      </c>
      <c r="B151" s="16" t="str">
        <f aca="false">IF(INDEX(Tasks!$A:$A,ROW()-1)="","",IF(ISERROR(FIND(".",INDEX(Tasks!$A:$A,ROW()-1))),"","   ")&amp;INDEX(Tasks!$D:$D,ROW()-1))</f>
        <v/>
      </c>
      <c r="C151" s="16" t="str">
        <f aca="false">IF(INDEX(Tasks!$G:$G,ROW()-1)="","",INDEX(Tasks!$G:$G,ROW()-1))</f>
        <v/>
      </c>
      <c r="D151" s="16" t="str">
        <f aca="false">IF(INDEX(Tasks!$H:$H,ROW()-1)="","",INDEX(Tasks!$H:$H,ROW()-1))</f>
        <v/>
      </c>
      <c r="E151" s="17" t="str">
        <f aca="false">IF(INDEX(Tasks!$I:$I,ROW()-1)="","",INDEX(Tasks!$I:$I,ROW()-1))</f>
        <v/>
      </c>
      <c r="F151" s="17" t="str">
        <f aca="false">IF(INDEX(Tasks!$K:$K,ROW()-1)="","",INDEX(Tasks!$K:$K,ROW()-1))</f>
        <v/>
      </c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  <c r="AG151" s="18"/>
      <c r="AH151" s="18"/>
      <c r="AI151" s="18"/>
      <c r="AJ151" s="18"/>
      <c r="AK151" s="18"/>
      <c r="AL151" s="18"/>
      <c r="AM151" s="18"/>
      <c r="AN151" s="18"/>
      <c r="AO151" s="18"/>
      <c r="AP151" s="18"/>
      <c r="AQ151" s="18"/>
      <c r="AR151" s="18"/>
      <c r="AS151" s="18"/>
      <c r="AT151" s="18"/>
      <c r="AU151" s="18"/>
      <c r="AV151" s="18"/>
      <c r="AW151" s="18"/>
      <c r="AX151" s="18"/>
    </row>
    <row r="152" customFormat="false" ht="15" hidden="false" customHeight="false" outlineLevel="0" collapsed="false">
      <c r="A152" s="16" t="str">
        <f aca="false">IF(INDEX(Tasks!$A:$A,ROW()-1)="","",INDEX(Tasks!$A:$A,ROW()-1))</f>
        <v/>
      </c>
      <c r="B152" s="16" t="str">
        <f aca="false">IF(INDEX(Tasks!$A:$A,ROW()-1)="","",IF(ISERROR(FIND(".",INDEX(Tasks!$A:$A,ROW()-1))),"","   ")&amp;INDEX(Tasks!$D:$D,ROW()-1))</f>
        <v/>
      </c>
      <c r="C152" s="16" t="str">
        <f aca="false">IF(INDEX(Tasks!$G:$G,ROW()-1)="","",INDEX(Tasks!$G:$G,ROW()-1))</f>
        <v/>
      </c>
      <c r="D152" s="16" t="str">
        <f aca="false">IF(INDEX(Tasks!$H:$H,ROW()-1)="","",INDEX(Tasks!$H:$H,ROW()-1))</f>
        <v/>
      </c>
      <c r="E152" s="17" t="str">
        <f aca="false">IF(INDEX(Tasks!$I:$I,ROW()-1)="","",INDEX(Tasks!$I:$I,ROW()-1))</f>
        <v/>
      </c>
      <c r="F152" s="17" t="str">
        <f aca="false">IF(INDEX(Tasks!$K:$K,ROW()-1)="","",INDEX(Tasks!$K:$K,ROW()-1))</f>
        <v/>
      </c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  <c r="AG152" s="18"/>
      <c r="AH152" s="18"/>
      <c r="AI152" s="18"/>
      <c r="AJ152" s="18"/>
      <c r="AK152" s="18"/>
      <c r="AL152" s="18"/>
      <c r="AM152" s="18"/>
      <c r="AN152" s="18"/>
      <c r="AO152" s="18"/>
      <c r="AP152" s="18"/>
      <c r="AQ152" s="18"/>
      <c r="AR152" s="18"/>
      <c r="AS152" s="18"/>
      <c r="AT152" s="18"/>
      <c r="AU152" s="18"/>
      <c r="AV152" s="18"/>
      <c r="AW152" s="18"/>
      <c r="AX152" s="18"/>
    </row>
    <row r="153" customFormat="false" ht="15" hidden="false" customHeight="false" outlineLevel="0" collapsed="false">
      <c r="A153" s="16" t="str">
        <f aca="false">IF(INDEX(Tasks!$A:$A,ROW()-1)="","",INDEX(Tasks!$A:$A,ROW()-1))</f>
        <v/>
      </c>
      <c r="B153" s="16" t="str">
        <f aca="false">IF(INDEX(Tasks!$A:$A,ROW()-1)="","",IF(ISERROR(FIND(".",INDEX(Tasks!$A:$A,ROW()-1))),"","   ")&amp;INDEX(Tasks!$D:$D,ROW()-1))</f>
        <v/>
      </c>
      <c r="C153" s="16" t="str">
        <f aca="false">IF(INDEX(Tasks!$G:$G,ROW()-1)="","",INDEX(Tasks!$G:$G,ROW()-1))</f>
        <v/>
      </c>
      <c r="D153" s="16" t="str">
        <f aca="false">IF(INDEX(Tasks!$H:$H,ROW()-1)="","",INDEX(Tasks!$H:$H,ROW()-1))</f>
        <v/>
      </c>
      <c r="E153" s="17" t="str">
        <f aca="false">IF(INDEX(Tasks!$I:$I,ROW()-1)="","",INDEX(Tasks!$I:$I,ROW()-1))</f>
        <v/>
      </c>
      <c r="F153" s="17" t="str">
        <f aca="false">IF(INDEX(Tasks!$K:$K,ROW()-1)="","",INDEX(Tasks!$K:$K,ROW()-1))</f>
        <v/>
      </c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  <c r="AG153" s="18"/>
      <c r="AH153" s="18"/>
      <c r="AI153" s="18"/>
      <c r="AJ153" s="18"/>
      <c r="AK153" s="18"/>
      <c r="AL153" s="18"/>
      <c r="AM153" s="18"/>
      <c r="AN153" s="18"/>
      <c r="AO153" s="18"/>
      <c r="AP153" s="18"/>
      <c r="AQ153" s="18"/>
      <c r="AR153" s="18"/>
      <c r="AS153" s="18"/>
      <c r="AT153" s="18"/>
      <c r="AU153" s="18"/>
      <c r="AV153" s="18"/>
      <c r="AW153" s="18"/>
      <c r="AX153" s="18"/>
    </row>
    <row r="154" customFormat="false" ht="15" hidden="false" customHeight="false" outlineLevel="0" collapsed="false">
      <c r="A154" s="16" t="str">
        <f aca="false">IF(INDEX(Tasks!$A:$A,ROW()-1)="","",INDEX(Tasks!$A:$A,ROW()-1))</f>
        <v/>
      </c>
      <c r="B154" s="16" t="str">
        <f aca="false">IF(INDEX(Tasks!$A:$A,ROW()-1)="","",IF(ISERROR(FIND(".",INDEX(Tasks!$A:$A,ROW()-1))),"","   ")&amp;INDEX(Tasks!$D:$D,ROW()-1))</f>
        <v/>
      </c>
      <c r="C154" s="16" t="str">
        <f aca="false">IF(INDEX(Tasks!$G:$G,ROW()-1)="","",INDEX(Tasks!$G:$G,ROW()-1))</f>
        <v/>
      </c>
      <c r="D154" s="16" t="str">
        <f aca="false">IF(INDEX(Tasks!$H:$H,ROW()-1)="","",INDEX(Tasks!$H:$H,ROW()-1))</f>
        <v/>
      </c>
      <c r="E154" s="17" t="str">
        <f aca="false">IF(INDEX(Tasks!$I:$I,ROW()-1)="","",INDEX(Tasks!$I:$I,ROW()-1))</f>
        <v/>
      </c>
      <c r="F154" s="17" t="str">
        <f aca="false">IF(INDEX(Tasks!$K:$K,ROW()-1)="","",INDEX(Tasks!$K:$K,ROW()-1))</f>
        <v/>
      </c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  <c r="AH154" s="18"/>
      <c r="AI154" s="18"/>
      <c r="AJ154" s="18"/>
      <c r="AK154" s="18"/>
      <c r="AL154" s="18"/>
      <c r="AM154" s="18"/>
      <c r="AN154" s="18"/>
      <c r="AO154" s="18"/>
      <c r="AP154" s="18"/>
      <c r="AQ154" s="18"/>
      <c r="AR154" s="18"/>
      <c r="AS154" s="18"/>
      <c r="AT154" s="18"/>
      <c r="AU154" s="18"/>
      <c r="AV154" s="18"/>
      <c r="AW154" s="18"/>
      <c r="AX154" s="18"/>
    </row>
    <row r="155" customFormat="false" ht="15" hidden="false" customHeight="false" outlineLevel="0" collapsed="false">
      <c r="A155" s="16" t="str">
        <f aca="false">IF(INDEX(Tasks!$A:$A,ROW()-1)="","",INDEX(Tasks!$A:$A,ROW()-1))</f>
        <v/>
      </c>
      <c r="B155" s="16" t="str">
        <f aca="false">IF(INDEX(Tasks!$A:$A,ROW()-1)="","",IF(ISERROR(FIND(".",INDEX(Tasks!$A:$A,ROW()-1))),"","   ")&amp;INDEX(Tasks!$D:$D,ROW()-1))</f>
        <v/>
      </c>
      <c r="C155" s="16" t="str">
        <f aca="false">IF(INDEX(Tasks!$G:$G,ROW()-1)="","",INDEX(Tasks!$G:$G,ROW()-1))</f>
        <v/>
      </c>
      <c r="D155" s="16" t="str">
        <f aca="false">IF(INDEX(Tasks!$H:$H,ROW()-1)="","",INDEX(Tasks!$H:$H,ROW()-1))</f>
        <v/>
      </c>
      <c r="E155" s="17" t="str">
        <f aca="false">IF(INDEX(Tasks!$I:$I,ROW()-1)="","",INDEX(Tasks!$I:$I,ROW()-1))</f>
        <v/>
      </c>
      <c r="F155" s="17" t="str">
        <f aca="false">IF(INDEX(Tasks!$K:$K,ROW()-1)="","",INDEX(Tasks!$K:$K,ROW()-1))</f>
        <v/>
      </c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  <c r="AH155" s="18"/>
      <c r="AI155" s="18"/>
      <c r="AJ155" s="18"/>
      <c r="AK155" s="18"/>
      <c r="AL155" s="18"/>
      <c r="AM155" s="18"/>
      <c r="AN155" s="18"/>
      <c r="AO155" s="18"/>
      <c r="AP155" s="18"/>
      <c r="AQ155" s="18"/>
      <c r="AR155" s="18"/>
      <c r="AS155" s="18"/>
      <c r="AT155" s="18"/>
      <c r="AU155" s="18"/>
      <c r="AV155" s="18"/>
      <c r="AW155" s="18"/>
      <c r="AX155" s="18"/>
    </row>
    <row r="156" customFormat="false" ht="15" hidden="false" customHeight="false" outlineLevel="0" collapsed="false">
      <c r="A156" s="16" t="str">
        <f aca="false">IF(INDEX(Tasks!$A:$A,ROW()-1)="","",INDEX(Tasks!$A:$A,ROW()-1))</f>
        <v/>
      </c>
      <c r="B156" s="16" t="str">
        <f aca="false">IF(INDEX(Tasks!$A:$A,ROW()-1)="","",IF(ISERROR(FIND(".",INDEX(Tasks!$A:$A,ROW()-1))),"","   ")&amp;INDEX(Tasks!$D:$D,ROW()-1))</f>
        <v/>
      </c>
      <c r="C156" s="16" t="str">
        <f aca="false">IF(INDEX(Tasks!$G:$G,ROW()-1)="","",INDEX(Tasks!$G:$G,ROW()-1))</f>
        <v/>
      </c>
      <c r="D156" s="16" t="str">
        <f aca="false">IF(INDEX(Tasks!$H:$H,ROW()-1)="","",INDEX(Tasks!$H:$H,ROW()-1))</f>
        <v/>
      </c>
      <c r="E156" s="17" t="str">
        <f aca="false">IF(INDEX(Tasks!$I:$I,ROW()-1)="","",INDEX(Tasks!$I:$I,ROW()-1))</f>
        <v/>
      </c>
      <c r="F156" s="17" t="str">
        <f aca="false">IF(INDEX(Tasks!$K:$K,ROW()-1)="","",INDEX(Tasks!$K:$K,ROW()-1))</f>
        <v/>
      </c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  <c r="AH156" s="18"/>
      <c r="AI156" s="18"/>
      <c r="AJ156" s="18"/>
      <c r="AK156" s="18"/>
      <c r="AL156" s="18"/>
      <c r="AM156" s="18"/>
      <c r="AN156" s="18"/>
      <c r="AO156" s="18"/>
      <c r="AP156" s="18"/>
      <c r="AQ156" s="18"/>
      <c r="AR156" s="18"/>
      <c r="AS156" s="18"/>
      <c r="AT156" s="18"/>
      <c r="AU156" s="18"/>
      <c r="AV156" s="18"/>
      <c r="AW156" s="18"/>
      <c r="AX156" s="18"/>
    </row>
    <row r="157" customFormat="false" ht="15" hidden="false" customHeight="false" outlineLevel="0" collapsed="false">
      <c r="A157" s="16" t="str">
        <f aca="false">IF(INDEX(Tasks!$A:$A,ROW()-1)="","",INDEX(Tasks!$A:$A,ROW()-1))</f>
        <v/>
      </c>
      <c r="B157" s="16" t="str">
        <f aca="false">IF(INDEX(Tasks!$A:$A,ROW()-1)="","",IF(ISERROR(FIND(".",INDEX(Tasks!$A:$A,ROW()-1))),"","   ")&amp;INDEX(Tasks!$D:$D,ROW()-1))</f>
        <v/>
      </c>
      <c r="C157" s="16" t="str">
        <f aca="false">IF(INDEX(Tasks!$G:$G,ROW()-1)="","",INDEX(Tasks!$G:$G,ROW()-1))</f>
        <v/>
      </c>
      <c r="D157" s="16" t="str">
        <f aca="false">IF(INDEX(Tasks!$H:$H,ROW()-1)="","",INDEX(Tasks!$H:$H,ROW()-1))</f>
        <v/>
      </c>
      <c r="E157" s="17" t="str">
        <f aca="false">IF(INDEX(Tasks!$I:$I,ROW()-1)="","",INDEX(Tasks!$I:$I,ROW()-1))</f>
        <v/>
      </c>
      <c r="F157" s="17" t="str">
        <f aca="false">IF(INDEX(Tasks!$K:$K,ROW()-1)="","",INDEX(Tasks!$K:$K,ROW()-1))</f>
        <v/>
      </c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  <c r="AH157" s="18"/>
      <c r="AI157" s="18"/>
      <c r="AJ157" s="18"/>
      <c r="AK157" s="18"/>
      <c r="AL157" s="18"/>
      <c r="AM157" s="18"/>
      <c r="AN157" s="18"/>
      <c r="AO157" s="18"/>
      <c r="AP157" s="18"/>
      <c r="AQ157" s="18"/>
      <c r="AR157" s="18"/>
      <c r="AS157" s="18"/>
      <c r="AT157" s="18"/>
      <c r="AU157" s="18"/>
      <c r="AV157" s="18"/>
      <c r="AW157" s="18"/>
      <c r="AX157" s="18"/>
    </row>
    <row r="158" customFormat="false" ht="15" hidden="false" customHeight="false" outlineLevel="0" collapsed="false">
      <c r="A158" s="16" t="str">
        <f aca="false">IF(INDEX(Tasks!$A:$A,ROW()-1)="","",INDEX(Tasks!$A:$A,ROW()-1))</f>
        <v/>
      </c>
      <c r="B158" s="16" t="str">
        <f aca="false">IF(INDEX(Tasks!$A:$A,ROW()-1)="","",IF(ISERROR(FIND(".",INDEX(Tasks!$A:$A,ROW()-1))),"","   ")&amp;INDEX(Tasks!$D:$D,ROW()-1))</f>
        <v/>
      </c>
      <c r="C158" s="16" t="str">
        <f aca="false">IF(INDEX(Tasks!$G:$G,ROW()-1)="","",INDEX(Tasks!$G:$G,ROW()-1))</f>
        <v/>
      </c>
      <c r="D158" s="16" t="str">
        <f aca="false">IF(INDEX(Tasks!$H:$H,ROW()-1)="","",INDEX(Tasks!$H:$H,ROW()-1))</f>
        <v/>
      </c>
      <c r="E158" s="17" t="str">
        <f aca="false">IF(INDEX(Tasks!$I:$I,ROW()-1)="","",INDEX(Tasks!$I:$I,ROW()-1))</f>
        <v/>
      </c>
      <c r="F158" s="17" t="str">
        <f aca="false">IF(INDEX(Tasks!$K:$K,ROW()-1)="","",INDEX(Tasks!$K:$K,ROW()-1))</f>
        <v/>
      </c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  <c r="AH158" s="18"/>
      <c r="AI158" s="18"/>
      <c r="AJ158" s="18"/>
      <c r="AK158" s="18"/>
      <c r="AL158" s="18"/>
      <c r="AM158" s="18"/>
      <c r="AN158" s="18"/>
      <c r="AO158" s="18"/>
      <c r="AP158" s="18"/>
      <c r="AQ158" s="18"/>
      <c r="AR158" s="18"/>
      <c r="AS158" s="18"/>
      <c r="AT158" s="18"/>
      <c r="AU158" s="18"/>
      <c r="AV158" s="18"/>
      <c r="AW158" s="18"/>
      <c r="AX158" s="18"/>
    </row>
    <row r="159" customFormat="false" ht="15" hidden="false" customHeight="false" outlineLevel="0" collapsed="false">
      <c r="A159" s="16" t="str">
        <f aca="false">IF(INDEX(Tasks!$A:$A,ROW()-1)="","",INDEX(Tasks!$A:$A,ROW()-1))</f>
        <v/>
      </c>
      <c r="B159" s="16" t="str">
        <f aca="false">IF(INDEX(Tasks!$A:$A,ROW()-1)="","",IF(ISERROR(FIND(".",INDEX(Tasks!$A:$A,ROW()-1))),"","   ")&amp;INDEX(Tasks!$D:$D,ROW()-1))</f>
        <v/>
      </c>
      <c r="C159" s="16" t="str">
        <f aca="false">IF(INDEX(Tasks!$G:$G,ROW()-1)="","",INDEX(Tasks!$G:$G,ROW()-1))</f>
        <v/>
      </c>
      <c r="D159" s="16" t="str">
        <f aca="false">IF(INDEX(Tasks!$H:$H,ROW()-1)="","",INDEX(Tasks!$H:$H,ROW()-1))</f>
        <v/>
      </c>
      <c r="E159" s="17" t="str">
        <f aca="false">IF(INDEX(Tasks!$I:$I,ROW()-1)="","",INDEX(Tasks!$I:$I,ROW()-1))</f>
        <v/>
      </c>
      <c r="F159" s="17" t="str">
        <f aca="false">IF(INDEX(Tasks!$K:$K,ROW()-1)="","",INDEX(Tasks!$K:$K,ROW()-1))</f>
        <v/>
      </c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  <c r="AH159" s="18"/>
      <c r="AI159" s="18"/>
      <c r="AJ159" s="18"/>
      <c r="AK159" s="18"/>
      <c r="AL159" s="18"/>
      <c r="AM159" s="18"/>
      <c r="AN159" s="18"/>
      <c r="AO159" s="18"/>
      <c r="AP159" s="18"/>
      <c r="AQ159" s="18"/>
      <c r="AR159" s="18"/>
      <c r="AS159" s="18"/>
      <c r="AT159" s="18"/>
      <c r="AU159" s="18"/>
      <c r="AV159" s="18"/>
      <c r="AW159" s="18"/>
      <c r="AX159" s="18"/>
    </row>
    <row r="160" customFormat="false" ht="15" hidden="false" customHeight="false" outlineLevel="0" collapsed="false">
      <c r="A160" s="16" t="str">
        <f aca="false">IF(INDEX(Tasks!$A:$A,ROW()-1)="","",INDEX(Tasks!$A:$A,ROW()-1))</f>
        <v/>
      </c>
      <c r="B160" s="16" t="str">
        <f aca="false">IF(INDEX(Tasks!$A:$A,ROW()-1)="","",IF(ISERROR(FIND(".",INDEX(Tasks!$A:$A,ROW()-1))),"","   ")&amp;INDEX(Tasks!$D:$D,ROW()-1))</f>
        <v/>
      </c>
      <c r="C160" s="16" t="str">
        <f aca="false">IF(INDEX(Tasks!$G:$G,ROW()-1)="","",INDEX(Tasks!$G:$G,ROW()-1))</f>
        <v/>
      </c>
      <c r="D160" s="16" t="str">
        <f aca="false">IF(INDEX(Tasks!$H:$H,ROW()-1)="","",INDEX(Tasks!$H:$H,ROW()-1))</f>
        <v/>
      </c>
      <c r="E160" s="17" t="str">
        <f aca="false">IF(INDEX(Tasks!$I:$I,ROW()-1)="","",INDEX(Tasks!$I:$I,ROW()-1))</f>
        <v/>
      </c>
      <c r="F160" s="17" t="str">
        <f aca="false">IF(INDEX(Tasks!$K:$K,ROW()-1)="","",INDEX(Tasks!$K:$K,ROW()-1))</f>
        <v/>
      </c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  <c r="AH160" s="18"/>
      <c r="AI160" s="18"/>
      <c r="AJ160" s="18"/>
      <c r="AK160" s="18"/>
      <c r="AL160" s="18"/>
      <c r="AM160" s="18"/>
      <c r="AN160" s="18"/>
      <c r="AO160" s="18"/>
      <c r="AP160" s="18"/>
      <c r="AQ160" s="18"/>
      <c r="AR160" s="18"/>
      <c r="AS160" s="18"/>
      <c r="AT160" s="18"/>
      <c r="AU160" s="18"/>
      <c r="AV160" s="18"/>
      <c r="AW160" s="18"/>
      <c r="AX160" s="18"/>
    </row>
    <row r="161" customFormat="false" ht="15" hidden="false" customHeight="false" outlineLevel="0" collapsed="false">
      <c r="A161" s="16" t="str">
        <f aca="false">IF(INDEX(Tasks!$A:$A,ROW()-1)="","",INDEX(Tasks!$A:$A,ROW()-1))</f>
        <v/>
      </c>
      <c r="B161" s="16" t="str">
        <f aca="false">IF(INDEX(Tasks!$A:$A,ROW()-1)="","",IF(ISERROR(FIND(".",INDEX(Tasks!$A:$A,ROW()-1))),"","   ")&amp;INDEX(Tasks!$D:$D,ROW()-1))</f>
        <v/>
      </c>
      <c r="C161" s="16" t="str">
        <f aca="false">IF(INDEX(Tasks!$G:$G,ROW()-1)="","",INDEX(Tasks!$G:$G,ROW()-1))</f>
        <v/>
      </c>
      <c r="D161" s="16" t="str">
        <f aca="false">IF(INDEX(Tasks!$H:$H,ROW()-1)="","",INDEX(Tasks!$H:$H,ROW()-1))</f>
        <v/>
      </c>
      <c r="E161" s="17" t="str">
        <f aca="false">IF(INDEX(Tasks!$I:$I,ROW()-1)="","",INDEX(Tasks!$I:$I,ROW()-1))</f>
        <v/>
      </c>
      <c r="F161" s="17" t="str">
        <f aca="false">IF(INDEX(Tasks!$K:$K,ROW()-1)="","",INDEX(Tasks!$K:$K,ROW()-1))</f>
        <v/>
      </c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  <c r="AH161" s="18"/>
      <c r="AI161" s="18"/>
      <c r="AJ161" s="18"/>
      <c r="AK161" s="18"/>
      <c r="AL161" s="18"/>
      <c r="AM161" s="18"/>
      <c r="AN161" s="18"/>
      <c r="AO161" s="18"/>
      <c r="AP161" s="18"/>
      <c r="AQ161" s="18"/>
      <c r="AR161" s="18"/>
      <c r="AS161" s="18"/>
      <c r="AT161" s="18"/>
      <c r="AU161" s="18"/>
      <c r="AV161" s="18"/>
      <c r="AW161" s="18"/>
      <c r="AX161" s="18"/>
    </row>
    <row r="162" customFormat="false" ht="15" hidden="false" customHeight="false" outlineLevel="0" collapsed="false">
      <c r="A162" s="16" t="str">
        <f aca="false">IF(INDEX(Tasks!$A:$A,ROW()-1)="","",INDEX(Tasks!$A:$A,ROW()-1))</f>
        <v/>
      </c>
      <c r="B162" s="16" t="str">
        <f aca="false">IF(INDEX(Tasks!$A:$A,ROW()-1)="","",IF(ISERROR(FIND(".",INDEX(Tasks!$A:$A,ROW()-1))),"","   ")&amp;INDEX(Tasks!$D:$D,ROW()-1))</f>
        <v/>
      </c>
      <c r="C162" s="16" t="str">
        <f aca="false">IF(INDEX(Tasks!$G:$G,ROW()-1)="","",INDEX(Tasks!$G:$G,ROW()-1))</f>
        <v/>
      </c>
      <c r="D162" s="16" t="str">
        <f aca="false">IF(INDEX(Tasks!$H:$H,ROW()-1)="","",INDEX(Tasks!$H:$H,ROW()-1))</f>
        <v/>
      </c>
      <c r="E162" s="17" t="str">
        <f aca="false">IF(INDEX(Tasks!$I:$I,ROW()-1)="","",INDEX(Tasks!$I:$I,ROW()-1))</f>
        <v/>
      </c>
      <c r="F162" s="17" t="str">
        <f aca="false">IF(INDEX(Tasks!$K:$K,ROW()-1)="","",INDEX(Tasks!$K:$K,ROW()-1))</f>
        <v/>
      </c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  <c r="AH162" s="18"/>
      <c r="AI162" s="18"/>
      <c r="AJ162" s="18"/>
      <c r="AK162" s="18"/>
      <c r="AL162" s="18"/>
      <c r="AM162" s="18"/>
      <c r="AN162" s="18"/>
      <c r="AO162" s="18"/>
      <c r="AP162" s="18"/>
      <c r="AQ162" s="18"/>
      <c r="AR162" s="18"/>
      <c r="AS162" s="18"/>
      <c r="AT162" s="18"/>
      <c r="AU162" s="18"/>
      <c r="AV162" s="18"/>
      <c r="AW162" s="18"/>
      <c r="AX162" s="18"/>
    </row>
    <row r="163" customFormat="false" ht="15" hidden="false" customHeight="false" outlineLevel="0" collapsed="false">
      <c r="A163" s="16" t="str">
        <f aca="false">IF(INDEX(Tasks!$A:$A,ROW()-1)="","",INDEX(Tasks!$A:$A,ROW()-1))</f>
        <v/>
      </c>
      <c r="B163" s="16" t="str">
        <f aca="false">IF(INDEX(Tasks!$A:$A,ROW()-1)="","",IF(ISERROR(FIND(".",INDEX(Tasks!$A:$A,ROW()-1))),"","   ")&amp;INDEX(Tasks!$D:$D,ROW()-1))</f>
        <v/>
      </c>
      <c r="C163" s="16" t="str">
        <f aca="false">IF(INDEX(Tasks!$G:$G,ROW()-1)="","",INDEX(Tasks!$G:$G,ROW()-1))</f>
        <v/>
      </c>
      <c r="D163" s="16" t="str">
        <f aca="false">IF(INDEX(Tasks!$H:$H,ROW()-1)="","",INDEX(Tasks!$H:$H,ROW()-1))</f>
        <v/>
      </c>
      <c r="E163" s="17" t="str">
        <f aca="false">IF(INDEX(Tasks!$I:$I,ROW()-1)="","",INDEX(Tasks!$I:$I,ROW()-1))</f>
        <v/>
      </c>
      <c r="F163" s="17" t="str">
        <f aca="false">IF(INDEX(Tasks!$K:$K,ROW()-1)="","",INDEX(Tasks!$K:$K,ROW()-1))</f>
        <v/>
      </c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  <c r="AH163" s="18"/>
      <c r="AI163" s="18"/>
      <c r="AJ163" s="18"/>
      <c r="AK163" s="18"/>
      <c r="AL163" s="18"/>
      <c r="AM163" s="18"/>
      <c r="AN163" s="18"/>
      <c r="AO163" s="18"/>
      <c r="AP163" s="18"/>
      <c r="AQ163" s="18"/>
      <c r="AR163" s="18"/>
      <c r="AS163" s="18"/>
      <c r="AT163" s="18"/>
      <c r="AU163" s="18"/>
      <c r="AV163" s="18"/>
      <c r="AW163" s="18"/>
      <c r="AX163" s="18"/>
    </row>
    <row r="164" customFormat="false" ht="15" hidden="false" customHeight="false" outlineLevel="0" collapsed="false">
      <c r="A164" s="16" t="str">
        <f aca="false">IF(INDEX(Tasks!$A:$A,ROW()-1)="","",INDEX(Tasks!$A:$A,ROW()-1))</f>
        <v/>
      </c>
      <c r="B164" s="16" t="str">
        <f aca="false">IF(INDEX(Tasks!$A:$A,ROW()-1)="","",IF(ISERROR(FIND(".",INDEX(Tasks!$A:$A,ROW()-1))),"","   ")&amp;INDEX(Tasks!$D:$D,ROW()-1))</f>
        <v/>
      </c>
      <c r="C164" s="16" t="str">
        <f aca="false">IF(INDEX(Tasks!$G:$G,ROW()-1)="","",INDEX(Tasks!$G:$G,ROW()-1))</f>
        <v/>
      </c>
      <c r="D164" s="16" t="str">
        <f aca="false">IF(INDEX(Tasks!$H:$H,ROW()-1)="","",INDEX(Tasks!$H:$H,ROW()-1))</f>
        <v/>
      </c>
      <c r="E164" s="17" t="str">
        <f aca="false">IF(INDEX(Tasks!$I:$I,ROW()-1)="","",INDEX(Tasks!$I:$I,ROW()-1))</f>
        <v/>
      </c>
      <c r="F164" s="17" t="str">
        <f aca="false">IF(INDEX(Tasks!$K:$K,ROW()-1)="","",INDEX(Tasks!$K:$K,ROW()-1))</f>
        <v/>
      </c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  <c r="AH164" s="18"/>
      <c r="AI164" s="18"/>
      <c r="AJ164" s="18"/>
      <c r="AK164" s="18"/>
      <c r="AL164" s="18"/>
      <c r="AM164" s="18"/>
      <c r="AN164" s="18"/>
      <c r="AO164" s="18"/>
      <c r="AP164" s="18"/>
      <c r="AQ164" s="18"/>
      <c r="AR164" s="18"/>
      <c r="AS164" s="18"/>
      <c r="AT164" s="18"/>
      <c r="AU164" s="18"/>
      <c r="AV164" s="18"/>
      <c r="AW164" s="18"/>
      <c r="AX164" s="18"/>
    </row>
    <row r="165" customFormat="false" ht="15" hidden="false" customHeight="false" outlineLevel="0" collapsed="false">
      <c r="A165" s="16" t="str">
        <f aca="false">IF(INDEX(Tasks!$A:$A,ROW()-1)="","",INDEX(Tasks!$A:$A,ROW()-1))</f>
        <v/>
      </c>
      <c r="B165" s="16" t="str">
        <f aca="false">IF(INDEX(Tasks!$A:$A,ROW()-1)="","",IF(ISERROR(FIND(".",INDEX(Tasks!$A:$A,ROW()-1))),"","   ")&amp;INDEX(Tasks!$D:$D,ROW()-1))</f>
        <v/>
      </c>
      <c r="C165" s="16" t="str">
        <f aca="false">IF(INDEX(Tasks!$G:$G,ROW()-1)="","",INDEX(Tasks!$G:$G,ROW()-1))</f>
        <v/>
      </c>
      <c r="D165" s="16" t="str">
        <f aca="false">IF(INDEX(Tasks!$H:$H,ROW()-1)="","",INDEX(Tasks!$H:$H,ROW()-1))</f>
        <v/>
      </c>
      <c r="E165" s="17" t="str">
        <f aca="false">IF(INDEX(Tasks!$I:$I,ROW()-1)="","",INDEX(Tasks!$I:$I,ROW()-1))</f>
        <v/>
      </c>
      <c r="F165" s="17" t="str">
        <f aca="false">IF(INDEX(Tasks!$K:$K,ROW()-1)="","",INDEX(Tasks!$K:$K,ROW()-1))</f>
        <v/>
      </c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  <c r="AG165" s="18"/>
      <c r="AH165" s="18"/>
      <c r="AI165" s="18"/>
      <c r="AJ165" s="18"/>
      <c r="AK165" s="18"/>
      <c r="AL165" s="18"/>
      <c r="AM165" s="18"/>
      <c r="AN165" s="18"/>
      <c r="AO165" s="18"/>
      <c r="AP165" s="18"/>
      <c r="AQ165" s="18"/>
      <c r="AR165" s="18"/>
      <c r="AS165" s="18"/>
      <c r="AT165" s="18"/>
      <c r="AU165" s="18"/>
      <c r="AV165" s="18"/>
      <c r="AW165" s="18"/>
      <c r="AX165" s="18"/>
    </row>
    <row r="166" customFormat="false" ht="15" hidden="false" customHeight="false" outlineLevel="0" collapsed="false">
      <c r="A166" s="16" t="str">
        <f aca="false">IF(INDEX(Tasks!$A:$A,ROW()-1)="","",INDEX(Tasks!$A:$A,ROW()-1))</f>
        <v/>
      </c>
      <c r="B166" s="16" t="str">
        <f aca="false">IF(INDEX(Tasks!$A:$A,ROW()-1)="","",IF(ISERROR(FIND(".",INDEX(Tasks!$A:$A,ROW()-1))),"","   ")&amp;INDEX(Tasks!$D:$D,ROW()-1))</f>
        <v/>
      </c>
      <c r="C166" s="16" t="str">
        <f aca="false">IF(INDEX(Tasks!$G:$G,ROW()-1)="","",INDEX(Tasks!$G:$G,ROW()-1))</f>
        <v/>
      </c>
      <c r="D166" s="16" t="str">
        <f aca="false">IF(INDEX(Tasks!$H:$H,ROW()-1)="","",INDEX(Tasks!$H:$H,ROW()-1))</f>
        <v/>
      </c>
      <c r="E166" s="17" t="str">
        <f aca="false">IF(INDEX(Tasks!$I:$I,ROW()-1)="","",INDEX(Tasks!$I:$I,ROW()-1))</f>
        <v/>
      </c>
      <c r="F166" s="17" t="str">
        <f aca="false">IF(INDEX(Tasks!$K:$K,ROW()-1)="","",INDEX(Tasks!$K:$K,ROW()-1))</f>
        <v/>
      </c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J166" s="18"/>
      <c r="AK166" s="18"/>
      <c r="AL166" s="18"/>
      <c r="AM166" s="18"/>
      <c r="AN166" s="18"/>
      <c r="AO166" s="18"/>
      <c r="AP166" s="18"/>
      <c r="AQ166" s="18"/>
      <c r="AR166" s="18"/>
      <c r="AS166" s="18"/>
      <c r="AT166" s="18"/>
      <c r="AU166" s="18"/>
      <c r="AV166" s="18"/>
      <c r="AW166" s="18"/>
      <c r="AX166" s="18"/>
    </row>
    <row r="167" customFormat="false" ht="15" hidden="false" customHeight="false" outlineLevel="0" collapsed="false">
      <c r="A167" s="16" t="str">
        <f aca="false">IF(INDEX(Tasks!$A:$A,ROW()-1)="","",INDEX(Tasks!$A:$A,ROW()-1))</f>
        <v/>
      </c>
      <c r="B167" s="16" t="str">
        <f aca="false">IF(INDEX(Tasks!$A:$A,ROW()-1)="","",IF(ISERROR(FIND(".",INDEX(Tasks!$A:$A,ROW()-1))),"","   ")&amp;INDEX(Tasks!$D:$D,ROW()-1))</f>
        <v/>
      </c>
      <c r="C167" s="16" t="str">
        <f aca="false">IF(INDEX(Tasks!$G:$G,ROW()-1)="","",INDEX(Tasks!$G:$G,ROW()-1))</f>
        <v/>
      </c>
      <c r="D167" s="16" t="str">
        <f aca="false">IF(INDEX(Tasks!$H:$H,ROW()-1)="","",INDEX(Tasks!$H:$H,ROW()-1))</f>
        <v/>
      </c>
      <c r="E167" s="17" t="str">
        <f aca="false">IF(INDEX(Tasks!$I:$I,ROW()-1)="","",INDEX(Tasks!$I:$I,ROW()-1))</f>
        <v/>
      </c>
      <c r="F167" s="17" t="str">
        <f aca="false">IF(INDEX(Tasks!$K:$K,ROW()-1)="","",INDEX(Tasks!$K:$K,ROW()-1))</f>
        <v/>
      </c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  <c r="AH167" s="18"/>
      <c r="AI167" s="18"/>
      <c r="AJ167" s="18"/>
      <c r="AK167" s="18"/>
      <c r="AL167" s="18"/>
      <c r="AM167" s="18"/>
      <c r="AN167" s="18"/>
      <c r="AO167" s="18"/>
      <c r="AP167" s="18"/>
      <c r="AQ167" s="18"/>
      <c r="AR167" s="18"/>
      <c r="AS167" s="18"/>
      <c r="AT167" s="18"/>
      <c r="AU167" s="18"/>
      <c r="AV167" s="18"/>
      <c r="AW167" s="18"/>
      <c r="AX167" s="18"/>
    </row>
    <row r="168" customFormat="false" ht="15" hidden="false" customHeight="false" outlineLevel="0" collapsed="false">
      <c r="A168" s="16" t="str">
        <f aca="false">IF(INDEX(Tasks!$A:$A,ROW()-1)="","",INDEX(Tasks!$A:$A,ROW()-1))</f>
        <v/>
      </c>
      <c r="B168" s="16" t="str">
        <f aca="false">IF(INDEX(Tasks!$A:$A,ROW()-1)="","",IF(ISERROR(FIND(".",INDEX(Tasks!$A:$A,ROW()-1))),"","   ")&amp;INDEX(Tasks!$D:$D,ROW()-1))</f>
        <v/>
      </c>
      <c r="C168" s="16" t="str">
        <f aca="false">IF(INDEX(Tasks!$G:$G,ROW()-1)="","",INDEX(Tasks!$G:$G,ROW()-1))</f>
        <v/>
      </c>
      <c r="D168" s="16" t="str">
        <f aca="false">IF(INDEX(Tasks!$H:$H,ROW()-1)="","",INDEX(Tasks!$H:$H,ROW()-1))</f>
        <v/>
      </c>
      <c r="E168" s="17" t="str">
        <f aca="false">IF(INDEX(Tasks!$I:$I,ROW()-1)="","",INDEX(Tasks!$I:$I,ROW()-1))</f>
        <v/>
      </c>
      <c r="F168" s="17" t="str">
        <f aca="false">IF(INDEX(Tasks!$K:$K,ROW()-1)="","",INDEX(Tasks!$K:$K,ROW()-1))</f>
        <v/>
      </c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  <c r="AG168" s="18"/>
      <c r="AH168" s="18"/>
      <c r="AI168" s="18"/>
      <c r="AJ168" s="18"/>
      <c r="AK168" s="18"/>
      <c r="AL168" s="18"/>
      <c r="AM168" s="18"/>
      <c r="AN168" s="18"/>
      <c r="AO168" s="18"/>
      <c r="AP168" s="18"/>
      <c r="AQ168" s="18"/>
      <c r="AR168" s="18"/>
      <c r="AS168" s="18"/>
      <c r="AT168" s="18"/>
      <c r="AU168" s="18"/>
      <c r="AV168" s="18"/>
      <c r="AW168" s="18"/>
      <c r="AX168" s="18"/>
    </row>
    <row r="169" customFormat="false" ht="15" hidden="false" customHeight="false" outlineLevel="0" collapsed="false">
      <c r="A169" s="16" t="str">
        <f aca="false">IF(INDEX(Tasks!$A:$A,ROW()-1)="","",INDEX(Tasks!$A:$A,ROW()-1))</f>
        <v/>
      </c>
      <c r="B169" s="16" t="str">
        <f aca="false">IF(INDEX(Tasks!$A:$A,ROW()-1)="","",IF(ISERROR(FIND(".",INDEX(Tasks!$A:$A,ROW()-1))),"","   ")&amp;INDEX(Tasks!$D:$D,ROW()-1))</f>
        <v/>
      </c>
      <c r="C169" s="16" t="str">
        <f aca="false">IF(INDEX(Tasks!$G:$G,ROW()-1)="","",INDEX(Tasks!$G:$G,ROW()-1))</f>
        <v/>
      </c>
      <c r="D169" s="16" t="str">
        <f aca="false">IF(INDEX(Tasks!$H:$H,ROW()-1)="","",INDEX(Tasks!$H:$H,ROW()-1))</f>
        <v/>
      </c>
      <c r="E169" s="17" t="str">
        <f aca="false">IF(INDEX(Tasks!$I:$I,ROW()-1)="","",INDEX(Tasks!$I:$I,ROW()-1))</f>
        <v/>
      </c>
      <c r="F169" s="17" t="str">
        <f aca="false">IF(INDEX(Tasks!$K:$K,ROW()-1)="","",INDEX(Tasks!$K:$K,ROW()-1))</f>
        <v/>
      </c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  <c r="AG169" s="18"/>
      <c r="AH169" s="18"/>
      <c r="AI169" s="18"/>
      <c r="AJ169" s="18"/>
      <c r="AK169" s="18"/>
      <c r="AL169" s="18"/>
      <c r="AM169" s="18"/>
      <c r="AN169" s="18"/>
      <c r="AO169" s="18"/>
      <c r="AP169" s="18"/>
      <c r="AQ169" s="18"/>
      <c r="AR169" s="18"/>
      <c r="AS169" s="18"/>
      <c r="AT169" s="18"/>
      <c r="AU169" s="18"/>
      <c r="AV169" s="18"/>
      <c r="AW169" s="18"/>
      <c r="AX169" s="18"/>
    </row>
    <row r="170" customFormat="false" ht="15" hidden="false" customHeight="false" outlineLevel="0" collapsed="false">
      <c r="A170" s="16" t="str">
        <f aca="false">IF(INDEX(Tasks!$A:$A,ROW()-1)="","",INDEX(Tasks!$A:$A,ROW()-1))</f>
        <v/>
      </c>
      <c r="B170" s="16" t="str">
        <f aca="false">IF(INDEX(Tasks!$A:$A,ROW()-1)="","",IF(ISERROR(FIND(".",INDEX(Tasks!$A:$A,ROW()-1))),"","   ")&amp;INDEX(Tasks!$D:$D,ROW()-1))</f>
        <v/>
      </c>
      <c r="C170" s="16" t="str">
        <f aca="false">IF(INDEX(Tasks!$G:$G,ROW()-1)="","",INDEX(Tasks!$G:$G,ROW()-1))</f>
        <v/>
      </c>
      <c r="D170" s="16" t="str">
        <f aca="false">IF(INDEX(Tasks!$H:$H,ROW()-1)="","",INDEX(Tasks!$H:$H,ROW()-1))</f>
        <v/>
      </c>
      <c r="E170" s="17" t="str">
        <f aca="false">IF(INDEX(Tasks!$I:$I,ROW()-1)="","",INDEX(Tasks!$I:$I,ROW()-1))</f>
        <v/>
      </c>
      <c r="F170" s="17" t="str">
        <f aca="false">IF(INDEX(Tasks!$K:$K,ROW()-1)="","",INDEX(Tasks!$K:$K,ROW()-1))</f>
        <v/>
      </c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  <c r="AG170" s="18"/>
      <c r="AH170" s="18"/>
      <c r="AI170" s="18"/>
      <c r="AJ170" s="18"/>
      <c r="AK170" s="18"/>
      <c r="AL170" s="18"/>
      <c r="AM170" s="18"/>
      <c r="AN170" s="18"/>
      <c r="AO170" s="18"/>
      <c r="AP170" s="18"/>
      <c r="AQ170" s="18"/>
      <c r="AR170" s="18"/>
      <c r="AS170" s="18"/>
      <c r="AT170" s="18"/>
      <c r="AU170" s="18"/>
      <c r="AV170" s="18"/>
      <c r="AW170" s="18"/>
      <c r="AX170" s="18"/>
    </row>
    <row r="171" customFormat="false" ht="15" hidden="false" customHeight="false" outlineLevel="0" collapsed="false">
      <c r="A171" s="16" t="str">
        <f aca="false">IF(INDEX(Tasks!$A:$A,ROW()-1)="","",INDEX(Tasks!$A:$A,ROW()-1))</f>
        <v/>
      </c>
      <c r="B171" s="16" t="str">
        <f aca="false">IF(INDEX(Tasks!$A:$A,ROW()-1)="","",IF(ISERROR(FIND(".",INDEX(Tasks!$A:$A,ROW()-1))),"","   ")&amp;INDEX(Tasks!$D:$D,ROW()-1))</f>
        <v/>
      </c>
      <c r="C171" s="16" t="str">
        <f aca="false">IF(INDEX(Tasks!$G:$G,ROW()-1)="","",INDEX(Tasks!$G:$G,ROW()-1))</f>
        <v/>
      </c>
      <c r="D171" s="16" t="str">
        <f aca="false">IF(INDEX(Tasks!$H:$H,ROW()-1)="","",INDEX(Tasks!$H:$H,ROW()-1))</f>
        <v/>
      </c>
      <c r="E171" s="17" t="str">
        <f aca="false">IF(INDEX(Tasks!$I:$I,ROW()-1)="","",INDEX(Tasks!$I:$I,ROW()-1))</f>
        <v/>
      </c>
      <c r="F171" s="17" t="str">
        <f aca="false">IF(INDEX(Tasks!$K:$K,ROW()-1)="","",INDEX(Tasks!$K:$K,ROW()-1))</f>
        <v/>
      </c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  <c r="AG171" s="18"/>
      <c r="AH171" s="18"/>
      <c r="AI171" s="18"/>
      <c r="AJ171" s="18"/>
      <c r="AK171" s="18"/>
      <c r="AL171" s="18"/>
      <c r="AM171" s="18"/>
      <c r="AN171" s="18"/>
      <c r="AO171" s="18"/>
      <c r="AP171" s="18"/>
      <c r="AQ171" s="18"/>
      <c r="AR171" s="18"/>
      <c r="AS171" s="18"/>
      <c r="AT171" s="18"/>
      <c r="AU171" s="18"/>
      <c r="AV171" s="18"/>
      <c r="AW171" s="18"/>
      <c r="AX171" s="18"/>
    </row>
    <row r="172" customFormat="false" ht="15" hidden="false" customHeight="false" outlineLevel="0" collapsed="false">
      <c r="A172" s="16" t="str">
        <f aca="false">IF(INDEX(Tasks!$A:$A,ROW()-1)="","",INDEX(Tasks!$A:$A,ROW()-1))</f>
        <v/>
      </c>
      <c r="B172" s="16" t="str">
        <f aca="false">IF(INDEX(Tasks!$A:$A,ROW()-1)="","",IF(ISERROR(FIND(".",INDEX(Tasks!$A:$A,ROW()-1))),"","   ")&amp;INDEX(Tasks!$D:$D,ROW()-1))</f>
        <v/>
      </c>
      <c r="C172" s="16" t="str">
        <f aca="false">IF(INDEX(Tasks!$G:$G,ROW()-1)="","",INDEX(Tasks!$G:$G,ROW()-1))</f>
        <v/>
      </c>
      <c r="D172" s="16" t="str">
        <f aca="false">IF(INDEX(Tasks!$H:$H,ROW()-1)="","",INDEX(Tasks!$H:$H,ROW()-1))</f>
        <v/>
      </c>
      <c r="E172" s="17" t="str">
        <f aca="false">IF(INDEX(Tasks!$I:$I,ROW()-1)="","",INDEX(Tasks!$I:$I,ROW()-1))</f>
        <v/>
      </c>
      <c r="F172" s="17" t="str">
        <f aca="false">IF(INDEX(Tasks!$K:$K,ROW()-1)="","",INDEX(Tasks!$K:$K,ROW()-1))</f>
        <v/>
      </c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  <c r="AG172" s="18"/>
      <c r="AH172" s="18"/>
      <c r="AI172" s="18"/>
      <c r="AJ172" s="18"/>
      <c r="AK172" s="18"/>
      <c r="AL172" s="18"/>
      <c r="AM172" s="18"/>
      <c r="AN172" s="18"/>
      <c r="AO172" s="18"/>
      <c r="AP172" s="18"/>
      <c r="AQ172" s="18"/>
      <c r="AR172" s="18"/>
      <c r="AS172" s="18"/>
      <c r="AT172" s="18"/>
      <c r="AU172" s="18"/>
      <c r="AV172" s="18"/>
      <c r="AW172" s="18"/>
      <c r="AX172" s="18"/>
    </row>
    <row r="173" customFormat="false" ht="15" hidden="false" customHeight="false" outlineLevel="0" collapsed="false">
      <c r="A173" s="16" t="str">
        <f aca="false">IF(INDEX(Tasks!$A:$A,ROW()-1)="","",INDEX(Tasks!$A:$A,ROW()-1))</f>
        <v/>
      </c>
      <c r="B173" s="16" t="str">
        <f aca="false">IF(INDEX(Tasks!$A:$A,ROW()-1)="","",IF(ISERROR(FIND(".",INDEX(Tasks!$A:$A,ROW()-1))),"","   ")&amp;INDEX(Tasks!$D:$D,ROW()-1))</f>
        <v/>
      </c>
      <c r="C173" s="16" t="str">
        <f aca="false">IF(INDEX(Tasks!$G:$G,ROW()-1)="","",INDEX(Tasks!$G:$G,ROW()-1))</f>
        <v/>
      </c>
      <c r="D173" s="16" t="str">
        <f aca="false">IF(INDEX(Tasks!$H:$H,ROW()-1)="","",INDEX(Tasks!$H:$H,ROW()-1))</f>
        <v/>
      </c>
      <c r="E173" s="17" t="str">
        <f aca="false">IF(INDEX(Tasks!$I:$I,ROW()-1)="","",INDEX(Tasks!$I:$I,ROW()-1))</f>
        <v/>
      </c>
      <c r="F173" s="17" t="str">
        <f aca="false">IF(INDEX(Tasks!$K:$K,ROW()-1)="","",INDEX(Tasks!$K:$K,ROW()-1))</f>
        <v/>
      </c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  <c r="AG173" s="18"/>
      <c r="AH173" s="18"/>
      <c r="AI173" s="18"/>
      <c r="AJ173" s="18"/>
      <c r="AK173" s="18"/>
      <c r="AL173" s="18"/>
      <c r="AM173" s="18"/>
      <c r="AN173" s="18"/>
      <c r="AO173" s="18"/>
      <c r="AP173" s="18"/>
      <c r="AQ173" s="18"/>
      <c r="AR173" s="18"/>
      <c r="AS173" s="18"/>
      <c r="AT173" s="18"/>
      <c r="AU173" s="18"/>
      <c r="AV173" s="18"/>
      <c r="AW173" s="18"/>
      <c r="AX173" s="18"/>
    </row>
    <row r="174" customFormat="false" ht="15" hidden="false" customHeight="false" outlineLevel="0" collapsed="false">
      <c r="A174" s="16" t="str">
        <f aca="false">IF(INDEX(Tasks!$A:$A,ROW()-1)="","",INDEX(Tasks!$A:$A,ROW()-1))</f>
        <v/>
      </c>
      <c r="B174" s="16" t="str">
        <f aca="false">IF(INDEX(Tasks!$A:$A,ROW()-1)="","",IF(ISERROR(FIND(".",INDEX(Tasks!$A:$A,ROW()-1))),"","   ")&amp;INDEX(Tasks!$D:$D,ROW()-1))</f>
        <v/>
      </c>
      <c r="C174" s="16" t="str">
        <f aca="false">IF(INDEX(Tasks!$G:$G,ROW()-1)="","",INDEX(Tasks!$G:$G,ROW()-1))</f>
        <v/>
      </c>
      <c r="D174" s="16" t="str">
        <f aca="false">IF(INDEX(Tasks!$H:$H,ROW()-1)="","",INDEX(Tasks!$H:$H,ROW()-1))</f>
        <v/>
      </c>
      <c r="E174" s="17" t="str">
        <f aca="false">IF(INDEX(Tasks!$I:$I,ROW()-1)="","",INDEX(Tasks!$I:$I,ROW()-1))</f>
        <v/>
      </c>
      <c r="F174" s="17" t="str">
        <f aca="false">IF(INDEX(Tasks!$K:$K,ROW()-1)="","",INDEX(Tasks!$K:$K,ROW()-1))</f>
        <v/>
      </c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  <c r="AG174" s="18"/>
      <c r="AH174" s="18"/>
      <c r="AI174" s="18"/>
      <c r="AJ174" s="18"/>
      <c r="AK174" s="18"/>
      <c r="AL174" s="18"/>
      <c r="AM174" s="18"/>
      <c r="AN174" s="18"/>
      <c r="AO174" s="18"/>
      <c r="AP174" s="18"/>
      <c r="AQ174" s="18"/>
      <c r="AR174" s="18"/>
      <c r="AS174" s="18"/>
      <c r="AT174" s="18"/>
      <c r="AU174" s="18"/>
      <c r="AV174" s="18"/>
      <c r="AW174" s="18"/>
      <c r="AX174" s="18"/>
    </row>
    <row r="175" customFormat="false" ht="15" hidden="false" customHeight="false" outlineLevel="0" collapsed="false">
      <c r="A175" s="16" t="str">
        <f aca="false">IF(INDEX(Tasks!$A:$A,ROW()-1)="","",INDEX(Tasks!$A:$A,ROW()-1))</f>
        <v/>
      </c>
      <c r="B175" s="16" t="str">
        <f aca="false">IF(INDEX(Tasks!$A:$A,ROW()-1)="","",IF(ISERROR(FIND(".",INDEX(Tasks!$A:$A,ROW()-1))),"","   ")&amp;INDEX(Tasks!$D:$D,ROW()-1))</f>
        <v/>
      </c>
      <c r="C175" s="16" t="str">
        <f aca="false">IF(INDEX(Tasks!$G:$G,ROW()-1)="","",INDEX(Tasks!$G:$G,ROW()-1))</f>
        <v/>
      </c>
      <c r="D175" s="16" t="str">
        <f aca="false">IF(INDEX(Tasks!$H:$H,ROW()-1)="","",INDEX(Tasks!$H:$H,ROW()-1))</f>
        <v/>
      </c>
      <c r="E175" s="17" t="str">
        <f aca="false">IF(INDEX(Tasks!$I:$I,ROW()-1)="","",INDEX(Tasks!$I:$I,ROW()-1))</f>
        <v/>
      </c>
      <c r="F175" s="17" t="str">
        <f aca="false">IF(INDEX(Tasks!$K:$K,ROW()-1)="","",INDEX(Tasks!$K:$K,ROW()-1))</f>
        <v/>
      </c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18"/>
      <c r="AG175" s="18"/>
      <c r="AH175" s="18"/>
      <c r="AI175" s="18"/>
      <c r="AJ175" s="18"/>
      <c r="AK175" s="18"/>
      <c r="AL175" s="18"/>
      <c r="AM175" s="18"/>
      <c r="AN175" s="18"/>
      <c r="AO175" s="18"/>
      <c r="AP175" s="18"/>
      <c r="AQ175" s="18"/>
      <c r="AR175" s="18"/>
      <c r="AS175" s="18"/>
      <c r="AT175" s="18"/>
      <c r="AU175" s="18"/>
      <c r="AV175" s="18"/>
      <c r="AW175" s="18"/>
      <c r="AX175" s="18"/>
    </row>
    <row r="176" customFormat="false" ht="15" hidden="false" customHeight="false" outlineLevel="0" collapsed="false">
      <c r="A176" s="16" t="str">
        <f aca="false">IF(INDEX(Tasks!$A:$A,ROW()-1)="","",INDEX(Tasks!$A:$A,ROW()-1))</f>
        <v/>
      </c>
      <c r="B176" s="16" t="str">
        <f aca="false">IF(INDEX(Tasks!$A:$A,ROW()-1)="","",IF(ISERROR(FIND(".",INDEX(Tasks!$A:$A,ROW()-1))),"","   ")&amp;INDEX(Tasks!$D:$D,ROW()-1))</f>
        <v/>
      </c>
      <c r="C176" s="16" t="str">
        <f aca="false">IF(INDEX(Tasks!$G:$G,ROW()-1)="","",INDEX(Tasks!$G:$G,ROW()-1))</f>
        <v/>
      </c>
      <c r="D176" s="16" t="str">
        <f aca="false">IF(INDEX(Tasks!$H:$H,ROW()-1)="","",INDEX(Tasks!$H:$H,ROW()-1))</f>
        <v/>
      </c>
      <c r="E176" s="17" t="str">
        <f aca="false">IF(INDEX(Tasks!$I:$I,ROW()-1)="","",INDEX(Tasks!$I:$I,ROW()-1))</f>
        <v/>
      </c>
      <c r="F176" s="17" t="str">
        <f aca="false">IF(INDEX(Tasks!$K:$K,ROW()-1)="","",INDEX(Tasks!$K:$K,ROW()-1))</f>
        <v/>
      </c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18"/>
      <c r="AG176" s="18"/>
      <c r="AH176" s="18"/>
      <c r="AI176" s="18"/>
      <c r="AJ176" s="18"/>
      <c r="AK176" s="18"/>
      <c r="AL176" s="18"/>
      <c r="AM176" s="18"/>
      <c r="AN176" s="18"/>
      <c r="AO176" s="18"/>
      <c r="AP176" s="18"/>
      <c r="AQ176" s="18"/>
      <c r="AR176" s="18"/>
      <c r="AS176" s="18"/>
      <c r="AT176" s="18"/>
      <c r="AU176" s="18"/>
      <c r="AV176" s="18"/>
      <c r="AW176" s="18"/>
      <c r="AX176" s="18"/>
    </row>
    <row r="177" customFormat="false" ht="15" hidden="false" customHeight="false" outlineLevel="0" collapsed="false">
      <c r="A177" s="16" t="str">
        <f aca="false">IF(INDEX(Tasks!$A:$A,ROW()-1)="","",INDEX(Tasks!$A:$A,ROW()-1))</f>
        <v/>
      </c>
      <c r="B177" s="16" t="str">
        <f aca="false">IF(INDEX(Tasks!$A:$A,ROW()-1)="","",IF(ISERROR(FIND(".",INDEX(Tasks!$A:$A,ROW()-1))),"","   ")&amp;INDEX(Tasks!$D:$D,ROW()-1))</f>
        <v/>
      </c>
      <c r="C177" s="16" t="str">
        <f aca="false">IF(INDEX(Tasks!$G:$G,ROW()-1)="","",INDEX(Tasks!$G:$G,ROW()-1))</f>
        <v/>
      </c>
      <c r="D177" s="16" t="str">
        <f aca="false">IF(INDEX(Tasks!$H:$H,ROW()-1)="","",INDEX(Tasks!$H:$H,ROW()-1))</f>
        <v/>
      </c>
      <c r="E177" s="17" t="str">
        <f aca="false">IF(INDEX(Tasks!$I:$I,ROW()-1)="","",INDEX(Tasks!$I:$I,ROW()-1))</f>
        <v/>
      </c>
      <c r="F177" s="17" t="str">
        <f aca="false">IF(INDEX(Tasks!$K:$K,ROW()-1)="","",INDEX(Tasks!$K:$K,ROW()-1))</f>
        <v/>
      </c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18"/>
      <c r="AG177" s="18"/>
      <c r="AH177" s="18"/>
      <c r="AI177" s="18"/>
      <c r="AJ177" s="18"/>
      <c r="AK177" s="18"/>
      <c r="AL177" s="18"/>
      <c r="AM177" s="18"/>
      <c r="AN177" s="18"/>
      <c r="AO177" s="18"/>
      <c r="AP177" s="18"/>
      <c r="AQ177" s="18"/>
      <c r="AR177" s="18"/>
      <c r="AS177" s="18"/>
      <c r="AT177" s="18"/>
      <c r="AU177" s="18"/>
      <c r="AV177" s="18"/>
      <c r="AW177" s="18"/>
      <c r="AX177" s="18"/>
    </row>
    <row r="178" customFormat="false" ht="15" hidden="false" customHeight="false" outlineLevel="0" collapsed="false">
      <c r="A178" s="16" t="str">
        <f aca="false">IF(INDEX(Tasks!$A:$A,ROW()-1)="","",INDEX(Tasks!$A:$A,ROW()-1))</f>
        <v/>
      </c>
      <c r="B178" s="16" t="str">
        <f aca="false">IF(INDEX(Tasks!$A:$A,ROW()-1)="","",IF(ISERROR(FIND(".",INDEX(Tasks!$A:$A,ROW()-1))),"","   ")&amp;INDEX(Tasks!$D:$D,ROW()-1))</f>
        <v/>
      </c>
      <c r="C178" s="16" t="str">
        <f aca="false">IF(INDEX(Tasks!$G:$G,ROW()-1)="","",INDEX(Tasks!$G:$G,ROW()-1))</f>
        <v/>
      </c>
      <c r="D178" s="16" t="str">
        <f aca="false">IF(INDEX(Tasks!$H:$H,ROW()-1)="","",INDEX(Tasks!$H:$H,ROW()-1))</f>
        <v/>
      </c>
      <c r="E178" s="17" t="str">
        <f aca="false">IF(INDEX(Tasks!$I:$I,ROW()-1)="","",INDEX(Tasks!$I:$I,ROW()-1))</f>
        <v/>
      </c>
      <c r="F178" s="17" t="str">
        <f aca="false">IF(INDEX(Tasks!$K:$K,ROW()-1)="","",INDEX(Tasks!$K:$K,ROW()-1))</f>
        <v/>
      </c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18"/>
      <c r="AG178" s="18"/>
      <c r="AH178" s="18"/>
      <c r="AI178" s="18"/>
      <c r="AJ178" s="18"/>
      <c r="AK178" s="18"/>
      <c r="AL178" s="18"/>
      <c r="AM178" s="18"/>
      <c r="AN178" s="18"/>
      <c r="AO178" s="18"/>
      <c r="AP178" s="18"/>
      <c r="AQ178" s="18"/>
      <c r="AR178" s="18"/>
      <c r="AS178" s="18"/>
      <c r="AT178" s="18"/>
      <c r="AU178" s="18"/>
      <c r="AV178" s="18"/>
      <c r="AW178" s="18"/>
      <c r="AX178" s="18"/>
    </row>
    <row r="179" customFormat="false" ht="15" hidden="false" customHeight="false" outlineLevel="0" collapsed="false">
      <c r="A179" s="16" t="str">
        <f aca="false">IF(INDEX(Tasks!$A:$A,ROW()-1)="","",INDEX(Tasks!$A:$A,ROW()-1))</f>
        <v/>
      </c>
      <c r="B179" s="16" t="str">
        <f aca="false">IF(INDEX(Tasks!$A:$A,ROW()-1)="","",IF(ISERROR(FIND(".",INDEX(Tasks!$A:$A,ROW()-1))),"","   ")&amp;INDEX(Tasks!$D:$D,ROW()-1))</f>
        <v/>
      </c>
      <c r="C179" s="16" t="str">
        <f aca="false">IF(INDEX(Tasks!$G:$G,ROW()-1)="","",INDEX(Tasks!$G:$G,ROW()-1))</f>
        <v/>
      </c>
      <c r="D179" s="16" t="str">
        <f aca="false">IF(INDEX(Tasks!$H:$H,ROW()-1)="","",INDEX(Tasks!$H:$H,ROW()-1))</f>
        <v/>
      </c>
      <c r="E179" s="17" t="str">
        <f aca="false">IF(INDEX(Tasks!$I:$I,ROW()-1)="","",INDEX(Tasks!$I:$I,ROW()-1))</f>
        <v/>
      </c>
      <c r="F179" s="17" t="str">
        <f aca="false">IF(INDEX(Tasks!$K:$K,ROW()-1)="","",INDEX(Tasks!$K:$K,ROW()-1))</f>
        <v/>
      </c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  <c r="AG179" s="18"/>
      <c r="AH179" s="18"/>
      <c r="AI179" s="18"/>
      <c r="AJ179" s="18"/>
      <c r="AK179" s="18"/>
      <c r="AL179" s="18"/>
      <c r="AM179" s="18"/>
      <c r="AN179" s="18"/>
      <c r="AO179" s="18"/>
      <c r="AP179" s="18"/>
      <c r="AQ179" s="18"/>
      <c r="AR179" s="18"/>
      <c r="AS179" s="18"/>
      <c r="AT179" s="18"/>
      <c r="AU179" s="18"/>
      <c r="AV179" s="18"/>
      <c r="AW179" s="18"/>
      <c r="AX179" s="18"/>
    </row>
    <row r="180" customFormat="false" ht="15" hidden="false" customHeight="false" outlineLevel="0" collapsed="false">
      <c r="A180" s="16" t="str">
        <f aca="false">IF(INDEX(Tasks!$A:$A,ROW()-1)="","",INDEX(Tasks!$A:$A,ROW()-1))</f>
        <v/>
      </c>
      <c r="B180" s="16" t="str">
        <f aca="false">IF(INDEX(Tasks!$A:$A,ROW()-1)="","",IF(ISERROR(FIND(".",INDEX(Tasks!$A:$A,ROW()-1))),"","   ")&amp;INDEX(Tasks!$D:$D,ROW()-1))</f>
        <v/>
      </c>
      <c r="C180" s="16" t="str">
        <f aca="false">IF(INDEX(Tasks!$G:$G,ROW()-1)="","",INDEX(Tasks!$G:$G,ROW()-1))</f>
        <v/>
      </c>
      <c r="D180" s="16" t="str">
        <f aca="false">IF(INDEX(Tasks!$H:$H,ROW()-1)="","",INDEX(Tasks!$H:$H,ROW()-1))</f>
        <v/>
      </c>
      <c r="E180" s="17" t="str">
        <f aca="false">IF(INDEX(Tasks!$I:$I,ROW()-1)="","",INDEX(Tasks!$I:$I,ROW()-1))</f>
        <v/>
      </c>
      <c r="F180" s="17" t="str">
        <f aca="false">IF(INDEX(Tasks!$K:$K,ROW()-1)="","",INDEX(Tasks!$K:$K,ROW()-1))</f>
        <v/>
      </c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  <c r="AG180" s="18"/>
      <c r="AH180" s="18"/>
      <c r="AI180" s="18"/>
      <c r="AJ180" s="18"/>
      <c r="AK180" s="18"/>
      <c r="AL180" s="18"/>
      <c r="AM180" s="18"/>
      <c r="AN180" s="18"/>
      <c r="AO180" s="18"/>
      <c r="AP180" s="18"/>
      <c r="AQ180" s="18"/>
      <c r="AR180" s="18"/>
      <c r="AS180" s="18"/>
      <c r="AT180" s="18"/>
      <c r="AU180" s="18"/>
      <c r="AV180" s="18"/>
      <c r="AW180" s="18"/>
      <c r="AX180" s="18"/>
    </row>
    <row r="181" customFormat="false" ht="15" hidden="false" customHeight="false" outlineLevel="0" collapsed="false">
      <c r="A181" s="16" t="str">
        <f aca="false">IF(INDEX(Tasks!$A:$A,ROW()-1)="","",INDEX(Tasks!$A:$A,ROW()-1))</f>
        <v/>
      </c>
      <c r="B181" s="16" t="str">
        <f aca="false">IF(INDEX(Tasks!$A:$A,ROW()-1)="","",IF(ISERROR(FIND(".",INDEX(Tasks!$A:$A,ROW()-1))),"","   ")&amp;INDEX(Tasks!$D:$D,ROW()-1))</f>
        <v/>
      </c>
      <c r="C181" s="16" t="str">
        <f aca="false">IF(INDEX(Tasks!$G:$G,ROW()-1)="","",INDEX(Tasks!$G:$G,ROW()-1))</f>
        <v/>
      </c>
      <c r="D181" s="16" t="str">
        <f aca="false">IF(INDEX(Tasks!$H:$H,ROW()-1)="","",INDEX(Tasks!$H:$H,ROW()-1))</f>
        <v/>
      </c>
      <c r="E181" s="17" t="str">
        <f aca="false">IF(INDEX(Tasks!$I:$I,ROW()-1)="","",INDEX(Tasks!$I:$I,ROW()-1))</f>
        <v/>
      </c>
      <c r="F181" s="17" t="str">
        <f aca="false">IF(INDEX(Tasks!$K:$K,ROW()-1)="","",INDEX(Tasks!$K:$K,ROW()-1))</f>
        <v/>
      </c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  <c r="AG181" s="18"/>
      <c r="AH181" s="18"/>
      <c r="AI181" s="18"/>
      <c r="AJ181" s="18"/>
      <c r="AK181" s="18"/>
      <c r="AL181" s="18"/>
      <c r="AM181" s="18"/>
      <c r="AN181" s="18"/>
      <c r="AO181" s="18"/>
      <c r="AP181" s="18"/>
      <c r="AQ181" s="18"/>
      <c r="AR181" s="18"/>
      <c r="AS181" s="18"/>
      <c r="AT181" s="18"/>
      <c r="AU181" s="18"/>
      <c r="AV181" s="18"/>
      <c r="AW181" s="18"/>
      <c r="AX181" s="18"/>
    </row>
    <row r="182" customFormat="false" ht="15" hidden="false" customHeight="false" outlineLevel="0" collapsed="false">
      <c r="A182" s="16" t="str">
        <f aca="false">IF(INDEX(Tasks!$A:$A,ROW()-1)="","",INDEX(Tasks!$A:$A,ROW()-1))</f>
        <v/>
      </c>
      <c r="B182" s="16" t="str">
        <f aca="false">IF(INDEX(Tasks!$A:$A,ROW()-1)="","",IF(ISERROR(FIND(".",INDEX(Tasks!$A:$A,ROW()-1))),"","   ")&amp;INDEX(Tasks!$D:$D,ROW()-1))</f>
        <v/>
      </c>
      <c r="C182" s="16" t="str">
        <f aca="false">IF(INDEX(Tasks!$G:$G,ROW()-1)="","",INDEX(Tasks!$G:$G,ROW()-1))</f>
        <v/>
      </c>
      <c r="D182" s="16" t="str">
        <f aca="false">IF(INDEX(Tasks!$H:$H,ROW()-1)="","",INDEX(Tasks!$H:$H,ROW()-1))</f>
        <v/>
      </c>
      <c r="E182" s="17" t="str">
        <f aca="false">IF(INDEX(Tasks!$I:$I,ROW()-1)="","",INDEX(Tasks!$I:$I,ROW()-1))</f>
        <v/>
      </c>
      <c r="F182" s="17" t="str">
        <f aca="false">IF(INDEX(Tasks!$K:$K,ROW()-1)="","",INDEX(Tasks!$K:$K,ROW()-1))</f>
        <v/>
      </c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  <c r="AG182" s="18"/>
      <c r="AH182" s="18"/>
      <c r="AI182" s="18"/>
      <c r="AJ182" s="18"/>
      <c r="AK182" s="18"/>
      <c r="AL182" s="18"/>
      <c r="AM182" s="18"/>
      <c r="AN182" s="18"/>
      <c r="AO182" s="18"/>
      <c r="AP182" s="18"/>
      <c r="AQ182" s="18"/>
      <c r="AR182" s="18"/>
      <c r="AS182" s="18"/>
      <c r="AT182" s="18"/>
      <c r="AU182" s="18"/>
      <c r="AV182" s="18"/>
      <c r="AW182" s="18"/>
      <c r="AX182" s="18"/>
    </row>
    <row r="183" customFormat="false" ht="15" hidden="false" customHeight="false" outlineLevel="0" collapsed="false">
      <c r="A183" s="16" t="str">
        <f aca="false">IF(INDEX(Tasks!$A:$A,ROW()-1)="","",INDEX(Tasks!$A:$A,ROW()-1))</f>
        <v/>
      </c>
      <c r="B183" s="16" t="str">
        <f aca="false">IF(INDEX(Tasks!$A:$A,ROW()-1)="","",IF(ISERROR(FIND(".",INDEX(Tasks!$A:$A,ROW()-1))),"","   ")&amp;INDEX(Tasks!$D:$D,ROW()-1))</f>
        <v/>
      </c>
      <c r="C183" s="16" t="str">
        <f aca="false">IF(INDEX(Tasks!$G:$G,ROW()-1)="","",INDEX(Tasks!$G:$G,ROW()-1))</f>
        <v/>
      </c>
      <c r="D183" s="16" t="str">
        <f aca="false">IF(INDEX(Tasks!$H:$H,ROW()-1)="","",INDEX(Tasks!$H:$H,ROW()-1))</f>
        <v/>
      </c>
      <c r="E183" s="17" t="str">
        <f aca="false">IF(INDEX(Tasks!$I:$I,ROW()-1)="","",INDEX(Tasks!$I:$I,ROW()-1))</f>
        <v/>
      </c>
      <c r="F183" s="17" t="str">
        <f aca="false">IF(INDEX(Tasks!$K:$K,ROW()-1)="","",INDEX(Tasks!$K:$K,ROW()-1))</f>
        <v/>
      </c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  <c r="AG183" s="18"/>
      <c r="AH183" s="18"/>
      <c r="AI183" s="18"/>
      <c r="AJ183" s="18"/>
      <c r="AK183" s="18"/>
      <c r="AL183" s="18"/>
      <c r="AM183" s="18"/>
      <c r="AN183" s="18"/>
      <c r="AO183" s="18"/>
      <c r="AP183" s="18"/>
      <c r="AQ183" s="18"/>
      <c r="AR183" s="18"/>
      <c r="AS183" s="18"/>
      <c r="AT183" s="18"/>
      <c r="AU183" s="18"/>
      <c r="AV183" s="18"/>
      <c r="AW183" s="18"/>
      <c r="AX183" s="18"/>
    </row>
    <row r="184" customFormat="false" ht="15" hidden="false" customHeight="false" outlineLevel="0" collapsed="false">
      <c r="A184" s="16" t="str">
        <f aca="false">IF(INDEX(Tasks!$A:$A,ROW()-1)="","",INDEX(Tasks!$A:$A,ROW()-1))</f>
        <v/>
      </c>
      <c r="B184" s="16" t="str">
        <f aca="false">IF(INDEX(Tasks!$A:$A,ROW()-1)="","",IF(ISERROR(FIND(".",INDEX(Tasks!$A:$A,ROW()-1))),"","   ")&amp;INDEX(Tasks!$D:$D,ROW()-1))</f>
        <v/>
      </c>
      <c r="C184" s="16" t="str">
        <f aca="false">IF(INDEX(Tasks!$G:$G,ROW()-1)="","",INDEX(Tasks!$G:$G,ROW()-1))</f>
        <v/>
      </c>
      <c r="D184" s="16" t="str">
        <f aca="false">IF(INDEX(Tasks!$H:$H,ROW()-1)="","",INDEX(Tasks!$H:$H,ROW()-1))</f>
        <v/>
      </c>
      <c r="E184" s="17" t="str">
        <f aca="false">IF(INDEX(Tasks!$I:$I,ROW()-1)="","",INDEX(Tasks!$I:$I,ROW()-1))</f>
        <v/>
      </c>
      <c r="F184" s="17" t="str">
        <f aca="false">IF(INDEX(Tasks!$K:$K,ROW()-1)="","",INDEX(Tasks!$K:$K,ROW()-1))</f>
        <v/>
      </c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  <c r="AG184" s="18"/>
      <c r="AH184" s="18"/>
      <c r="AI184" s="18"/>
      <c r="AJ184" s="18"/>
      <c r="AK184" s="18"/>
      <c r="AL184" s="18"/>
      <c r="AM184" s="18"/>
      <c r="AN184" s="18"/>
      <c r="AO184" s="18"/>
      <c r="AP184" s="18"/>
      <c r="AQ184" s="18"/>
      <c r="AR184" s="18"/>
      <c r="AS184" s="18"/>
      <c r="AT184" s="18"/>
      <c r="AU184" s="18"/>
      <c r="AV184" s="18"/>
      <c r="AW184" s="18"/>
      <c r="AX184" s="18"/>
    </row>
    <row r="185" customFormat="false" ht="15" hidden="false" customHeight="false" outlineLevel="0" collapsed="false">
      <c r="A185" s="16" t="str">
        <f aca="false">IF(INDEX(Tasks!$A:$A,ROW()-1)="","",INDEX(Tasks!$A:$A,ROW()-1))</f>
        <v/>
      </c>
      <c r="B185" s="16" t="str">
        <f aca="false">IF(INDEX(Tasks!$A:$A,ROW()-1)="","",IF(ISERROR(FIND(".",INDEX(Tasks!$A:$A,ROW()-1))),"","   ")&amp;INDEX(Tasks!$D:$D,ROW()-1))</f>
        <v/>
      </c>
      <c r="C185" s="16" t="str">
        <f aca="false">IF(INDEX(Tasks!$G:$G,ROW()-1)="","",INDEX(Tasks!$G:$G,ROW()-1))</f>
        <v/>
      </c>
      <c r="D185" s="16" t="str">
        <f aca="false">IF(INDEX(Tasks!$H:$H,ROW()-1)="","",INDEX(Tasks!$H:$H,ROW()-1))</f>
        <v/>
      </c>
      <c r="E185" s="17" t="str">
        <f aca="false">IF(INDEX(Tasks!$I:$I,ROW()-1)="","",INDEX(Tasks!$I:$I,ROW()-1))</f>
        <v/>
      </c>
      <c r="F185" s="17" t="str">
        <f aca="false">IF(INDEX(Tasks!$K:$K,ROW()-1)="","",INDEX(Tasks!$K:$K,ROW()-1))</f>
        <v/>
      </c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8"/>
      <c r="AH185" s="18"/>
      <c r="AI185" s="18"/>
      <c r="AJ185" s="18"/>
      <c r="AK185" s="18"/>
      <c r="AL185" s="18"/>
      <c r="AM185" s="18"/>
      <c r="AN185" s="18"/>
      <c r="AO185" s="18"/>
      <c r="AP185" s="18"/>
      <c r="AQ185" s="18"/>
      <c r="AR185" s="18"/>
      <c r="AS185" s="18"/>
      <c r="AT185" s="18"/>
      <c r="AU185" s="18"/>
      <c r="AV185" s="18"/>
      <c r="AW185" s="18"/>
      <c r="AX185" s="18"/>
    </row>
    <row r="186" customFormat="false" ht="15" hidden="false" customHeight="false" outlineLevel="0" collapsed="false">
      <c r="A186" s="16" t="str">
        <f aca="false">IF(INDEX(Tasks!$A:$A,ROW()-1)="","",INDEX(Tasks!$A:$A,ROW()-1))</f>
        <v/>
      </c>
      <c r="B186" s="16" t="str">
        <f aca="false">IF(INDEX(Tasks!$A:$A,ROW()-1)="","",IF(ISERROR(FIND(".",INDEX(Tasks!$A:$A,ROW()-1))),"","   ")&amp;INDEX(Tasks!$D:$D,ROW()-1))</f>
        <v/>
      </c>
      <c r="C186" s="16" t="str">
        <f aca="false">IF(INDEX(Tasks!$G:$G,ROW()-1)="","",INDEX(Tasks!$G:$G,ROW()-1))</f>
        <v/>
      </c>
      <c r="D186" s="16" t="str">
        <f aca="false">IF(INDEX(Tasks!$H:$H,ROW()-1)="","",INDEX(Tasks!$H:$H,ROW()-1))</f>
        <v/>
      </c>
      <c r="E186" s="17" t="str">
        <f aca="false">IF(INDEX(Tasks!$I:$I,ROW()-1)="","",INDEX(Tasks!$I:$I,ROW()-1))</f>
        <v/>
      </c>
      <c r="F186" s="17" t="str">
        <f aca="false">IF(INDEX(Tasks!$K:$K,ROW()-1)="","",INDEX(Tasks!$K:$K,ROW()-1))</f>
        <v/>
      </c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  <c r="AG186" s="18"/>
      <c r="AH186" s="18"/>
      <c r="AI186" s="18"/>
      <c r="AJ186" s="18"/>
      <c r="AK186" s="18"/>
      <c r="AL186" s="18"/>
      <c r="AM186" s="18"/>
      <c r="AN186" s="18"/>
      <c r="AO186" s="18"/>
      <c r="AP186" s="18"/>
      <c r="AQ186" s="18"/>
      <c r="AR186" s="18"/>
      <c r="AS186" s="18"/>
      <c r="AT186" s="18"/>
      <c r="AU186" s="18"/>
      <c r="AV186" s="18"/>
      <c r="AW186" s="18"/>
      <c r="AX186" s="18"/>
    </row>
    <row r="187" customFormat="false" ht="15" hidden="false" customHeight="false" outlineLevel="0" collapsed="false">
      <c r="A187" s="16" t="str">
        <f aca="false">IF(INDEX(Tasks!$A:$A,ROW()-1)="","",INDEX(Tasks!$A:$A,ROW()-1))</f>
        <v/>
      </c>
      <c r="B187" s="16" t="str">
        <f aca="false">IF(INDEX(Tasks!$A:$A,ROW()-1)="","",IF(ISERROR(FIND(".",INDEX(Tasks!$A:$A,ROW()-1))),"","   ")&amp;INDEX(Tasks!$D:$D,ROW()-1))</f>
        <v/>
      </c>
      <c r="C187" s="16" t="str">
        <f aca="false">IF(INDEX(Tasks!$G:$G,ROW()-1)="","",INDEX(Tasks!$G:$G,ROW()-1))</f>
        <v/>
      </c>
      <c r="D187" s="16" t="str">
        <f aca="false">IF(INDEX(Tasks!$H:$H,ROW()-1)="","",INDEX(Tasks!$H:$H,ROW()-1))</f>
        <v/>
      </c>
      <c r="E187" s="17" t="str">
        <f aca="false">IF(INDEX(Tasks!$I:$I,ROW()-1)="","",INDEX(Tasks!$I:$I,ROW()-1))</f>
        <v/>
      </c>
      <c r="F187" s="17" t="str">
        <f aca="false">IF(INDEX(Tasks!$K:$K,ROW()-1)="","",INDEX(Tasks!$K:$K,ROW()-1))</f>
        <v/>
      </c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8"/>
      <c r="AH187" s="18"/>
      <c r="AI187" s="18"/>
      <c r="AJ187" s="18"/>
      <c r="AK187" s="18"/>
      <c r="AL187" s="18"/>
      <c r="AM187" s="18"/>
      <c r="AN187" s="18"/>
      <c r="AO187" s="18"/>
      <c r="AP187" s="18"/>
      <c r="AQ187" s="18"/>
      <c r="AR187" s="18"/>
      <c r="AS187" s="18"/>
      <c r="AT187" s="18"/>
      <c r="AU187" s="18"/>
      <c r="AV187" s="18"/>
      <c r="AW187" s="18"/>
      <c r="AX187" s="18"/>
    </row>
    <row r="188" customFormat="false" ht="15" hidden="false" customHeight="false" outlineLevel="0" collapsed="false">
      <c r="A188" s="16" t="str">
        <f aca="false">IF(INDEX(Tasks!$A:$A,ROW()-1)="","",INDEX(Tasks!$A:$A,ROW()-1))</f>
        <v/>
      </c>
      <c r="B188" s="16" t="str">
        <f aca="false">IF(INDEX(Tasks!$A:$A,ROW()-1)="","",IF(ISERROR(FIND(".",INDEX(Tasks!$A:$A,ROW()-1))),"","   ")&amp;INDEX(Tasks!$D:$D,ROW()-1))</f>
        <v/>
      </c>
      <c r="C188" s="16" t="str">
        <f aca="false">IF(INDEX(Tasks!$G:$G,ROW()-1)="","",INDEX(Tasks!$G:$G,ROW()-1))</f>
        <v/>
      </c>
      <c r="D188" s="16" t="str">
        <f aca="false">IF(INDEX(Tasks!$H:$H,ROW()-1)="","",INDEX(Tasks!$H:$H,ROW()-1))</f>
        <v/>
      </c>
      <c r="E188" s="17" t="str">
        <f aca="false">IF(INDEX(Tasks!$I:$I,ROW()-1)="","",INDEX(Tasks!$I:$I,ROW()-1))</f>
        <v/>
      </c>
      <c r="F188" s="17" t="str">
        <f aca="false">IF(INDEX(Tasks!$K:$K,ROW()-1)="","",INDEX(Tasks!$K:$K,ROW()-1))</f>
        <v/>
      </c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8"/>
      <c r="AH188" s="18"/>
      <c r="AI188" s="18"/>
      <c r="AJ188" s="18"/>
      <c r="AK188" s="18"/>
      <c r="AL188" s="18"/>
      <c r="AM188" s="18"/>
      <c r="AN188" s="18"/>
      <c r="AO188" s="18"/>
      <c r="AP188" s="18"/>
      <c r="AQ188" s="18"/>
      <c r="AR188" s="18"/>
      <c r="AS188" s="18"/>
      <c r="AT188" s="18"/>
      <c r="AU188" s="18"/>
      <c r="AV188" s="18"/>
      <c r="AW188" s="18"/>
      <c r="AX188" s="18"/>
    </row>
    <row r="189" customFormat="false" ht="15" hidden="false" customHeight="false" outlineLevel="0" collapsed="false">
      <c r="A189" s="16" t="str">
        <f aca="false">IF(INDEX(Tasks!$A:$A,ROW()-1)="","",INDEX(Tasks!$A:$A,ROW()-1))</f>
        <v/>
      </c>
      <c r="B189" s="16" t="str">
        <f aca="false">IF(INDEX(Tasks!$A:$A,ROW()-1)="","",IF(ISERROR(FIND(".",INDEX(Tasks!$A:$A,ROW()-1))),"","   ")&amp;INDEX(Tasks!$D:$D,ROW()-1))</f>
        <v/>
      </c>
      <c r="C189" s="16" t="str">
        <f aca="false">IF(INDEX(Tasks!$G:$G,ROW()-1)="","",INDEX(Tasks!$G:$G,ROW()-1))</f>
        <v/>
      </c>
      <c r="D189" s="16" t="str">
        <f aca="false">IF(INDEX(Tasks!$H:$H,ROW()-1)="","",INDEX(Tasks!$H:$H,ROW()-1))</f>
        <v/>
      </c>
      <c r="E189" s="17" t="str">
        <f aca="false">IF(INDEX(Tasks!$I:$I,ROW()-1)="","",INDEX(Tasks!$I:$I,ROW()-1))</f>
        <v/>
      </c>
      <c r="F189" s="17" t="str">
        <f aca="false">IF(INDEX(Tasks!$K:$K,ROW()-1)="","",INDEX(Tasks!$K:$K,ROW()-1))</f>
        <v/>
      </c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  <c r="AG189" s="18"/>
      <c r="AH189" s="18"/>
      <c r="AI189" s="18"/>
      <c r="AJ189" s="18"/>
      <c r="AK189" s="18"/>
      <c r="AL189" s="18"/>
      <c r="AM189" s="18"/>
      <c r="AN189" s="18"/>
      <c r="AO189" s="18"/>
      <c r="AP189" s="18"/>
      <c r="AQ189" s="18"/>
      <c r="AR189" s="18"/>
      <c r="AS189" s="18"/>
      <c r="AT189" s="18"/>
      <c r="AU189" s="18"/>
      <c r="AV189" s="18"/>
      <c r="AW189" s="18"/>
      <c r="AX189" s="18"/>
    </row>
    <row r="190" customFormat="false" ht="15" hidden="false" customHeight="false" outlineLevel="0" collapsed="false">
      <c r="A190" s="16" t="str">
        <f aca="false">IF(INDEX(Tasks!$A:$A,ROW()-1)="","",INDEX(Tasks!$A:$A,ROW()-1))</f>
        <v/>
      </c>
      <c r="B190" s="16" t="str">
        <f aca="false">IF(INDEX(Tasks!$A:$A,ROW()-1)="","",IF(ISERROR(FIND(".",INDEX(Tasks!$A:$A,ROW()-1))),"","   ")&amp;INDEX(Tasks!$D:$D,ROW()-1))</f>
        <v/>
      </c>
      <c r="C190" s="16" t="str">
        <f aca="false">IF(INDEX(Tasks!$G:$G,ROW()-1)="","",INDEX(Tasks!$G:$G,ROW()-1))</f>
        <v/>
      </c>
      <c r="D190" s="16" t="str">
        <f aca="false">IF(INDEX(Tasks!$H:$H,ROW()-1)="","",INDEX(Tasks!$H:$H,ROW()-1))</f>
        <v/>
      </c>
      <c r="E190" s="17" t="str">
        <f aca="false">IF(INDEX(Tasks!$I:$I,ROW()-1)="","",INDEX(Tasks!$I:$I,ROW()-1))</f>
        <v/>
      </c>
      <c r="F190" s="17" t="str">
        <f aca="false">IF(INDEX(Tasks!$K:$K,ROW()-1)="","",INDEX(Tasks!$K:$K,ROW()-1))</f>
        <v/>
      </c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8"/>
      <c r="AH190" s="18"/>
      <c r="AI190" s="18"/>
      <c r="AJ190" s="18"/>
      <c r="AK190" s="18"/>
      <c r="AL190" s="18"/>
      <c r="AM190" s="18"/>
      <c r="AN190" s="18"/>
      <c r="AO190" s="18"/>
      <c r="AP190" s="18"/>
      <c r="AQ190" s="18"/>
      <c r="AR190" s="18"/>
      <c r="AS190" s="18"/>
      <c r="AT190" s="18"/>
      <c r="AU190" s="18"/>
      <c r="AV190" s="18"/>
      <c r="AW190" s="18"/>
      <c r="AX190" s="18"/>
    </row>
    <row r="191" customFormat="false" ht="15" hidden="false" customHeight="false" outlineLevel="0" collapsed="false">
      <c r="A191" s="16" t="str">
        <f aca="false">IF(INDEX(Tasks!$A:$A,ROW()-1)="","",INDEX(Tasks!$A:$A,ROW()-1))</f>
        <v/>
      </c>
      <c r="B191" s="16" t="str">
        <f aca="false">IF(INDEX(Tasks!$A:$A,ROW()-1)="","",IF(ISERROR(FIND(".",INDEX(Tasks!$A:$A,ROW()-1))),"","   ")&amp;INDEX(Tasks!$D:$D,ROW()-1))</f>
        <v/>
      </c>
      <c r="C191" s="16" t="str">
        <f aca="false">IF(INDEX(Tasks!$G:$G,ROW()-1)="","",INDEX(Tasks!$G:$G,ROW()-1))</f>
        <v/>
      </c>
      <c r="D191" s="16" t="str">
        <f aca="false">IF(INDEX(Tasks!$H:$H,ROW()-1)="","",INDEX(Tasks!$H:$H,ROW()-1))</f>
        <v/>
      </c>
      <c r="E191" s="17" t="str">
        <f aca="false">IF(INDEX(Tasks!$I:$I,ROW()-1)="","",INDEX(Tasks!$I:$I,ROW()-1))</f>
        <v/>
      </c>
      <c r="F191" s="17" t="str">
        <f aca="false">IF(INDEX(Tasks!$K:$K,ROW()-1)="","",INDEX(Tasks!$K:$K,ROW()-1))</f>
        <v/>
      </c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  <c r="AH191" s="18"/>
      <c r="AI191" s="18"/>
      <c r="AJ191" s="18"/>
      <c r="AK191" s="18"/>
      <c r="AL191" s="18"/>
      <c r="AM191" s="18"/>
      <c r="AN191" s="18"/>
      <c r="AO191" s="18"/>
      <c r="AP191" s="18"/>
      <c r="AQ191" s="18"/>
      <c r="AR191" s="18"/>
      <c r="AS191" s="18"/>
      <c r="AT191" s="18"/>
      <c r="AU191" s="18"/>
      <c r="AV191" s="18"/>
      <c r="AW191" s="18"/>
      <c r="AX191" s="18"/>
    </row>
    <row r="192" customFormat="false" ht="15" hidden="false" customHeight="false" outlineLevel="0" collapsed="false">
      <c r="A192" s="16" t="str">
        <f aca="false">IF(INDEX(Tasks!$A:$A,ROW()-1)="","",INDEX(Tasks!$A:$A,ROW()-1))</f>
        <v/>
      </c>
      <c r="B192" s="16" t="str">
        <f aca="false">IF(INDEX(Tasks!$A:$A,ROW()-1)="","",IF(ISERROR(FIND(".",INDEX(Tasks!$A:$A,ROW()-1))),"","   ")&amp;INDEX(Tasks!$D:$D,ROW()-1))</f>
        <v/>
      </c>
      <c r="C192" s="16" t="str">
        <f aca="false">IF(INDEX(Tasks!$G:$G,ROW()-1)="","",INDEX(Tasks!$G:$G,ROW()-1))</f>
        <v/>
      </c>
      <c r="D192" s="16" t="str">
        <f aca="false">IF(INDEX(Tasks!$H:$H,ROW()-1)="","",INDEX(Tasks!$H:$H,ROW()-1))</f>
        <v/>
      </c>
      <c r="E192" s="17" t="str">
        <f aca="false">IF(INDEX(Tasks!$I:$I,ROW()-1)="","",INDEX(Tasks!$I:$I,ROW()-1))</f>
        <v/>
      </c>
      <c r="F192" s="17" t="str">
        <f aca="false">IF(INDEX(Tasks!$K:$K,ROW()-1)="","",INDEX(Tasks!$K:$K,ROW()-1))</f>
        <v/>
      </c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  <c r="AG192" s="18"/>
      <c r="AH192" s="18"/>
      <c r="AI192" s="18"/>
      <c r="AJ192" s="18"/>
      <c r="AK192" s="18"/>
      <c r="AL192" s="18"/>
      <c r="AM192" s="18"/>
      <c r="AN192" s="18"/>
      <c r="AO192" s="18"/>
      <c r="AP192" s="18"/>
      <c r="AQ192" s="18"/>
      <c r="AR192" s="18"/>
      <c r="AS192" s="18"/>
      <c r="AT192" s="18"/>
      <c r="AU192" s="18"/>
      <c r="AV192" s="18"/>
      <c r="AW192" s="18"/>
      <c r="AX192" s="18"/>
    </row>
    <row r="193" customFormat="false" ht="15" hidden="false" customHeight="false" outlineLevel="0" collapsed="false">
      <c r="A193" s="16" t="str">
        <f aca="false">IF(INDEX(Tasks!$A:$A,ROW()-1)="","",INDEX(Tasks!$A:$A,ROW()-1))</f>
        <v/>
      </c>
      <c r="B193" s="16" t="str">
        <f aca="false">IF(INDEX(Tasks!$A:$A,ROW()-1)="","",IF(ISERROR(FIND(".",INDEX(Tasks!$A:$A,ROW()-1))),"","   ")&amp;INDEX(Tasks!$D:$D,ROW()-1))</f>
        <v/>
      </c>
      <c r="C193" s="16" t="str">
        <f aca="false">IF(INDEX(Tasks!$G:$G,ROW()-1)="","",INDEX(Tasks!$G:$G,ROW()-1))</f>
        <v/>
      </c>
      <c r="D193" s="16" t="str">
        <f aca="false">IF(INDEX(Tasks!$H:$H,ROW()-1)="","",INDEX(Tasks!$H:$H,ROW()-1))</f>
        <v/>
      </c>
      <c r="E193" s="17" t="str">
        <f aca="false">IF(INDEX(Tasks!$I:$I,ROW()-1)="","",INDEX(Tasks!$I:$I,ROW()-1))</f>
        <v/>
      </c>
      <c r="F193" s="17" t="str">
        <f aca="false">IF(INDEX(Tasks!$K:$K,ROW()-1)="","",INDEX(Tasks!$K:$K,ROW()-1))</f>
        <v/>
      </c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  <c r="AG193" s="18"/>
      <c r="AH193" s="18"/>
      <c r="AI193" s="18"/>
      <c r="AJ193" s="18"/>
      <c r="AK193" s="18"/>
      <c r="AL193" s="18"/>
      <c r="AM193" s="18"/>
      <c r="AN193" s="18"/>
      <c r="AO193" s="18"/>
      <c r="AP193" s="18"/>
      <c r="AQ193" s="18"/>
      <c r="AR193" s="18"/>
      <c r="AS193" s="18"/>
      <c r="AT193" s="18"/>
      <c r="AU193" s="18"/>
      <c r="AV193" s="18"/>
      <c r="AW193" s="18"/>
      <c r="AX193" s="18"/>
    </row>
    <row r="194" customFormat="false" ht="15" hidden="false" customHeight="false" outlineLevel="0" collapsed="false">
      <c r="A194" s="16" t="str">
        <f aca="false">IF(INDEX(Tasks!$A:$A,ROW()-1)="","",INDEX(Tasks!$A:$A,ROW()-1))</f>
        <v/>
      </c>
      <c r="B194" s="16" t="str">
        <f aca="false">IF(INDEX(Tasks!$A:$A,ROW()-1)="","",IF(ISERROR(FIND(".",INDEX(Tasks!$A:$A,ROW()-1))),"","   ")&amp;INDEX(Tasks!$D:$D,ROW()-1))</f>
        <v/>
      </c>
      <c r="C194" s="16" t="str">
        <f aca="false">IF(INDEX(Tasks!$G:$G,ROW()-1)="","",INDEX(Tasks!$G:$G,ROW()-1))</f>
        <v/>
      </c>
      <c r="D194" s="16" t="str">
        <f aca="false">IF(INDEX(Tasks!$H:$H,ROW()-1)="","",INDEX(Tasks!$H:$H,ROW()-1))</f>
        <v/>
      </c>
      <c r="E194" s="17" t="str">
        <f aca="false">IF(INDEX(Tasks!$I:$I,ROW()-1)="","",INDEX(Tasks!$I:$I,ROW()-1))</f>
        <v/>
      </c>
      <c r="F194" s="17" t="str">
        <f aca="false">IF(INDEX(Tasks!$K:$K,ROW()-1)="","",INDEX(Tasks!$K:$K,ROW()-1))</f>
        <v/>
      </c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  <c r="AG194" s="18"/>
      <c r="AH194" s="18"/>
      <c r="AI194" s="18"/>
      <c r="AJ194" s="18"/>
      <c r="AK194" s="18"/>
      <c r="AL194" s="18"/>
      <c r="AM194" s="18"/>
      <c r="AN194" s="18"/>
      <c r="AO194" s="18"/>
      <c r="AP194" s="18"/>
      <c r="AQ194" s="18"/>
      <c r="AR194" s="18"/>
      <c r="AS194" s="18"/>
      <c r="AT194" s="18"/>
      <c r="AU194" s="18"/>
      <c r="AV194" s="18"/>
      <c r="AW194" s="18"/>
      <c r="AX194" s="18"/>
    </row>
    <row r="195" customFormat="false" ht="15" hidden="false" customHeight="false" outlineLevel="0" collapsed="false">
      <c r="A195" s="16" t="str">
        <f aca="false">IF(INDEX(Tasks!$A:$A,ROW()-1)="","",INDEX(Tasks!$A:$A,ROW()-1))</f>
        <v/>
      </c>
      <c r="B195" s="16" t="str">
        <f aca="false">IF(INDEX(Tasks!$A:$A,ROW()-1)="","",IF(ISERROR(FIND(".",INDEX(Tasks!$A:$A,ROW()-1))),"","   ")&amp;INDEX(Tasks!$D:$D,ROW()-1))</f>
        <v/>
      </c>
      <c r="C195" s="16" t="str">
        <f aca="false">IF(INDEX(Tasks!$G:$G,ROW()-1)="","",INDEX(Tasks!$G:$G,ROW()-1))</f>
        <v/>
      </c>
      <c r="D195" s="16" t="str">
        <f aca="false">IF(INDEX(Tasks!$H:$H,ROW()-1)="","",INDEX(Tasks!$H:$H,ROW()-1))</f>
        <v/>
      </c>
      <c r="E195" s="17" t="str">
        <f aca="false">IF(INDEX(Tasks!$I:$I,ROW()-1)="","",INDEX(Tasks!$I:$I,ROW()-1))</f>
        <v/>
      </c>
      <c r="F195" s="17" t="str">
        <f aca="false">IF(INDEX(Tasks!$K:$K,ROW()-1)="","",INDEX(Tasks!$K:$K,ROW()-1))</f>
        <v/>
      </c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  <c r="AG195" s="18"/>
      <c r="AH195" s="18"/>
      <c r="AI195" s="18"/>
      <c r="AJ195" s="18"/>
      <c r="AK195" s="18"/>
      <c r="AL195" s="18"/>
      <c r="AM195" s="18"/>
      <c r="AN195" s="18"/>
      <c r="AO195" s="18"/>
      <c r="AP195" s="18"/>
      <c r="AQ195" s="18"/>
      <c r="AR195" s="18"/>
      <c r="AS195" s="18"/>
      <c r="AT195" s="18"/>
      <c r="AU195" s="18"/>
      <c r="AV195" s="18"/>
      <c r="AW195" s="18"/>
      <c r="AX195" s="18"/>
    </row>
    <row r="196" customFormat="false" ht="15" hidden="false" customHeight="false" outlineLevel="0" collapsed="false">
      <c r="A196" s="16" t="str">
        <f aca="false">IF(INDEX(Tasks!$A:$A,ROW()-1)="","",INDEX(Tasks!$A:$A,ROW()-1))</f>
        <v/>
      </c>
      <c r="B196" s="16" t="str">
        <f aca="false">IF(INDEX(Tasks!$A:$A,ROW()-1)="","",IF(ISERROR(FIND(".",INDEX(Tasks!$A:$A,ROW()-1))),"","   ")&amp;INDEX(Tasks!$D:$D,ROW()-1))</f>
        <v/>
      </c>
      <c r="C196" s="16" t="str">
        <f aca="false">IF(INDEX(Tasks!$G:$G,ROW()-1)="","",INDEX(Tasks!$G:$G,ROW()-1))</f>
        <v/>
      </c>
      <c r="D196" s="16" t="str">
        <f aca="false">IF(INDEX(Tasks!$H:$H,ROW()-1)="","",INDEX(Tasks!$H:$H,ROW()-1))</f>
        <v/>
      </c>
      <c r="E196" s="17" t="str">
        <f aca="false">IF(INDEX(Tasks!$I:$I,ROW()-1)="","",INDEX(Tasks!$I:$I,ROW()-1))</f>
        <v/>
      </c>
      <c r="F196" s="17" t="str">
        <f aca="false">IF(INDEX(Tasks!$K:$K,ROW()-1)="","",INDEX(Tasks!$K:$K,ROW()-1))</f>
        <v/>
      </c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  <c r="AG196" s="18"/>
      <c r="AH196" s="18"/>
      <c r="AI196" s="18"/>
      <c r="AJ196" s="18"/>
      <c r="AK196" s="18"/>
      <c r="AL196" s="18"/>
      <c r="AM196" s="18"/>
      <c r="AN196" s="18"/>
      <c r="AO196" s="18"/>
      <c r="AP196" s="18"/>
      <c r="AQ196" s="18"/>
      <c r="AR196" s="18"/>
      <c r="AS196" s="18"/>
      <c r="AT196" s="18"/>
      <c r="AU196" s="18"/>
      <c r="AV196" s="18"/>
      <c r="AW196" s="18"/>
      <c r="AX196" s="18"/>
    </row>
    <row r="197" customFormat="false" ht="15" hidden="false" customHeight="false" outlineLevel="0" collapsed="false">
      <c r="A197" s="16" t="str">
        <f aca="false">IF(INDEX(Tasks!$A:$A,ROW()-1)="","",INDEX(Tasks!$A:$A,ROW()-1))</f>
        <v/>
      </c>
      <c r="B197" s="16" t="str">
        <f aca="false">IF(INDEX(Tasks!$A:$A,ROW()-1)="","",IF(ISERROR(FIND(".",INDEX(Tasks!$A:$A,ROW()-1))),"","   ")&amp;INDEX(Tasks!$D:$D,ROW()-1))</f>
        <v/>
      </c>
      <c r="C197" s="16" t="str">
        <f aca="false">IF(INDEX(Tasks!$G:$G,ROW()-1)="","",INDEX(Tasks!$G:$G,ROW()-1))</f>
        <v/>
      </c>
      <c r="D197" s="16" t="str">
        <f aca="false">IF(INDEX(Tasks!$H:$H,ROW()-1)="","",INDEX(Tasks!$H:$H,ROW()-1))</f>
        <v/>
      </c>
      <c r="E197" s="17" t="str">
        <f aca="false">IF(INDEX(Tasks!$I:$I,ROW()-1)="","",INDEX(Tasks!$I:$I,ROW()-1))</f>
        <v/>
      </c>
      <c r="F197" s="17" t="str">
        <f aca="false">IF(INDEX(Tasks!$K:$K,ROW()-1)="","",INDEX(Tasks!$K:$K,ROW()-1))</f>
        <v/>
      </c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  <c r="AG197" s="18"/>
      <c r="AH197" s="18"/>
      <c r="AI197" s="18"/>
      <c r="AJ197" s="18"/>
      <c r="AK197" s="18"/>
      <c r="AL197" s="18"/>
      <c r="AM197" s="18"/>
      <c r="AN197" s="18"/>
      <c r="AO197" s="18"/>
      <c r="AP197" s="18"/>
      <c r="AQ197" s="18"/>
      <c r="AR197" s="18"/>
      <c r="AS197" s="18"/>
      <c r="AT197" s="18"/>
      <c r="AU197" s="18"/>
      <c r="AV197" s="18"/>
      <c r="AW197" s="18"/>
      <c r="AX197" s="18"/>
    </row>
    <row r="198" customFormat="false" ht="15" hidden="false" customHeight="false" outlineLevel="0" collapsed="false">
      <c r="A198" s="16" t="str">
        <f aca="false">IF(INDEX(Tasks!$A:$A,ROW()-1)="","",INDEX(Tasks!$A:$A,ROW()-1))</f>
        <v/>
      </c>
      <c r="B198" s="16" t="str">
        <f aca="false">IF(INDEX(Tasks!$A:$A,ROW()-1)="","",IF(ISERROR(FIND(".",INDEX(Tasks!$A:$A,ROW()-1))),"","   ")&amp;INDEX(Tasks!$D:$D,ROW()-1))</f>
        <v/>
      </c>
      <c r="C198" s="16" t="str">
        <f aca="false">IF(INDEX(Tasks!$G:$G,ROW()-1)="","",INDEX(Tasks!$G:$G,ROW()-1))</f>
        <v/>
      </c>
      <c r="D198" s="16" t="str">
        <f aca="false">IF(INDEX(Tasks!$H:$H,ROW()-1)="","",INDEX(Tasks!$H:$H,ROW()-1))</f>
        <v/>
      </c>
      <c r="E198" s="17" t="str">
        <f aca="false">IF(INDEX(Tasks!$I:$I,ROW()-1)="","",INDEX(Tasks!$I:$I,ROW()-1))</f>
        <v/>
      </c>
      <c r="F198" s="17" t="str">
        <f aca="false">IF(INDEX(Tasks!$K:$K,ROW()-1)="","",INDEX(Tasks!$K:$K,ROW()-1))</f>
        <v/>
      </c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18"/>
      <c r="AG198" s="18"/>
      <c r="AH198" s="18"/>
      <c r="AI198" s="18"/>
      <c r="AJ198" s="18"/>
      <c r="AK198" s="18"/>
      <c r="AL198" s="18"/>
      <c r="AM198" s="18"/>
      <c r="AN198" s="18"/>
      <c r="AO198" s="18"/>
      <c r="AP198" s="18"/>
      <c r="AQ198" s="18"/>
      <c r="AR198" s="18"/>
      <c r="AS198" s="18"/>
      <c r="AT198" s="18"/>
      <c r="AU198" s="18"/>
      <c r="AV198" s="18"/>
      <c r="AW198" s="18"/>
      <c r="AX198" s="18"/>
    </row>
    <row r="199" customFormat="false" ht="15" hidden="false" customHeight="false" outlineLevel="0" collapsed="false">
      <c r="A199" s="16" t="str">
        <f aca="false">IF(INDEX(Tasks!$A:$A,ROW()-1)="","",INDEX(Tasks!$A:$A,ROW()-1))</f>
        <v/>
      </c>
      <c r="B199" s="16" t="str">
        <f aca="false">IF(INDEX(Tasks!$A:$A,ROW()-1)="","",IF(ISERROR(FIND(".",INDEX(Tasks!$A:$A,ROW()-1))),"","   ")&amp;INDEX(Tasks!$D:$D,ROW()-1))</f>
        <v/>
      </c>
      <c r="C199" s="16" t="str">
        <f aca="false">IF(INDEX(Tasks!$G:$G,ROW()-1)="","",INDEX(Tasks!$G:$G,ROW()-1))</f>
        <v/>
      </c>
      <c r="D199" s="16" t="str">
        <f aca="false">IF(INDEX(Tasks!$H:$H,ROW()-1)="","",INDEX(Tasks!$H:$H,ROW()-1))</f>
        <v/>
      </c>
      <c r="E199" s="17" t="str">
        <f aca="false">IF(INDEX(Tasks!$I:$I,ROW()-1)="","",INDEX(Tasks!$I:$I,ROW()-1))</f>
        <v/>
      </c>
      <c r="F199" s="17" t="str">
        <f aca="false">IF(INDEX(Tasks!$K:$K,ROW()-1)="","",INDEX(Tasks!$K:$K,ROW()-1))</f>
        <v/>
      </c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  <c r="AG199" s="18"/>
      <c r="AH199" s="18"/>
      <c r="AI199" s="18"/>
      <c r="AJ199" s="18"/>
      <c r="AK199" s="18"/>
      <c r="AL199" s="18"/>
      <c r="AM199" s="18"/>
      <c r="AN199" s="18"/>
      <c r="AO199" s="18"/>
      <c r="AP199" s="18"/>
      <c r="AQ199" s="18"/>
      <c r="AR199" s="18"/>
      <c r="AS199" s="18"/>
      <c r="AT199" s="18"/>
      <c r="AU199" s="18"/>
      <c r="AV199" s="18"/>
      <c r="AW199" s="18"/>
      <c r="AX199" s="18"/>
    </row>
    <row r="200" customFormat="false" ht="15" hidden="false" customHeight="false" outlineLevel="0" collapsed="false">
      <c r="A200" s="16" t="str">
        <f aca="false">IF(INDEX(Tasks!$A:$A,ROW()-1)="","",INDEX(Tasks!$A:$A,ROW()-1))</f>
        <v/>
      </c>
      <c r="B200" s="16" t="str">
        <f aca="false">IF(INDEX(Tasks!$A:$A,ROW()-1)="","",IF(ISERROR(FIND(".",INDEX(Tasks!$A:$A,ROW()-1))),"","   ")&amp;INDEX(Tasks!$D:$D,ROW()-1))</f>
        <v/>
      </c>
      <c r="C200" s="16" t="str">
        <f aca="false">IF(INDEX(Tasks!$G:$G,ROW()-1)="","",INDEX(Tasks!$G:$G,ROW()-1))</f>
        <v/>
      </c>
      <c r="D200" s="16" t="str">
        <f aca="false">IF(INDEX(Tasks!$H:$H,ROW()-1)="","",INDEX(Tasks!$H:$H,ROW()-1))</f>
        <v/>
      </c>
      <c r="E200" s="17" t="str">
        <f aca="false">IF(INDEX(Tasks!$I:$I,ROW()-1)="","",INDEX(Tasks!$I:$I,ROW()-1))</f>
        <v/>
      </c>
      <c r="F200" s="17" t="str">
        <f aca="false">IF(INDEX(Tasks!$K:$K,ROW()-1)="","",INDEX(Tasks!$K:$K,ROW()-1))</f>
        <v/>
      </c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  <c r="AF200" s="18"/>
      <c r="AG200" s="18"/>
      <c r="AH200" s="18"/>
      <c r="AI200" s="18"/>
      <c r="AJ200" s="18"/>
      <c r="AK200" s="18"/>
      <c r="AL200" s="18"/>
      <c r="AM200" s="18"/>
      <c r="AN200" s="18"/>
      <c r="AO200" s="18"/>
      <c r="AP200" s="18"/>
      <c r="AQ200" s="18"/>
      <c r="AR200" s="18"/>
      <c r="AS200" s="18"/>
      <c r="AT200" s="18"/>
      <c r="AU200" s="18"/>
      <c r="AV200" s="18"/>
      <c r="AW200" s="18"/>
      <c r="AX200" s="18"/>
    </row>
    <row r="201" customFormat="false" ht="15" hidden="false" customHeight="false" outlineLevel="0" collapsed="false">
      <c r="A201" s="16" t="str">
        <f aca="false">IF(INDEX(Tasks!$A:$A,ROW()-1)="","",INDEX(Tasks!$A:$A,ROW()-1))</f>
        <v/>
      </c>
      <c r="B201" s="16" t="str">
        <f aca="false">IF(INDEX(Tasks!$A:$A,ROW()-1)="","",IF(ISERROR(FIND(".",INDEX(Tasks!$A:$A,ROW()-1))),"","   ")&amp;INDEX(Tasks!$D:$D,ROW()-1))</f>
        <v/>
      </c>
      <c r="C201" s="16" t="str">
        <f aca="false">IF(INDEX(Tasks!$G:$G,ROW()-1)="","",INDEX(Tasks!$G:$G,ROW()-1))</f>
        <v/>
      </c>
      <c r="D201" s="16" t="str">
        <f aca="false">IF(INDEX(Tasks!$H:$H,ROW()-1)="","",INDEX(Tasks!$H:$H,ROW()-1))</f>
        <v/>
      </c>
      <c r="E201" s="17" t="str">
        <f aca="false">IF(INDEX(Tasks!$I:$I,ROW()-1)="","",INDEX(Tasks!$I:$I,ROW()-1))</f>
        <v/>
      </c>
      <c r="F201" s="17" t="str">
        <f aca="false">IF(INDEX(Tasks!$K:$K,ROW()-1)="","",INDEX(Tasks!$K:$K,ROW()-1))</f>
        <v/>
      </c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  <c r="AF201" s="18"/>
      <c r="AG201" s="18"/>
      <c r="AH201" s="18"/>
      <c r="AI201" s="18"/>
      <c r="AJ201" s="18"/>
      <c r="AK201" s="18"/>
      <c r="AL201" s="18"/>
      <c r="AM201" s="18"/>
      <c r="AN201" s="18"/>
      <c r="AO201" s="18"/>
      <c r="AP201" s="18"/>
      <c r="AQ201" s="18"/>
      <c r="AR201" s="18"/>
      <c r="AS201" s="18"/>
      <c r="AT201" s="18"/>
      <c r="AU201" s="18"/>
      <c r="AV201" s="18"/>
      <c r="AW201" s="18"/>
      <c r="AX201" s="18"/>
    </row>
    <row r="202" customFormat="false" ht="15" hidden="false" customHeight="false" outlineLevel="0" collapsed="false">
      <c r="A202" s="16" t="str">
        <f aca="false">IF(INDEX(Tasks!$A:$A,ROW()-1)="","",INDEX(Tasks!$A:$A,ROW()-1))</f>
        <v/>
      </c>
      <c r="B202" s="16" t="str">
        <f aca="false">IF(INDEX(Tasks!$A:$A,ROW()-1)="","",IF(ISERROR(FIND(".",INDEX(Tasks!$A:$A,ROW()-1))),"","   ")&amp;INDEX(Tasks!$D:$D,ROW()-1))</f>
        <v/>
      </c>
      <c r="C202" s="16" t="str">
        <f aca="false">IF(INDEX(Tasks!$G:$G,ROW()-1)="","",INDEX(Tasks!$G:$G,ROW()-1))</f>
        <v/>
      </c>
      <c r="D202" s="16" t="str">
        <f aca="false">IF(INDEX(Tasks!$H:$H,ROW()-1)="","",INDEX(Tasks!$H:$H,ROW()-1))</f>
        <v/>
      </c>
      <c r="E202" s="17" t="str">
        <f aca="false">IF(INDEX(Tasks!$I:$I,ROW()-1)="","",INDEX(Tasks!$I:$I,ROW()-1))</f>
        <v/>
      </c>
      <c r="F202" s="17" t="str">
        <f aca="false">IF(INDEX(Tasks!$K:$K,ROW()-1)="","",INDEX(Tasks!$K:$K,ROW()-1))</f>
        <v/>
      </c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K202" s="18"/>
      <c r="AL202" s="18"/>
      <c r="AM202" s="18"/>
      <c r="AN202" s="18"/>
      <c r="AO202" s="18"/>
      <c r="AP202" s="18"/>
      <c r="AQ202" s="18"/>
      <c r="AR202" s="18"/>
      <c r="AS202" s="18"/>
      <c r="AT202" s="18"/>
      <c r="AU202" s="18"/>
      <c r="AV202" s="18"/>
      <c r="AW202" s="18"/>
      <c r="AX202" s="18"/>
    </row>
    <row r="203" customFormat="false" ht="15" hidden="false" customHeight="false" outlineLevel="0" collapsed="false">
      <c r="A203" s="16" t="str">
        <f aca="false">IF(INDEX(Tasks!$A:$A,ROW()-1)="","",INDEX(Tasks!$A:$A,ROW()-1))</f>
        <v/>
      </c>
      <c r="B203" s="16" t="str">
        <f aca="false">IF(INDEX(Tasks!$A:$A,ROW()-1)="","",IF(ISERROR(FIND(".",INDEX(Tasks!$A:$A,ROW()-1))),"","   ")&amp;INDEX(Tasks!$D:$D,ROW()-1))</f>
        <v/>
      </c>
      <c r="C203" s="16" t="str">
        <f aca="false">IF(INDEX(Tasks!$G:$G,ROW()-1)="","",INDEX(Tasks!$G:$G,ROW()-1))</f>
        <v/>
      </c>
      <c r="D203" s="16" t="str">
        <f aca="false">IF(INDEX(Tasks!$H:$H,ROW()-1)="","",INDEX(Tasks!$H:$H,ROW()-1))</f>
        <v/>
      </c>
      <c r="E203" s="17" t="str">
        <f aca="false">IF(INDEX(Tasks!$I:$I,ROW()-1)="","",INDEX(Tasks!$I:$I,ROW()-1))</f>
        <v/>
      </c>
      <c r="F203" s="17" t="str">
        <f aca="false">IF(INDEX(Tasks!$K:$K,ROW()-1)="","",INDEX(Tasks!$K:$K,ROW()-1))</f>
        <v/>
      </c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  <c r="AF203" s="18"/>
      <c r="AG203" s="18"/>
      <c r="AH203" s="18"/>
      <c r="AI203" s="18"/>
      <c r="AJ203" s="18"/>
      <c r="AK203" s="18"/>
      <c r="AL203" s="18"/>
      <c r="AM203" s="18"/>
      <c r="AN203" s="18"/>
      <c r="AO203" s="18"/>
      <c r="AP203" s="18"/>
      <c r="AQ203" s="18"/>
      <c r="AR203" s="18"/>
      <c r="AS203" s="18"/>
      <c r="AT203" s="18"/>
      <c r="AU203" s="18"/>
      <c r="AV203" s="18"/>
      <c r="AW203" s="18"/>
      <c r="AX203" s="18"/>
    </row>
    <row r="204" customFormat="false" ht="15" hidden="false" customHeight="false" outlineLevel="0" collapsed="false">
      <c r="A204" s="16" t="str">
        <f aca="false">IF(INDEX(Tasks!$A:$A,ROW()-1)="","",INDEX(Tasks!$A:$A,ROW()-1))</f>
        <v/>
      </c>
      <c r="B204" s="16" t="str">
        <f aca="false">IF(INDEX(Tasks!$A:$A,ROW()-1)="","",IF(ISERROR(FIND(".",INDEX(Tasks!$A:$A,ROW()-1))),"","   ")&amp;INDEX(Tasks!$D:$D,ROW()-1))</f>
        <v/>
      </c>
      <c r="C204" s="16" t="str">
        <f aca="false">IF(INDEX(Tasks!$G:$G,ROW()-1)="","",INDEX(Tasks!$G:$G,ROW()-1))</f>
        <v/>
      </c>
      <c r="D204" s="16" t="str">
        <f aca="false">IF(INDEX(Tasks!$H:$H,ROW()-1)="","",INDEX(Tasks!$H:$H,ROW()-1))</f>
        <v/>
      </c>
      <c r="E204" s="17" t="str">
        <f aca="false">IF(INDEX(Tasks!$I:$I,ROW()-1)="","",INDEX(Tasks!$I:$I,ROW()-1))</f>
        <v/>
      </c>
      <c r="F204" s="17" t="str">
        <f aca="false">IF(INDEX(Tasks!$K:$K,ROW()-1)="","",INDEX(Tasks!$K:$K,ROW()-1))</f>
        <v/>
      </c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  <c r="AF204" s="18"/>
      <c r="AG204" s="18"/>
      <c r="AH204" s="18"/>
      <c r="AI204" s="18"/>
      <c r="AJ204" s="18"/>
      <c r="AK204" s="18"/>
      <c r="AL204" s="18"/>
      <c r="AM204" s="18"/>
      <c r="AN204" s="18"/>
      <c r="AO204" s="18"/>
      <c r="AP204" s="18"/>
      <c r="AQ204" s="18"/>
      <c r="AR204" s="18"/>
      <c r="AS204" s="18"/>
      <c r="AT204" s="18"/>
      <c r="AU204" s="18"/>
      <c r="AV204" s="18"/>
      <c r="AW204" s="18"/>
      <c r="AX204" s="18"/>
    </row>
    <row r="205" customFormat="false" ht="15" hidden="false" customHeight="false" outlineLevel="0" collapsed="false">
      <c r="A205" s="16" t="str">
        <f aca="false">IF(INDEX(Tasks!$A:$A,ROW()-1)="","",INDEX(Tasks!$A:$A,ROW()-1))</f>
        <v/>
      </c>
      <c r="B205" s="16" t="str">
        <f aca="false">IF(INDEX(Tasks!$A:$A,ROW()-1)="","",IF(ISERROR(FIND(".",INDEX(Tasks!$A:$A,ROW()-1))),"","   ")&amp;INDEX(Tasks!$D:$D,ROW()-1))</f>
        <v/>
      </c>
      <c r="C205" s="16" t="str">
        <f aca="false">IF(INDEX(Tasks!$G:$G,ROW()-1)="","",INDEX(Tasks!$G:$G,ROW()-1))</f>
        <v/>
      </c>
      <c r="D205" s="16" t="str">
        <f aca="false">IF(INDEX(Tasks!$H:$H,ROW()-1)="","",INDEX(Tasks!$H:$H,ROW()-1))</f>
        <v/>
      </c>
      <c r="E205" s="17" t="str">
        <f aca="false">IF(INDEX(Tasks!$I:$I,ROW()-1)="","",INDEX(Tasks!$I:$I,ROW()-1))</f>
        <v/>
      </c>
      <c r="F205" s="17" t="str">
        <f aca="false">IF(INDEX(Tasks!$K:$K,ROW()-1)="","",INDEX(Tasks!$K:$K,ROW()-1))</f>
        <v/>
      </c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  <c r="AD205" s="18"/>
      <c r="AE205" s="18"/>
      <c r="AF205" s="18"/>
      <c r="AG205" s="18"/>
      <c r="AH205" s="18"/>
      <c r="AI205" s="18"/>
      <c r="AJ205" s="18"/>
      <c r="AK205" s="18"/>
      <c r="AL205" s="18"/>
      <c r="AM205" s="18"/>
      <c r="AN205" s="18"/>
      <c r="AO205" s="18"/>
      <c r="AP205" s="18"/>
      <c r="AQ205" s="18"/>
      <c r="AR205" s="18"/>
      <c r="AS205" s="18"/>
      <c r="AT205" s="18"/>
      <c r="AU205" s="18"/>
      <c r="AV205" s="18"/>
      <c r="AW205" s="18"/>
      <c r="AX205" s="18"/>
    </row>
    <row r="206" customFormat="false" ht="15" hidden="false" customHeight="false" outlineLevel="0" collapsed="false">
      <c r="A206" s="16" t="str">
        <f aca="false">IF(INDEX(Tasks!$A:$A,ROW()-1)="","",INDEX(Tasks!$A:$A,ROW()-1))</f>
        <v/>
      </c>
      <c r="B206" s="16" t="str">
        <f aca="false">IF(INDEX(Tasks!$A:$A,ROW()-1)="","",IF(ISERROR(FIND(".",INDEX(Tasks!$A:$A,ROW()-1))),"","   ")&amp;INDEX(Tasks!$D:$D,ROW()-1))</f>
        <v/>
      </c>
      <c r="C206" s="16" t="str">
        <f aca="false">IF(INDEX(Tasks!$G:$G,ROW()-1)="","",INDEX(Tasks!$G:$G,ROW()-1))</f>
        <v/>
      </c>
      <c r="D206" s="16" t="str">
        <f aca="false">IF(INDEX(Tasks!$H:$H,ROW()-1)="","",INDEX(Tasks!$H:$H,ROW()-1))</f>
        <v/>
      </c>
      <c r="E206" s="17" t="str">
        <f aca="false">IF(INDEX(Tasks!$I:$I,ROW()-1)="","",INDEX(Tasks!$I:$I,ROW()-1))</f>
        <v/>
      </c>
      <c r="F206" s="17" t="str">
        <f aca="false">IF(INDEX(Tasks!$K:$K,ROW()-1)="","",INDEX(Tasks!$K:$K,ROW()-1))</f>
        <v/>
      </c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  <c r="AD206" s="18"/>
      <c r="AE206" s="18"/>
      <c r="AF206" s="18"/>
      <c r="AG206" s="18"/>
      <c r="AH206" s="18"/>
      <c r="AI206" s="18"/>
      <c r="AJ206" s="18"/>
      <c r="AK206" s="18"/>
      <c r="AL206" s="18"/>
      <c r="AM206" s="18"/>
      <c r="AN206" s="18"/>
      <c r="AO206" s="18"/>
      <c r="AP206" s="18"/>
      <c r="AQ206" s="18"/>
      <c r="AR206" s="18"/>
      <c r="AS206" s="18"/>
      <c r="AT206" s="18"/>
      <c r="AU206" s="18"/>
      <c r="AV206" s="18"/>
      <c r="AW206" s="18"/>
      <c r="AX206" s="18"/>
    </row>
    <row r="207" customFormat="false" ht="15" hidden="false" customHeight="false" outlineLevel="0" collapsed="false">
      <c r="A207" s="16" t="str">
        <f aca="false">IF(INDEX(Tasks!$A:$A,ROW()-1)="","",INDEX(Tasks!$A:$A,ROW()-1))</f>
        <v/>
      </c>
      <c r="B207" s="16" t="str">
        <f aca="false">IF(INDEX(Tasks!$A:$A,ROW()-1)="","",IF(ISERROR(FIND(".",INDEX(Tasks!$A:$A,ROW()-1))),"","   ")&amp;INDEX(Tasks!$D:$D,ROW()-1))</f>
        <v/>
      </c>
      <c r="C207" s="16" t="str">
        <f aca="false">IF(INDEX(Tasks!$G:$G,ROW()-1)="","",INDEX(Tasks!$G:$G,ROW()-1))</f>
        <v/>
      </c>
      <c r="D207" s="16" t="str">
        <f aca="false">IF(INDEX(Tasks!$H:$H,ROW()-1)="","",INDEX(Tasks!$H:$H,ROW()-1))</f>
        <v/>
      </c>
      <c r="E207" s="17" t="str">
        <f aca="false">IF(INDEX(Tasks!$I:$I,ROW()-1)="","",INDEX(Tasks!$I:$I,ROW()-1))</f>
        <v/>
      </c>
      <c r="F207" s="17" t="str">
        <f aca="false">IF(INDEX(Tasks!$K:$K,ROW()-1)="","",INDEX(Tasks!$K:$K,ROW()-1))</f>
        <v/>
      </c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  <c r="AF207" s="18"/>
      <c r="AG207" s="18"/>
      <c r="AH207" s="18"/>
      <c r="AI207" s="18"/>
      <c r="AJ207" s="18"/>
      <c r="AK207" s="18"/>
      <c r="AL207" s="18"/>
      <c r="AM207" s="18"/>
      <c r="AN207" s="18"/>
      <c r="AO207" s="18"/>
      <c r="AP207" s="18"/>
      <c r="AQ207" s="18"/>
      <c r="AR207" s="18"/>
      <c r="AS207" s="18"/>
      <c r="AT207" s="18"/>
      <c r="AU207" s="18"/>
      <c r="AV207" s="18"/>
      <c r="AW207" s="18"/>
      <c r="AX207" s="18"/>
    </row>
    <row r="208" customFormat="false" ht="15" hidden="false" customHeight="false" outlineLevel="0" collapsed="false">
      <c r="A208" s="16" t="str">
        <f aca="false">IF(INDEX(Tasks!$A:$A,ROW()-1)="","",INDEX(Tasks!$A:$A,ROW()-1))</f>
        <v/>
      </c>
      <c r="B208" s="16" t="str">
        <f aca="false">IF(INDEX(Tasks!$A:$A,ROW()-1)="","",IF(ISERROR(FIND(".",INDEX(Tasks!$A:$A,ROW()-1))),"","   ")&amp;INDEX(Tasks!$D:$D,ROW()-1))</f>
        <v/>
      </c>
      <c r="C208" s="16" t="str">
        <f aca="false">IF(INDEX(Tasks!$G:$G,ROW()-1)="","",INDEX(Tasks!$G:$G,ROW()-1))</f>
        <v/>
      </c>
      <c r="D208" s="16" t="str">
        <f aca="false">IF(INDEX(Tasks!$H:$H,ROW()-1)="","",INDEX(Tasks!$H:$H,ROW()-1))</f>
        <v/>
      </c>
      <c r="E208" s="17" t="str">
        <f aca="false">IF(INDEX(Tasks!$I:$I,ROW()-1)="","",INDEX(Tasks!$I:$I,ROW()-1))</f>
        <v/>
      </c>
      <c r="F208" s="17" t="str">
        <f aca="false">IF(INDEX(Tasks!$K:$K,ROW()-1)="","",INDEX(Tasks!$K:$K,ROW()-1))</f>
        <v/>
      </c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  <c r="AF208" s="18"/>
      <c r="AG208" s="18"/>
      <c r="AH208" s="18"/>
      <c r="AI208" s="18"/>
      <c r="AJ208" s="18"/>
      <c r="AK208" s="18"/>
      <c r="AL208" s="18"/>
      <c r="AM208" s="18"/>
      <c r="AN208" s="18"/>
      <c r="AO208" s="18"/>
      <c r="AP208" s="18"/>
      <c r="AQ208" s="18"/>
      <c r="AR208" s="18"/>
      <c r="AS208" s="18"/>
      <c r="AT208" s="18"/>
      <c r="AU208" s="18"/>
      <c r="AV208" s="18"/>
      <c r="AW208" s="18"/>
      <c r="AX208" s="18"/>
    </row>
    <row r="209" customFormat="false" ht="15" hidden="false" customHeight="false" outlineLevel="0" collapsed="false">
      <c r="A209" s="16" t="str">
        <f aca="false">IF(INDEX(Tasks!$A:$A,ROW()-1)="","",INDEX(Tasks!$A:$A,ROW()-1))</f>
        <v/>
      </c>
      <c r="B209" s="16" t="str">
        <f aca="false">IF(INDEX(Tasks!$A:$A,ROW()-1)="","",IF(ISERROR(FIND(".",INDEX(Tasks!$A:$A,ROW()-1))),"","   ")&amp;INDEX(Tasks!$D:$D,ROW()-1))</f>
        <v/>
      </c>
      <c r="C209" s="16" t="str">
        <f aca="false">IF(INDEX(Tasks!$G:$G,ROW()-1)="","",INDEX(Tasks!$G:$G,ROW()-1))</f>
        <v/>
      </c>
      <c r="D209" s="16" t="str">
        <f aca="false">IF(INDEX(Tasks!$H:$H,ROW()-1)="","",INDEX(Tasks!$H:$H,ROW()-1))</f>
        <v/>
      </c>
      <c r="E209" s="17" t="str">
        <f aca="false">IF(INDEX(Tasks!$I:$I,ROW()-1)="","",INDEX(Tasks!$I:$I,ROW()-1))</f>
        <v/>
      </c>
      <c r="F209" s="17" t="str">
        <f aca="false">IF(INDEX(Tasks!$K:$K,ROW()-1)="","",INDEX(Tasks!$K:$K,ROW()-1))</f>
        <v/>
      </c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  <c r="AF209" s="18"/>
      <c r="AG209" s="18"/>
      <c r="AH209" s="18"/>
      <c r="AI209" s="18"/>
      <c r="AJ209" s="18"/>
      <c r="AK209" s="18"/>
      <c r="AL209" s="18"/>
      <c r="AM209" s="18"/>
      <c r="AN209" s="18"/>
      <c r="AO209" s="18"/>
      <c r="AP209" s="18"/>
      <c r="AQ209" s="18"/>
      <c r="AR209" s="18"/>
      <c r="AS209" s="18"/>
      <c r="AT209" s="18"/>
      <c r="AU209" s="18"/>
      <c r="AV209" s="18"/>
      <c r="AW209" s="18"/>
      <c r="AX209" s="18"/>
    </row>
    <row r="210" customFormat="false" ht="15" hidden="false" customHeight="false" outlineLevel="0" collapsed="false">
      <c r="A210" s="16" t="str">
        <f aca="false">IF(INDEX(Tasks!$A:$A,ROW()-1)="","",INDEX(Tasks!$A:$A,ROW()-1))</f>
        <v/>
      </c>
      <c r="B210" s="16" t="str">
        <f aca="false">IF(INDEX(Tasks!$A:$A,ROW()-1)="","",IF(ISERROR(FIND(".",INDEX(Tasks!$A:$A,ROW()-1))),"","   ")&amp;INDEX(Tasks!$D:$D,ROW()-1))</f>
        <v/>
      </c>
      <c r="C210" s="16" t="str">
        <f aca="false">IF(INDEX(Tasks!$G:$G,ROW()-1)="","",INDEX(Tasks!$G:$G,ROW()-1))</f>
        <v/>
      </c>
      <c r="D210" s="16" t="str">
        <f aca="false">IF(INDEX(Tasks!$H:$H,ROW()-1)="","",INDEX(Tasks!$H:$H,ROW()-1))</f>
        <v/>
      </c>
      <c r="E210" s="17" t="str">
        <f aca="false">IF(INDEX(Tasks!$I:$I,ROW()-1)="","",INDEX(Tasks!$I:$I,ROW()-1))</f>
        <v/>
      </c>
      <c r="F210" s="17" t="str">
        <f aca="false">IF(INDEX(Tasks!$K:$K,ROW()-1)="","",INDEX(Tasks!$K:$K,ROW()-1))</f>
        <v/>
      </c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  <c r="AD210" s="18"/>
      <c r="AE210" s="18"/>
      <c r="AF210" s="18"/>
      <c r="AG210" s="18"/>
      <c r="AH210" s="18"/>
      <c r="AI210" s="18"/>
      <c r="AJ210" s="18"/>
      <c r="AK210" s="18"/>
      <c r="AL210" s="18"/>
      <c r="AM210" s="18"/>
      <c r="AN210" s="18"/>
      <c r="AO210" s="18"/>
      <c r="AP210" s="18"/>
      <c r="AQ210" s="18"/>
      <c r="AR210" s="18"/>
      <c r="AS210" s="18"/>
      <c r="AT210" s="18"/>
      <c r="AU210" s="18"/>
      <c r="AV210" s="18"/>
      <c r="AW210" s="18"/>
      <c r="AX210" s="18"/>
    </row>
    <row r="211" customFormat="false" ht="15" hidden="false" customHeight="false" outlineLevel="0" collapsed="false">
      <c r="A211" s="16" t="str">
        <f aca="false">IF(INDEX(Tasks!$A:$A,ROW()-1)="","",INDEX(Tasks!$A:$A,ROW()-1))</f>
        <v/>
      </c>
      <c r="B211" s="16" t="str">
        <f aca="false">IF(INDEX(Tasks!$A:$A,ROW()-1)="","",IF(ISERROR(FIND(".",INDEX(Tasks!$A:$A,ROW()-1))),"","   ")&amp;INDEX(Tasks!$D:$D,ROW()-1))</f>
        <v/>
      </c>
      <c r="C211" s="16" t="str">
        <f aca="false">IF(INDEX(Tasks!$G:$G,ROW()-1)="","",INDEX(Tasks!$G:$G,ROW()-1))</f>
        <v/>
      </c>
      <c r="D211" s="16" t="str">
        <f aca="false">IF(INDEX(Tasks!$H:$H,ROW()-1)="","",INDEX(Tasks!$H:$H,ROW()-1))</f>
        <v/>
      </c>
      <c r="E211" s="17" t="str">
        <f aca="false">IF(INDEX(Tasks!$I:$I,ROW()-1)="","",INDEX(Tasks!$I:$I,ROW()-1))</f>
        <v/>
      </c>
      <c r="F211" s="17" t="str">
        <f aca="false">IF(INDEX(Tasks!$K:$K,ROW()-1)="","",INDEX(Tasks!$K:$K,ROW()-1))</f>
        <v/>
      </c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  <c r="AD211" s="18"/>
      <c r="AE211" s="18"/>
      <c r="AF211" s="18"/>
      <c r="AG211" s="18"/>
      <c r="AH211" s="18"/>
      <c r="AI211" s="18"/>
      <c r="AJ211" s="18"/>
      <c r="AK211" s="18"/>
      <c r="AL211" s="18"/>
      <c r="AM211" s="18"/>
      <c r="AN211" s="18"/>
      <c r="AO211" s="18"/>
      <c r="AP211" s="18"/>
      <c r="AQ211" s="18"/>
      <c r="AR211" s="18"/>
      <c r="AS211" s="18"/>
      <c r="AT211" s="18"/>
      <c r="AU211" s="18"/>
      <c r="AV211" s="18"/>
      <c r="AW211" s="18"/>
      <c r="AX211" s="18"/>
    </row>
    <row r="212" customFormat="false" ht="15" hidden="false" customHeight="false" outlineLevel="0" collapsed="false">
      <c r="A212" s="16" t="str">
        <f aca="false">IF(INDEX(Tasks!$A:$A,ROW()-1)="","",INDEX(Tasks!$A:$A,ROW()-1))</f>
        <v/>
      </c>
      <c r="B212" s="16" t="str">
        <f aca="false">IF(INDEX(Tasks!$A:$A,ROW()-1)="","",IF(ISERROR(FIND(".",INDEX(Tasks!$A:$A,ROW()-1))),"","   ")&amp;INDEX(Tasks!$D:$D,ROW()-1))</f>
        <v/>
      </c>
      <c r="C212" s="16" t="str">
        <f aca="false">IF(INDEX(Tasks!$G:$G,ROW()-1)="","",INDEX(Tasks!$G:$G,ROW()-1))</f>
        <v/>
      </c>
      <c r="D212" s="16" t="str">
        <f aca="false">IF(INDEX(Tasks!$H:$H,ROW()-1)="","",INDEX(Tasks!$H:$H,ROW()-1))</f>
        <v/>
      </c>
      <c r="E212" s="17" t="str">
        <f aca="false">IF(INDEX(Tasks!$I:$I,ROW()-1)="","",INDEX(Tasks!$I:$I,ROW()-1))</f>
        <v/>
      </c>
      <c r="F212" s="17" t="str">
        <f aca="false">IF(INDEX(Tasks!$K:$K,ROW()-1)="","",INDEX(Tasks!$K:$K,ROW()-1))</f>
        <v/>
      </c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  <c r="AD212" s="18"/>
      <c r="AE212" s="18"/>
      <c r="AF212" s="18"/>
      <c r="AG212" s="18"/>
      <c r="AH212" s="18"/>
      <c r="AI212" s="18"/>
      <c r="AJ212" s="18"/>
      <c r="AK212" s="18"/>
      <c r="AL212" s="18"/>
      <c r="AM212" s="18"/>
      <c r="AN212" s="18"/>
      <c r="AO212" s="18"/>
      <c r="AP212" s="18"/>
      <c r="AQ212" s="18"/>
      <c r="AR212" s="18"/>
      <c r="AS212" s="18"/>
      <c r="AT212" s="18"/>
      <c r="AU212" s="18"/>
      <c r="AV212" s="18"/>
      <c r="AW212" s="18"/>
      <c r="AX212" s="18"/>
    </row>
    <row r="213" customFormat="false" ht="15" hidden="false" customHeight="false" outlineLevel="0" collapsed="false">
      <c r="A213" s="16" t="str">
        <f aca="false">IF(INDEX(Tasks!$A:$A,ROW()-1)="","",INDEX(Tasks!$A:$A,ROW()-1))</f>
        <v/>
      </c>
      <c r="B213" s="16" t="str">
        <f aca="false">IF(INDEX(Tasks!$A:$A,ROW()-1)="","",IF(ISERROR(FIND(".",INDEX(Tasks!$A:$A,ROW()-1))),"","   ")&amp;INDEX(Tasks!$D:$D,ROW()-1))</f>
        <v/>
      </c>
      <c r="C213" s="16" t="str">
        <f aca="false">IF(INDEX(Tasks!$G:$G,ROW()-1)="","",INDEX(Tasks!$G:$G,ROW()-1))</f>
        <v/>
      </c>
      <c r="D213" s="16" t="str">
        <f aca="false">IF(INDEX(Tasks!$H:$H,ROW()-1)="","",INDEX(Tasks!$H:$H,ROW()-1))</f>
        <v/>
      </c>
      <c r="E213" s="17" t="str">
        <f aca="false">IF(INDEX(Tasks!$I:$I,ROW()-1)="","",INDEX(Tasks!$I:$I,ROW()-1))</f>
        <v/>
      </c>
      <c r="F213" s="17" t="str">
        <f aca="false">IF(INDEX(Tasks!$K:$K,ROW()-1)="","",INDEX(Tasks!$K:$K,ROW()-1))</f>
        <v/>
      </c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  <c r="AD213" s="18"/>
      <c r="AE213" s="18"/>
      <c r="AF213" s="18"/>
      <c r="AG213" s="18"/>
      <c r="AH213" s="18"/>
      <c r="AI213" s="18"/>
      <c r="AJ213" s="18"/>
      <c r="AK213" s="18"/>
      <c r="AL213" s="18"/>
      <c r="AM213" s="18"/>
      <c r="AN213" s="18"/>
      <c r="AO213" s="18"/>
      <c r="AP213" s="18"/>
      <c r="AQ213" s="18"/>
      <c r="AR213" s="18"/>
      <c r="AS213" s="18"/>
      <c r="AT213" s="18"/>
      <c r="AU213" s="18"/>
      <c r="AV213" s="18"/>
      <c r="AW213" s="18"/>
      <c r="AX213" s="18"/>
    </row>
    <row r="214" customFormat="false" ht="15" hidden="false" customHeight="false" outlineLevel="0" collapsed="false">
      <c r="A214" s="16" t="str">
        <f aca="false">IF(INDEX(Tasks!$A:$A,ROW()-1)="","",INDEX(Tasks!$A:$A,ROW()-1))</f>
        <v/>
      </c>
      <c r="B214" s="16" t="str">
        <f aca="false">IF(INDEX(Tasks!$A:$A,ROW()-1)="","",IF(ISERROR(FIND(".",INDEX(Tasks!$A:$A,ROW()-1))),"","   ")&amp;INDEX(Tasks!$D:$D,ROW()-1))</f>
        <v/>
      </c>
      <c r="C214" s="16" t="str">
        <f aca="false">IF(INDEX(Tasks!$G:$G,ROW()-1)="","",INDEX(Tasks!$G:$G,ROW()-1))</f>
        <v/>
      </c>
      <c r="D214" s="16" t="str">
        <f aca="false">IF(INDEX(Tasks!$H:$H,ROW()-1)="","",INDEX(Tasks!$H:$H,ROW()-1))</f>
        <v/>
      </c>
      <c r="E214" s="17" t="str">
        <f aca="false">IF(INDEX(Tasks!$I:$I,ROW()-1)="","",INDEX(Tasks!$I:$I,ROW()-1))</f>
        <v/>
      </c>
      <c r="F214" s="17" t="str">
        <f aca="false">IF(INDEX(Tasks!$K:$K,ROW()-1)="","",INDEX(Tasks!$K:$K,ROW()-1))</f>
        <v/>
      </c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  <c r="AD214" s="18"/>
      <c r="AE214" s="18"/>
      <c r="AF214" s="18"/>
      <c r="AG214" s="18"/>
      <c r="AH214" s="18"/>
      <c r="AI214" s="18"/>
      <c r="AJ214" s="18"/>
      <c r="AK214" s="18"/>
      <c r="AL214" s="18"/>
      <c r="AM214" s="18"/>
      <c r="AN214" s="18"/>
      <c r="AO214" s="18"/>
      <c r="AP214" s="18"/>
      <c r="AQ214" s="18"/>
      <c r="AR214" s="18"/>
      <c r="AS214" s="18"/>
      <c r="AT214" s="18"/>
      <c r="AU214" s="18"/>
      <c r="AV214" s="18"/>
      <c r="AW214" s="18"/>
      <c r="AX214" s="18"/>
    </row>
    <row r="215" customFormat="false" ht="15" hidden="false" customHeight="false" outlineLevel="0" collapsed="false">
      <c r="A215" s="16" t="str">
        <f aca="false">IF(INDEX(Tasks!$A:$A,ROW()-1)="","",INDEX(Tasks!$A:$A,ROW()-1))</f>
        <v/>
      </c>
      <c r="B215" s="16" t="str">
        <f aca="false">IF(INDEX(Tasks!$A:$A,ROW()-1)="","",IF(ISERROR(FIND(".",INDEX(Tasks!$A:$A,ROW()-1))),"","   ")&amp;INDEX(Tasks!$D:$D,ROW()-1))</f>
        <v/>
      </c>
      <c r="C215" s="16" t="str">
        <f aca="false">IF(INDEX(Tasks!$G:$G,ROW()-1)="","",INDEX(Tasks!$G:$G,ROW()-1))</f>
        <v/>
      </c>
      <c r="D215" s="16" t="str">
        <f aca="false">IF(INDEX(Tasks!$H:$H,ROW()-1)="","",INDEX(Tasks!$H:$H,ROW()-1))</f>
        <v/>
      </c>
      <c r="E215" s="17" t="str">
        <f aca="false">IF(INDEX(Tasks!$I:$I,ROW()-1)="","",INDEX(Tasks!$I:$I,ROW()-1))</f>
        <v/>
      </c>
      <c r="F215" s="17" t="str">
        <f aca="false">IF(INDEX(Tasks!$K:$K,ROW()-1)="","",INDEX(Tasks!$K:$K,ROW()-1))</f>
        <v/>
      </c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  <c r="AD215" s="18"/>
      <c r="AE215" s="18"/>
      <c r="AF215" s="18"/>
      <c r="AG215" s="18"/>
      <c r="AH215" s="18"/>
      <c r="AI215" s="18"/>
      <c r="AJ215" s="18"/>
      <c r="AK215" s="18"/>
      <c r="AL215" s="18"/>
      <c r="AM215" s="18"/>
      <c r="AN215" s="18"/>
      <c r="AO215" s="18"/>
      <c r="AP215" s="18"/>
      <c r="AQ215" s="18"/>
      <c r="AR215" s="18"/>
      <c r="AS215" s="18"/>
      <c r="AT215" s="18"/>
      <c r="AU215" s="18"/>
      <c r="AV215" s="18"/>
      <c r="AW215" s="18"/>
      <c r="AX215" s="18"/>
    </row>
    <row r="216" customFormat="false" ht="15" hidden="false" customHeight="false" outlineLevel="0" collapsed="false">
      <c r="A216" s="16" t="str">
        <f aca="false">IF(INDEX(Tasks!$A:$A,ROW()-1)="","",INDEX(Tasks!$A:$A,ROW()-1))</f>
        <v/>
      </c>
      <c r="B216" s="16" t="str">
        <f aca="false">IF(INDEX(Tasks!$A:$A,ROW()-1)="","",IF(ISERROR(FIND(".",INDEX(Tasks!$A:$A,ROW()-1))),"","   ")&amp;INDEX(Tasks!$D:$D,ROW()-1))</f>
        <v/>
      </c>
      <c r="C216" s="16" t="str">
        <f aca="false">IF(INDEX(Tasks!$G:$G,ROW()-1)="","",INDEX(Tasks!$G:$G,ROW()-1))</f>
        <v/>
      </c>
      <c r="D216" s="16" t="str">
        <f aca="false">IF(INDEX(Tasks!$H:$H,ROW()-1)="","",INDEX(Tasks!$H:$H,ROW()-1))</f>
        <v/>
      </c>
      <c r="E216" s="17" t="str">
        <f aca="false">IF(INDEX(Tasks!$I:$I,ROW()-1)="","",INDEX(Tasks!$I:$I,ROW()-1))</f>
        <v/>
      </c>
      <c r="F216" s="17" t="str">
        <f aca="false">IF(INDEX(Tasks!$K:$K,ROW()-1)="","",INDEX(Tasks!$K:$K,ROW()-1))</f>
        <v/>
      </c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  <c r="AD216" s="18"/>
      <c r="AE216" s="18"/>
      <c r="AF216" s="18"/>
      <c r="AG216" s="18"/>
      <c r="AH216" s="18"/>
      <c r="AI216" s="18"/>
      <c r="AJ216" s="18"/>
      <c r="AK216" s="18"/>
      <c r="AL216" s="18"/>
      <c r="AM216" s="18"/>
      <c r="AN216" s="18"/>
      <c r="AO216" s="18"/>
      <c r="AP216" s="18"/>
      <c r="AQ216" s="18"/>
      <c r="AR216" s="18"/>
      <c r="AS216" s="18"/>
      <c r="AT216" s="18"/>
      <c r="AU216" s="18"/>
      <c r="AV216" s="18"/>
      <c r="AW216" s="18"/>
      <c r="AX216" s="18"/>
    </row>
    <row r="217" customFormat="false" ht="15" hidden="false" customHeight="false" outlineLevel="0" collapsed="false">
      <c r="A217" s="16" t="str">
        <f aca="false">IF(INDEX(Tasks!$A:$A,ROW()-1)="","",INDEX(Tasks!$A:$A,ROW()-1))</f>
        <v/>
      </c>
      <c r="B217" s="16" t="str">
        <f aca="false">IF(INDEX(Tasks!$A:$A,ROW()-1)="","",IF(ISERROR(FIND(".",INDEX(Tasks!$A:$A,ROW()-1))),"","   ")&amp;INDEX(Tasks!$D:$D,ROW()-1))</f>
        <v/>
      </c>
      <c r="C217" s="16" t="str">
        <f aca="false">IF(INDEX(Tasks!$G:$G,ROW()-1)="","",INDEX(Tasks!$G:$G,ROW()-1))</f>
        <v/>
      </c>
      <c r="D217" s="16" t="str">
        <f aca="false">IF(INDEX(Tasks!$H:$H,ROW()-1)="","",INDEX(Tasks!$H:$H,ROW()-1))</f>
        <v/>
      </c>
      <c r="E217" s="17" t="str">
        <f aca="false">IF(INDEX(Tasks!$I:$I,ROW()-1)="","",INDEX(Tasks!$I:$I,ROW()-1))</f>
        <v/>
      </c>
      <c r="F217" s="17" t="str">
        <f aca="false">IF(INDEX(Tasks!$K:$K,ROW()-1)="","",INDEX(Tasks!$K:$K,ROW()-1))</f>
        <v/>
      </c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  <c r="AD217" s="18"/>
      <c r="AE217" s="18"/>
      <c r="AF217" s="18"/>
      <c r="AG217" s="18"/>
      <c r="AH217" s="18"/>
      <c r="AI217" s="18"/>
      <c r="AJ217" s="18"/>
      <c r="AK217" s="18"/>
      <c r="AL217" s="18"/>
      <c r="AM217" s="18"/>
      <c r="AN217" s="18"/>
      <c r="AO217" s="18"/>
      <c r="AP217" s="18"/>
      <c r="AQ217" s="18"/>
      <c r="AR217" s="18"/>
      <c r="AS217" s="18"/>
      <c r="AT217" s="18"/>
      <c r="AU217" s="18"/>
      <c r="AV217" s="18"/>
      <c r="AW217" s="18"/>
      <c r="AX217" s="18"/>
    </row>
    <row r="218" customFormat="false" ht="15" hidden="false" customHeight="false" outlineLevel="0" collapsed="false">
      <c r="A218" s="16" t="str">
        <f aca="false">IF(INDEX(Tasks!$A:$A,ROW()-1)="","",INDEX(Tasks!$A:$A,ROW()-1))</f>
        <v/>
      </c>
      <c r="B218" s="16" t="str">
        <f aca="false">IF(INDEX(Tasks!$A:$A,ROW()-1)="","",IF(ISERROR(FIND(".",INDEX(Tasks!$A:$A,ROW()-1))),"","   ")&amp;INDEX(Tasks!$D:$D,ROW()-1))</f>
        <v/>
      </c>
      <c r="C218" s="16" t="str">
        <f aca="false">IF(INDEX(Tasks!$G:$G,ROW()-1)="","",INDEX(Tasks!$G:$G,ROW()-1))</f>
        <v/>
      </c>
      <c r="D218" s="16" t="str">
        <f aca="false">IF(INDEX(Tasks!$H:$H,ROW()-1)="","",INDEX(Tasks!$H:$H,ROW()-1))</f>
        <v/>
      </c>
      <c r="E218" s="17" t="str">
        <f aca="false">IF(INDEX(Tasks!$I:$I,ROW()-1)="","",INDEX(Tasks!$I:$I,ROW()-1))</f>
        <v/>
      </c>
      <c r="F218" s="17" t="str">
        <f aca="false">IF(INDEX(Tasks!$K:$K,ROW()-1)="","",INDEX(Tasks!$K:$K,ROW()-1))</f>
        <v/>
      </c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  <c r="AD218" s="18"/>
      <c r="AE218" s="18"/>
      <c r="AF218" s="18"/>
      <c r="AG218" s="18"/>
      <c r="AH218" s="18"/>
      <c r="AI218" s="18"/>
      <c r="AJ218" s="18"/>
      <c r="AK218" s="18"/>
      <c r="AL218" s="18"/>
      <c r="AM218" s="18"/>
      <c r="AN218" s="18"/>
      <c r="AO218" s="18"/>
      <c r="AP218" s="18"/>
      <c r="AQ218" s="18"/>
      <c r="AR218" s="18"/>
      <c r="AS218" s="18"/>
      <c r="AT218" s="18"/>
      <c r="AU218" s="18"/>
      <c r="AV218" s="18"/>
      <c r="AW218" s="18"/>
      <c r="AX218" s="18"/>
    </row>
    <row r="219" customFormat="false" ht="15" hidden="false" customHeight="false" outlineLevel="0" collapsed="false">
      <c r="A219" s="16" t="str">
        <f aca="false">IF(INDEX(Tasks!$A:$A,ROW()-1)="","",INDEX(Tasks!$A:$A,ROW()-1))</f>
        <v/>
      </c>
      <c r="B219" s="16" t="str">
        <f aca="false">IF(INDEX(Tasks!$A:$A,ROW()-1)="","",IF(ISERROR(FIND(".",INDEX(Tasks!$A:$A,ROW()-1))),"","   ")&amp;INDEX(Tasks!$D:$D,ROW()-1))</f>
        <v/>
      </c>
      <c r="C219" s="16" t="str">
        <f aca="false">IF(INDEX(Tasks!$G:$G,ROW()-1)="","",INDEX(Tasks!$G:$G,ROW()-1))</f>
        <v/>
      </c>
      <c r="D219" s="16" t="str">
        <f aca="false">IF(INDEX(Tasks!$H:$H,ROW()-1)="","",INDEX(Tasks!$H:$H,ROW()-1))</f>
        <v/>
      </c>
      <c r="E219" s="17" t="str">
        <f aca="false">IF(INDEX(Tasks!$I:$I,ROW()-1)="","",INDEX(Tasks!$I:$I,ROW()-1))</f>
        <v/>
      </c>
      <c r="F219" s="17" t="str">
        <f aca="false">IF(INDEX(Tasks!$K:$K,ROW()-1)="","",INDEX(Tasks!$K:$K,ROW()-1))</f>
        <v/>
      </c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  <c r="AD219" s="18"/>
      <c r="AE219" s="18"/>
      <c r="AF219" s="18"/>
      <c r="AG219" s="18"/>
      <c r="AH219" s="18"/>
      <c r="AI219" s="18"/>
      <c r="AJ219" s="18"/>
      <c r="AK219" s="18"/>
      <c r="AL219" s="18"/>
      <c r="AM219" s="18"/>
      <c r="AN219" s="18"/>
      <c r="AO219" s="18"/>
      <c r="AP219" s="18"/>
      <c r="AQ219" s="18"/>
      <c r="AR219" s="18"/>
      <c r="AS219" s="18"/>
      <c r="AT219" s="18"/>
      <c r="AU219" s="18"/>
      <c r="AV219" s="18"/>
      <c r="AW219" s="18"/>
      <c r="AX219" s="18"/>
    </row>
    <row r="220" customFormat="false" ht="15" hidden="false" customHeight="false" outlineLevel="0" collapsed="false">
      <c r="A220" s="16" t="str">
        <f aca="false">IF(INDEX(Tasks!$A:$A,ROW()-1)="","",INDEX(Tasks!$A:$A,ROW()-1))</f>
        <v/>
      </c>
      <c r="B220" s="16" t="str">
        <f aca="false">IF(INDEX(Tasks!$A:$A,ROW()-1)="","",IF(ISERROR(FIND(".",INDEX(Tasks!$A:$A,ROW()-1))),"","   ")&amp;INDEX(Tasks!$D:$D,ROW()-1))</f>
        <v/>
      </c>
      <c r="C220" s="16" t="str">
        <f aca="false">IF(INDEX(Tasks!$G:$G,ROW()-1)="","",INDEX(Tasks!$G:$G,ROW()-1))</f>
        <v/>
      </c>
      <c r="D220" s="16" t="str">
        <f aca="false">IF(INDEX(Tasks!$H:$H,ROW()-1)="","",INDEX(Tasks!$H:$H,ROW()-1))</f>
        <v/>
      </c>
      <c r="E220" s="17" t="str">
        <f aca="false">IF(INDEX(Tasks!$I:$I,ROW()-1)="","",INDEX(Tasks!$I:$I,ROW()-1))</f>
        <v/>
      </c>
      <c r="F220" s="17" t="str">
        <f aca="false">IF(INDEX(Tasks!$K:$K,ROW()-1)="","",INDEX(Tasks!$K:$K,ROW()-1))</f>
        <v/>
      </c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  <c r="AD220" s="18"/>
      <c r="AE220" s="18"/>
      <c r="AF220" s="18"/>
      <c r="AG220" s="18"/>
      <c r="AH220" s="18"/>
      <c r="AI220" s="18"/>
      <c r="AJ220" s="18"/>
      <c r="AK220" s="18"/>
      <c r="AL220" s="18"/>
      <c r="AM220" s="18"/>
      <c r="AN220" s="18"/>
      <c r="AO220" s="18"/>
      <c r="AP220" s="18"/>
      <c r="AQ220" s="18"/>
      <c r="AR220" s="18"/>
      <c r="AS220" s="18"/>
      <c r="AT220" s="18"/>
      <c r="AU220" s="18"/>
      <c r="AV220" s="18"/>
      <c r="AW220" s="18"/>
      <c r="AX220" s="18"/>
    </row>
    <row r="221" customFormat="false" ht="15" hidden="false" customHeight="false" outlineLevel="0" collapsed="false">
      <c r="A221" s="16" t="str">
        <f aca="false">IF(INDEX(Tasks!$A:$A,ROW()-1)="","",INDEX(Tasks!$A:$A,ROW()-1))</f>
        <v/>
      </c>
      <c r="B221" s="16" t="str">
        <f aca="false">IF(INDEX(Tasks!$A:$A,ROW()-1)="","",IF(ISERROR(FIND(".",INDEX(Tasks!$A:$A,ROW()-1))),"","   ")&amp;INDEX(Tasks!$D:$D,ROW()-1))</f>
        <v/>
      </c>
      <c r="C221" s="16" t="str">
        <f aca="false">IF(INDEX(Tasks!$G:$G,ROW()-1)="","",INDEX(Tasks!$G:$G,ROW()-1))</f>
        <v/>
      </c>
      <c r="D221" s="16" t="str">
        <f aca="false">IF(INDEX(Tasks!$H:$H,ROW()-1)="","",INDEX(Tasks!$H:$H,ROW()-1))</f>
        <v/>
      </c>
      <c r="E221" s="17" t="str">
        <f aca="false">IF(INDEX(Tasks!$I:$I,ROW()-1)="","",INDEX(Tasks!$I:$I,ROW()-1))</f>
        <v/>
      </c>
      <c r="F221" s="17" t="str">
        <f aca="false">IF(INDEX(Tasks!$K:$K,ROW()-1)="","",INDEX(Tasks!$K:$K,ROW()-1))</f>
        <v/>
      </c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J221" s="18"/>
      <c r="AK221" s="18"/>
      <c r="AL221" s="18"/>
      <c r="AM221" s="18"/>
      <c r="AN221" s="18"/>
      <c r="AO221" s="18"/>
      <c r="AP221" s="18"/>
      <c r="AQ221" s="18"/>
      <c r="AR221" s="18"/>
      <c r="AS221" s="18"/>
      <c r="AT221" s="18"/>
      <c r="AU221" s="18"/>
      <c r="AV221" s="18"/>
      <c r="AW221" s="18"/>
      <c r="AX221" s="18"/>
    </row>
    <row r="222" customFormat="false" ht="15" hidden="false" customHeight="false" outlineLevel="0" collapsed="false">
      <c r="A222" s="16" t="str">
        <f aca="false">IF(INDEX(Tasks!$A:$A,ROW()-1)="","",INDEX(Tasks!$A:$A,ROW()-1))</f>
        <v/>
      </c>
      <c r="B222" s="16" t="str">
        <f aca="false">IF(INDEX(Tasks!$A:$A,ROW()-1)="","",IF(ISERROR(FIND(".",INDEX(Tasks!$A:$A,ROW()-1))),"","   ")&amp;INDEX(Tasks!$D:$D,ROW()-1))</f>
        <v/>
      </c>
      <c r="C222" s="16" t="str">
        <f aca="false">IF(INDEX(Tasks!$G:$G,ROW()-1)="","",INDEX(Tasks!$G:$G,ROW()-1))</f>
        <v/>
      </c>
      <c r="D222" s="16" t="str">
        <f aca="false">IF(INDEX(Tasks!$H:$H,ROW()-1)="","",INDEX(Tasks!$H:$H,ROW()-1))</f>
        <v/>
      </c>
      <c r="E222" s="17" t="str">
        <f aca="false">IF(INDEX(Tasks!$I:$I,ROW()-1)="","",INDEX(Tasks!$I:$I,ROW()-1))</f>
        <v/>
      </c>
      <c r="F222" s="17" t="str">
        <f aca="false">IF(INDEX(Tasks!$K:$K,ROW()-1)="","",INDEX(Tasks!$K:$K,ROW()-1))</f>
        <v/>
      </c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  <c r="AG222" s="18"/>
      <c r="AH222" s="18"/>
      <c r="AI222" s="18"/>
      <c r="AJ222" s="18"/>
      <c r="AK222" s="18"/>
      <c r="AL222" s="18"/>
      <c r="AM222" s="18"/>
      <c r="AN222" s="18"/>
      <c r="AO222" s="18"/>
      <c r="AP222" s="18"/>
      <c r="AQ222" s="18"/>
      <c r="AR222" s="18"/>
      <c r="AS222" s="18"/>
      <c r="AT222" s="18"/>
      <c r="AU222" s="18"/>
      <c r="AV222" s="18"/>
      <c r="AW222" s="18"/>
      <c r="AX222" s="18"/>
    </row>
    <row r="223" customFormat="false" ht="15" hidden="false" customHeight="false" outlineLevel="0" collapsed="false">
      <c r="A223" s="16" t="str">
        <f aca="false">IF(INDEX(Tasks!$A:$A,ROW()-1)="","",INDEX(Tasks!$A:$A,ROW()-1))</f>
        <v/>
      </c>
      <c r="B223" s="16" t="str">
        <f aca="false">IF(INDEX(Tasks!$A:$A,ROW()-1)="","",IF(ISERROR(FIND(".",INDEX(Tasks!$A:$A,ROW()-1))),"","   ")&amp;INDEX(Tasks!$D:$D,ROW()-1))</f>
        <v/>
      </c>
      <c r="C223" s="16" t="str">
        <f aca="false">IF(INDEX(Tasks!$G:$G,ROW()-1)="","",INDEX(Tasks!$G:$G,ROW()-1))</f>
        <v/>
      </c>
      <c r="D223" s="16" t="str">
        <f aca="false">IF(INDEX(Tasks!$H:$H,ROW()-1)="","",INDEX(Tasks!$H:$H,ROW()-1))</f>
        <v/>
      </c>
      <c r="E223" s="17" t="str">
        <f aca="false">IF(INDEX(Tasks!$I:$I,ROW()-1)="","",INDEX(Tasks!$I:$I,ROW()-1))</f>
        <v/>
      </c>
      <c r="F223" s="17" t="str">
        <f aca="false">IF(INDEX(Tasks!$K:$K,ROW()-1)="","",INDEX(Tasks!$K:$K,ROW()-1))</f>
        <v/>
      </c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  <c r="AG223" s="18"/>
      <c r="AH223" s="18"/>
      <c r="AI223" s="18"/>
      <c r="AJ223" s="18"/>
      <c r="AK223" s="18"/>
      <c r="AL223" s="18"/>
      <c r="AM223" s="18"/>
      <c r="AN223" s="18"/>
      <c r="AO223" s="18"/>
      <c r="AP223" s="18"/>
      <c r="AQ223" s="18"/>
      <c r="AR223" s="18"/>
      <c r="AS223" s="18"/>
      <c r="AT223" s="18"/>
      <c r="AU223" s="18"/>
      <c r="AV223" s="18"/>
      <c r="AW223" s="18"/>
      <c r="AX223" s="18"/>
    </row>
    <row r="224" customFormat="false" ht="15" hidden="false" customHeight="false" outlineLevel="0" collapsed="false">
      <c r="A224" s="16" t="str">
        <f aca="false">IF(INDEX(Tasks!$A:$A,ROW()-1)="","",INDEX(Tasks!$A:$A,ROW()-1))</f>
        <v/>
      </c>
      <c r="B224" s="16" t="str">
        <f aca="false">IF(INDEX(Tasks!$A:$A,ROW()-1)="","",IF(ISERROR(FIND(".",INDEX(Tasks!$A:$A,ROW()-1))),"","   ")&amp;INDEX(Tasks!$D:$D,ROW()-1))</f>
        <v/>
      </c>
      <c r="C224" s="16" t="str">
        <f aca="false">IF(INDEX(Tasks!$G:$G,ROW()-1)="","",INDEX(Tasks!$G:$G,ROW()-1))</f>
        <v/>
      </c>
      <c r="D224" s="16" t="str">
        <f aca="false">IF(INDEX(Tasks!$H:$H,ROW()-1)="","",INDEX(Tasks!$H:$H,ROW()-1))</f>
        <v/>
      </c>
      <c r="E224" s="17" t="str">
        <f aca="false">IF(INDEX(Tasks!$I:$I,ROW()-1)="","",INDEX(Tasks!$I:$I,ROW()-1))</f>
        <v/>
      </c>
      <c r="F224" s="17" t="str">
        <f aca="false">IF(INDEX(Tasks!$K:$K,ROW()-1)="","",INDEX(Tasks!$K:$K,ROW()-1))</f>
        <v/>
      </c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  <c r="AH224" s="18"/>
      <c r="AI224" s="18"/>
      <c r="AJ224" s="18"/>
      <c r="AK224" s="18"/>
      <c r="AL224" s="18"/>
      <c r="AM224" s="18"/>
      <c r="AN224" s="18"/>
      <c r="AO224" s="18"/>
      <c r="AP224" s="18"/>
      <c r="AQ224" s="18"/>
      <c r="AR224" s="18"/>
      <c r="AS224" s="18"/>
      <c r="AT224" s="18"/>
      <c r="AU224" s="18"/>
      <c r="AV224" s="18"/>
      <c r="AW224" s="18"/>
      <c r="AX224" s="18"/>
    </row>
    <row r="225" customFormat="false" ht="15" hidden="false" customHeight="false" outlineLevel="0" collapsed="false">
      <c r="A225" s="16" t="str">
        <f aca="false">IF(INDEX(Tasks!$A:$A,ROW()-1)="","",INDEX(Tasks!$A:$A,ROW()-1))</f>
        <v/>
      </c>
      <c r="B225" s="16" t="str">
        <f aca="false">IF(INDEX(Tasks!$A:$A,ROW()-1)="","",IF(ISERROR(FIND(".",INDEX(Tasks!$A:$A,ROW()-1))),"","   ")&amp;INDEX(Tasks!$D:$D,ROW()-1))</f>
        <v/>
      </c>
      <c r="C225" s="16" t="str">
        <f aca="false">IF(INDEX(Tasks!$G:$G,ROW()-1)="","",INDEX(Tasks!$G:$G,ROW()-1))</f>
        <v/>
      </c>
      <c r="D225" s="16" t="str">
        <f aca="false">IF(INDEX(Tasks!$H:$H,ROW()-1)="","",INDEX(Tasks!$H:$H,ROW()-1))</f>
        <v/>
      </c>
      <c r="E225" s="17" t="str">
        <f aca="false">IF(INDEX(Tasks!$I:$I,ROW()-1)="","",INDEX(Tasks!$I:$I,ROW()-1))</f>
        <v/>
      </c>
      <c r="F225" s="17" t="str">
        <f aca="false">IF(INDEX(Tasks!$K:$K,ROW()-1)="","",INDEX(Tasks!$K:$K,ROW()-1))</f>
        <v/>
      </c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  <c r="AG225" s="18"/>
      <c r="AH225" s="18"/>
      <c r="AI225" s="18"/>
      <c r="AJ225" s="18"/>
      <c r="AK225" s="18"/>
      <c r="AL225" s="18"/>
      <c r="AM225" s="18"/>
      <c r="AN225" s="18"/>
      <c r="AO225" s="18"/>
      <c r="AP225" s="18"/>
      <c r="AQ225" s="18"/>
      <c r="AR225" s="18"/>
      <c r="AS225" s="18"/>
      <c r="AT225" s="18"/>
      <c r="AU225" s="18"/>
      <c r="AV225" s="18"/>
      <c r="AW225" s="18"/>
      <c r="AX225" s="18"/>
    </row>
    <row r="226" customFormat="false" ht="15" hidden="false" customHeight="false" outlineLevel="0" collapsed="false">
      <c r="A226" s="16" t="str">
        <f aca="false">IF(INDEX(Tasks!$A:$A,ROW()-1)="","",INDEX(Tasks!$A:$A,ROW()-1))</f>
        <v/>
      </c>
      <c r="B226" s="16" t="str">
        <f aca="false">IF(INDEX(Tasks!$A:$A,ROW()-1)="","",IF(ISERROR(FIND(".",INDEX(Tasks!$A:$A,ROW()-1))),"","   ")&amp;INDEX(Tasks!$D:$D,ROW()-1))</f>
        <v/>
      </c>
      <c r="C226" s="16" t="str">
        <f aca="false">IF(INDEX(Tasks!$G:$G,ROW()-1)="","",INDEX(Tasks!$G:$G,ROW()-1))</f>
        <v/>
      </c>
      <c r="D226" s="16" t="str">
        <f aca="false">IF(INDEX(Tasks!$H:$H,ROW()-1)="","",INDEX(Tasks!$H:$H,ROW()-1))</f>
        <v/>
      </c>
      <c r="E226" s="17" t="str">
        <f aca="false">IF(INDEX(Tasks!$I:$I,ROW()-1)="","",INDEX(Tasks!$I:$I,ROW()-1))</f>
        <v/>
      </c>
      <c r="F226" s="17" t="str">
        <f aca="false">IF(INDEX(Tasks!$K:$K,ROW()-1)="","",INDEX(Tasks!$K:$K,ROW()-1))</f>
        <v/>
      </c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  <c r="AG226" s="18"/>
      <c r="AH226" s="18"/>
      <c r="AI226" s="18"/>
      <c r="AJ226" s="18"/>
      <c r="AK226" s="18"/>
      <c r="AL226" s="18"/>
      <c r="AM226" s="18"/>
      <c r="AN226" s="18"/>
      <c r="AO226" s="18"/>
      <c r="AP226" s="18"/>
      <c r="AQ226" s="18"/>
      <c r="AR226" s="18"/>
      <c r="AS226" s="18"/>
      <c r="AT226" s="18"/>
      <c r="AU226" s="18"/>
      <c r="AV226" s="18"/>
      <c r="AW226" s="18"/>
      <c r="AX226" s="18"/>
    </row>
    <row r="227" customFormat="false" ht="15" hidden="false" customHeight="false" outlineLevel="0" collapsed="false">
      <c r="A227" s="16" t="str">
        <f aca="false">IF(INDEX(Tasks!$A:$A,ROW()-1)="","",INDEX(Tasks!$A:$A,ROW()-1))</f>
        <v/>
      </c>
      <c r="B227" s="16" t="str">
        <f aca="false">IF(INDEX(Tasks!$A:$A,ROW()-1)="","",IF(ISERROR(FIND(".",INDEX(Tasks!$A:$A,ROW()-1))),"","   ")&amp;INDEX(Tasks!$D:$D,ROW()-1))</f>
        <v/>
      </c>
      <c r="C227" s="16" t="str">
        <f aca="false">IF(INDEX(Tasks!$G:$G,ROW()-1)="","",INDEX(Tasks!$G:$G,ROW()-1))</f>
        <v/>
      </c>
      <c r="D227" s="16" t="str">
        <f aca="false">IF(INDEX(Tasks!$H:$H,ROW()-1)="","",INDEX(Tasks!$H:$H,ROW()-1))</f>
        <v/>
      </c>
      <c r="E227" s="17" t="str">
        <f aca="false">IF(INDEX(Tasks!$I:$I,ROW()-1)="","",INDEX(Tasks!$I:$I,ROW()-1))</f>
        <v/>
      </c>
      <c r="F227" s="17" t="str">
        <f aca="false">IF(INDEX(Tasks!$K:$K,ROW()-1)="","",INDEX(Tasks!$K:$K,ROW()-1))</f>
        <v/>
      </c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  <c r="AG227" s="18"/>
      <c r="AH227" s="18"/>
      <c r="AI227" s="18"/>
      <c r="AJ227" s="18"/>
      <c r="AK227" s="18"/>
      <c r="AL227" s="18"/>
      <c r="AM227" s="18"/>
      <c r="AN227" s="18"/>
      <c r="AO227" s="18"/>
      <c r="AP227" s="18"/>
      <c r="AQ227" s="18"/>
      <c r="AR227" s="18"/>
      <c r="AS227" s="18"/>
      <c r="AT227" s="18"/>
      <c r="AU227" s="18"/>
      <c r="AV227" s="18"/>
      <c r="AW227" s="18"/>
      <c r="AX227" s="18"/>
    </row>
    <row r="228" customFormat="false" ht="15" hidden="false" customHeight="false" outlineLevel="0" collapsed="false">
      <c r="A228" s="16" t="str">
        <f aca="false">IF(INDEX(Tasks!$A:$A,ROW()-1)="","",INDEX(Tasks!$A:$A,ROW()-1))</f>
        <v/>
      </c>
      <c r="B228" s="16" t="str">
        <f aca="false">IF(INDEX(Tasks!$A:$A,ROW()-1)="","",IF(ISERROR(FIND(".",INDEX(Tasks!$A:$A,ROW()-1))),"","   ")&amp;INDEX(Tasks!$D:$D,ROW()-1))</f>
        <v/>
      </c>
      <c r="C228" s="16" t="str">
        <f aca="false">IF(INDEX(Tasks!$G:$G,ROW()-1)="","",INDEX(Tasks!$G:$G,ROW()-1))</f>
        <v/>
      </c>
      <c r="D228" s="16" t="str">
        <f aca="false">IF(INDEX(Tasks!$H:$H,ROW()-1)="","",INDEX(Tasks!$H:$H,ROW()-1))</f>
        <v/>
      </c>
      <c r="E228" s="17" t="str">
        <f aca="false">IF(INDEX(Tasks!$I:$I,ROW()-1)="","",INDEX(Tasks!$I:$I,ROW()-1))</f>
        <v/>
      </c>
      <c r="F228" s="17" t="str">
        <f aca="false">IF(INDEX(Tasks!$K:$K,ROW()-1)="","",INDEX(Tasks!$K:$K,ROW()-1))</f>
        <v/>
      </c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  <c r="AG228" s="18"/>
      <c r="AH228" s="18"/>
      <c r="AI228" s="18"/>
      <c r="AJ228" s="18"/>
      <c r="AK228" s="18"/>
      <c r="AL228" s="18"/>
      <c r="AM228" s="18"/>
      <c r="AN228" s="18"/>
      <c r="AO228" s="18"/>
      <c r="AP228" s="18"/>
      <c r="AQ228" s="18"/>
      <c r="AR228" s="18"/>
      <c r="AS228" s="18"/>
      <c r="AT228" s="18"/>
      <c r="AU228" s="18"/>
      <c r="AV228" s="18"/>
      <c r="AW228" s="18"/>
      <c r="AX228" s="18"/>
    </row>
    <row r="229" customFormat="false" ht="15" hidden="false" customHeight="false" outlineLevel="0" collapsed="false">
      <c r="A229" s="16" t="str">
        <f aca="false">IF(INDEX(Tasks!$A:$A,ROW()-1)="","",INDEX(Tasks!$A:$A,ROW()-1))</f>
        <v/>
      </c>
      <c r="B229" s="16" t="str">
        <f aca="false">IF(INDEX(Tasks!$A:$A,ROW()-1)="","",IF(ISERROR(FIND(".",INDEX(Tasks!$A:$A,ROW()-1))),"","   ")&amp;INDEX(Tasks!$D:$D,ROW()-1))</f>
        <v/>
      </c>
      <c r="C229" s="16" t="str">
        <f aca="false">IF(INDEX(Tasks!$G:$G,ROW()-1)="","",INDEX(Tasks!$G:$G,ROW()-1))</f>
        <v/>
      </c>
      <c r="D229" s="16" t="str">
        <f aca="false">IF(INDEX(Tasks!$H:$H,ROW()-1)="","",INDEX(Tasks!$H:$H,ROW()-1))</f>
        <v/>
      </c>
      <c r="E229" s="17" t="str">
        <f aca="false">IF(INDEX(Tasks!$I:$I,ROW()-1)="","",INDEX(Tasks!$I:$I,ROW()-1))</f>
        <v/>
      </c>
      <c r="F229" s="17" t="str">
        <f aca="false">IF(INDEX(Tasks!$K:$K,ROW()-1)="","",INDEX(Tasks!$K:$K,ROW()-1))</f>
        <v/>
      </c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  <c r="AG229" s="18"/>
      <c r="AH229" s="18"/>
      <c r="AI229" s="18"/>
      <c r="AJ229" s="18"/>
      <c r="AK229" s="18"/>
      <c r="AL229" s="18"/>
      <c r="AM229" s="18"/>
      <c r="AN229" s="18"/>
      <c r="AO229" s="18"/>
      <c r="AP229" s="18"/>
      <c r="AQ229" s="18"/>
      <c r="AR229" s="18"/>
      <c r="AS229" s="18"/>
      <c r="AT229" s="18"/>
      <c r="AU229" s="18"/>
      <c r="AV229" s="18"/>
      <c r="AW229" s="18"/>
      <c r="AX229" s="18"/>
    </row>
    <row r="230" customFormat="false" ht="15" hidden="false" customHeight="false" outlineLevel="0" collapsed="false">
      <c r="A230" s="16" t="str">
        <f aca="false">IF(INDEX(Tasks!$A:$A,ROW()-1)="","",INDEX(Tasks!$A:$A,ROW()-1))</f>
        <v/>
      </c>
      <c r="B230" s="16" t="str">
        <f aca="false">IF(INDEX(Tasks!$A:$A,ROW()-1)="","",IF(ISERROR(FIND(".",INDEX(Tasks!$A:$A,ROW()-1))),"","   ")&amp;INDEX(Tasks!$D:$D,ROW()-1))</f>
        <v/>
      </c>
      <c r="C230" s="16" t="str">
        <f aca="false">IF(INDEX(Tasks!$G:$G,ROW()-1)="","",INDEX(Tasks!$G:$G,ROW()-1))</f>
        <v/>
      </c>
      <c r="D230" s="16" t="str">
        <f aca="false">IF(INDEX(Tasks!$H:$H,ROW()-1)="","",INDEX(Tasks!$H:$H,ROW()-1))</f>
        <v/>
      </c>
      <c r="E230" s="17" t="str">
        <f aca="false">IF(INDEX(Tasks!$I:$I,ROW()-1)="","",INDEX(Tasks!$I:$I,ROW()-1))</f>
        <v/>
      </c>
      <c r="F230" s="17" t="str">
        <f aca="false">IF(INDEX(Tasks!$K:$K,ROW()-1)="","",INDEX(Tasks!$K:$K,ROW()-1))</f>
        <v/>
      </c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  <c r="AG230" s="18"/>
      <c r="AH230" s="18"/>
      <c r="AI230" s="18"/>
      <c r="AJ230" s="18"/>
      <c r="AK230" s="18"/>
      <c r="AL230" s="18"/>
      <c r="AM230" s="18"/>
      <c r="AN230" s="18"/>
      <c r="AO230" s="18"/>
      <c r="AP230" s="18"/>
      <c r="AQ230" s="18"/>
      <c r="AR230" s="18"/>
      <c r="AS230" s="18"/>
      <c r="AT230" s="18"/>
      <c r="AU230" s="18"/>
      <c r="AV230" s="18"/>
      <c r="AW230" s="18"/>
      <c r="AX230" s="18"/>
    </row>
    <row r="231" customFormat="false" ht="15" hidden="false" customHeight="false" outlineLevel="0" collapsed="false">
      <c r="A231" s="16" t="str">
        <f aca="false">IF(INDEX(Tasks!$A:$A,ROW()-1)="","",INDEX(Tasks!$A:$A,ROW()-1))</f>
        <v/>
      </c>
      <c r="B231" s="16" t="str">
        <f aca="false">IF(INDEX(Tasks!$A:$A,ROW()-1)="","",IF(ISERROR(FIND(".",INDEX(Tasks!$A:$A,ROW()-1))),"","   ")&amp;INDEX(Tasks!$D:$D,ROW()-1))</f>
        <v/>
      </c>
      <c r="C231" s="16" t="str">
        <f aca="false">IF(INDEX(Tasks!$G:$G,ROW()-1)="","",INDEX(Tasks!$G:$G,ROW()-1))</f>
        <v/>
      </c>
      <c r="D231" s="16" t="str">
        <f aca="false">IF(INDEX(Tasks!$H:$H,ROW()-1)="","",INDEX(Tasks!$H:$H,ROW()-1))</f>
        <v/>
      </c>
      <c r="E231" s="17" t="str">
        <f aca="false">IF(INDEX(Tasks!$I:$I,ROW()-1)="","",INDEX(Tasks!$I:$I,ROW()-1))</f>
        <v/>
      </c>
      <c r="F231" s="17" t="str">
        <f aca="false">IF(INDEX(Tasks!$K:$K,ROW()-1)="","",INDEX(Tasks!$K:$K,ROW()-1))</f>
        <v/>
      </c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  <c r="AG231" s="18"/>
      <c r="AH231" s="18"/>
      <c r="AI231" s="18"/>
      <c r="AJ231" s="18"/>
      <c r="AK231" s="18"/>
      <c r="AL231" s="18"/>
      <c r="AM231" s="18"/>
      <c r="AN231" s="18"/>
      <c r="AO231" s="18"/>
      <c r="AP231" s="18"/>
      <c r="AQ231" s="18"/>
      <c r="AR231" s="18"/>
      <c r="AS231" s="18"/>
      <c r="AT231" s="18"/>
      <c r="AU231" s="18"/>
      <c r="AV231" s="18"/>
      <c r="AW231" s="18"/>
      <c r="AX231" s="18"/>
    </row>
    <row r="232" customFormat="false" ht="15" hidden="false" customHeight="false" outlineLevel="0" collapsed="false">
      <c r="A232" s="16" t="str">
        <f aca="false">IF(INDEX(Tasks!$A:$A,ROW()-1)="","",INDEX(Tasks!$A:$A,ROW()-1))</f>
        <v/>
      </c>
      <c r="B232" s="16" t="str">
        <f aca="false">IF(INDEX(Tasks!$A:$A,ROW()-1)="","",IF(ISERROR(FIND(".",INDEX(Tasks!$A:$A,ROW()-1))),"","   ")&amp;INDEX(Tasks!$D:$D,ROW()-1))</f>
        <v/>
      </c>
      <c r="C232" s="16" t="str">
        <f aca="false">IF(INDEX(Tasks!$G:$G,ROW()-1)="","",INDEX(Tasks!$G:$G,ROW()-1))</f>
        <v/>
      </c>
      <c r="D232" s="16" t="str">
        <f aca="false">IF(INDEX(Tasks!$H:$H,ROW()-1)="","",INDEX(Tasks!$H:$H,ROW()-1))</f>
        <v/>
      </c>
      <c r="E232" s="17" t="str">
        <f aca="false">IF(INDEX(Tasks!$I:$I,ROW()-1)="","",INDEX(Tasks!$I:$I,ROW()-1))</f>
        <v/>
      </c>
      <c r="F232" s="17" t="str">
        <f aca="false">IF(INDEX(Tasks!$K:$K,ROW()-1)="","",INDEX(Tasks!$K:$K,ROW()-1))</f>
        <v/>
      </c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  <c r="AG232" s="18"/>
      <c r="AH232" s="18"/>
      <c r="AI232" s="18"/>
      <c r="AJ232" s="18"/>
      <c r="AK232" s="18"/>
      <c r="AL232" s="18"/>
      <c r="AM232" s="18"/>
      <c r="AN232" s="18"/>
      <c r="AO232" s="18"/>
      <c r="AP232" s="18"/>
      <c r="AQ232" s="18"/>
      <c r="AR232" s="18"/>
      <c r="AS232" s="18"/>
      <c r="AT232" s="18"/>
      <c r="AU232" s="18"/>
      <c r="AV232" s="18"/>
      <c r="AW232" s="18"/>
      <c r="AX232" s="18"/>
    </row>
    <row r="233" customFormat="false" ht="15" hidden="false" customHeight="false" outlineLevel="0" collapsed="false">
      <c r="A233" s="16" t="str">
        <f aca="false">IF(INDEX(Tasks!$A:$A,ROW()-1)="","",INDEX(Tasks!$A:$A,ROW()-1))</f>
        <v/>
      </c>
      <c r="B233" s="16" t="str">
        <f aca="false">IF(INDEX(Tasks!$A:$A,ROW()-1)="","",IF(ISERROR(FIND(".",INDEX(Tasks!$A:$A,ROW()-1))),"","   ")&amp;INDEX(Tasks!$D:$D,ROW()-1))</f>
        <v/>
      </c>
      <c r="C233" s="16" t="str">
        <f aca="false">IF(INDEX(Tasks!$G:$G,ROW()-1)="","",INDEX(Tasks!$G:$G,ROW()-1))</f>
        <v/>
      </c>
      <c r="D233" s="16" t="str">
        <f aca="false">IF(INDEX(Tasks!$H:$H,ROW()-1)="","",INDEX(Tasks!$H:$H,ROW()-1))</f>
        <v/>
      </c>
      <c r="E233" s="17" t="str">
        <f aca="false">IF(INDEX(Tasks!$I:$I,ROW()-1)="","",INDEX(Tasks!$I:$I,ROW()-1))</f>
        <v/>
      </c>
      <c r="F233" s="17" t="str">
        <f aca="false">IF(INDEX(Tasks!$K:$K,ROW()-1)="","",INDEX(Tasks!$K:$K,ROW()-1))</f>
        <v/>
      </c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  <c r="AG233" s="18"/>
      <c r="AH233" s="18"/>
      <c r="AI233" s="18"/>
      <c r="AJ233" s="18"/>
      <c r="AK233" s="18"/>
      <c r="AL233" s="18"/>
      <c r="AM233" s="18"/>
      <c r="AN233" s="18"/>
      <c r="AO233" s="18"/>
      <c r="AP233" s="18"/>
      <c r="AQ233" s="18"/>
      <c r="AR233" s="18"/>
      <c r="AS233" s="18"/>
      <c r="AT233" s="18"/>
      <c r="AU233" s="18"/>
      <c r="AV233" s="18"/>
      <c r="AW233" s="18"/>
      <c r="AX233" s="18"/>
    </row>
    <row r="234" customFormat="false" ht="15" hidden="false" customHeight="false" outlineLevel="0" collapsed="false">
      <c r="A234" s="16" t="str">
        <f aca="false">IF(INDEX(Tasks!$A:$A,ROW()-1)="","",INDEX(Tasks!$A:$A,ROW()-1))</f>
        <v/>
      </c>
      <c r="B234" s="16" t="str">
        <f aca="false">IF(INDEX(Tasks!$A:$A,ROW()-1)="","",IF(ISERROR(FIND(".",INDEX(Tasks!$A:$A,ROW()-1))),"","   ")&amp;INDEX(Tasks!$D:$D,ROW()-1))</f>
        <v/>
      </c>
      <c r="C234" s="16" t="str">
        <f aca="false">IF(INDEX(Tasks!$G:$G,ROW()-1)="","",INDEX(Tasks!$G:$G,ROW()-1))</f>
        <v/>
      </c>
      <c r="D234" s="16" t="str">
        <f aca="false">IF(INDEX(Tasks!$H:$H,ROW()-1)="","",INDEX(Tasks!$H:$H,ROW()-1))</f>
        <v/>
      </c>
      <c r="E234" s="17" t="str">
        <f aca="false">IF(INDEX(Tasks!$I:$I,ROW()-1)="","",INDEX(Tasks!$I:$I,ROW()-1))</f>
        <v/>
      </c>
      <c r="F234" s="17" t="str">
        <f aca="false">IF(INDEX(Tasks!$K:$K,ROW()-1)="","",INDEX(Tasks!$K:$K,ROW()-1))</f>
        <v/>
      </c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  <c r="AG234" s="18"/>
      <c r="AH234" s="18"/>
      <c r="AI234" s="18"/>
      <c r="AJ234" s="18"/>
      <c r="AK234" s="18"/>
      <c r="AL234" s="18"/>
      <c r="AM234" s="18"/>
      <c r="AN234" s="18"/>
      <c r="AO234" s="18"/>
      <c r="AP234" s="18"/>
      <c r="AQ234" s="18"/>
      <c r="AR234" s="18"/>
      <c r="AS234" s="18"/>
      <c r="AT234" s="18"/>
      <c r="AU234" s="18"/>
      <c r="AV234" s="18"/>
      <c r="AW234" s="18"/>
      <c r="AX234" s="18"/>
    </row>
    <row r="235" customFormat="false" ht="15" hidden="false" customHeight="false" outlineLevel="0" collapsed="false">
      <c r="A235" s="16" t="str">
        <f aca="false">IF(INDEX(Tasks!$A:$A,ROW()-1)="","",INDEX(Tasks!$A:$A,ROW()-1))</f>
        <v/>
      </c>
      <c r="B235" s="16" t="str">
        <f aca="false">IF(INDEX(Tasks!$A:$A,ROW()-1)="","",IF(ISERROR(FIND(".",INDEX(Tasks!$A:$A,ROW()-1))),"","   ")&amp;INDEX(Tasks!$D:$D,ROW()-1))</f>
        <v/>
      </c>
      <c r="C235" s="16" t="str">
        <f aca="false">IF(INDEX(Tasks!$G:$G,ROW()-1)="","",INDEX(Tasks!$G:$G,ROW()-1))</f>
        <v/>
      </c>
      <c r="D235" s="16" t="str">
        <f aca="false">IF(INDEX(Tasks!$H:$H,ROW()-1)="","",INDEX(Tasks!$H:$H,ROW()-1))</f>
        <v/>
      </c>
      <c r="E235" s="17" t="str">
        <f aca="false">IF(INDEX(Tasks!$I:$I,ROW()-1)="","",INDEX(Tasks!$I:$I,ROW()-1))</f>
        <v/>
      </c>
      <c r="F235" s="17" t="str">
        <f aca="false">IF(INDEX(Tasks!$K:$K,ROW()-1)="","",INDEX(Tasks!$K:$K,ROW()-1))</f>
        <v/>
      </c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  <c r="AG235" s="18"/>
      <c r="AH235" s="18"/>
      <c r="AI235" s="18"/>
      <c r="AJ235" s="18"/>
      <c r="AK235" s="18"/>
      <c r="AL235" s="18"/>
      <c r="AM235" s="18"/>
      <c r="AN235" s="18"/>
      <c r="AO235" s="18"/>
      <c r="AP235" s="18"/>
      <c r="AQ235" s="18"/>
      <c r="AR235" s="18"/>
      <c r="AS235" s="18"/>
      <c r="AT235" s="18"/>
      <c r="AU235" s="18"/>
      <c r="AV235" s="18"/>
      <c r="AW235" s="18"/>
      <c r="AX235" s="18"/>
    </row>
    <row r="236" customFormat="false" ht="15" hidden="false" customHeight="false" outlineLevel="0" collapsed="false">
      <c r="A236" s="16" t="str">
        <f aca="false">IF(INDEX(Tasks!$A:$A,ROW()-1)="","",INDEX(Tasks!$A:$A,ROW()-1))</f>
        <v/>
      </c>
      <c r="B236" s="16" t="str">
        <f aca="false">IF(INDEX(Tasks!$A:$A,ROW()-1)="","",IF(ISERROR(FIND(".",INDEX(Tasks!$A:$A,ROW()-1))),"","   ")&amp;INDEX(Tasks!$D:$D,ROW()-1))</f>
        <v/>
      </c>
      <c r="C236" s="16" t="str">
        <f aca="false">IF(INDEX(Tasks!$G:$G,ROW()-1)="","",INDEX(Tasks!$G:$G,ROW()-1))</f>
        <v/>
      </c>
      <c r="D236" s="16" t="str">
        <f aca="false">IF(INDEX(Tasks!$H:$H,ROW()-1)="","",INDEX(Tasks!$H:$H,ROW()-1))</f>
        <v/>
      </c>
      <c r="E236" s="17" t="str">
        <f aca="false">IF(INDEX(Tasks!$I:$I,ROW()-1)="","",INDEX(Tasks!$I:$I,ROW()-1))</f>
        <v/>
      </c>
      <c r="F236" s="17" t="str">
        <f aca="false">IF(INDEX(Tasks!$K:$K,ROW()-1)="","",INDEX(Tasks!$K:$K,ROW()-1))</f>
        <v/>
      </c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  <c r="AG236" s="18"/>
      <c r="AH236" s="18"/>
      <c r="AI236" s="18"/>
      <c r="AJ236" s="18"/>
      <c r="AK236" s="18"/>
      <c r="AL236" s="18"/>
      <c r="AM236" s="18"/>
      <c r="AN236" s="18"/>
      <c r="AO236" s="18"/>
      <c r="AP236" s="18"/>
      <c r="AQ236" s="18"/>
      <c r="AR236" s="18"/>
      <c r="AS236" s="18"/>
      <c r="AT236" s="18"/>
      <c r="AU236" s="18"/>
      <c r="AV236" s="18"/>
      <c r="AW236" s="18"/>
      <c r="AX236" s="18"/>
    </row>
    <row r="237" customFormat="false" ht="15" hidden="false" customHeight="false" outlineLevel="0" collapsed="false">
      <c r="A237" s="16" t="str">
        <f aca="false">IF(INDEX(Tasks!$A:$A,ROW()-1)="","",INDEX(Tasks!$A:$A,ROW()-1))</f>
        <v/>
      </c>
      <c r="B237" s="16" t="str">
        <f aca="false">IF(INDEX(Tasks!$A:$A,ROW()-1)="","",IF(ISERROR(FIND(".",INDEX(Tasks!$A:$A,ROW()-1))),"","   ")&amp;INDEX(Tasks!$D:$D,ROW()-1))</f>
        <v/>
      </c>
      <c r="C237" s="16" t="str">
        <f aca="false">IF(INDEX(Tasks!$G:$G,ROW()-1)="","",INDEX(Tasks!$G:$G,ROW()-1))</f>
        <v/>
      </c>
      <c r="D237" s="16" t="str">
        <f aca="false">IF(INDEX(Tasks!$H:$H,ROW()-1)="","",INDEX(Tasks!$H:$H,ROW()-1))</f>
        <v/>
      </c>
      <c r="E237" s="17" t="str">
        <f aca="false">IF(INDEX(Tasks!$I:$I,ROW()-1)="","",INDEX(Tasks!$I:$I,ROW()-1))</f>
        <v/>
      </c>
      <c r="F237" s="17" t="str">
        <f aca="false">IF(INDEX(Tasks!$K:$K,ROW()-1)="","",INDEX(Tasks!$K:$K,ROW()-1))</f>
        <v/>
      </c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  <c r="AG237" s="18"/>
      <c r="AH237" s="18"/>
      <c r="AI237" s="18"/>
      <c r="AJ237" s="18"/>
      <c r="AK237" s="18"/>
      <c r="AL237" s="18"/>
      <c r="AM237" s="18"/>
      <c r="AN237" s="18"/>
      <c r="AO237" s="18"/>
      <c r="AP237" s="18"/>
      <c r="AQ237" s="18"/>
      <c r="AR237" s="18"/>
      <c r="AS237" s="18"/>
      <c r="AT237" s="18"/>
      <c r="AU237" s="18"/>
      <c r="AV237" s="18"/>
      <c r="AW237" s="18"/>
      <c r="AX237" s="18"/>
    </row>
    <row r="238" customFormat="false" ht="15" hidden="false" customHeight="false" outlineLevel="0" collapsed="false">
      <c r="A238" s="16" t="str">
        <f aca="false">IF(INDEX(Tasks!$A:$A,ROW()-1)="","",INDEX(Tasks!$A:$A,ROW()-1))</f>
        <v/>
      </c>
      <c r="B238" s="16" t="str">
        <f aca="false">IF(INDEX(Tasks!$A:$A,ROW()-1)="","",IF(ISERROR(FIND(".",INDEX(Tasks!$A:$A,ROW()-1))),"","   ")&amp;INDEX(Tasks!$D:$D,ROW()-1))</f>
        <v/>
      </c>
      <c r="C238" s="16" t="str">
        <f aca="false">IF(INDEX(Tasks!$G:$G,ROW()-1)="","",INDEX(Tasks!$G:$G,ROW()-1))</f>
        <v/>
      </c>
      <c r="D238" s="16" t="str">
        <f aca="false">IF(INDEX(Tasks!$H:$H,ROW()-1)="","",INDEX(Tasks!$H:$H,ROW()-1))</f>
        <v/>
      </c>
      <c r="E238" s="17" t="str">
        <f aca="false">IF(INDEX(Tasks!$I:$I,ROW()-1)="","",INDEX(Tasks!$I:$I,ROW()-1))</f>
        <v/>
      </c>
      <c r="F238" s="17" t="str">
        <f aca="false">IF(INDEX(Tasks!$K:$K,ROW()-1)="","",INDEX(Tasks!$K:$K,ROW()-1))</f>
        <v/>
      </c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  <c r="AG238" s="18"/>
      <c r="AH238" s="18"/>
      <c r="AI238" s="18"/>
      <c r="AJ238" s="18"/>
      <c r="AK238" s="18"/>
      <c r="AL238" s="18"/>
      <c r="AM238" s="18"/>
      <c r="AN238" s="18"/>
      <c r="AO238" s="18"/>
      <c r="AP238" s="18"/>
      <c r="AQ238" s="18"/>
      <c r="AR238" s="18"/>
      <c r="AS238" s="18"/>
      <c r="AT238" s="18"/>
      <c r="AU238" s="18"/>
      <c r="AV238" s="18"/>
      <c r="AW238" s="18"/>
      <c r="AX238" s="18"/>
    </row>
    <row r="239" customFormat="false" ht="15" hidden="false" customHeight="false" outlineLevel="0" collapsed="false">
      <c r="A239" s="16" t="str">
        <f aca="false">IF(INDEX(Tasks!$A:$A,ROW()-1)="","",INDEX(Tasks!$A:$A,ROW()-1))</f>
        <v/>
      </c>
      <c r="B239" s="16" t="str">
        <f aca="false">IF(INDEX(Tasks!$A:$A,ROW()-1)="","",IF(ISERROR(FIND(".",INDEX(Tasks!$A:$A,ROW()-1))),"","   ")&amp;INDEX(Tasks!$D:$D,ROW()-1))</f>
        <v/>
      </c>
      <c r="C239" s="16" t="str">
        <f aca="false">IF(INDEX(Tasks!$G:$G,ROW()-1)="","",INDEX(Tasks!$G:$G,ROW()-1))</f>
        <v/>
      </c>
      <c r="D239" s="16" t="str">
        <f aca="false">IF(INDEX(Tasks!$H:$H,ROW()-1)="","",INDEX(Tasks!$H:$H,ROW()-1))</f>
        <v/>
      </c>
      <c r="E239" s="17" t="str">
        <f aca="false">IF(INDEX(Tasks!$I:$I,ROW()-1)="","",INDEX(Tasks!$I:$I,ROW()-1))</f>
        <v/>
      </c>
      <c r="F239" s="17" t="str">
        <f aca="false">IF(INDEX(Tasks!$K:$K,ROW()-1)="","",INDEX(Tasks!$K:$K,ROW()-1))</f>
        <v/>
      </c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  <c r="AG239" s="18"/>
      <c r="AH239" s="18"/>
      <c r="AI239" s="18"/>
      <c r="AJ239" s="18"/>
      <c r="AK239" s="18"/>
      <c r="AL239" s="18"/>
      <c r="AM239" s="18"/>
      <c r="AN239" s="18"/>
      <c r="AO239" s="18"/>
      <c r="AP239" s="18"/>
      <c r="AQ239" s="18"/>
      <c r="AR239" s="18"/>
      <c r="AS239" s="18"/>
      <c r="AT239" s="18"/>
      <c r="AU239" s="18"/>
      <c r="AV239" s="18"/>
      <c r="AW239" s="18"/>
      <c r="AX239" s="18"/>
    </row>
    <row r="240" customFormat="false" ht="15" hidden="false" customHeight="false" outlineLevel="0" collapsed="false">
      <c r="A240" s="16" t="str">
        <f aca="false">IF(INDEX(Tasks!$A:$A,ROW()-1)="","",INDEX(Tasks!$A:$A,ROW()-1))</f>
        <v/>
      </c>
      <c r="B240" s="16" t="str">
        <f aca="false">IF(INDEX(Tasks!$A:$A,ROW()-1)="","",IF(ISERROR(FIND(".",INDEX(Tasks!$A:$A,ROW()-1))),"","   ")&amp;INDEX(Tasks!$D:$D,ROW()-1))</f>
        <v/>
      </c>
      <c r="C240" s="16" t="str">
        <f aca="false">IF(INDEX(Tasks!$G:$G,ROW()-1)="","",INDEX(Tasks!$G:$G,ROW()-1))</f>
        <v/>
      </c>
      <c r="D240" s="16" t="str">
        <f aca="false">IF(INDEX(Tasks!$H:$H,ROW()-1)="","",INDEX(Tasks!$H:$H,ROW()-1))</f>
        <v/>
      </c>
      <c r="E240" s="17" t="str">
        <f aca="false">IF(INDEX(Tasks!$I:$I,ROW()-1)="","",INDEX(Tasks!$I:$I,ROW()-1))</f>
        <v/>
      </c>
      <c r="F240" s="17" t="str">
        <f aca="false">IF(INDEX(Tasks!$K:$K,ROW()-1)="","",INDEX(Tasks!$K:$K,ROW()-1))</f>
        <v/>
      </c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  <c r="AG240" s="18"/>
      <c r="AH240" s="18"/>
      <c r="AI240" s="18"/>
      <c r="AJ240" s="18"/>
      <c r="AK240" s="18"/>
      <c r="AL240" s="18"/>
      <c r="AM240" s="18"/>
      <c r="AN240" s="18"/>
      <c r="AO240" s="18"/>
      <c r="AP240" s="18"/>
      <c r="AQ240" s="18"/>
      <c r="AR240" s="18"/>
      <c r="AS240" s="18"/>
      <c r="AT240" s="18"/>
      <c r="AU240" s="18"/>
      <c r="AV240" s="18"/>
      <c r="AW240" s="18"/>
      <c r="AX240" s="18"/>
    </row>
    <row r="241" customFormat="false" ht="15" hidden="false" customHeight="false" outlineLevel="0" collapsed="false">
      <c r="A241" s="16" t="str">
        <f aca="false">IF(INDEX(Tasks!$A:$A,ROW()-1)="","",INDEX(Tasks!$A:$A,ROW()-1))</f>
        <v/>
      </c>
      <c r="B241" s="16" t="str">
        <f aca="false">IF(INDEX(Tasks!$A:$A,ROW()-1)="","",IF(ISERROR(FIND(".",INDEX(Tasks!$A:$A,ROW()-1))),"","   ")&amp;INDEX(Tasks!$D:$D,ROW()-1))</f>
        <v/>
      </c>
      <c r="C241" s="16" t="str">
        <f aca="false">IF(INDEX(Tasks!$G:$G,ROW()-1)="","",INDEX(Tasks!$G:$G,ROW()-1))</f>
        <v/>
      </c>
      <c r="D241" s="16" t="str">
        <f aca="false">IF(INDEX(Tasks!$H:$H,ROW()-1)="","",INDEX(Tasks!$H:$H,ROW()-1))</f>
        <v/>
      </c>
      <c r="E241" s="17" t="str">
        <f aca="false">IF(INDEX(Tasks!$I:$I,ROW()-1)="","",INDEX(Tasks!$I:$I,ROW()-1))</f>
        <v/>
      </c>
      <c r="F241" s="17" t="str">
        <f aca="false">IF(INDEX(Tasks!$K:$K,ROW()-1)="","",INDEX(Tasks!$K:$K,ROW()-1))</f>
        <v/>
      </c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  <c r="AG241" s="18"/>
      <c r="AH241" s="18"/>
      <c r="AI241" s="18"/>
      <c r="AJ241" s="18"/>
      <c r="AK241" s="18"/>
      <c r="AL241" s="18"/>
      <c r="AM241" s="18"/>
      <c r="AN241" s="18"/>
      <c r="AO241" s="18"/>
      <c r="AP241" s="18"/>
      <c r="AQ241" s="18"/>
      <c r="AR241" s="18"/>
      <c r="AS241" s="18"/>
      <c r="AT241" s="18"/>
      <c r="AU241" s="18"/>
      <c r="AV241" s="18"/>
      <c r="AW241" s="18"/>
      <c r="AX241" s="18"/>
    </row>
    <row r="242" customFormat="false" ht="15" hidden="false" customHeight="false" outlineLevel="0" collapsed="false">
      <c r="A242" s="16" t="str">
        <f aca="false">IF(INDEX(Tasks!$A:$A,ROW()-1)="","",INDEX(Tasks!$A:$A,ROW()-1))</f>
        <v/>
      </c>
      <c r="B242" s="16" t="str">
        <f aca="false">IF(INDEX(Tasks!$A:$A,ROW()-1)="","",IF(ISERROR(FIND(".",INDEX(Tasks!$A:$A,ROW()-1))),"","   ")&amp;INDEX(Tasks!$D:$D,ROW()-1))</f>
        <v/>
      </c>
      <c r="C242" s="16" t="str">
        <f aca="false">IF(INDEX(Tasks!$G:$G,ROW()-1)="","",INDEX(Tasks!$G:$G,ROW()-1))</f>
        <v/>
      </c>
      <c r="D242" s="16" t="str">
        <f aca="false">IF(INDEX(Tasks!$H:$H,ROW()-1)="","",INDEX(Tasks!$H:$H,ROW()-1))</f>
        <v/>
      </c>
      <c r="E242" s="17" t="str">
        <f aca="false">IF(INDEX(Tasks!$I:$I,ROW()-1)="","",INDEX(Tasks!$I:$I,ROW()-1))</f>
        <v/>
      </c>
      <c r="F242" s="17" t="str">
        <f aca="false">IF(INDEX(Tasks!$K:$K,ROW()-1)="","",INDEX(Tasks!$K:$K,ROW()-1))</f>
        <v/>
      </c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  <c r="AG242" s="18"/>
      <c r="AH242" s="18"/>
      <c r="AI242" s="18"/>
      <c r="AJ242" s="18"/>
      <c r="AK242" s="18"/>
      <c r="AL242" s="18"/>
      <c r="AM242" s="18"/>
      <c r="AN242" s="18"/>
      <c r="AO242" s="18"/>
      <c r="AP242" s="18"/>
      <c r="AQ242" s="18"/>
      <c r="AR242" s="18"/>
      <c r="AS242" s="18"/>
      <c r="AT242" s="18"/>
      <c r="AU242" s="18"/>
      <c r="AV242" s="18"/>
      <c r="AW242" s="18"/>
      <c r="AX242" s="18"/>
    </row>
    <row r="243" customFormat="false" ht="15" hidden="false" customHeight="false" outlineLevel="0" collapsed="false">
      <c r="A243" s="16" t="str">
        <f aca="false">IF(INDEX(Tasks!$A:$A,ROW()-1)="","",INDEX(Tasks!$A:$A,ROW()-1))</f>
        <v/>
      </c>
      <c r="B243" s="16" t="str">
        <f aca="false">IF(INDEX(Tasks!$A:$A,ROW()-1)="","",IF(ISERROR(FIND(".",INDEX(Tasks!$A:$A,ROW()-1))),"","   ")&amp;INDEX(Tasks!$D:$D,ROW()-1))</f>
        <v/>
      </c>
      <c r="C243" s="16" t="str">
        <f aca="false">IF(INDEX(Tasks!$G:$G,ROW()-1)="","",INDEX(Tasks!$G:$G,ROW()-1))</f>
        <v/>
      </c>
      <c r="D243" s="16" t="str">
        <f aca="false">IF(INDEX(Tasks!$H:$H,ROW()-1)="","",INDEX(Tasks!$H:$H,ROW()-1))</f>
        <v/>
      </c>
      <c r="E243" s="17" t="str">
        <f aca="false">IF(INDEX(Tasks!$I:$I,ROW()-1)="","",INDEX(Tasks!$I:$I,ROW()-1))</f>
        <v/>
      </c>
      <c r="F243" s="17" t="str">
        <f aca="false">IF(INDEX(Tasks!$K:$K,ROW()-1)="","",INDEX(Tasks!$K:$K,ROW()-1))</f>
        <v/>
      </c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  <c r="AG243" s="18"/>
      <c r="AH243" s="18"/>
      <c r="AI243" s="18"/>
      <c r="AJ243" s="18"/>
      <c r="AK243" s="18"/>
      <c r="AL243" s="18"/>
      <c r="AM243" s="18"/>
      <c r="AN243" s="18"/>
      <c r="AO243" s="18"/>
      <c r="AP243" s="18"/>
      <c r="AQ243" s="18"/>
      <c r="AR243" s="18"/>
      <c r="AS243" s="18"/>
      <c r="AT243" s="18"/>
      <c r="AU243" s="18"/>
      <c r="AV243" s="18"/>
      <c r="AW243" s="18"/>
      <c r="AX243" s="18"/>
    </row>
    <row r="244" customFormat="false" ht="15" hidden="false" customHeight="false" outlineLevel="0" collapsed="false">
      <c r="A244" s="16" t="str">
        <f aca="false">IF(INDEX(Tasks!$A:$A,ROW()-1)="","",INDEX(Tasks!$A:$A,ROW()-1))</f>
        <v/>
      </c>
      <c r="B244" s="16" t="str">
        <f aca="false">IF(INDEX(Tasks!$A:$A,ROW()-1)="","",IF(ISERROR(FIND(".",INDEX(Tasks!$A:$A,ROW()-1))),"","   ")&amp;INDEX(Tasks!$D:$D,ROW()-1))</f>
        <v/>
      </c>
      <c r="C244" s="16" t="str">
        <f aca="false">IF(INDEX(Tasks!$G:$G,ROW()-1)="","",INDEX(Tasks!$G:$G,ROW()-1))</f>
        <v/>
      </c>
      <c r="D244" s="16" t="str">
        <f aca="false">IF(INDEX(Tasks!$H:$H,ROW()-1)="","",INDEX(Tasks!$H:$H,ROW()-1))</f>
        <v/>
      </c>
      <c r="E244" s="17" t="str">
        <f aca="false">IF(INDEX(Tasks!$I:$I,ROW()-1)="","",INDEX(Tasks!$I:$I,ROW()-1))</f>
        <v/>
      </c>
      <c r="F244" s="17" t="str">
        <f aca="false">IF(INDEX(Tasks!$K:$K,ROW()-1)="","",INDEX(Tasks!$K:$K,ROW()-1))</f>
        <v/>
      </c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  <c r="AG244" s="18"/>
      <c r="AH244" s="18"/>
      <c r="AI244" s="18"/>
      <c r="AJ244" s="18"/>
      <c r="AK244" s="18"/>
      <c r="AL244" s="18"/>
      <c r="AM244" s="18"/>
      <c r="AN244" s="18"/>
      <c r="AO244" s="18"/>
      <c r="AP244" s="18"/>
      <c r="AQ244" s="18"/>
      <c r="AR244" s="18"/>
      <c r="AS244" s="18"/>
      <c r="AT244" s="18"/>
      <c r="AU244" s="18"/>
      <c r="AV244" s="18"/>
      <c r="AW244" s="18"/>
      <c r="AX244" s="18"/>
    </row>
    <row r="245" customFormat="false" ht="15" hidden="false" customHeight="false" outlineLevel="0" collapsed="false">
      <c r="A245" s="16" t="str">
        <f aca="false">IF(INDEX(Tasks!$A:$A,ROW()-1)="","",INDEX(Tasks!$A:$A,ROW()-1))</f>
        <v/>
      </c>
      <c r="B245" s="16" t="str">
        <f aca="false">IF(INDEX(Tasks!$A:$A,ROW()-1)="","",IF(ISERROR(FIND(".",INDEX(Tasks!$A:$A,ROW()-1))),"","   ")&amp;INDEX(Tasks!$D:$D,ROW()-1))</f>
        <v/>
      </c>
      <c r="C245" s="16" t="str">
        <f aca="false">IF(INDEX(Tasks!$G:$G,ROW()-1)="","",INDEX(Tasks!$G:$G,ROW()-1))</f>
        <v/>
      </c>
      <c r="D245" s="16" t="str">
        <f aca="false">IF(INDEX(Tasks!$H:$H,ROW()-1)="","",INDEX(Tasks!$H:$H,ROW()-1))</f>
        <v/>
      </c>
      <c r="E245" s="17" t="str">
        <f aca="false">IF(INDEX(Tasks!$I:$I,ROW()-1)="","",INDEX(Tasks!$I:$I,ROW()-1))</f>
        <v/>
      </c>
      <c r="F245" s="17" t="str">
        <f aca="false">IF(INDEX(Tasks!$K:$K,ROW()-1)="","",INDEX(Tasks!$K:$K,ROW()-1))</f>
        <v/>
      </c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  <c r="AG245" s="18"/>
      <c r="AH245" s="18"/>
      <c r="AI245" s="18"/>
      <c r="AJ245" s="18"/>
      <c r="AK245" s="18"/>
      <c r="AL245" s="18"/>
      <c r="AM245" s="18"/>
      <c r="AN245" s="18"/>
      <c r="AO245" s="18"/>
      <c r="AP245" s="18"/>
      <c r="AQ245" s="18"/>
      <c r="AR245" s="18"/>
      <c r="AS245" s="18"/>
      <c r="AT245" s="18"/>
      <c r="AU245" s="18"/>
      <c r="AV245" s="18"/>
      <c r="AW245" s="18"/>
      <c r="AX245" s="18"/>
    </row>
    <row r="246" customFormat="false" ht="15" hidden="false" customHeight="false" outlineLevel="0" collapsed="false">
      <c r="A246" s="16" t="str">
        <f aca="false">IF(INDEX(Tasks!$A:$A,ROW()-1)="","",INDEX(Tasks!$A:$A,ROW()-1))</f>
        <v/>
      </c>
      <c r="B246" s="16" t="str">
        <f aca="false">IF(INDEX(Tasks!$A:$A,ROW()-1)="","",IF(ISERROR(FIND(".",INDEX(Tasks!$A:$A,ROW()-1))),"","   ")&amp;INDEX(Tasks!$D:$D,ROW()-1))</f>
        <v/>
      </c>
      <c r="C246" s="16" t="str">
        <f aca="false">IF(INDEX(Tasks!$G:$G,ROW()-1)="","",INDEX(Tasks!$G:$G,ROW()-1))</f>
        <v/>
      </c>
      <c r="D246" s="16" t="str">
        <f aca="false">IF(INDEX(Tasks!$H:$H,ROW()-1)="","",INDEX(Tasks!$H:$H,ROW()-1))</f>
        <v/>
      </c>
      <c r="E246" s="17" t="str">
        <f aca="false">IF(INDEX(Tasks!$I:$I,ROW()-1)="","",INDEX(Tasks!$I:$I,ROW()-1))</f>
        <v/>
      </c>
      <c r="F246" s="17" t="str">
        <f aca="false">IF(INDEX(Tasks!$K:$K,ROW()-1)="","",INDEX(Tasks!$K:$K,ROW()-1))</f>
        <v/>
      </c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  <c r="AG246" s="18"/>
      <c r="AH246" s="18"/>
      <c r="AI246" s="18"/>
      <c r="AJ246" s="18"/>
      <c r="AK246" s="18"/>
      <c r="AL246" s="18"/>
      <c r="AM246" s="18"/>
      <c r="AN246" s="18"/>
      <c r="AO246" s="18"/>
      <c r="AP246" s="18"/>
      <c r="AQ246" s="18"/>
      <c r="AR246" s="18"/>
      <c r="AS246" s="18"/>
      <c r="AT246" s="18"/>
      <c r="AU246" s="18"/>
      <c r="AV246" s="18"/>
      <c r="AW246" s="18"/>
      <c r="AX246" s="18"/>
    </row>
    <row r="247" customFormat="false" ht="15" hidden="false" customHeight="false" outlineLevel="0" collapsed="false">
      <c r="A247" s="16" t="str">
        <f aca="false">IF(INDEX(Tasks!$A:$A,ROW()-1)="","",INDEX(Tasks!$A:$A,ROW()-1))</f>
        <v/>
      </c>
      <c r="B247" s="16" t="str">
        <f aca="false">IF(INDEX(Tasks!$A:$A,ROW()-1)="","",IF(ISERROR(FIND(".",INDEX(Tasks!$A:$A,ROW()-1))),"","   ")&amp;INDEX(Tasks!$D:$D,ROW()-1))</f>
        <v/>
      </c>
      <c r="C247" s="16" t="str">
        <f aca="false">IF(INDEX(Tasks!$G:$G,ROW()-1)="","",INDEX(Tasks!$G:$G,ROW()-1))</f>
        <v/>
      </c>
      <c r="D247" s="16" t="str">
        <f aca="false">IF(INDEX(Tasks!$H:$H,ROW()-1)="","",INDEX(Tasks!$H:$H,ROW()-1))</f>
        <v/>
      </c>
      <c r="E247" s="17" t="str">
        <f aca="false">IF(INDEX(Tasks!$I:$I,ROW()-1)="","",INDEX(Tasks!$I:$I,ROW()-1))</f>
        <v/>
      </c>
      <c r="F247" s="17" t="str">
        <f aca="false">IF(INDEX(Tasks!$K:$K,ROW()-1)="","",INDEX(Tasks!$K:$K,ROW()-1))</f>
        <v/>
      </c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  <c r="AG247" s="18"/>
      <c r="AH247" s="18"/>
      <c r="AI247" s="18"/>
      <c r="AJ247" s="18"/>
      <c r="AK247" s="18"/>
      <c r="AL247" s="18"/>
      <c r="AM247" s="18"/>
      <c r="AN247" s="18"/>
      <c r="AO247" s="18"/>
      <c r="AP247" s="18"/>
      <c r="AQ247" s="18"/>
      <c r="AR247" s="18"/>
      <c r="AS247" s="18"/>
      <c r="AT247" s="18"/>
      <c r="AU247" s="18"/>
      <c r="AV247" s="18"/>
      <c r="AW247" s="18"/>
      <c r="AX247" s="18"/>
    </row>
    <row r="248" customFormat="false" ht="15" hidden="false" customHeight="false" outlineLevel="0" collapsed="false">
      <c r="A248" s="16" t="str">
        <f aca="false">IF(INDEX(Tasks!$A:$A,ROW()-1)="","",INDEX(Tasks!$A:$A,ROW()-1))</f>
        <v/>
      </c>
      <c r="B248" s="16" t="str">
        <f aca="false">IF(INDEX(Tasks!$A:$A,ROW()-1)="","",IF(ISERROR(FIND(".",INDEX(Tasks!$A:$A,ROW()-1))),"","   ")&amp;INDEX(Tasks!$D:$D,ROW()-1))</f>
        <v/>
      </c>
      <c r="C248" s="16" t="str">
        <f aca="false">IF(INDEX(Tasks!$G:$G,ROW()-1)="","",INDEX(Tasks!$G:$G,ROW()-1))</f>
        <v/>
      </c>
      <c r="D248" s="16" t="str">
        <f aca="false">IF(INDEX(Tasks!$H:$H,ROW()-1)="","",INDEX(Tasks!$H:$H,ROW()-1))</f>
        <v/>
      </c>
      <c r="E248" s="17" t="str">
        <f aca="false">IF(INDEX(Tasks!$I:$I,ROW()-1)="","",INDEX(Tasks!$I:$I,ROW()-1))</f>
        <v/>
      </c>
      <c r="F248" s="17" t="str">
        <f aca="false">IF(INDEX(Tasks!$K:$K,ROW()-1)="","",INDEX(Tasks!$K:$K,ROW()-1))</f>
        <v/>
      </c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  <c r="AG248" s="18"/>
      <c r="AH248" s="18"/>
      <c r="AI248" s="18"/>
      <c r="AJ248" s="18"/>
      <c r="AK248" s="18"/>
      <c r="AL248" s="18"/>
      <c r="AM248" s="18"/>
      <c r="AN248" s="18"/>
      <c r="AO248" s="18"/>
      <c r="AP248" s="18"/>
      <c r="AQ248" s="18"/>
      <c r="AR248" s="18"/>
      <c r="AS248" s="18"/>
      <c r="AT248" s="18"/>
      <c r="AU248" s="18"/>
      <c r="AV248" s="18"/>
      <c r="AW248" s="18"/>
      <c r="AX248" s="18"/>
    </row>
    <row r="249" customFormat="false" ht="15" hidden="false" customHeight="false" outlineLevel="0" collapsed="false">
      <c r="A249" s="16" t="str">
        <f aca="false">IF(INDEX(Tasks!$A:$A,ROW()-1)="","",INDEX(Tasks!$A:$A,ROW()-1))</f>
        <v/>
      </c>
      <c r="B249" s="16" t="str">
        <f aca="false">IF(INDEX(Tasks!$A:$A,ROW()-1)="","",IF(ISERROR(FIND(".",INDEX(Tasks!$A:$A,ROW()-1))),"","   ")&amp;INDEX(Tasks!$D:$D,ROW()-1))</f>
        <v/>
      </c>
      <c r="C249" s="16" t="str">
        <f aca="false">IF(INDEX(Tasks!$G:$G,ROW()-1)="","",INDEX(Tasks!$G:$G,ROW()-1))</f>
        <v/>
      </c>
      <c r="D249" s="16" t="str">
        <f aca="false">IF(INDEX(Tasks!$H:$H,ROW()-1)="","",INDEX(Tasks!$H:$H,ROW()-1))</f>
        <v/>
      </c>
      <c r="E249" s="17" t="str">
        <f aca="false">IF(INDEX(Tasks!$I:$I,ROW()-1)="","",INDEX(Tasks!$I:$I,ROW()-1))</f>
        <v/>
      </c>
      <c r="F249" s="17" t="str">
        <f aca="false">IF(INDEX(Tasks!$K:$K,ROW()-1)="","",INDEX(Tasks!$K:$K,ROW()-1))</f>
        <v/>
      </c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  <c r="AG249" s="18"/>
      <c r="AH249" s="18"/>
      <c r="AI249" s="18"/>
      <c r="AJ249" s="18"/>
      <c r="AK249" s="18"/>
      <c r="AL249" s="18"/>
      <c r="AM249" s="18"/>
      <c r="AN249" s="18"/>
      <c r="AO249" s="18"/>
      <c r="AP249" s="18"/>
      <c r="AQ249" s="18"/>
      <c r="AR249" s="18"/>
      <c r="AS249" s="18"/>
      <c r="AT249" s="18"/>
      <c r="AU249" s="18"/>
      <c r="AV249" s="18"/>
      <c r="AW249" s="18"/>
      <c r="AX249" s="18"/>
    </row>
    <row r="250" customFormat="false" ht="15" hidden="false" customHeight="false" outlineLevel="0" collapsed="false">
      <c r="A250" s="16" t="str">
        <f aca="false">IF(INDEX(Tasks!$A:$A,ROW()-1)="","",INDEX(Tasks!$A:$A,ROW()-1))</f>
        <v/>
      </c>
      <c r="B250" s="16" t="str">
        <f aca="false">IF(INDEX(Tasks!$A:$A,ROW()-1)="","",IF(ISERROR(FIND(".",INDEX(Tasks!$A:$A,ROW()-1))),"","   ")&amp;INDEX(Tasks!$D:$D,ROW()-1))</f>
        <v/>
      </c>
      <c r="C250" s="16" t="str">
        <f aca="false">IF(INDEX(Tasks!$G:$G,ROW()-1)="","",INDEX(Tasks!$G:$G,ROW()-1))</f>
        <v/>
      </c>
      <c r="D250" s="16" t="str">
        <f aca="false">IF(INDEX(Tasks!$H:$H,ROW()-1)="","",INDEX(Tasks!$H:$H,ROW()-1))</f>
        <v/>
      </c>
      <c r="E250" s="17" t="str">
        <f aca="false">IF(INDEX(Tasks!$I:$I,ROW()-1)="","",INDEX(Tasks!$I:$I,ROW()-1))</f>
        <v/>
      </c>
      <c r="F250" s="17" t="str">
        <f aca="false">IF(INDEX(Tasks!$K:$K,ROW()-1)="","",INDEX(Tasks!$K:$K,ROW()-1))</f>
        <v/>
      </c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  <c r="AG250" s="18"/>
      <c r="AH250" s="18"/>
      <c r="AI250" s="18"/>
      <c r="AJ250" s="18"/>
      <c r="AK250" s="18"/>
      <c r="AL250" s="18"/>
      <c r="AM250" s="18"/>
      <c r="AN250" s="18"/>
      <c r="AO250" s="18"/>
      <c r="AP250" s="18"/>
      <c r="AQ250" s="18"/>
      <c r="AR250" s="18"/>
      <c r="AS250" s="18"/>
      <c r="AT250" s="18"/>
      <c r="AU250" s="18"/>
      <c r="AV250" s="18"/>
      <c r="AW250" s="18"/>
      <c r="AX250" s="18"/>
    </row>
    <row r="251" customFormat="false" ht="15" hidden="false" customHeight="false" outlineLevel="0" collapsed="false">
      <c r="A251" s="16" t="str">
        <f aca="false">IF(INDEX(Tasks!$A:$A,ROW()-1)="","",INDEX(Tasks!$A:$A,ROW()-1))</f>
        <v/>
      </c>
      <c r="B251" s="16" t="str">
        <f aca="false">IF(INDEX(Tasks!$A:$A,ROW()-1)="","",IF(ISERROR(FIND(".",INDEX(Tasks!$A:$A,ROW()-1))),"","   ")&amp;INDEX(Tasks!$D:$D,ROW()-1))</f>
        <v/>
      </c>
      <c r="C251" s="16" t="str">
        <f aca="false">IF(INDEX(Tasks!$G:$G,ROW()-1)="","",INDEX(Tasks!$G:$G,ROW()-1))</f>
        <v/>
      </c>
      <c r="D251" s="16" t="str">
        <f aca="false">IF(INDEX(Tasks!$H:$H,ROW()-1)="","",INDEX(Tasks!$H:$H,ROW()-1))</f>
        <v/>
      </c>
      <c r="E251" s="17" t="str">
        <f aca="false">IF(INDEX(Tasks!$I:$I,ROW()-1)="","",INDEX(Tasks!$I:$I,ROW()-1))</f>
        <v/>
      </c>
      <c r="F251" s="17" t="str">
        <f aca="false">IF(INDEX(Tasks!$K:$K,ROW()-1)="","",INDEX(Tasks!$K:$K,ROW()-1))</f>
        <v/>
      </c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  <c r="AG251" s="18"/>
      <c r="AH251" s="18"/>
      <c r="AI251" s="18"/>
      <c r="AJ251" s="18"/>
      <c r="AK251" s="18"/>
      <c r="AL251" s="18"/>
      <c r="AM251" s="18"/>
      <c r="AN251" s="18"/>
      <c r="AO251" s="18"/>
      <c r="AP251" s="18"/>
      <c r="AQ251" s="18"/>
      <c r="AR251" s="18"/>
      <c r="AS251" s="18"/>
      <c r="AT251" s="18"/>
      <c r="AU251" s="18"/>
      <c r="AV251" s="18"/>
      <c r="AW251" s="18"/>
      <c r="AX251" s="18"/>
    </row>
    <row r="252" customFormat="false" ht="15" hidden="false" customHeight="false" outlineLevel="0" collapsed="false">
      <c r="A252" s="16" t="str">
        <f aca="false">IF(INDEX(Tasks!$A:$A,ROW()-1)="","",INDEX(Tasks!$A:$A,ROW()-1))</f>
        <v/>
      </c>
      <c r="B252" s="16" t="str">
        <f aca="false">IF(INDEX(Tasks!$A:$A,ROW()-1)="","",IF(ISERROR(FIND(".",INDEX(Tasks!$A:$A,ROW()-1))),"","   ")&amp;INDEX(Tasks!$D:$D,ROW()-1))</f>
        <v/>
      </c>
      <c r="C252" s="16" t="str">
        <f aca="false">IF(INDEX(Tasks!$G:$G,ROW()-1)="","",INDEX(Tasks!$G:$G,ROW()-1))</f>
        <v/>
      </c>
      <c r="D252" s="16" t="str">
        <f aca="false">IF(INDEX(Tasks!$H:$H,ROW()-1)="","",INDEX(Tasks!$H:$H,ROW()-1))</f>
        <v/>
      </c>
      <c r="E252" s="17" t="str">
        <f aca="false">IF(INDEX(Tasks!$I:$I,ROW()-1)="","",INDEX(Tasks!$I:$I,ROW()-1))</f>
        <v/>
      </c>
      <c r="F252" s="17" t="str">
        <f aca="false">IF(INDEX(Tasks!$K:$K,ROW()-1)="","",INDEX(Tasks!$K:$K,ROW()-1))</f>
        <v/>
      </c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  <c r="AG252" s="18"/>
      <c r="AH252" s="18"/>
      <c r="AI252" s="18"/>
      <c r="AJ252" s="18"/>
      <c r="AK252" s="18"/>
      <c r="AL252" s="18"/>
      <c r="AM252" s="18"/>
      <c r="AN252" s="18"/>
      <c r="AO252" s="18"/>
      <c r="AP252" s="18"/>
      <c r="AQ252" s="18"/>
      <c r="AR252" s="18"/>
      <c r="AS252" s="18"/>
      <c r="AT252" s="18"/>
      <c r="AU252" s="18"/>
      <c r="AV252" s="18"/>
      <c r="AW252" s="18"/>
      <c r="AX252" s="18"/>
    </row>
    <row r="253" customFormat="false" ht="15" hidden="false" customHeight="false" outlineLevel="0" collapsed="false">
      <c r="A253" s="16" t="str">
        <f aca="false">IF(INDEX(Tasks!$A:$A,ROW()-1)="","",INDEX(Tasks!$A:$A,ROW()-1))</f>
        <v/>
      </c>
      <c r="B253" s="16" t="str">
        <f aca="false">IF(INDEX(Tasks!$A:$A,ROW()-1)="","",IF(ISERROR(FIND(".",INDEX(Tasks!$A:$A,ROW()-1))),"","   ")&amp;INDEX(Tasks!$D:$D,ROW()-1))</f>
        <v/>
      </c>
      <c r="C253" s="16" t="str">
        <f aca="false">IF(INDEX(Tasks!$G:$G,ROW()-1)="","",INDEX(Tasks!$G:$G,ROW()-1))</f>
        <v/>
      </c>
      <c r="D253" s="16" t="str">
        <f aca="false">IF(INDEX(Tasks!$H:$H,ROW()-1)="","",INDEX(Tasks!$H:$H,ROW()-1))</f>
        <v/>
      </c>
      <c r="E253" s="17" t="str">
        <f aca="false">IF(INDEX(Tasks!$I:$I,ROW()-1)="","",INDEX(Tasks!$I:$I,ROW()-1))</f>
        <v/>
      </c>
      <c r="F253" s="17" t="str">
        <f aca="false">IF(INDEX(Tasks!$K:$K,ROW()-1)="","",INDEX(Tasks!$K:$K,ROW()-1))</f>
        <v/>
      </c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  <c r="AG253" s="18"/>
      <c r="AH253" s="18"/>
      <c r="AI253" s="18"/>
      <c r="AJ253" s="18"/>
      <c r="AK253" s="18"/>
      <c r="AL253" s="18"/>
      <c r="AM253" s="18"/>
      <c r="AN253" s="18"/>
      <c r="AO253" s="18"/>
      <c r="AP253" s="18"/>
      <c r="AQ253" s="18"/>
      <c r="AR253" s="18"/>
      <c r="AS253" s="18"/>
      <c r="AT253" s="18"/>
      <c r="AU253" s="18"/>
      <c r="AV253" s="18"/>
      <c r="AW253" s="18"/>
      <c r="AX253" s="18"/>
    </row>
    <row r="254" customFormat="false" ht="15" hidden="false" customHeight="false" outlineLevel="0" collapsed="false">
      <c r="A254" s="16" t="str">
        <f aca="false">IF(INDEX(Tasks!$A:$A,ROW()-1)="","",INDEX(Tasks!$A:$A,ROW()-1))</f>
        <v/>
      </c>
      <c r="B254" s="16" t="str">
        <f aca="false">IF(INDEX(Tasks!$A:$A,ROW()-1)="","",IF(ISERROR(FIND(".",INDEX(Tasks!$A:$A,ROW()-1))),"","   ")&amp;INDEX(Tasks!$D:$D,ROW()-1))</f>
        <v/>
      </c>
      <c r="C254" s="16" t="str">
        <f aca="false">IF(INDEX(Tasks!$G:$G,ROW()-1)="","",INDEX(Tasks!$G:$G,ROW()-1))</f>
        <v/>
      </c>
      <c r="D254" s="16" t="str">
        <f aca="false">IF(INDEX(Tasks!$H:$H,ROW()-1)="","",INDEX(Tasks!$H:$H,ROW()-1))</f>
        <v/>
      </c>
      <c r="E254" s="17" t="str">
        <f aca="false">IF(INDEX(Tasks!$I:$I,ROW()-1)="","",INDEX(Tasks!$I:$I,ROW()-1))</f>
        <v/>
      </c>
      <c r="F254" s="17" t="str">
        <f aca="false">IF(INDEX(Tasks!$K:$K,ROW()-1)="","",INDEX(Tasks!$K:$K,ROW()-1))</f>
        <v/>
      </c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  <c r="AG254" s="18"/>
      <c r="AH254" s="18"/>
      <c r="AI254" s="18"/>
      <c r="AJ254" s="18"/>
      <c r="AK254" s="18"/>
      <c r="AL254" s="18"/>
      <c r="AM254" s="18"/>
      <c r="AN254" s="18"/>
      <c r="AO254" s="18"/>
      <c r="AP254" s="18"/>
      <c r="AQ254" s="18"/>
      <c r="AR254" s="18"/>
      <c r="AS254" s="18"/>
      <c r="AT254" s="18"/>
      <c r="AU254" s="18"/>
      <c r="AV254" s="18"/>
      <c r="AW254" s="18"/>
      <c r="AX254" s="18"/>
    </row>
    <row r="255" customFormat="false" ht="15" hidden="false" customHeight="false" outlineLevel="0" collapsed="false">
      <c r="A255" s="16" t="str">
        <f aca="false">IF(INDEX(Tasks!$A:$A,ROW()-1)="","",INDEX(Tasks!$A:$A,ROW()-1))</f>
        <v/>
      </c>
      <c r="B255" s="16" t="str">
        <f aca="false">IF(INDEX(Tasks!$A:$A,ROW()-1)="","",IF(ISERROR(FIND(".",INDEX(Tasks!$A:$A,ROW()-1))),"","   ")&amp;INDEX(Tasks!$D:$D,ROW()-1))</f>
        <v/>
      </c>
      <c r="C255" s="16" t="str">
        <f aca="false">IF(INDEX(Tasks!$G:$G,ROW()-1)="","",INDEX(Tasks!$G:$G,ROW()-1))</f>
        <v/>
      </c>
      <c r="D255" s="16" t="str">
        <f aca="false">IF(INDEX(Tasks!$H:$H,ROW()-1)="","",INDEX(Tasks!$H:$H,ROW()-1))</f>
        <v/>
      </c>
      <c r="E255" s="17" t="str">
        <f aca="false">IF(INDEX(Tasks!$I:$I,ROW()-1)="","",INDEX(Tasks!$I:$I,ROW()-1))</f>
        <v/>
      </c>
      <c r="F255" s="17" t="str">
        <f aca="false">IF(INDEX(Tasks!$K:$K,ROW()-1)="","",INDEX(Tasks!$K:$K,ROW()-1))</f>
        <v/>
      </c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  <c r="AG255" s="18"/>
      <c r="AH255" s="18"/>
      <c r="AI255" s="18"/>
      <c r="AJ255" s="18"/>
      <c r="AK255" s="18"/>
      <c r="AL255" s="18"/>
      <c r="AM255" s="18"/>
      <c r="AN255" s="18"/>
      <c r="AO255" s="18"/>
      <c r="AP255" s="18"/>
      <c r="AQ255" s="18"/>
      <c r="AR255" s="18"/>
      <c r="AS255" s="18"/>
      <c r="AT255" s="18"/>
      <c r="AU255" s="18"/>
      <c r="AV255" s="18"/>
      <c r="AW255" s="18"/>
      <c r="AX255" s="18"/>
    </row>
    <row r="256" customFormat="false" ht="15" hidden="false" customHeight="false" outlineLevel="0" collapsed="false">
      <c r="A256" s="16" t="str">
        <f aca="false">IF(INDEX(Tasks!$A:$A,ROW()-1)="","",INDEX(Tasks!$A:$A,ROW()-1))</f>
        <v/>
      </c>
      <c r="B256" s="16" t="str">
        <f aca="false">IF(INDEX(Tasks!$A:$A,ROW()-1)="","",IF(ISERROR(FIND(".",INDEX(Tasks!$A:$A,ROW()-1))),"","   ")&amp;INDEX(Tasks!$D:$D,ROW()-1))</f>
        <v/>
      </c>
      <c r="C256" s="16" t="str">
        <f aca="false">IF(INDEX(Tasks!$G:$G,ROW()-1)="","",INDEX(Tasks!$G:$G,ROW()-1))</f>
        <v/>
      </c>
      <c r="D256" s="16" t="str">
        <f aca="false">IF(INDEX(Tasks!$H:$H,ROW()-1)="","",INDEX(Tasks!$H:$H,ROW()-1))</f>
        <v/>
      </c>
      <c r="E256" s="17" t="str">
        <f aca="false">IF(INDEX(Tasks!$I:$I,ROW()-1)="","",INDEX(Tasks!$I:$I,ROW()-1))</f>
        <v/>
      </c>
      <c r="F256" s="17" t="str">
        <f aca="false">IF(INDEX(Tasks!$K:$K,ROW()-1)="","",INDEX(Tasks!$K:$K,ROW()-1))</f>
        <v/>
      </c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  <c r="AG256" s="18"/>
      <c r="AH256" s="18"/>
      <c r="AI256" s="18"/>
      <c r="AJ256" s="18"/>
      <c r="AK256" s="18"/>
      <c r="AL256" s="18"/>
      <c r="AM256" s="18"/>
      <c r="AN256" s="18"/>
      <c r="AO256" s="18"/>
      <c r="AP256" s="18"/>
      <c r="AQ256" s="18"/>
      <c r="AR256" s="18"/>
      <c r="AS256" s="18"/>
      <c r="AT256" s="18"/>
      <c r="AU256" s="18"/>
      <c r="AV256" s="18"/>
      <c r="AW256" s="18"/>
      <c r="AX256" s="18"/>
    </row>
    <row r="257" customFormat="false" ht="15" hidden="false" customHeight="false" outlineLevel="0" collapsed="false">
      <c r="A257" s="16" t="str">
        <f aca="false">IF(INDEX(Tasks!$A:$A,ROW()-1)="","",INDEX(Tasks!$A:$A,ROW()-1))</f>
        <v/>
      </c>
      <c r="B257" s="16" t="str">
        <f aca="false">IF(INDEX(Tasks!$A:$A,ROW()-1)="","",IF(ISERROR(FIND(".",INDEX(Tasks!$A:$A,ROW()-1))),"","   ")&amp;INDEX(Tasks!$D:$D,ROW()-1))</f>
        <v/>
      </c>
      <c r="C257" s="16" t="str">
        <f aca="false">IF(INDEX(Tasks!$G:$G,ROW()-1)="","",INDEX(Tasks!$G:$G,ROW()-1))</f>
        <v/>
      </c>
      <c r="D257" s="16" t="str">
        <f aca="false">IF(INDEX(Tasks!$H:$H,ROW()-1)="","",INDEX(Tasks!$H:$H,ROW()-1))</f>
        <v/>
      </c>
      <c r="E257" s="17" t="str">
        <f aca="false">IF(INDEX(Tasks!$I:$I,ROW()-1)="","",INDEX(Tasks!$I:$I,ROW()-1))</f>
        <v/>
      </c>
      <c r="F257" s="17" t="str">
        <f aca="false">IF(INDEX(Tasks!$K:$K,ROW()-1)="","",INDEX(Tasks!$K:$K,ROW()-1))</f>
        <v/>
      </c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  <c r="AG257" s="18"/>
      <c r="AH257" s="18"/>
      <c r="AI257" s="18"/>
      <c r="AJ257" s="18"/>
      <c r="AK257" s="18"/>
      <c r="AL257" s="18"/>
      <c r="AM257" s="18"/>
      <c r="AN257" s="18"/>
      <c r="AO257" s="18"/>
      <c r="AP257" s="18"/>
      <c r="AQ257" s="18"/>
      <c r="AR257" s="18"/>
      <c r="AS257" s="18"/>
      <c r="AT257" s="18"/>
      <c r="AU257" s="18"/>
      <c r="AV257" s="18"/>
      <c r="AW257" s="18"/>
      <c r="AX257" s="18"/>
    </row>
    <row r="258" customFormat="false" ht="15" hidden="false" customHeight="false" outlineLevel="0" collapsed="false">
      <c r="A258" s="16" t="str">
        <f aca="false">IF(INDEX(Tasks!$A:$A,ROW()-1)="","",INDEX(Tasks!$A:$A,ROW()-1))</f>
        <v/>
      </c>
      <c r="B258" s="16" t="str">
        <f aca="false">IF(INDEX(Tasks!$A:$A,ROW()-1)="","",IF(ISERROR(FIND(".",INDEX(Tasks!$A:$A,ROW()-1))),"","   ")&amp;INDEX(Tasks!$D:$D,ROW()-1))</f>
        <v/>
      </c>
      <c r="C258" s="16" t="str">
        <f aca="false">IF(INDEX(Tasks!$G:$G,ROW()-1)="","",INDEX(Tasks!$G:$G,ROW()-1))</f>
        <v/>
      </c>
      <c r="D258" s="16" t="str">
        <f aca="false">IF(INDEX(Tasks!$H:$H,ROW()-1)="","",INDEX(Tasks!$H:$H,ROW()-1))</f>
        <v/>
      </c>
      <c r="E258" s="17" t="str">
        <f aca="false">IF(INDEX(Tasks!$I:$I,ROW()-1)="","",INDEX(Tasks!$I:$I,ROW()-1))</f>
        <v/>
      </c>
      <c r="F258" s="17" t="str">
        <f aca="false">IF(INDEX(Tasks!$K:$K,ROW()-1)="","",INDEX(Tasks!$K:$K,ROW()-1))</f>
        <v/>
      </c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  <c r="AG258" s="18"/>
      <c r="AH258" s="18"/>
      <c r="AI258" s="18"/>
      <c r="AJ258" s="18"/>
      <c r="AK258" s="18"/>
      <c r="AL258" s="18"/>
      <c r="AM258" s="18"/>
      <c r="AN258" s="18"/>
      <c r="AO258" s="18"/>
      <c r="AP258" s="18"/>
      <c r="AQ258" s="18"/>
      <c r="AR258" s="18"/>
      <c r="AS258" s="18"/>
      <c r="AT258" s="18"/>
      <c r="AU258" s="18"/>
      <c r="AV258" s="18"/>
      <c r="AW258" s="18"/>
      <c r="AX258" s="18"/>
    </row>
    <row r="259" customFormat="false" ht="15" hidden="false" customHeight="false" outlineLevel="0" collapsed="false">
      <c r="A259" s="16" t="str">
        <f aca="false">IF(INDEX(Tasks!$A:$A,ROW()-1)="","",INDEX(Tasks!$A:$A,ROW()-1))</f>
        <v/>
      </c>
      <c r="B259" s="16" t="str">
        <f aca="false">IF(INDEX(Tasks!$A:$A,ROW()-1)="","",IF(ISERROR(FIND(".",INDEX(Tasks!$A:$A,ROW()-1))),"","   ")&amp;INDEX(Tasks!$D:$D,ROW()-1))</f>
        <v/>
      </c>
      <c r="C259" s="16" t="str">
        <f aca="false">IF(INDEX(Tasks!$G:$G,ROW()-1)="","",INDEX(Tasks!$G:$G,ROW()-1))</f>
        <v/>
      </c>
      <c r="D259" s="16" t="str">
        <f aca="false">IF(INDEX(Tasks!$H:$H,ROW()-1)="","",INDEX(Tasks!$H:$H,ROW()-1))</f>
        <v/>
      </c>
      <c r="E259" s="17" t="str">
        <f aca="false">IF(INDEX(Tasks!$I:$I,ROW()-1)="","",INDEX(Tasks!$I:$I,ROW()-1))</f>
        <v/>
      </c>
      <c r="F259" s="17" t="str">
        <f aca="false">IF(INDEX(Tasks!$K:$K,ROW()-1)="","",INDEX(Tasks!$K:$K,ROW()-1))</f>
        <v/>
      </c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  <c r="AG259" s="18"/>
      <c r="AH259" s="18"/>
      <c r="AI259" s="18"/>
      <c r="AJ259" s="18"/>
      <c r="AK259" s="18"/>
      <c r="AL259" s="18"/>
      <c r="AM259" s="18"/>
      <c r="AN259" s="18"/>
      <c r="AO259" s="18"/>
      <c r="AP259" s="18"/>
      <c r="AQ259" s="18"/>
      <c r="AR259" s="18"/>
      <c r="AS259" s="18"/>
      <c r="AT259" s="18"/>
      <c r="AU259" s="18"/>
      <c r="AV259" s="18"/>
      <c r="AW259" s="18"/>
      <c r="AX259" s="18"/>
    </row>
    <row r="260" customFormat="false" ht="15" hidden="false" customHeight="false" outlineLevel="0" collapsed="false">
      <c r="A260" s="16" t="str">
        <f aca="false">IF(INDEX(Tasks!$A:$A,ROW()-1)="","",INDEX(Tasks!$A:$A,ROW()-1))</f>
        <v/>
      </c>
      <c r="B260" s="16" t="str">
        <f aca="false">IF(INDEX(Tasks!$A:$A,ROW()-1)="","",IF(ISERROR(FIND(".",INDEX(Tasks!$A:$A,ROW()-1))),"","   ")&amp;INDEX(Tasks!$D:$D,ROW()-1))</f>
        <v/>
      </c>
      <c r="C260" s="16" t="str">
        <f aca="false">IF(INDEX(Tasks!$G:$G,ROW()-1)="","",INDEX(Tasks!$G:$G,ROW()-1))</f>
        <v/>
      </c>
      <c r="D260" s="16" t="str">
        <f aca="false">IF(INDEX(Tasks!$H:$H,ROW()-1)="","",INDEX(Tasks!$H:$H,ROW()-1))</f>
        <v/>
      </c>
      <c r="E260" s="17" t="str">
        <f aca="false">IF(INDEX(Tasks!$I:$I,ROW()-1)="","",INDEX(Tasks!$I:$I,ROW()-1))</f>
        <v/>
      </c>
      <c r="F260" s="17" t="str">
        <f aca="false">IF(INDEX(Tasks!$K:$K,ROW()-1)="","",INDEX(Tasks!$K:$K,ROW()-1))</f>
        <v/>
      </c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  <c r="AG260" s="18"/>
      <c r="AH260" s="18"/>
      <c r="AI260" s="18"/>
      <c r="AJ260" s="18"/>
      <c r="AK260" s="18"/>
      <c r="AL260" s="18"/>
      <c r="AM260" s="18"/>
      <c r="AN260" s="18"/>
      <c r="AO260" s="18"/>
      <c r="AP260" s="18"/>
      <c r="AQ260" s="18"/>
      <c r="AR260" s="18"/>
      <c r="AS260" s="18"/>
      <c r="AT260" s="18"/>
      <c r="AU260" s="18"/>
      <c r="AV260" s="18"/>
      <c r="AW260" s="18"/>
      <c r="AX260" s="18"/>
    </row>
    <row r="261" customFormat="false" ht="15" hidden="false" customHeight="false" outlineLevel="0" collapsed="false">
      <c r="A261" s="16" t="str">
        <f aca="false">IF(INDEX(Tasks!$A:$A,ROW()-1)="","",INDEX(Tasks!$A:$A,ROW()-1))</f>
        <v/>
      </c>
      <c r="B261" s="16" t="str">
        <f aca="false">IF(INDEX(Tasks!$A:$A,ROW()-1)="","",IF(ISERROR(FIND(".",INDEX(Tasks!$A:$A,ROW()-1))),"","   ")&amp;INDEX(Tasks!$D:$D,ROW()-1))</f>
        <v/>
      </c>
      <c r="C261" s="16" t="str">
        <f aca="false">IF(INDEX(Tasks!$G:$G,ROW()-1)="","",INDEX(Tasks!$G:$G,ROW()-1))</f>
        <v/>
      </c>
      <c r="D261" s="16" t="str">
        <f aca="false">IF(INDEX(Tasks!$H:$H,ROW()-1)="","",INDEX(Tasks!$H:$H,ROW()-1))</f>
        <v/>
      </c>
      <c r="E261" s="17" t="str">
        <f aca="false">IF(INDEX(Tasks!$I:$I,ROW()-1)="","",INDEX(Tasks!$I:$I,ROW()-1))</f>
        <v/>
      </c>
      <c r="F261" s="17" t="str">
        <f aca="false">IF(INDEX(Tasks!$K:$K,ROW()-1)="","",INDEX(Tasks!$K:$K,ROW()-1))</f>
        <v/>
      </c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  <c r="AG261" s="18"/>
      <c r="AH261" s="18"/>
      <c r="AI261" s="18"/>
      <c r="AJ261" s="18"/>
      <c r="AK261" s="18"/>
      <c r="AL261" s="18"/>
      <c r="AM261" s="18"/>
      <c r="AN261" s="18"/>
      <c r="AO261" s="18"/>
      <c r="AP261" s="18"/>
      <c r="AQ261" s="18"/>
      <c r="AR261" s="18"/>
      <c r="AS261" s="18"/>
      <c r="AT261" s="18"/>
      <c r="AU261" s="18"/>
      <c r="AV261" s="18"/>
      <c r="AW261" s="18"/>
      <c r="AX261" s="18"/>
    </row>
    <row r="262" customFormat="false" ht="15" hidden="false" customHeight="false" outlineLevel="0" collapsed="false">
      <c r="A262" s="16" t="str">
        <f aca="false">IF(INDEX(Tasks!$A:$A,ROW()-1)="","",INDEX(Tasks!$A:$A,ROW()-1))</f>
        <v/>
      </c>
      <c r="B262" s="16" t="str">
        <f aca="false">IF(INDEX(Tasks!$A:$A,ROW()-1)="","",IF(ISERROR(FIND(".",INDEX(Tasks!$A:$A,ROW()-1))),"","   ")&amp;INDEX(Tasks!$D:$D,ROW()-1))</f>
        <v/>
      </c>
      <c r="C262" s="16" t="str">
        <f aca="false">IF(INDEX(Tasks!$G:$G,ROW()-1)="","",INDEX(Tasks!$G:$G,ROW()-1))</f>
        <v/>
      </c>
      <c r="D262" s="16" t="str">
        <f aca="false">IF(INDEX(Tasks!$H:$H,ROW()-1)="","",INDEX(Tasks!$H:$H,ROW()-1))</f>
        <v/>
      </c>
      <c r="E262" s="17" t="str">
        <f aca="false">IF(INDEX(Tasks!$I:$I,ROW()-1)="","",INDEX(Tasks!$I:$I,ROW()-1))</f>
        <v/>
      </c>
      <c r="F262" s="17" t="str">
        <f aca="false">IF(INDEX(Tasks!$K:$K,ROW()-1)="","",INDEX(Tasks!$K:$K,ROW()-1))</f>
        <v/>
      </c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  <c r="AG262" s="18"/>
      <c r="AH262" s="18"/>
      <c r="AI262" s="18"/>
      <c r="AJ262" s="18"/>
      <c r="AK262" s="18"/>
      <c r="AL262" s="18"/>
      <c r="AM262" s="18"/>
      <c r="AN262" s="18"/>
      <c r="AO262" s="18"/>
      <c r="AP262" s="18"/>
      <c r="AQ262" s="18"/>
      <c r="AR262" s="18"/>
      <c r="AS262" s="18"/>
      <c r="AT262" s="18"/>
      <c r="AU262" s="18"/>
      <c r="AV262" s="18"/>
      <c r="AW262" s="18"/>
      <c r="AX262" s="18"/>
    </row>
    <row r="263" customFormat="false" ht="15" hidden="false" customHeight="false" outlineLevel="0" collapsed="false">
      <c r="A263" s="16" t="str">
        <f aca="false">IF(INDEX(Tasks!$A:$A,ROW()-1)="","",INDEX(Tasks!$A:$A,ROW()-1))</f>
        <v/>
      </c>
      <c r="B263" s="16" t="str">
        <f aca="false">IF(INDEX(Tasks!$A:$A,ROW()-1)="","",IF(ISERROR(FIND(".",INDEX(Tasks!$A:$A,ROW()-1))),"","   ")&amp;INDEX(Tasks!$D:$D,ROW()-1))</f>
        <v/>
      </c>
      <c r="C263" s="16" t="str">
        <f aca="false">IF(INDEX(Tasks!$G:$G,ROW()-1)="","",INDEX(Tasks!$G:$G,ROW()-1))</f>
        <v/>
      </c>
      <c r="D263" s="16" t="str">
        <f aca="false">IF(INDEX(Tasks!$H:$H,ROW()-1)="","",INDEX(Tasks!$H:$H,ROW()-1))</f>
        <v/>
      </c>
      <c r="E263" s="17" t="str">
        <f aca="false">IF(INDEX(Tasks!$I:$I,ROW()-1)="","",INDEX(Tasks!$I:$I,ROW()-1))</f>
        <v/>
      </c>
      <c r="F263" s="17" t="str">
        <f aca="false">IF(INDEX(Tasks!$K:$K,ROW()-1)="","",INDEX(Tasks!$K:$K,ROW()-1))</f>
        <v/>
      </c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  <c r="AG263" s="18"/>
      <c r="AH263" s="18"/>
      <c r="AI263" s="18"/>
      <c r="AJ263" s="18"/>
      <c r="AK263" s="18"/>
      <c r="AL263" s="18"/>
      <c r="AM263" s="18"/>
      <c r="AN263" s="18"/>
      <c r="AO263" s="18"/>
      <c r="AP263" s="18"/>
      <c r="AQ263" s="18"/>
      <c r="AR263" s="18"/>
      <c r="AS263" s="18"/>
      <c r="AT263" s="18"/>
      <c r="AU263" s="18"/>
      <c r="AV263" s="18"/>
      <c r="AW263" s="18"/>
      <c r="AX263" s="18"/>
    </row>
    <row r="264" customFormat="false" ht="15" hidden="false" customHeight="false" outlineLevel="0" collapsed="false">
      <c r="A264" s="16" t="str">
        <f aca="false">IF(INDEX(Tasks!$A:$A,ROW()-1)="","",INDEX(Tasks!$A:$A,ROW()-1))</f>
        <v/>
      </c>
      <c r="B264" s="16" t="str">
        <f aca="false">IF(INDEX(Tasks!$A:$A,ROW()-1)="","",IF(ISERROR(FIND(".",INDEX(Tasks!$A:$A,ROW()-1))),"","   ")&amp;INDEX(Tasks!$D:$D,ROW()-1))</f>
        <v/>
      </c>
      <c r="C264" s="16" t="str">
        <f aca="false">IF(INDEX(Tasks!$G:$G,ROW()-1)="","",INDEX(Tasks!$G:$G,ROW()-1))</f>
        <v/>
      </c>
      <c r="D264" s="16" t="str">
        <f aca="false">IF(INDEX(Tasks!$H:$H,ROW()-1)="","",INDEX(Tasks!$H:$H,ROW()-1))</f>
        <v/>
      </c>
      <c r="E264" s="17" t="str">
        <f aca="false">IF(INDEX(Tasks!$I:$I,ROW()-1)="","",INDEX(Tasks!$I:$I,ROW()-1))</f>
        <v/>
      </c>
      <c r="F264" s="17" t="str">
        <f aca="false">IF(INDEX(Tasks!$K:$K,ROW()-1)="","",INDEX(Tasks!$K:$K,ROW()-1))</f>
        <v/>
      </c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  <c r="AG264" s="18"/>
      <c r="AH264" s="18"/>
      <c r="AI264" s="18"/>
      <c r="AJ264" s="18"/>
      <c r="AK264" s="18"/>
      <c r="AL264" s="18"/>
      <c r="AM264" s="18"/>
      <c r="AN264" s="18"/>
      <c r="AO264" s="18"/>
      <c r="AP264" s="18"/>
      <c r="AQ264" s="18"/>
      <c r="AR264" s="18"/>
      <c r="AS264" s="18"/>
      <c r="AT264" s="18"/>
      <c r="AU264" s="18"/>
      <c r="AV264" s="18"/>
      <c r="AW264" s="18"/>
      <c r="AX264" s="18"/>
    </row>
    <row r="265" customFormat="false" ht="15" hidden="false" customHeight="false" outlineLevel="0" collapsed="false">
      <c r="A265" s="16" t="str">
        <f aca="false">IF(INDEX(Tasks!$A:$A,ROW()-1)="","",INDEX(Tasks!$A:$A,ROW()-1))</f>
        <v/>
      </c>
      <c r="B265" s="16" t="str">
        <f aca="false">IF(INDEX(Tasks!$A:$A,ROW()-1)="","",IF(ISERROR(FIND(".",INDEX(Tasks!$A:$A,ROW()-1))),"","   ")&amp;INDEX(Tasks!$D:$D,ROW()-1))</f>
        <v/>
      </c>
      <c r="C265" s="16" t="str">
        <f aca="false">IF(INDEX(Tasks!$G:$G,ROW()-1)="","",INDEX(Tasks!$G:$G,ROW()-1))</f>
        <v/>
      </c>
      <c r="D265" s="16" t="str">
        <f aca="false">IF(INDEX(Tasks!$H:$H,ROW()-1)="","",INDEX(Tasks!$H:$H,ROW()-1))</f>
        <v/>
      </c>
      <c r="E265" s="17" t="str">
        <f aca="false">IF(INDEX(Tasks!$I:$I,ROW()-1)="","",INDEX(Tasks!$I:$I,ROW()-1))</f>
        <v/>
      </c>
      <c r="F265" s="17" t="str">
        <f aca="false">IF(INDEX(Tasks!$K:$K,ROW()-1)="","",INDEX(Tasks!$K:$K,ROW()-1))</f>
        <v/>
      </c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  <c r="AG265" s="18"/>
      <c r="AH265" s="18"/>
      <c r="AI265" s="18"/>
      <c r="AJ265" s="18"/>
      <c r="AK265" s="18"/>
      <c r="AL265" s="18"/>
      <c r="AM265" s="18"/>
      <c r="AN265" s="18"/>
      <c r="AO265" s="18"/>
      <c r="AP265" s="18"/>
      <c r="AQ265" s="18"/>
      <c r="AR265" s="18"/>
      <c r="AS265" s="18"/>
      <c r="AT265" s="18"/>
      <c r="AU265" s="18"/>
      <c r="AV265" s="18"/>
      <c r="AW265" s="18"/>
      <c r="AX265" s="18"/>
    </row>
    <row r="266" customFormat="false" ht="15" hidden="false" customHeight="false" outlineLevel="0" collapsed="false">
      <c r="A266" s="16" t="str">
        <f aca="false">IF(INDEX(Tasks!$A:$A,ROW()-1)="","",INDEX(Tasks!$A:$A,ROW()-1))</f>
        <v/>
      </c>
      <c r="B266" s="16" t="str">
        <f aca="false">IF(INDEX(Tasks!$A:$A,ROW()-1)="","",IF(ISERROR(FIND(".",INDEX(Tasks!$A:$A,ROW()-1))),"","   ")&amp;INDEX(Tasks!$D:$D,ROW()-1))</f>
        <v/>
      </c>
      <c r="C266" s="16" t="str">
        <f aca="false">IF(INDEX(Tasks!$G:$G,ROW()-1)="","",INDEX(Tasks!$G:$G,ROW()-1))</f>
        <v/>
      </c>
      <c r="D266" s="16" t="str">
        <f aca="false">IF(INDEX(Tasks!$H:$H,ROW()-1)="","",INDEX(Tasks!$H:$H,ROW()-1))</f>
        <v/>
      </c>
      <c r="E266" s="17" t="str">
        <f aca="false">IF(INDEX(Tasks!$I:$I,ROW()-1)="","",INDEX(Tasks!$I:$I,ROW()-1))</f>
        <v/>
      </c>
      <c r="F266" s="17" t="str">
        <f aca="false">IF(INDEX(Tasks!$K:$K,ROW()-1)="","",INDEX(Tasks!$K:$K,ROW()-1))</f>
        <v/>
      </c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  <c r="AG266" s="18"/>
      <c r="AH266" s="18"/>
      <c r="AI266" s="18"/>
      <c r="AJ266" s="18"/>
      <c r="AK266" s="18"/>
      <c r="AL266" s="18"/>
      <c r="AM266" s="18"/>
      <c r="AN266" s="18"/>
      <c r="AO266" s="18"/>
      <c r="AP266" s="18"/>
      <c r="AQ266" s="18"/>
      <c r="AR266" s="18"/>
      <c r="AS266" s="18"/>
      <c r="AT266" s="18"/>
      <c r="AU266" s="18"/>
      <c r="AV266" s="18"/>
      <c r="AW266" s="18"/>
      <c r="AX266" s="18"/>
    </row>
    <row r="267" customFormat="false" ht="15" hidden="false" customHeight="false" outlineLevel="0" collapsed="false">
      <c r="A267" s="16" t="str">
        <f aca="false">IF(INDEX(Tasks!$A:$A,ROW()-1)="","",INDEX(Tasks!$A:$A,ROW()-1))</f>
        <v/>
      </c>
      <c r="B267" s="16" t="str">
        <f aca="false">IF(INDEX(Tasks!$A:$A,ROW()-1)="","",IF(ISERROR(FIND(".",INDEX(Tasks!$A:$A,ROW()-1))),"","   ")&amp;INDEX(Tasks!$D:$D,ROW()-1))</f>
        <v/>
      </c>
      <c r="C267" s="16" t="str">
        <f aca="false">IF(INDEX(Tasks!$G:$G,ROW()-1)="","",INDEX(Tasks!$G:$G,ROW()-1))</f>
        <v/>
      </c>
      <c r="D267" s="16" t="str">
        <f aca="false">IF(INDEX(Tasks!$H:$H,ROW()-1)="","",INDEX(Tasks!$H:$H,ROW()-1))</f>
        <v/>
      </c>
      <c r="E267" s="17" t="str">
        <f aca="false">IF(INDEX(Tasks!$I:$I,ROW()-1)="","",INDEX(Tasks!$I:$I,ROW()-1))</f>
        <v/>
      </c>
      <c r="F267" s="17" t="str">
        <f aca="false">IF(INDEX(Tasks!$K:$K,ROW()-1)="","",INDEX(Tasks!$K:$K,ROW()-1))</f>
        <v/>
      </c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  <c r="AG267" s="18"/>
      <c r="AH267" s="18"/>
      <c r="AI267" s="18"/>
      <c r="AJ267" s="18"/>
      <c r="AK267" s="18"/>
      <c r="AL267" s="18"/>
      <c r="AM267" s="18"/>
      <c r="AN267" s="18"/>
      <c r="AO267" s="18"/>
      <c r="AP267" s="18"/>
      <c r="AQ267" s="18"/>
      <c r="AR267" s="18"/>
      <c r="AS267" s="18"/>
      <c r="AT267" s="18"/>
      <c r="AU267" s="18"/>
      <c r="AV267" s="18"/>
      <c r="AW267" s="18"/>
      <c r="AX267" s="18"/>
    </row>
    <row r="268" customFormat="false" ht="15" hidden="false" customHeight="false" outlineLevel="0" collapsed="false">
      <c r="A268" s="16" t="str">
        <f aca="false">IF(INDEX(Tasks!$A:$A,ROW()-1)="","",INDEX(Tasks!$A:$A,ROW()-1))</f>
        <v/>
      </c>
      <c r="B268" s="16" t="str">
        <f aca="false">IF(INDEX(Tasks!$A:$A,ROW()-1)="","",IF(ISERROR(FIND(".",INDEX(Tasks!$A:$A,ROW()-1))),"","   ")&amp;INDEX(Tasks!$D:$D,ROW()-1))</f>
        <v/>
      </c>
      <c r="C268" s="16" t="str">
        <f aca="false">IF(INDEX(Tasks!$G:$G,ROW()-1)="","",INDEX(Tasks!$G:$G,ROW()-1))</f>
        <v/>
      </c>
      <c r="D268" s="16" t="str">
        <f aca="false">IF(INDEX(Tasks!$H:$H,ROW()-1)="","",INDEX(Tasks!$H:$H,ROW()-1))</f>
        <v/>
      </c>
      <c r="E268" s="17" t="str">
        <f aca="false">IF(INDEX(Tasks!$I:$I,ROW()-1)="","",INDEX(Tasks!$I:$I,ROW()-1))</f>
        <v/>
      </c>
      <c r="F268" s="17" t="str">
        <f aca="false">IF(INDEX(Tasks!$K:$K,ROW()-1)="","",INDEX(Tasks!$K:$K,ROW()-1))</f>
        <v/>
      </c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  <c r="AG268" s="18"/>
      <c r="AH268" s="18"/>
      <c r="AI268" s="18"/>
      <c r="AJ268" s="18"/>
      <c r="AK268" s="18"/>
      <c r="AL268" s="18"/>
      <c r="AM268" s="18"/>
      <c r="AN268" s="18"/>
      <c r="AO268" s="18"/>
      <c r="AP268" s="18"/>
      <c r="AQ268" s="18"/>
      <c r="AR268" s="18"/>
      <c r="AS268" s="18"/>
      <c r="AT268" s="18"/>
      <c r="AU268" s="18"/>
      <c r="AV268" s="18"/>
      <c r="AW268" s="18"/>
      <c r="AX268" s="18"/>
    </row>
    <row r="269" customFormat="false" ht="15" hidden="false" customHeight="false" outlineLevel="0" collapsed="false">
      <c r="A269" s="16" t="str">
        <f aca="false">IF(INDEX(Tasks!$A:$A,ROW()-1)="","",INDEX(Tasks!$A:$A,ROW()-1))</f>
        <v/>
      </c>
      <c r="B269" s="16" t="str">
        <f aca="false">IF(INDEX(Tasks!$A:$A,ROW()-1)="","",IF(ISERROR(FIND(".",INDEX(Tasks!$A:$A,ROW()-1))),"","   ")&amp;INDEX(Tasks!$D:$D,ROW()-1))</f>
        <v/>
      </c>
      <c r="C269" s="16" t="str">
        <f aca="false">IF(INDEX(Tasks!$G:$G,ROW()-1)="","",INDEX(Tasks!$G:$G,ROW()-1))</f>
        <v/>
      </c>
      <c r="D269" s="16" t="str">
        <f aca="false">IF(INDEX(Tasks!$H:$H,ROW()-1)="","",INDEX(Tasks!$H:$H,ROW()-1))</f>
        <v/>
      </c>
      <c r="E269" s="17" t="str">
        <f aca="false">IF(INDEX(Tasks!$I:$I,ROW()-1)="","",INDEX(Tasks!$I:$I,ROW()-1))</f>
        <v/>
      </c>
      <c r="F269" s="17" t="str">
        <f aca="false">IF(INDEX(Tasks!$K:$K,ROW()-1)="","",INDEX(Tasks!$K:$K,ROW()-1))</f>
        <v/>
      </c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  <c r="AG269" s="18"/>
      <c r="AH269" s="18"/>
      <c r="AI269" s="18"/>
      <c r="AJ269" s="18"/>
      <c r="AK269" s="18"/>
      <c r="AL269" s="18"/>
      <c r="AM269" s="18"/>
      <c r="AN269" s="18"/>
      <c r="AO269" s="18"/>
      <c r="AP269" s="18"/>
      <c r="AQ269" s="18"/>
      <c r="AR269" s="18"/>
      <c r="AS269" s="18"/>
      <c r="AT269" s="18"/>
      <c r="AU269" s="18"/>
      <c r="AV269" s="18"/>
      <c r="AW269" s="18"/>
      <c r="AX269" s="18"/>
    </row>
    <row r="270" customFormat="false" ht="15" hidden="false" customHeight="false" outlineLevel="0" collapsed="false">
      <c r="A270" s="16" t="str">
        <f aca="false">IF(INDEX(Tasks!$A:$A,ROW()-1)="","",INDEX(Tasks!$A:$A,ROW()-1))</f>
        <v/>
      </c>
      <c r="B270" s="16" t="str">
        <f aca="false">IF(INDEX(Tasks!$A:$A,ROW()-1)="","",IF(ISERROR(FIND(".",INDEX(Tasks!$A:$A,ROW()-1))),"","   ")&amp;INDEX(Tasks!$D:$D,ROW()-1))</f>
        <v/>
      </c>
      <c r="C270" s="16" t="str">
        <f aca="false">IF(INDEX(Tasks!$G:$G,ROW()-1)="","",INDEX(Tasks!$G:$G,ROW()-1))</f>
        <v/>
      </c>
      <c r="D270" s="16" t="str">
        <f aca="false">IF(INDEX(Tasks!$H:$H,ROW()-1)="","",INDEX(Tasks!$H:$H,ROW()-1))</f>
        <v/>
      </c>
      <c r="E270" s="17" t="str">
        <f aca="false">IF(INDEX(Tasks!$I:$I,ROW()-1)="","",INDEX(Tasks!$I:$I,ROW()-1))</f>
        <v/>
      </c>
      <c r="F270" s="17" t="str">
        <f aca="false">IF(INDEX(Tasks!$K:$K,ROW()-1)="","",INDEX(Tasks!$K:$K,ROW()-1))</f>
        <v/>
      </c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  <c r="AG270" s="18"/>
      <c r="AH270" s="18"/>
      <c r="AI270" s="18"/>
      <c r="AJ270" s="18"/>
      <c r="AK270" s="18"/>
      <c r="AL270" s="18"/>
      <c r="AM270" s="18"/>
      <c r="AN270" s="18"/>
      <c r="AO270" s="18"/>
      <c r="AP270" s="18"/>
      <c r="AQ270" s="18"/>
      <c r="AR270" s="18"/>
      <c r="AS270" s="18"/>
      <c r="AT270" s="18"/>
      <c r="AU270" s="18"/>
      <c r="AV270" s="18"/>
      <c r="AW270" s="18"/>
      <c r="AX270" s="18"/>
    </row>
    <row r="271" customFormat="false" ht="15" hidden="false" customHeight="false" outlineLevel="0" collapsed="false">
      <c r="A271" s="16" t="str">
        <f aca="false">IF(INDEX(Tasks!$A:$A,ROW()-1)="","",INDEX(Tasks!$A:$A,ROW()-1))</f>
        <v/>
      </c>
      <c r="B271" s="16" t="str">
        <f aca="false">IF(INDEX(Tasks!$A:$A,ROW()-1)="","",IF(ISERROR(FIND(".",INDEX(Tasks!$A:$A,ROW()-1))),"","   ")&amp;INDEX(Tasks!$D:$D,ROW()-1))</f>
        <v/>
      </c>
      <c r="C271" s="16" t="str">
        <f aca="false">IF(INDEX(Tasks!$G:$G,ROW()-1)="","",INDEX(Tasks!$G:$G,ROW()-1))</f>
        <v/>
      </c>
      <c r="D271" s="16" t="str">
        <f aca="false">IF(INDEX(Tasks!$H:$H,ROW()-1)="","",INDEX(Tasks!$H:$H,ROW()-1))</f>
        <v/>
      </c>
      <c r="E271" s="17" t="str">
        <f aca="false">IF(INDEX(Tasks!$I:$I,ROW()-1)="","",INDEX(Tasks!$I:$I,ROW()-1))</f>
        <v/>
      </c>
      <c r="F271" s="17" t="str">
        <f aca="false">IF(INDEX(Tasks!$K:$K,ROW()-1)="","",INDEX(Tasks!$K:$K,ROW()-1))</f>
        <v/>
      </c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  <c r="AG271" s="18"/>
      <c r="AH271" s="18"/>
      <c r="AI271" s="18"/>
      <c r="AJ271" s="18"/>
      <c r="AK271" s="18"/>
      <c r="AL271" s="18"/>
      <c r="AM271" s="18"/>
      <c r="AN271" s="18"/>
      <c r="AO271" s="18"/>
      <c r="AP271" s="18"/>
      <c r="AQ271" s="18"/>
      <c r="AR271" s="18"/>
      <c r="AS271" s="18"/>
      <c r="AT271" s="18"/>
      <c r="AU271" s="18"/>
      <c r="AV271" s="18"/>
      <c r="AW271" s="18"/>
      <c r="AX271" s="18"/>
    </row>
    <row r="272" customFormat="false" ht="15" hidden="false" customHeight="false" outlineLevel="0" collapsed="false">
      <c r="A272" s="16" t="str">
        <f aca="false">IF(INDEX(Tasks!$A:$A,ROW()-1)="","",INDEX(Tasks!$A:$A,ROW()-1))</f>
        <v/>
      </c>
      <c r="B272" s="16" t="str">
        <f aca="false">IF(INDEX(Tasks!$A:$A,ROW()-1)="","",IF(ISERROR(FIND(".",INDEX(Tasks!$A:$A,ROW()-1))),"","   ")&amp;INDEX(Tasks!$D:$D,ROW()-1))</f>
        <v/>
      </c>
      <c r="C272" s="16" t="str">
        <f aca="false">IF(INDEX(Tasks!$G:$G,ROW()-1)="","",INDEX(Tasks!$G:$G,ROW()-1))</f>
        <v/>
      </c>
      <c r="D272" s="16" t="str">
        <f aca="false">IF(INDEX(Tasks!$H:$H,ROW()-1)="","",INDEX(Tasks!$H:$H,ROW()-1))</f>
        <v/>
      </c>
      <c r="E272" s="17" t="str">
        <f aca="false">IF(INDEX(Tasks!$I:$I,ROW()-1)="","",INDEX(Tasks!$I:$I,ROW()-1))</f>
        <v/>
      </c>
      <c r="F272" s="17" t="str">
        <f aca="false">IF(INDEX(Tasks!$K:$K,ROW()-1)="","",INDEX(Tasks!$K:$K,ROW()-1))</f>
        <v/>
      </c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  <c r="AG272" s="18"/>
      <c r="AH272" s="18"/>
      <c r="AI272" s="18"/>
      <c r="AJ272" s="18"/>
      <c r="AK272" s="18"/>
      <c r="AL272" s="18"/>
      <c r="AM272" s="18"/>
      <c r="AN272" s="18"/>
      <c r="AO272" s="18"/>
      <c r="AP272" s="18"/>
      <c r="AQ272" s="18"/>
      <c r="AR272" s="18"/>
      <c r="AS272" s="18"/>
      <c r="AT272" s="18"/>
      <c r="AU272" s="18"/>
      <c r="AV272" s="18"/>
      <c r="AW272" s="18"/>
      <c r="AX272" s="18"/>
    </row>
    <row r="273" customFormat="false" ht="15" hidden="false" customHeight="false" outlineLevel="0" collapsed="false">
      <c r="A273" s="16" t="str">
        <f aca="false">IF(INDEX(Tasks!$A:$A,ROW()-1)="","",INDEX(Tasks!$A:$A,ROW()-1))</f>
        <v/>
      </c>
      <c r="B273" s="16" t="str">
        <f aca="false">IF(INDEX(Tasks!$A:$A,ROW()-1)="","",IF(ISERROR(FIND(".",INDEX(Tasks!$A:$A,ROW()-1))),"","   ")&amp;INDEX(Tasks!$D:$D,ROW()-1))</f>
        <v/>
      </c>
      <c r="C273" s="16" t="str">
        <f aca="false">IF(INDEX(Tasks!$G:$G,ROW()-1)="","",INDEX(Tasks!$G:$G,ROW()-1))</f>
        <v/>
      </c>
      <c r="D273" s="16" t="str">
        <f aca="false">IF(INDEX(Tasks!$H:$H,ROW()-1)="","",INDEX(Tasks!$H:$H,ROW()-1))</f>
        <v/>
      </c>
      <c r="E273" s="17" t="str">
        <f aca="false">IF(INDEX(Tasks!$I:$I,ROW()-1)="","",INDEX(Tasks!$I:$I,ROW()-1))</f>
        <v/>
      </c>
      <c r="F273" s="17" t="str">
        <f aca="false">IF(INDEX(Tasks!$K:$K,ROW()-1)="","",INDEX(Tasks!$K:$K,ROW()-1))</f>
        <v/>
      </c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  <c r="AG273" s="18"/>
      <c r="AH273" s="18"/>
      <c r="AI273" s="18"/>
      <c r="AJ273" s="18"/>
      <c r="AK273" s="18"/>
      <c r="AL273" s="18"/>
      <c r="AM273" s="18"/>
      <c r="AN273" s="18"/>
      <c r="AO273" s="18"/>
      <c r="AP273" s="18"/>
      <c r="AQ273" s="18"/>
      <c r="AR273" s="18"/>
      <c r="AS273" s="18"/>
      <c r="AT273" s="18"/>
      <c r="AU273" s="18"/>
      <c r="AV273" s="18"/>
      <c r="AW273" s="18"/>
      <c r="AX273" s="18"/>
    </row>
    <row r="274" customFormat="false" ht="15" hidden="false" customHeight="false" outlineLevel="0" collapsed="false">
      <c r="A274" s="16" t="str">
        <f aca="false">IF(INDEX(Tasks!$A:$A,ROW()-1)="","",INDEX(Tasks!$A:$A,ROW()-1))</f>
        <v/>
      </c>
      <c r="B274" s="16" t="str">
        <f aca="false">IF(INDEX(Tasks!$A:$A,ROW()-1)="","",IF(ISERROR(FIND(".",INDEX(Tasks!$A:$A,ROW()-1))),"","   ")&amp;INDEX(Tasks!$D:$D,ROW()-1))</f>
        <v/>
      </c>
      <c r="C274" s="16" t="str">
        <f aca="false">IF(INDEX(Tasks!$G:$G,ROW()-1)="","",INDEX(Tasks!$G:$G,ROW()-1))</f>
        <v/>
      </c>
      <c r="D274" s="16" t="str">
        <f aca="false">IF(INDEX(Tasks!$H:$H,ROW()-1)="","",INDEX(Tasks!$H:$H,ROW()-1))</f>
        <v/>
      </c>
      <c r="E274" s="17" t="str">
        <f aca="false">IF(INDEX(Tasks!$I:$I,ROW()-1)="","",INDEX(Tasks!$I:$I,ROW()-1))</f>
        <v/>
      </c>
      <c r="F274" s="17" t="str">
        <f aca="false">IF(INDEX(Tasks!$K:$K,ROW()-1)="","",INDEX(Tasks!$K:$K,ROW()-1))</f>
        <v/>
      </c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  <c r="AG274" s="18"/>
      <c r="AH274" s="18"/>
      <c r="AI274" s="18"/>
      <c r="AJ274" s="18"/>
      <c r="AK274" s="18"/>
      <c r="AL274" s="18"/>
      <c r="AM274" s="18"/>
      <c r="AN274" s="18"/>
      <c r="AO274" s="18"/>
      <c r="AP274" s="18"/>
      <c r="AQ274" s="18"/>
      <c r="AR274" s="18"/>
      <c r="AS274" s="18"/>
      <c r="AT274" s="18"/>
      <c r="AU274" s="18"/>
      <c r="AV274" s="18"/>
      <c r="AW274" s="18"/>
      <c r="AX274" s="18"/>
    </row>
    <row r="275" customFormat="false" ht="15" hidden="false" customHeight="false" outlineLevel="0" collapsed="false">
      <c r="A275" s="16" t="str">
        <f aca="false">IF(INDEX(Tasks!$A:$A,ROW()-1)="","",INDEX(Tasks!$A:$A,ROW()-1))</f>
        <v/>
      </c>
      <c r="B275" s="16" t="str">
        <f aca="false">IF(INDEX(Tasks!$A:$A,ROW()-1)="","",IF(ISERROR(FIND(".",INDEX(Tasks!$A:$A,ROW()-1))),"","   ")&amp;INDEX(Tasks!$D:$D,ROW()-1))</f>
        <v/>
      </c>
      <c r="C275" s="16" t="str">
        <f aca="false">IF(INDEX(Tasks!$G:$G,ROW()-1)="","",INDEX(Tasks!$G:$G,ROW()-1))</f>
        <v/>
      </c>
      <c r="D275" s="16" t="str">
        <f aca="false">IF(INDEX(Tasks!$H:$H,ROW()-1)="","",INDEX(Tasks!$H:$H,ROW()-1))</f>
        <v/>
      </c>
      <c r="E275" s="17" t="str">
        <f aca="false">IF(INDEX(Tasks!$I:$I,ROW()-1)="","",INDEX(Tasks!$I:$I,ROW()-1))</f>
        <v/>
      </c>
      <c r="F275" s="17" t="str">
        <f aca="false">IF(INDEX(Tasks!$K:$K,ROW()-1)="","",INDEX(Tasks!$K:$K,ROW()-1))</f>
        <v/>
      </c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  <c r="AG275" s="18"/>
      <c r="AH275" s="18"/>
      <c r="AI275" s="18"/>
      <c r="AJ275" s="18"/>
      <c r="AK275" s="18"/>
      <c r="AL275" s="18"/>
      <c r="AM275" s="18"/>
      <c r="AN275" s="18"/>
      <c r="AO275" s="18"/>
      <c r="AP275" s="18"/>
      <c r="AQ275" s="18"/>
      <c r="AR275" s="18"/>
      <c r="AS275" s="18"/>
      <c r="AT275" s="18"/>
      <c r="AU275" s="18"/>
      <c r="AV275" s="18"/>
      <c r="AW275" s="18"/>
      <c r="AX275" s="18"/>
    </row>
    <row r="276" customFormat="false" ht="15" hidden="false" customHeight="false" outlineLevel="0" collapsed="false">
      <c r="A276" s="16" t="str">
        <f aca="false">IF(INDEX(Tasks!$A:$A,ROW()-1)="","",INDEX(Tasks!$A:$A,ROW()-1))</f>
        <v/>
      </c>
      <c r="B276" s="16" t="str">
        <f aca="false">IF(INDEX(Tasks!$A:$A,ROW()-1)="","",IF(ISERROR(FIND(".",INDEX(Tasks!$A:$A,ROW()-1))),"","   ")&amp;INDEX(Tasks!$D:$D,ROW()-1))</f>
        <v/>
      </c>
      <c r="C276" s="16" t="str">
        <f aca="false">IF(INDEX(Tasks!$G:$G,ROW()-1)="","",INDEX(Tasks!$G:$G,ROW()-1))</f>
        <v/>
      </c>
      <c r="D276" s="16" t="str">
        <f aca="false">IF(INDEX(Tasks!$H:$H,ROW()-1)="","",INDEX(Tasks!$H:$H,ROW()-1))</f>
        <v/>
      </c>
      <c r="E276" s="17" t="str">
        <f aca="false">IF(INDEX(Tasks!$I:$I,ROW()-1)="","",INDEX(Tasks!$I:$I,ROW()-1))</f>
        <v/>
      </c>
      <c r="F276" s="17" t="str">
        <f aca="false">IF(INDEX(Tasks!$K:$K,ROW()-1)="","",INDEX(Tasks!$K:$K,ROW()-1))</f>
        <v/>
      </c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J276" s="18"/>
      <c r="AK276" s="18"/>
      <c r="AL276" s="18"/>
      <c r="AM276" s="18"/>
      <c r="AN276" s="18"/>
      <c r="AO276" s="18"/>
      <c r="AP276" s="18"/>
      <c r="AQ276" s="18"/>
      <c r="AR276" s="18"/>
      <c r="AS276" s="18"/>
      <c r="AT276" s="18"/>
      <c r="AU276" s="18"/>
      <c r="AV276" s="18"/>
      <c r="AW276" s="18"/>
      <c r="AX276" s="18"/>
    </row>
    <row r="277" customFormat="false" ht="15" hidden="false" customHeight="false" outlineLevel="0" collapsed="false">
      <c r="A277" s="16" t="str">
        <f aca="false">IF(INDEX(Tasks!$A:$A,ROW()-1)="","",INDEX(Tasks!$A:$A,ROW()-1))</f>
        <v/>
      </c>
      <c r="B277" s="16" t="str">
        <f aca="false">IF(INDEX(Tasks!$A:$A,ROW()-1)="","",IF(ISERROR(FIND(".",INDEX(Tasks!$A:$A,ROW()-1))),"","   ")&amp;INDEX(Tasks!$D:$D,ROW()-1))</f>
        <v/>
      </c>
      <c r="C277" s="16" t="str">
        <f aca="false">IF(INDEX(Tasks!$G:$G,ROW()-1)="","",INDEX(Tasks!$G:$G,ROW()-1))</f>
        <v/>
      </c>
      <c r="D277" s="16" t="str">
        <f aca="false">IF(INDEX(Tasks!$H:$H,ROW()-1)="","",INDEX(Tasks!$H:$H,ROW()-1))</f>
        <v/>
      </c>
      <c r="E277" s="17" t="str">
        <f aca="false">IF(INDEX(Tasks!$I:$I,ROW()-1)="","",INDEX(Tasks!$I:$I,ROW()-1))</f>
        <v/>
      </c>
      <c r="F277" s="17" t="str">
        <f aca="false">IF(INDEX(Tasks!$K:$K,ROW()-1)="","",INDEX(Tasks!$K:$K,ROW()-1))</f>
        <v/>
      </c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  <c r="AG277" s="18"/>
      <c r="AH277" s="18"/>
      <c r="AI277" s="18"/>
      <c r="AJ277" s="18"/>
      <c r="AK277" s="18"/>
      <c r="AL277" s="18"/>
      <c r="AM277" s="18"/>
      <c r="AN277" s="18"/>
      <c r="AO277" s="18"/>
      <c r="AP277" s="18"/>
      <c r="AQ277" s="18"/>
      <c r="AR277" s="18"/>
      <c r="AS277" s="18"/>
      <c r="AT277" s="18"/>
      <c r="AU277" s="18"/>
      <c r="AV277" s="18"/>
      <c r="AW277" s="18"/>
      <c r="AX277" s="18"/>
    </row>
    <row r="278" customFormat="false" ht="15" hidden="false" customHeight="false" outlineLevel="0" collapsed="false">
      <c r="A278" s="16" t="str">
        <f aca="false">IF(INDEX(Tasks!$A:$A,ROW()-1)="","",INDEX(Tasks!$A:$A,ROW()-1))</f>
        <v/>
      </c>
      <c r="B278" s="16" t="str">
        <f aca="false">IF(INDEX(Tasks!$A:$A,ROW()-1)="","",IF(ISERROR(FIND(".",INDEX(Tasks!$A:$A,ROW()-1))),"","   ")&amp;INDEX(Tasks!$D:$D,ROW()-1))</f>
        <v/>
      </c>
      <c r="C278" s="16" t="str">
        <f aca="false">IF(INDEX(Tasks!$G:$G,ROW()-1)="","",INDEX(Tasks!$G:$G,ROW()-1))</f>
        <v/>
      </c>
      <c r="D278" s="16" t="str">
        <f aca="false">IF(INDEX(Tasks!$H:$H,ROW()-1)="","",INDEX(Tasks!$H:$H,ROW()-1))</f>
        <v/>
      </c>
      <c r="E278" s="17" t="str">
        <f aca="false">IF(INDEX(Tasks!$I:$I,ROW()-1)="","",INDEX(Tasks!$I:$I,ROW()-1))</f>
        <v/>
      </c>
      <c r="F278" s="17" t="str">
        <f aca="false">IF(INDEX(Tasks!$K:$K,ROW()-1)="","",INDEX(Tasks!$K:$K,ROW()-1))</f>
        <v/>
      </c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  <c r="AG278" s="18"/>
      <c r="AH278" s="18"/>
      <c r="AI278" s="18"/>
      <c r="AJ278" s="18"/>
      <c r="AK278" s="18"/>
      <c r="AL278" s="18"/>
      <c r="AM278" s="18"/>
      <c r="AN278" s="18"/>
      <c r="AO278" s="18"/>
      <c r="AP278" s="18"/>
      <c r="AQ278" s="18"/>
      <c r="AR278" s="18"/>
      <c r="AS278" s="18"/>
      <c r="AT278" s="18"/>
      <c r="AU278" s="18"/>
      <c r="AV278" s="18"/>
      <c r="AW278" s="18"/>
      <c r="AX278" s="18"/>
    </row>
    <row r="279" customFormat="false" ht="15" hidden="false" customHeight="false" outlineLevel="0" collapsed="false">
      <c r="A279" s="16" t="str">
        <f aca="false">IF(INDEX(Tasks!$A:$A,ROW()-1)="","",INDEX(Tasks!$A:$A,ROW()-1))</f>
        <v/>
      </c>
      <c r="B279" s="16" t="str">
        <f aca="false">IF(INDEX(Tasks!$A:$A,ROW()-1)="","",IF(ISERROR(FIND(".",INDEX(Tasks!$A:$A,ROW()-1))),"","   ")&amp;INDEX(Tasks!$D:$D,ROW()-1))</f>
        <v/>
      </c>
      <c r="C279" s="16" t="str">
        <f aca="false">IF(INDEX(Tasks!$G:$G,ROW()-1)="","",INDEX(Tasks!$G:$G,ROW()-1))</f>
        <v/>
      </c>
      <c r="D279" s="16" t="str">
        <f aca="false">IF(INDEX(Tasks!$H:$H,ROW()-1)="","",INDEX(Tasks!$H:$H,ROW()-1))</f>
        <v/>
      </c>
      <c r="E279" s="17" t="str">
        <f aca="false">IF(INDEX(Tasks!$I:$I,ROW()-1)="","",INDEX(Tasks!$I:$I,ROW()-1))</f>
        <v/>
      </c>
      <c r="F279" s="17" t="str">
        <f aca="false">IF(INDEX(Tasks!$K:$K,ROW()-1)="","",INDEX(Tasks!$K:$K,ROW()-1))</f>
        <v/>
      </c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  <c r="AG279" s="18"/>
      <c r="AH279" s="18"/>
      <c r="AI279" s="18"/>
      <c r="AJ279" s="18"/>
      <c r="AK279" s="18"/>
      <c r="AL279" s="18"/>
      <c r="AM279" s="18"/>
      <c r="AN279" s="18"/>
      <c r="AO279" s="18"/>
      <c r="AP279" s="18"/>
      <c r="AQ279" s="18"/>
      <c r="AR279" s="18"/>
      <c r="AS279" s="18"/>
      <c r="AT279" s="18"/>
      <c r="AU279" s="18"/>
      <c r="AV279" s="18"/>
      <c r="AW279" s="18"/>
      <c r="AX279" s="18"/>
    </row>
    <row r="280" customFormat="false" ht="15" hidden="false" customHeight="false" outlineLevel="0" collapsed="false">
      <c r="A280" s="16" t="str">
        <f aca="false">IF(INDEX(Tasks!$A:$A,ROW()-1)="","",INDEX(Tasks!$A:$A,ROW()-1))</f>
        <v/>
      </c>
      <c r="B280" s="16" t="str">
        <f aca="false">IF(INDEX(Tasks!$A:$A,ROW()-1)="","",IF(ISERROR(FIND(".",INDEX(Tasks!$A:$A,ROW()-1))),"","   ")&amp;INDEX(Tasks!$D:$D,ROW()-1))</f>
        <v/>
      </c>
      <c r="C280" s="16" t="str">
        <f aca="false">IF(INDEX(Tasks!$G:$G,ROW()-1)="","",INDEX(Tasks!$G:$G,ROW()-1))</f>
        <v/>
      </c>
      <c r="D280" s="16" t="str">
        <f aca="false">IF(INDEX(Tasks!$H:$H,ROW()-1)="","",INDEX(Tasks!$H:$H,ROW()-1))</f>
        <v/>
      </c>
      <c r="E280" s="17" t="str">
        <f aca="false">IF(INDEX(Tasks!$I:$I,ROW()-1)="","",INDEX(Tasks!$I:$I,ROW()-1))</f>
        <v/>
      </c>
      <c r="F280" s="17" t="str">
        <f aca="false">IF(INDEX(Tasks!$K:$K,ROW()-1)="","",INDEX(Tasks!$K:$K,ROW()-1))</f>
        <v/>
      </c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  <c r="AG280" s="18"/>
      <c r="AH280" s="18"/>
      <c r="AI280" s="18"/>
      <c r="AJ280" s="18"/>
      <c r="AK280" s="18"/>
      <c r="AL280" s="18"/>
      <c r="AM280" s="18"/>
      <c r="AN280" s="18"/>
      <c r="AO280" s="18"/>
      <c r="AP280" s="18"/>
      <c r="AQ280" s="18"/>
      <c r="AR280" s="18"/>
      <c r="AS280" s="18"/>
      <c r="AT280" s="18"/>
      <c r="AU280" s="18"/>
      <c r="AV280" s="18"/>
      <c r="AW280" s="18"/>
      <c r="AX280" s="18"/>
    </row>
    <row r="281" customFormat="false" ht="15" hidden="false" customHeight="false" outlineLevel="0" collapsed="false">
      <c r="A281" s="16" t="str">
        <f aca="false">IF(INDEX(Tasks!$A:$A,ROW()-1)="","",INDEX(Tasks!$A:$A,ROW()-1))</f>
        <v/>
      </c>
      <c r="B281" s="16" t="str">
        <f aca="false">IF(INDEX(Tasks!$A:$A,ROW()-1)="","",IF(ISERROR(FIND(".",INDEX(Tasks!$A:$A,ROW()-1))),"","   ")&amp;INDEX(Tasks!$D:$D,ROW()-1))</f>
        <v/>
      </c>
      <c r="C281" s="16" t="str">
        <f aca="false">IF(INDEX(Tasks!$G:$G,ROW()-1)="","",INDEX(Tasks!$G:$G,ROW()-1))</f>
        <v/>
      </c>
      <c r="D281" s="16" t="str">
        <f aca="false">IF(INDEX(Tasks!$H:$H,ROW()-1)="","",INDEX(Tasks!$H:$H,ROW()-1))</f>
        <v/>
      </c>
      <c r="E281" s="17" t="str">
        <f aca="false">IF(INDEX(Tasks!$I:$I,ROW()-1)="","",INDEX(Tasks!$I:$I,ROW()-1))</f>
        <v/>
      </c>
      <c r="F281" s="17" t="str">
        <f aca="false">IF(INDEX(Tasks!$K:$K,ROW()-1)="","",INDEX(Tasks!$K:$K,ROW()-1))</f>
        <v/>
      </c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  <c r="AG281" s="18"/>
      <c r="AH281" s="18"/>
      <c r="AI281" s="18"/>
      <c r="AJ281" s="18"/>
      <c r="AK281" s="18"/>
      <c r="AL281" s="18"/>
      <c r="AM281" s="18"/>
      <c r="AN281" s="18"/>
      <c r="AO281" s="18"/>
      <c r="AP281" s="18"/>
      <c r="AQ281" s="18"/>
      <c r="AR281" s="18"/>
      <c r="AS281" s="18"/>
      <c r="AT281" s="18"/>
      <c r="AU281" s="18"/>
      <c r="AV281" s="18"/>
      <c r="AW281" s="18"/>
      <c r="AX281" s="18"/>
    </row>
    <row r="282" customFormat="false" ht="15" hidden="false" customHeight="false" outlineLevel="0" collapsed="false">
      <c r="A282" s="16" t="str">
        <f aca="false">IF(INDEX(Tasks!$A:$A,ROW()-1)="","",INDEX(Tasks!$A:$A,ROW()-1))</f>
        <v/>
      </c>
      <c r="B282" s="16" t="str">
        <f aca="false">IF(INDEX(Tasks!$A:$A,ROW()-1)="","",IF(ISERROR(FIND(".",INDEX(Tasks!$A:$A,ROW()-1))),"","   ")&amp;INDEX(Tasks!$D:$D,ROW()-1))</f>
        <v/>
      </c>
      <c r="C282" s="16" t="str">
        <f aca="false">IF(INDEX(Tasks!$G:$G,ROW()-1)="","",INDEX(Tasks!$G:$G,ROW()-1))</f>
        <v/>
      </c>
      <c r="D282" s="16" t="str">
        <f aca="false">IF(INDEX(Tasks!$H:$H,ROW()-1)="","",INDEX(Tasks!$H:$H,ROW()-1))</f>
        <v/>
      </c>
      <c r="E282" s="17" t="str">
        <f aca="false">IF(INDEX(Tasks!$I:$I,ROW()-1)="","",INDEX(Tasks!$I:$I,ROW()-1))</f>
        <v/>
      </c>
      <c r="F282" s="17" t="str">
        <f aca="false">IF(INDEX(Tasks!$K:$K,ROW()-1)="","",INDEX(Tasks!$K:$K,ROW()-1))</f>
        <v/>
      </c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  <c r="AG282" s="18"/>
      <c r="AH282" s="18"/>
      <c r="AI282" s="18"/>
      <c r="AJ282" s="18"/>
      <c r="AK282" s="18"/>
      <c r="AL282" s="18"/>
      <c r="AM282" s="18"/>
      <c r="AN282" s="18"/>
      <c r="AO282" s="18"/>
      <c r="AP282" s="18"/>
      <c r="AQ282" s="18"/>
      <c r="AR282" s="18"/>
      <c r="AS282" s="18"/>
      <c r="AT282" s="18"/>
      <c r="AU282" s="18"/>
      <c r="AV282" s="18"/>
      <c r="AW282" s="18"/>
      <c r="AX282" s="18"/>
    </row>
    <row r="283" customFormat="false" ht="15" hidden="false" customHeight="false" outlineLevel="0" collapsed="false">
      <c r="A283" s="16" t="str">
        <f aca="false">IF(INDEX(Tasks!$A:$A,ROW()-1)="","",INDEX(Tasks!$A:$A,ROW()-1))</f>
        <v/>
      </c>
      <c r="B283" s="16" t="str">
        <f aca="false">IF(INDEX(Tasks!$A:$A,ROW()-1)="","",IF(ISERROR(FIND(".",INDEX(Tasks!$A:$A,ROW()-1))),"","   ")&amp;INDEX(Tasks!$D:$D,ROW()-1))</f>
        <v/>
      </c>
      <c r="C283" s="16" t="str">
        <f aca="false">IF(INDEX(Tasks!$G:$G,ROW()-1)="","",INDEX(Tasks!$G:$G,ROW()-1))</f>
        <v/>
      </c>
      <c r="D283" s="16" t="str">
        <f aca="false">IF(INDEX(Tasks!$H:$H,ROW()-1)="","",INDEX(Tasks!$H:$H,ROW()-1))</f>
        <v/>
      </c>
      <c r="E283" s="17" t="str">
        <f aca="false">IF(INDEX(Tasks!$I:$I,ROW()-1)="","",INDEX(Tasks!$I:$I,ROW()-1))</f>
        <v/>
      </c>
      <c r="F283" s="17" t="str">
        <f aca="false">IF(INDEX(Tasks!$K:$K,ROW()-1)="","",INDEX(Tasks!$K:$K,ROW()-1))</f>
        <v/>
      </c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  <c r="AG283" s="18"/>
      <c r="AH283" s="18"/>
      <c r="AI283" s="18"/>
      <c r="AJ283" s="18"/>
      <c r="AK283" s="18"/>
      <c r="AL283" s="18"/>
      <c r="AM283" s="18"/>
      <c r="AN283" s="18"/>
      <c r="AO283" s="18"/>
      <c r="AP283" s="18"/>
      <c r="AQ283" s="18"/>
      <c r="AR283" s="18"/>
      <c r="AS283" s="18"/>
      <c r="AT283" s="18"/>
      <c r="AU283" s="18"/>
      <c r="AV283" s="18"/>
      <c r="AW283" s="18"/>
      <c r="AX283" s="18"/>
    </row>
    <row r="284" customFormat="false" ht="15" hidden="false" customHeight="false" outlineLevel="0" collapsed="false">
      <c r="A284" s="16" t="str">
        <f aca="false">IF(INDEX(Tasks!$A:$A,ROW()-1)="","",INDEX(Tasks!$A:$A,ROW()-1))</f>
        <v/>
      </c>
      <c r="B284" s="16" t="str">
        <f aca="false">IF(INDEX(Tasks!$A:$A,ROW()-1)="","",IF(ISERROR(FIND(".",INDEX(Tasks!$A:$A,ROW()-1))),"","   ")&amp;INDEX(Tasks!$D:$D,ROW()-1))</f>
        <v/>
      </c>
      <c r="C284" s="16" t="str">
        <f aca="false">IF(INDEX(Tasks!$G:$G,ROW()-1)="","",INDEX(Tasks!$G:$G,ROW()-1))</f>
        <v/>
      </c>
      <c r="D284" s="16" t="str">
        <f aca="false">IF(INDEX(Tasks!$H:$H,ROW()-1)="","",INDEX(Tasks!$H:$H,ROW()-1))</f>
        <v/>
      </c>
      <c r="E284" s="17" t="str">
        <f aca="false">IF(INDEX(Tasks!$I:$I,ROW()-1)="","",INDEX(Tasks!$I:$I,ROW()-1))</f>
        <v/>
      </c>
      <c r="F284" s="17" t="str">
        <f aca="false">IF(INDEX(Tasks!$K:$K,ROW()-1)="","",INDEX(Tasks!$K:$K,ROW()-1))</f>
        <v/>
      </c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  <c r="AG284" s="18"/>
      <c r="AH284" s="18"/>
      <c r="AI284" s="18"/>
      <c r="AJ284" s="18"/>
      <c r="AK284" s="18"/>
      <c r="AL284" s="18"/>
      <c r="AM284" s="18"/>
      <c r="AN284" s="18"/>
      <c r="AO284" s="18"/>
      <c r="AP284" s="18"/>
      <c r="AQ284" s="18"/>
      <c r="AR284" s="18"/>
      <c r="AS284" s="18"/>
      <c r="AT284" s="18"/>
      <c r="AU284" s="18"/>
      <c r="AV284" s="18"/>
      <c r="AW284" s="18"/>
      <c r="AX284" s="18"/>
    </row>
    <row r="285" customFormat="false" ht="15" hidden="false" customHeight="false" outlineLevel="0" collapsed="false">
      <c r="A285" s="16" t="str">
        <f aca="false">IF(INDEX(Tasks!$A:$A,ROW()-1)="","",INDEX(Tasks!$A:$A,ROW()-1))</f>
        <v/>
      </c>
      <c r="B285" s="16" t="str">
        <f aca="false">IF(INDEX(Tasks!$A:$A,ROW()-1)="","",IF(ISERROR(FIND(".",INDEX(Tasks!$A:$A,ROW()-1))),"","   ")&amp;INDEX(Tasks!$D:$D,ROW()-1))</f>
        <v/>
      </c>
      <c r="C285" s="16" t="str">
        <f aca="false">IF(INDEX(Tasks!$G:$G,ROW()-1)="","",INDEX(Tasks!$G:$G,ROW()-1))</f>
        <v/>
      </c>
      <c r="D285" s="16" t="str">
        <f aca="false">IF(INDEX(Tasks!$H:$H,ROW()-1)="","",INDEX(Tasks!$H:$H,ROW()-1))</f>
        <v/>
      </c>
      <c r="E285" s="17" t="str">
        <f aca="false">IF(INDEX(Tasks!$I:$I,ROW()-1)="","",INDEX(Tasks!$I:$I,ROW()-1))</f>
        <v/>
      </c>
      <c r="F285" s="17" t="str">
        <f aca="false">IF(INDEX(Tasks!$K:$K,ROW()-1)="","",INDEX(Tasks!$K:$K,ROW()-1))</f>
        <v/>
      </c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  <c r="AG285" s="18"/>
      <c r="AH285" s="18"/>
      <c r="AI285" s="18"/>
      <c r="AJ285" s="18"/>
      <c r="AK285" s="18"/>
      <c r="AL285" s="18"/>
      <c r="AM285" s="18"/>
      <c r="AN285" s="18"/>
      <c r="AO285" s="18"/>
      <c r="AP285" s="18"/>
      <c r="AQ285" s="18"/>
      <c r="AR285" s="18"/>
      <c r="AS285" s="18"/>
      <c r="AT285" s="18"/>
      <c r="AU285" s="18"/>
      <c r="AV285" s="18"/>
      <c r="AW285" s="18"/>
      <c r="AX285" s="18"/>
    </row>
    <row r="286" customFormat="false" ht="15" hidden="false" customHeight="false" outlineLevel="0" collapsed="false">
      <c r="A286" s="16" t="str">
        <f aca="false">IF(INDEX(Tasks!$A:$A,ROW()-1)="","",INDEX(Tasks!$A:$A,ROW()-1))</f>
        <v/>
      </c>
      <c r="B286" s="16" t="str">
        <f aca="false">IF(INDEX(Tasks!$A:$A,ROW()-1)="","",IF(ISERROR(FIND(".",INDEX(Tasks!$A:$A,ROW()-1))),"","   ")&amp;INDEX(Tasks!$D:$D,ROW()-1))</f>
        <v/>
      </c>
      <c r="C286" s="16" t="str">
        <f aca="false">IF(INDEX(Tasks!$G:$G,ROW()-1)="","",INDEX(Tasks!$G:$G,ROW()-1))</f>
        <v/>
      </c>
      <c r="D286" s="16" t="str">
        <f aca="false">IF(INDEX(Tasks!$H:$H,ROW()-1)="","",INDEX(Tasks!$H:$H,ROW()-1))</f>
        <v/>
      </c>
      <c r="E286" s="17" t="str">
        <f aca="false">IF(INDEX(Tasks!$I:$I,ROW()-1)="","",INDEX(Tasks!$I:$I,ROW()-1))</f>
        <v/>
      </c>
      <c r="F286" s="17" t="str">
        <f aca="false">IF(INDEX(Tasks!$K:$K,ROW()-1)="","",INDEX(Tasks!$K:$K,ROW()-1))</f>
        <v/>
      </c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  <c r="AG286" s="18"/>
      <c r="AH286" s="18"/>
      <c r="AI286" s="18"/>
      <c r="AJ286" s="18"/>
      <c r="AK286" s="18"/>
      <c r="AL286" s="18"/>
      <c r="AM286" s="18"/>
      <c r="AN286" s="18"/>
      <c r="AO286" s="18"/>
      <c r="AP286" s="18"/>
      <c r="AQ286" s="18"/>
      <c r="AR286" s="18"/>
      <c r="AS286" s="18"/>
      <c r="AT286" s="18"/>
      <c r="AU286" s="18"/>
      <c r="AV286" s="18"/>
      <c r="AW286" s="18"/>
      <c r="AX286" s="18"/>
    </row>
    <row r="287" customFormat="false" ht="15" hidden="false" customHeight="false" outlineLevel="0" collapsed="false">
      <c r="A287" s="16" t="str">
        <f aca="false">IF(INDEX(Tasks!$A:$A,ROW()-1)="","",INDEX(Tasks!$A:$A,ROW()-1))</f>
        <v/>
      </c>
      <c r="B287" s="16" t="str">
        <f aca="false">IF(INDEX(Tasks!$A:$A,ROW()-1)="","",IF(ISERROR(FIND(".",INDEX(Tasks!$A:$A,ROW()-1))),"","   ")&amp;INDEX(Tasks!$D:$D,ROW()-1))</f>
        <v/>
      </c>
      <c r="C287" s="16" t="str">
        <f aca="false">IF(INDEX(Tasks!$G:$G,ROW()-1)="","",INDEX(Tasks!$G:$G,ROW()-1))</f>
        <v/>
      </c>
      <c r="D287" s="16" t="str">
        <f aca="false">IF(INDEX(Tasks!$H:$H,ROW()-1)="","",INDEX(Tasks!$H:$H,ROW()-1))</f>
        <v/>
      </c>
      <c r="E287" s="17" t="str">
        <f aca="false">IF(INDEX(Tasks!$I:$I,ROW()-1)="","",INDEX(Tasks!$I:$I,ROW()-1))</f>
        <v/>
      </c>
      <c r="F287" s="17" t="str">
        <f aca="false">IF(INDEX(Tasks!$K:$K,ROW()-1)="","",INDEX(Tasks!$K:$K,ROW()-1))</f>
        <v/>
      </c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  <c r="AG287" s="18"/>
      <c r="AH287" s="18"/>
      <c r="AI287" s="18"/>
      <c r="AJ287" s="18"/>
      <c r="AK287" s="18"/>
      <c r="AL287" s="18"/>
      <c r="AM287" s="18"/>
      <c r="AN287" s="18"/>
      <c r="AO287" s="18"/>
      <c r="AP287" s="18"/>
      <c r="AQ287" s="18"/>
      <c r="AR287" s="18"/>
      <c r="AS287" s="18"/>
      <c r="AT287" s="18"/>
      <c r="AU287" s="18"/>
      <c r="AV287" s="18"/>
      <c r="AW287" s="18"/>
      <c r="AX287" s="18"/>
    </row>
    <row r="288" customFormat="false" ht="15" hidden="false" customHeight="false" outlineLevel="0" collapsed="false">
      <c r="A288" s="16" t="str">
        <f aca="false">IF(INDEX(Tasks!$A:$A,ROW()-1)="","",INDEX(Tasks!$A:$A,ROW()-1))</f>
        <v/>
      </c>
      <c r="B288" s="16" t="str">
        <f aca="false">IF(INDEX(Tasks!$A:$A,ROW()-1)="","",IF(ISERROR(FIND(".",INDEX(Tasks!$A:$A,ROW()-1))),"","   ")&amp;INDEX(Tasks!$D:$D,ROW()-1))</f>
        <v/>
      </c>
      <c r="C288" s="16" t="str">
        <f aca="false">IF(INDEX(Tasks!$G:$G,ROW()-1)="","",INDEX(Tasks!$G:$G,ROW()-1))</f>
        <v/>
      </c>
      <c r="D288" s="16" t="str">
        <f aca="false">IF(INDEX(Tasks!$H:$H,ROW()-1)="","",INDEX(Tasks!$H:$H,ROW()-1))</f>
        <v/>
      </c>
      <c r="E288" s="17" t="str">
        <f aca="false">IF(INDEX(Tasks!$I:$I,ROW()-1)="","",INDEX(Tasks!$I:$I,ROW()-1))</f>
        <v/>
      </c>
      <c r="F288" s="17" t="str">
        <f aca="false">IF(INDEX(Tasks!$K:$K,ROW()-1)="","",INDEX(Tasks!$K:$K,ROW()-1))</f>
        <v/>
      </c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  <c r="AG288" s="18"/>
      <c r="AH288" s="18"/>
      <c r="AI288" s="18"/>
      <c r="AJ288" s="18"/>
      <c r="AK288" s="18"/>
      <c r="AL288" s="18"/>
      <c r="AM288" s="18"/>
      <c r="AN288" s="18"/>
      <c r="AO288" s="18"/>
      <c r="AP288" s="18"/>
      <c r="AQ288" s="18"/>
      <c r="AR288" s="18"/>
      <c r="AS288" s="18"/>
      <c r="AT288" s="18"/>
      <c r="AU288" s="18"/>
      <c r="AV288" s="18"/>
      <c r="AW288" s="18"/>
      <c r="AX288" s="18"/>
    </row>
    <row r="289" customFormat="false" ht="15" hidden="false" customHeight="false" outlineLevel="0" collapsed="false">
      <c r="A289" s="16" t="str">
        <f aca="false">IF(INDEX(Tasks!$A:$A,ROW()-1)="","",INDEX(Tasks!$A:$A,ROW()-1))</f>
        <v/>
      </c>
      <c r="B289" s="16" t="str">
        <f aca="false">IF(INDEX(Tasks!$A:$A,ROW()-1)="","",IF(ISERROR(FIND(".",INDEX(Tasks!$A:$A,ROW()-1))),"","   ")&amp;INDEX(Tasks!$D:$D,ROW()-1))</f>
        <v/>
      </c>
      <c r="C289" s="16" t="str">
        <f aca="false">IF(INDEX(Tasks!$G:$G,ROW()-1)="","",INDEX(Tasks!$G:$G,ROW()-1))</f>
        <v/>
      </c>
      <c r="D289" s="16" t="str">
        <f aca="false">IF(INDEX(Tasks!$H:$H,ROW()-1)="","",INDEX(Tasks!$H:$H,ROW()-1))</f>
        <v/>
      </c>
      <c r="E289" s="17" t="str">
        <f aca="false">IF(INDEX(Tasks!$I:$I,ROW()-1)="","",INDEX(Tasks!$I:$I,ROW()-1))</f>
        <v/>
      </c>
      <c r="F289" s="17" t="str">
        <f aca="false">IF(INDEX(Tasks!$K:$K,ROW()-1)="","",INDEX(Tasks!$K:$K,ROW()-1))</f>
        <v/>
      </c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  <c r="AG289" s="18"/>
      <c r="AH289" s="18"/>
      <c r="AI289" s="18"/>
      <c r="AJ289" s="18"/>
      <c r="AK289" s="18"/>
      <c r="AL289" s="18"/>
      <c r="AM289" s="18"/>
      <c r="AN289" s="18"/>
      <c r="AO289" s="18"/>
      <c r="AP289" s="18"/>
      <c r="AQ289" s="18"/>
      <c r="AR289" s="18"/>
      <c r="AS289" s="18"/>
      <c r="AT289" s="18"/>
      <c r="AU289" s="18"/>
      <c r="AV289" s="18"/>
      <c r="AW289" s="18"/>
      <c r="AX289" s="18"/>
    </row>
    <row r="290" customFormat="false" ht="15" hidden="false" customHeight="false" outlineLevel="0" collapsed="false">
      <c r="A290" s="16" t="str">
        <f aca="false">IF(INDEX(Tasks!$A:$A,ROW()-1)="","",INDEX(Tasks!$A:$A,ROW()-1))</f>
        <v/>
      </c>
      <c r="B290" s="16" t="str">
        <f aca="false">IF(INDEX(Tasks!$A:$A,ROW()-1)="","",IF(ISERROR(FIND(".",INDEX(Tasks!$A:$A,ROW()-1))),"","   ")&amp;INDEX(Tasks!$D:$D,ROW()-1))</f>
        <v/>
      </c>
      <c r="C290" s="16" t="str">
        <f aca="false">IF(INDEX(Tasks!$G:$G,ROW()-1)="","",INDEX(Tasks!$G:$G,ROW()-1))</f>
        <v/>
      </c>
      <c r="D290" s="16" t="str">
        <f aca="false">IF(INDEX(Tasks!$H:$H,ROW()-1)="","",INDEX(Tasks!$H:$H,ROW()-1))</f>
        <v/>
      </c>
      <c r="E290" s="17" t="str">
        <f aca="false">IF(INDEX(Tasks!$I:$I,ROW()-1)="","",INDEX(Tasks!$I:$I,ROW()-1))</f>
        <v/>
      </c>
      <c r="F290" s="17" t="str">
        <f aca="false">IF(INDEX(Tasks!$K:$K,ROW()-1)="","",INDEX(Tasks!$K:$K,ROW()-1))</f>
        <v/>
      </c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  <c r="AG290" s="18"/>
      <c r="AH290" s="18"/>
      <c r="AI290" s="18"/>
      <c r="AJ290" s="18"/>
      <c r="AK290" s="18"/>
      <c r="AL290" s="18"/>
      <c r="AM290" s="18"/>
      <c r="AN290" s="18"/>
      <c r="AO290" s="18"/>
      <c r="AP290" s="18"/>
      <c r="AQ290" s="18"/>
      <c r="AR290" s="18"/>
      <c r="AS290" s="18"/>
      <c r="AT290" s="18"/>
      <c r="AU290" s="18"/>
      <c r="AV290" s="18"/>
      <c r="AW290" s="18"/>
      <c r="AX290" s="18"/>
    </row>
    <row r="291" customFormat="false" ht="15" hidden="false" customHeight="false" outlineLevel="0" collapsed="false">
      <c r="A291" s="16" t="str">
        <f aca="false">IF(INDEX(Tasks!$A:$A,ROW()-1)="","",INDEX(Tasks!$A:$A,ROW()-1))</f>
        <v/>
      </c>
      <c r="B291" s="16" t="str">
        <f aca="false">IF(INDEX(Tasks!$A:$A,ROW()-1)="","",IF(ISERROR(FIND(".",INDEX(Tasks!$A:$A,ROW()-1))),"","   ")&amp;INDEX(Tasks!$D:$D,ROW()-1))</f>
        <v/>
      </c>
      <c r="C291" s="16" t="str">
        <f aca="false">IF(INDEX(Tasks!$G:$G,ROW()-1)="","",INDEX(Tasks!$G:$G,ROW()-1))</f>
        <v/>
      </c>
      <c r="D291" s="16" t="str">
        <f aca="false">IF(INDEX(Tasks!$H:$H,ROW()-1)="","",INDEX(Tasks!$H:$H,ROW()-1))</f>
        <v/>
      </c>
      <c r="E291" s="17" t="str">
        <f aca="false">IF(INDEX(Tasks!$I:$I,ROW()-1)="","",INDEX(Tasks!$I:$I,ROW()-1))</f>
        <v/>
      </c>
      <c r="F291" s="17" t="str">
        <f aca="false">IF(INDEX(Tasks!$K:$K,ROW()-1)="","",INDEX(Tasks!$K:$K,ROW()-1))</f>
        <v/>
      </c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  <c r="AG291" s="18"/>
      <c r="AH291" s="18"/>
      <c r="AI291" s="18"/>
      <c r="AJ291" s="18"/>
      <c r="AK291" s="18"/>
      <c r="AL291" s="18"/>
      <c r="AM291" s="18"/>
      <c r="AN291" s="18"/>
      <c r="AO291" s="18"/>
      <c r="AP291" s="18"/>
      <c r="AQ291" s="18"/>
      <c r="AR291" s="18"/>
      <c r="AS291" s="18"/>
      <c r="AT291" s="18"/>
      <c r="AU291" s="18"/>
      <c r="AV291" s="18"/>
      <c r="AW291" s="18"/>
      <c r="AX291" s="18"/>
    </row>
    <row r="292" customFormat="false" ht="15" hidden="false" customHeight="false" outlineLevel="0" collapsed="false">
      <c r="A292" s="16" t="str">
        <f aca="false">IF(INDEX(Tasks!$A:$A,ROW()-1)="","",INDEX(Tasks!$A:$A,ROW()-1))</f>
        <v/>
      </c>
      <c r="B292" s="16" t="str">
        <f aca="false">IF(INDEX(Tasks!$A:$A,ROW()-1)="","",IF(ISERROR(FIND(".",INDEX(Tasks!$A:$A,ROW()-1))),"","   ")&amp;INDEX(Tasks!$D:$D,ROW()-1))</f>
        <v/>
      </c>
      <c r="C292" s="16" t="str">
        <f aca="false">IF(INDEX(Tasks!$G:$G,ROW()-1)="","",INDEX(Tasks!$G:$G,ROW()-1))</f>
        <v/>
      </c>
      <c r="D292" s="16" t="str">
        <f aca="false">IF(INDEX(Tasks!$H:$H,ROW()-1)="","",INDEX(Tasks!$H:$H,ROW()-1))</f>
        <v/>
      </c>
      <c r="E292" s="17" t="str">
        <f aca="false">IF(INDEX(Tasks!$I:$I,ROW()-1)="","",INDEX(Tasks!$I:$I,ROW()-1))</f>
        <v/>
      </c>
      <c r="F292" s="17" t="str">
        <f aca="false">IF(INDEX(Tasks!$K:$K,ROW()-1)="","",INDEX(Tasks!$K:$K,ROW()-1))</f>
        <v/>
      </c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  <c r="AG292" s="18"/>
      <c r="AH292" s="18"/>
      <c r="AI292" s="18"/>
      <c r="AJ292" s="18"/>
      <c r="AK292" s="18"/>
      <c r="AL292" s="18"/>
      <c r="AM292" s="18"/>
      <c r="AN292" s="18"/>
      <c r="AO292" s="18"/>
      <c r="AP292" s="18"/>
      <c r="AQ292" s="18"/>
      <c r="AR292" s="18"/>
      <c r="AS292" s="18"/>
      <c r="AT292" s="18"/>
      <c r="AU292" s="18"/>
      <c r="AV292" s="18"/>
      <c r="AW292" s="18"/>
      <c r="AX292" s="18"/>
    </row>
    <row r="293" customFormat="false" ht="15" hidden="false" customHeight="false" outlineLevel="0" collapsed="false">
      <c r="A293" s="16" t="str">
        <f aca="false">IF(INDEX(Tasks!$A:$A,ROW()-1)="","",INDEX(Tasks!$A:$A,ROW()-1))</f>
        <v/>
      </c>
      <c r="B293" s="16" t="str">
        <f aca="false">IF(INDEX(Tasks!$A:$A,ROW()-1)="","",IF(ISERROR(FIND(".",INDEX(Tasks!$A:$A,ROW()-1))),"","   ")&amp;INDEX(Tasks!$D:$D,ROW()-1))</f>
        <v/>
      </c>
      <c r="C293" s="16" t="str">
        <f aca="false">IF(INDEX(Tasks!$G:$G,ROW()-1)="","",INDEX(Tasks!$G:$G,ROW()-1))</f>
        <v/>
      </c>
      <c r="D293" s="16" t="str">
        <f aca="false">IF(INDEX(Tasks!$H:$H,ROW()-1)="","",INDEX(Tasks!$H:$H,ROW()-1))</f>
        <v/>
      </c>
      <c r="E293" s="17" t="str">
        <f aca="false">IF(INDEX(Tasks!$I:$I,ROW()-1)="","",INDEX(Tasks!$I:$I,ROW()-1))</f>
        <v/>
      </c>
      <c r="F293" s="17" t="str">
        <f aca="false">IF(INDEX(Tasks!$K:$K,ROW()-1)="","",INDEX(Tasks!$K:$K,ROW()-1))</f>
        <v/>
      </c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  <c r="AG293" s="18"/>
      <c r="AH293" s="18"/>
      <c r="AI293" s="18"/>
      <c r="AJ293" s="18"/>
      <c r="AK293" s="18"/>
      <c r="AL293" s="18"/>
      <c r="AM293" s="18"/>
      <c r="AN293" s="18"/>
      <c r="AO293" s="18"/>
      <c r="AP293" s="18"/>
      <c r="AQ293" s="18"/>
      <c r="AR293" s="18"/>
      <c r="AS293" s="18"/>
      <c r="AT293" s="18"/>
      <c r="AU293" s="18"/>
      <c r="AV293" s="18"/>
      <c r="AW293" s="18"/>
      <c r="AX293" s="18"/>
    </row>
    <row r="294" customFormat="false" ht="15" hidden="false" customHeight="false" outlineLevel="0" collapsed="false">
      <c r="A294" s="16" t="str">
        <f aca="false">IF(INDEX(Tasks!$A:$A,ROW()-1)="","",INDEX(Tasks!$A:$A,ROW()-1))</f>
        <v/>
      </c>
      <c r="B294" s="16" t="str">
        <f aca="false">IF(INDEX(Tasks!$A:$A,ROW()-1)="","",IF(ISERROR(FIND(".",INDEX(Tasks!$A:$A,ROW()-1))),"","   ")&amp;INDEX(Tasks!$D:$D,ROW()-1))</f>
        <v/>
      </c>
      <c r="C294" s="16" t="str">
        <f aca="false">IF(INDEX(Tasks!$G:$G,ROW()-1)="","",INDEX(Tasks!$G:$G,ROW()-1))</f>
        <v/>
      </c>
      <c r="D294" s="16" t="str">
        <f aca="false">IF(INDEX(Tasks!$H:$H,ROW()-1)="","",INDEX(Tasks!$H:$H,ROW()-1))</f>
        <v/>
      </c>
      <c r="E294" s="17" t="str">
        <f aca="false">IF(INDEX(Tasks!$I:$I,ROW()-1)="","",INDEX(Tasks!$I:$I,ROW()-1))</f>
        <v/>
      </c>
      <c r="F294" s="17" t="str">
        <f aca="false">IF(INDEX(Tasks!$K:$K,ROW()-1)="","",INDEX(Tasks!$K:$K,ROW()-1))</f>
        <v/>
      </c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  <c r="AG294" s="18"/>
      <c r="AH294" s="18"/>
      <c r="AI294" s="18"/>
      <c r="AJ294" s="18"/>
      <c r="AK294" s="18"/>
      <c r="AL294" s="18"/>
      <c r="AM294" s="18"/>
      <c r="AN294" s="18"/>
      <c r="AO294" s="18"/>
      <c r="AP294" s="18"/>
      <c r="AQ294" s="18"/>
      <c r="AR294" s="18"/>
      <c r="AS294" s="18"/>
      <c r="AT294" s="18"/>
      <c r="AU294" s="18"/>
      <c r="AV294" s="18"/>
      <c r="AW294" s="18"/>
      <c r="AX294" s="18"/>
    </row>
    <row r="295" customFormat="false" ht="15" hidden="false" customHeight="false" outlineLevel="0" collapsed="false">
      <c r="A295" s="16" t="str">
        <f aca="false">IF(INDEX(Tasks!$A:$A,ROW()-1)="","",INDEX(Tasks!$A:$A,ROW()-1))</f>
        <v/>
      </c>
      <c r="B295" s="16" t="str">
        <f aca="false">IF(INDEX(Tasks!$A:$A,ROW()-1)="","",IF(ISERROR(FIND(".",INDEX(Tasks!$A:$A,ROW()-1))),"","   ")&amp;INDEX(Tasks!$D:$D,ROW()-1))</f>
        <v/>
      </c>
      <c r="C295" s="16" t="str">
        <f aca="false">IF(INDEX(Tasks!$G:$G,ROW()-1)="","",INDEX(Tasks!$G:$G,ROW()-1))</f>
        <v/>
      </c>
      <c r="D295" s="16" t="str">
        <f aca="false">IF(INDEX(Tasks!$H:$H,ROW()-1)="","",INDEX(Tasks!$H:$H,ROW()-1))</f>
        <v/>
      </c>
      <c r="E295" s="17" t="str">
        <f aca="false">IF(INDEX(Tasks!$I:$I,ROW()-1)="","",INDEX(Tasks!$I:$I,ROW()-1))</f>
        <v/>
      </c>
      <c r="F295" s="17" t="str">
        <f aca="false">IF(INDEX(Tasks!$K:$K,ROW()-1)="","",INDEX(Tasks!$K:$K,ROW()-1))</f>
        <v/>
      </c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  <c r="AG295" s="18"/>
      <c r="AH295" s="18"/>
      <c r="AI295" s="18"/>
      <c r="AJ295" s="18"/>
      <c r="AK295" s="18"/>
      <c r="AL295" s="18"/>
      <c r="AM295" s="18"/>
      <c r="AN295" s="18"/>
      <c r="AO295" s="18"/>
      <c r="AP295" s="18"/>
      <c r="AQ295" s="18"/>
      <c r="AR295" s="18"/>
      <c r="AS295" s="18"/>
      <c r="AT295" s="18"/>
      <c r="AU295" s="18"/>
      <c r="AV295" s="18"/>
      <c r="AW295" s="18"/>
      <c r="AX295" s="18"/>
    </row>
    <row r="296" customFormat="false" ht="15" hidden="false" customHeight="false" outlineLevel="0" collapsed="false">
      <c r="A296" s="16" t="str">
        <f aca="false">IF(INDEX(Tasks!$A:$A,ROW()-1)="","",INDEX(Tasks!$A:$A,ROW()-1))</f>
        <v/>
      </c>
      <c r="B296" s="16" t="str">
        <f aca="false">IF(INDEX(Tasks!$A:$A,ROW()-1)="","",IF(ISERROR(FIND(".",INDEX(Tasks!$A:$A,ROW()-1))),"","   ")&amp;INDEX(Tasks!$D:$D,ROW()-1))</f>
        <v/>
      </c>
      <c r="C296" s="16" t="str">
        <f aca="false">IF(INDEX(Tasks!$G:$G,ROW()-1)="","",INDEX(Tasks!$G:$G,ROW()-1))</f>
        <v/>
      </c>
      <c r="D296" s="16" t="str">
        <f aca="false">IF(INDEX(Tasks!$H:$H,ROW()-1)="","",INDEX(Tasks!$H:$H,ROW()-1))</f>
        <v/>
      </c>
      <c r="E296" s="17" t="str">
        <f aca="false">IF(INDEX(Tasks!$I:$I,ROW()-1)="","",INDEX(Tasks!$I:$I,ROW()-1))</f>
        <v/>
      </c>
      <c r="F296" s="17" t="str">
        <f aca="false">IF(INDEX(Tasks!$K:$K,ROW()-1)="","",INDEX(Tasks!$K:$K,ROW()-1))</f>
        <v/>
      </c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  <c r="AG296" s="18"/>
      <c r="AH296" s="18"/>
      <c r="AI296" s="18"/>
      <c r="AJ296" s="18"/>
      <c r="AK296" s="18"/>
      <c r="AL296" s="18"/>
      <c r="AM296" s="18"/>
      <c r="AN296" s="18"/>
      <c r="AO296" s="18"/>
      <c r="AP296" s="18"/>
      <c r="AQ296" s="18"/>
      <c r="AR296" s="18"/>
      <c r="AS296" s="18"/>
      <c r="AT296" s="18"/>
      <c r="AU296" s="18"/>
      <c r="AV296" s="18"/>
      <c r="AW296" s="18"/>
      <c r="AX296" s="18"/>
    </row>
    <row r="297" customFormat="false" ht="15" hidden="false" customHeight="false" outlineLevel="0" collapsed="false">
      <c r="A297" s="16" t="str">
        <f aca="false">IF(INDEX(Tasks!$A:$A,ROW()-1)="","",INDEX(Tasks!$A:$A,ROW()-1))</f>
        <v/>
      </c>
      <c r="B297" s="16" t="str">
        <f aca="false">IF(INDEX(Tasks!$A:$A,ROW()-1)="","",IF(ISERROR(FIND(".",INDEX(Tasks!$A:$A,ROW()-1))),"","   ")&amp;INDEX(Tasks!$D:$D,ROW()-1))</f>
        <v/>
      </c>
      <c r="C297" s="16" t="str">
        <f aca="false">IF(INDEX(Tasks!$G:$G,ROW()-1)="","",INDEX(Tasks!$G:$G,ROW()-1))</f>
        <v/>
      </c>
      <c r="D297" s="16" t="str">
        <f aca="false">IF(INDEX(Tasks!$H:$H,ROW()-1)="","",INDEX(Tasks!$H:$H,ROW()-1))</f>
        <v/>
      </c>
      <c r="E297" s="17" t="str">
        <f aca="false">IF(INDEX(Tasks!$I:$I,ROW()-1)="","",INDEX(Tasks!$I:$I,ROW()-1))</f>
        <v/>
      </c>
      <c r="F297" s="17" t="str">
        <f aca="false">IF(INDEX(Tasks!$K:$K,ROW()-1)="","",INDEX(Tasks!$K:$K,ROW()-1))</f>
        <v/>
      </c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  <c r="AG297" s="18"/>
      <c r="AH297" s="18"/>
      <c r="AI297" s="18"/>
      <c r="AJ297" s="18"/>
      <c r="AK297" s="18"/>
      <c r="AL297" s="18"/>
      <c r="AM297" s="18"/>
      <c r="AN297" s="18"/>
      <c r="AO297" s="18"/>
      <c r="AP297" s="18"/>
      <c r="AQ297" s="18"/>
      <c r="AR297" s="18"/>
      <c r="AS297" s="18"/>
      <c r="AT297" s="18"/>
      <c r="AU297" s="18"/>
      <c r="AV297" s="18"/>
      <c r="AW297" s="18"/>
      <c r="AX297" s="18"/>
    </row>
    <row r="298" customFormat="false" ht="15" hidden="false" customHeight="false" outlineLevel="0" collapsed="false">
      <c r="A298" s="16" t="str">
        <f aca="false">IF(INDEX(Tasks!$A:$A,ROW()-1)="","",INDEX(Tasks!$A:$A,ROW()-1))</f>
        <v/>
      </c>
      <c r="B298" s="16" t="str">
        <f aca="false">IF(INDEX(Tasks!$A:$A,ROW()-1)="","",IF(ISERROR(FIND(".",INDEX(Tasks!$A:$A,ROW()-1))),"","   ")&amp;INDEX(Tasks!$D:$D,ROW()-1))</f>
        <v/>
      </c>
      <c r="C298" s="16" t="str">
        <f aca="false">IF(INDEX(Tasks!$G:$G,ROW()-1)="","",INDEX(Tasks!$G:$G,ROW()-1))</f>
        <v/>
      </c>
      <c r="D298" s="16" t="str">
        <f aca="false">IF(INDEX(Tasks!$H:$H,ROW()-1)="","",INDEX(Tasks!$H:$H,ROW()-1))</f>
        <v/>
      </c>
      <c r="E298" s="17" t="str">
        <f aca="false">IF(INDEX(Tasks!$I:$I,ROW()-1)="","",INDEX(Tasks!$I:$I,ROW()-1))</f>
        <v/>
      </c>
      <c r="F298" s="17" t="str">
        <f aca="false">IF(INDEX(Tasks!$K:$K,ROW()-1)="","",INDEX(Tasks!$K:$K,ROW()-1))</f>
        <v/>
      </c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  <c r="AG298" s="18"/>
      <c r="AH298" s="18"/>
      <c r="AI298" s="18"/>
      <c r="AJ298" s="18"/>
      <c r="AK298" s="18"/>
      <c r="AL298" s="18"/>
      <c r="AM298" s="18"/>
      <c r="AN298" s="18"/>
      <c r="AO298" s="18"/>
      <c r="AP298" s="18"/>
      <c r="AQ298" s="18"/>
      <c r="AR298" s="18"/>
      <c r="AS298" s="18"/>
      <c r="AT298" s="18"/>
      <c r="AU298" s="18"/>
      <c r="AV298" s="18"/>
      <c r="AW298" s="18"/>
      <c r="AX298" s="18"/>
    </row>
    <row r="299" customFormat="false" ht="15" hidden="false" customHeight="false" outlineLevel="0" collapsed="false">
      <c r="A299" s="16" t="str">
        <f aca="false">IF(INDEX(Tasks!$A:$A,ROW()-1)="","",INDEX(Tasks!$A:$A,ROW()-1))</f>
        <v/>
      </c>
      <c r="B299" s="16" t="str">
        <f aca="false">IF(INDEX(Tasks!$A:$A,ROW()-1)="","",IF(ISERROR(FIND(".",INDEX(Tasks!$A:$A,ROW()-1))),"","   ")&amp;INDEX(Tasks!$D:$D,ROW()-1))</f>
        <v/>
      </c>
      <c r="C299" s="16" t="str">
        <f aca="false">IF(INDEX(Tasks!$G:$G,ROW()-1)="","",INDEX(Tasks!$G:$G,ROW()-1))</f>
        <v/>
      </c>
      <c r="D299" s="16" t="str">
        <f aca="false">IF(INDEX(Tasks!$H:$H,ROW()-1)="","",INDEX(Tasks!$H:$H,ROW()-1))</f>
        <v/>
      </c>
      <c r="E299" s="17" t="str">
        <f aca="false">IF(INDEX(Tasks!$I:$I,ROW()-1)="","",INDEX(Tasks!$I:$I,ROW()-1))</f>
        <v/>
      </c>
      <c r="F299" s="17" t="str">
        <f aca="false">IF(INDEX(Tasks!$K:$K,ROW()-1)="","",INDEX(Tasks!$K:$K,ROW()-1))</f>
        <v/>
      </c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  <c r="AG299" s="18"/>
      <c r="AH299" s="18"/>
      <c r="AI299" s="18"/>
      <c r="AJ299" s="18"/>
      <c r="AK299" s="18"/>
      <c r="AL299" s="18"/>
      <c r="AM299" s="18"/>
      <c r="AN299" s="18"/>
      <c r="AO299" s="18"/>
      <c r="AP299" s="18"/>
      <c r="AQ299" s="18"/>
      <c r="AR299" s="18"/>
      <c r="AS299" s="18"/>
      <c r="AT299" s="18"/>
      <c r="AU299" s="18"/>
      <c r="AV299" s="18"/>
      <c r="AW299" s="18"/>
      <c r="AX299" s="18"/>
    </row>
    <row r="300" customFormat="false" ht="15" hidden="false" customHeight="false" outlineLevel="0" collapsed="false">
      <c r="A300" s="16" t="str">
        <f aca="false">IF(INDEX(Tasks!$A:$A,ROW()-1)="","",INDEX(Tasks!$A:$A,ROW()-1))</f>
        <v/>
      </c>
      <c r="B300" s="16" t="str">
        <f aca="false">IF(INDEX(Tasks!$A:$A,ROW()-1)="","",IF(ISERROR(FIND(".",INDEX(Tasks!$A:$A,ROW()-1))),"","   ")&amp;INDEX(Tasks!$D:$D,ROW()-1))</f>
        <v/>
      </c>
      <c r="C300" s="16" t="str">
        <f aca="false">IF(INDEX(Tasks!$G:$G,ROW()-1)="","",INDEX(Tasks!$G:$G,ROW()-1))</f>
        <v/>
      </c>
      <c r="D300" s="16" t="str">
        <f aca="false">IF(INDEX(Tasks!$H:$H,ROW()-1)="","",INDEX(Tasks!$H:$H,ROW()-1))</f>
        <v/>
      </c>
      <c r="E300" s="17" t="str">
        <f aca="false">IF(INDEX(Tasks!$I:$I,ROW()-1)="","",INDEX(Tasks!$I:$I,ROW()-1))</f>
        <v/>
      </c>
      <c r="F300" s="17" t="str">
        <f aca="false">IF(INDEX(Tasks!$K:$K,ROW()-1)="","",INDEX(Tasks!$K:$K,ROW()-1))</f>
        <v/>
      </c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  <c r="AG300" s="18"/>
      <c r="AH300" s="18"/>
      <c r="AI300" s="18"/>
      <c r="AJ300" s="18"/>
      <c r="AK300" s="18"/>
      <c r="AL300" s="18"/>
      <c r="AM300" s="18"/>
      <c r="AN300" s="18"/>
      <c r="AO300" s="18"/>
      <c r="AP300" s="18"/>
      <c r="AQ300" s="18"/>
      <c r="AR300" s="18"/>
      <c r="AS300" s="18"/>
      <c r="AT300" s="18"/>
      <c r="AU300" s="18"/>
      <c r="AV300" s="18"/>
      <c r="AW300" s="18"/>
      <c r="AX300" s="18"/>
    </row>
    <row r="301" customFormat="false" ht="15" hidden="false" customHeight="false" outlineLevel="0" collapsed="false">
      <c r="A301" s="16" t="str">
        <f aca="false">IF(INDEX(Tasks!$A:$A,ROW()-1)="","",INDEX(Tasks!$A:$A,ROW()-1))</f>
        <v/>
      </c>
      <c r="B301" s="16" t="str">
        <f aca="false">IF(INDEX(Tasks!$A:$A,ROW()-1)="","",IF(ISERROR(FIND(".",INDEX(Tasks!$A:$A,ROW()-1))),"","   ")&amp;INDEX(Tasks!$D:$D,ROW()-1))</f>
        <v/>
      </c>
      <c r="C301" s="16" t="str">
        <f aca="false">IF(INDEX(Tasks!$G:$G,ROW()-1)="","",INDEX(Tasks!$G:$G,ROW()-1))</f>
        <v/>
      </c>
      <c r="D301" s="16" t="str">
        <f aca="false">IF(INDEX(Tasks!$H:$H,ROW()-1)="","",INDEX(Tasks!$H:$H,ROW()-1))</f>
        <v/>
      </c>
      <c r="E301" s="17" t="str">
        <f aca="false">IF(INDEX(Tasks!$I:$I,ROW()-1)="","",INDEX(Tasks!$I:$I,ROW()-1))</f>
        <v/>
      </c>
      <c r="F301" s="17" t="str">
        <f aca="false">IF(INDEX(Tasks!$K:$K,ROW()-1)="","",INDEX(Tasks!$K:$K,ROW()-1))</f>
        <v/>
      </c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  <c r="AG301" s="18"/>
      <c r="AH301" s="18"/>
      <c r="AI301" s="18"/>
      <c r="AJ301" s="18"/>
      <c r="AK301" s="18"/>
      <c r="AL301" s="18"/>
      <c r="AM301" s="18"/>
      <c r="AN301" s="18"/>
      <c r="AO301" s="18"/>
      <c r="AP301" s="18"/>
      <c r="AQ301" s="18"/>
      <c r="AR301" s="18"/>
      <c r="AS301" s="18"/>
      <c r="AT301" s="18"/>
      <c r="AU301" s="18"/>
      <c r="AV301" s="18"/>
      <c r="AW301" s="18"/>
      <c r="AX301" s="18"/>
    </row>
    <row r="302" customFormat="false" ht="15" hidden="false" customHeight="false" outlineLevel="0" collapsed="false">
      <c r="A302" s="16" t="str">
        <f aca="false">IF(INDEX(Tasks!$A:$A,ROW()-1)="","",INDEX(Tasks!$A:$A,ROW()-1))</f>
        <v/>
      </c>
      <c r="B302" s="16" t="str">
        <f aca="false">IF(INDEX(Tasks!$A:$A,ROW()-1)="","",IF(ISERROR(FIND(".",INDEX(Tasks!$A:$A,ROW()-1))),"","   ")&amp;INDEX(Tasks!$D:$D,ROW()-1))</f>
        <v/>
      </c>
      <c r="C302" s="16" t="str">
        <f aca="false">IF(INDEX(Tasks!$G:$G,ROW()-1)="","",INDEX(Tasks!$G:$G,ROW()-1))</f>
        <v/>
      </c>
      <c r="D302" s="16" t="str">
        <f aca="false">IF(INDEX(Tasks!$H:$H,ROW()-1)="","",INDEX(Tasks!$H:$H,ROW()-1))</f>
        <v/>
      </c>
      <c r="E302" s="17" t="str">
        <f aca="false">IF(INDEX(Tasks!$I:$I,ROW()-1)="","",INDEX(Tasks!$I:$I,ROW()-1))</f>
        <v/>
      </c>
      <c r="F302" s="17" t="str">
        <f aca="false">IF(INDEX(Tasks!$K:$K,ROW()-1)="","",INDEX(Tasks!$K:$K,ROW()-1))</f>
        <v/>
      </c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  <c r="AG302" s="18"/>
      <c r="AH302" s="18"/>
      <c r="AI302" s="18"/>
      <c r="AJ302" s="18"/>
      <c r="AK302" s="18"/>
      <c r="AL302" s="18"/>
      <c r="AM302" s="18"/>
      <c r="AN302" s="18"/>
      <c r="AO302" s="18"/>
      <c r="AP302" s="18"/>
      <c r="AQ302" s="18"/>
      <c r="AR302" s="18"/>
      <c r="AS302" s="18"/>
      <c r="AT302" s="18"/>
      <c r="AU302" s="18"/>
      <c r="AV302" s="18"/>
      <c r="AW302" s="18"/>
      <c r="AX302" s="18"/>
    </row>
    <row r="303" customFormat="false" ht="15" hidden="false" customHeight="false" outlineLevel="0" collapsed="false">
      <c r="A303" s="16" t="str">
        <f aca="false">IF(INDEX(Tasks!$A:$A,ROW()-1)="","",INDEX(Tasks!$A:$A,ROW()-1))</f>
        <v/>
      </c>
      <c r="B303" s="16" t="str">
        <f aca="false">IF(INDEX(Tasks!$A:$A,ROW()-1)="","",IF(ISERROR(FIND(".",INDEX(Tasks!$A:$A,ROW()-1))),"","   ")&amp;INDEX(Tasks!$D:$D,ROW()-1))</f>
        <v/>
      </c>
      <c r="C303" s="16" t="str">
        <f aca="false">IF(INDEX(Tasks!$G:$G,ROW()-1)="","",INDEX(Tasks!$G:$G,ROW()-1))</f>
        <v/>
      </c>
      <c r="D303" s="16" t="str">
        <f aca="false">IF(INDEX(Tasks!$H:$H,ROW()-1)="","",INDEX(Tasks!$H:$H,ROW()-1))</f>
        <v/>
      </c>
      <c r="E303" s="17" t="str">
        <f aca="false">IF(INDEX(Tasks!$I:$I,ROW()-1)="","",INDEX(Tasks!$I:$I,ROW()-1))</f>
        <v/>
      </c>
      <c r="F303" s="17" t="str">
        <f aca="false">IF(INDEX(Tasks!$K:$K,ROW()-1)="","",INDEX(Tasks!$K:$K,ROW()-1))</f>
        <v/>
      </c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  <c r="AG303" s="18"/>
      <c r="AH303" s="18"/>
      <c r="AI303" s="18"/>
      <c r="AJ303" s="18"/>
      <c r="AK303" s="18"/>
      <c r="AL303" s="18"/>
      <c r="AM303" s="18"/>
      <c r="AN303" s="18"/>
      <c r="AO303" s="18"/>
      <c r="AP303" s="18"/>
      <c r="AQ303" s="18"/>
      <c r="AR303" s="18"/>
      <c r="AS303" s="18"/>
      <c r="AT303" s="18"/>
      <c r="AU303" s="18"/>
      <c r="AV303" s="18"/>
      <c r="AW303" s="18"/>
      <c r="AX303" s="18"/>
    </row>
    <row r="304" customFormat="false" ht="15" hidden="false" customHeight="false" outlineLevel="0" collapsed="false">
      <c r="A304" s="16" t="str">
        <f aca="false">IF(INDEX(Tasks!$A:$A,ROW()-1)="","",INDEX(Tasks!$A:$A,ROW()-1))</f>
        <v/>
      </c>
      <c r="B304" s="16" t="str">
        <f aca="false">IF(INDEX(Tasks!$A:$A,ROW()-1)="","",IF(ISERROR(FIND(".",INDEX(Tasks!$A:$A,ROW()-1))),"","   ")&amp;INDEX(Tasks!$D:$D,ROW()-1))</f>
        <v/>
      </c>
      <c r="C304" s="16" t="str">
        <f aca="false">IF(INDEX(Tasks!$G:$G,ROW()-1)="","",INDEX(Tasks!$G:$G,ROW()-1))</f>
        <v/>
      </c>
      <c r="D304" s="16" t="str">
        <f aca="false">IF(INDEX(Tasks!$H:$H,ROW()-1)="","",INDEX(Tasks!$H:$H,ROW()-1))</f>
        <v/>
      </c>
      <c r="E304" s="17" t="str">
        <f aca="false">IF(INDEX(Tasks!$I:$I,ROW()-1)="","",INDEX(Tasks!$I:$I,ROW()-1))</f>
        <v/>
      </c>
      <c r="F304" s="17" t="str">
        <f aca="false">IF(INDEX(Tasks!$K:$K,ROW()-1)="","",INDEX(Tasks!$K:$K,ROW()-1))</f>
        <v/>
      </c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  <c r="AG304" s="18"/>
      <c r="AH304" s="18"/>
      <c r="AI304" s="18"/>
      <c r="AJ304" s="18"/>
      <c r="AK304" s="18"/>
      <c r="AL304" s="18"/>
      <c r="AM304" s="18"/>
      <c r="AN304" s="18"/>
      <c r="AO304" s="18"/>
      <c r="AP304" s="18"/>
      <c r="AQ304" s="18"/>
      <c r="AR304" s="18"/>
      <c r="AS304" s="18"/>
      <c r="AT304" s="18"/>
      <c r="AU304" s="18"/>
      <c r="AV304" s="18"/>
      <c r="AW304" s="18"/>
      <c r="AX304" s="18"/>
    </row>
    <row r="305" customFormat="false" ht="15" hidden="false" customHeight="false" outlineLevel="0" collapsed="false">
      <c r="A305" s="16" t="str">
        <f aca="false">IF(INDEX(Tasks!$A:$A,ROW()-1)="","",INDEX(Tasks!$A:$A,ROW()-1))</f>
        <v/>
      </c>
      <c r="B305" s="16" t="str">
        <f aca="false">IF(INDEX(Tasks!$A:$A,ROW()-1)="","",IF(ISERROR(FIND(".",INDEX(Tasks!$A:$A,ROW()-1))),"","   ")&amp;INDEX(Tasks!$D:$D,ROW()-1))</f>
        <v/>
      </c>
      <c r="C305" s="16" t="str">
        <f aca="false">IF(INDEX(Tasks!$G:$G,ROW()-1)="","",INDEX(Tasks!$G:$G,ROW()-1))</f>
        <v/>
      </c>
      <c r="D305" s="16" t="str">
        <f aca="false">IF(INDEX(Tasks!$H:$H,ROW()-1)="","",INDEX(Tasks!$H:$H,ROW()-1))</f>
        <v/>
      </c>
      <c r="E305" s="17" t="str">
        <f aca="false">IF(INDEX(Tasks!$I:$I,ROW()-1)="","",INDEX(Tasks!$I:$I,ROW()-1))</f>
        <v/>
      </c>
      <c r="F305" s="17" t="str">
        <f aca="false">IF(INDEX(Tasks!$K:$K,ROW()-1)="","",INDEX(Tasks!$K:$K,ROW()-1))</f>
        <v/>
      </c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  <c r="AG305" s="18"/>
      <c r="AH305" s="18"/>
      <c r="AI305" s="18"/>
      <c r="AJ305" s="18"/>
      <c r="AK305" s="18"/>
      <c r="AL305" s="18"/>
      <c r="AM305" s="18"/>
      <c r="AN305" s="18"/>
      <c r="AO305" s="18"/>
      <c r="AP305" s="18"/>
      <c r="AQ305" s="18"/>
      <c r="AR305" s="18"/>
      <c r="AS305" s="18"/>
      <c r="AT305" s="18"/>
      <c r="AU305" s="18"/>
      <c r="AV305" s="18"/>
      <c r="AW305" s="18"/>
      <c r="AX305" s="18"/>
    </row>
    <row r="306" customFormat="false" ht="15" hidden="false" customHeight="false" outlineLevel="0" collapsed="false">
      <c r="A306" s="16" t="str">
        <f aca="false">IF(INDEX(Tasks!$A:$A,ROW()-1)="","",INDEX(Tasks!$A:$A,ROW()-1))</f>
        <v/>
      </c>
      <c r="B306" s="16" t="str">
        <f aca="false">IF(INDEX(Tasks!$A:$A,ROW()-1)="","",IF(ISERROR(FIND(".",INDEX(Tasks!$A:$A,ROW()-1))),"","   ")&amp;INDEX(Tasks!$D:$D,ROW()-1))</f>
        <v/>
      </c>
      <c r="C306" s="16" t="str">
        <f aca="false">IF(INDEX(Tasks!$G:$G,ROW()-1)="","",INDEX(Tasks!$G:$G,ROW()-1))</f>
        <v/>
      </c>
      <c r="D306" s="16" t="str">
        <f aca="false">IF(INDEX(Tasks!$H:$H,ROW()-1)="","",INDEX(Tasks!$H:$H,ROW()-1))</f>
        <v/>
      </c>
      <c r="E306" s="17" t="str">
        <f aca="false">IF(INDEX(Tasks!$I:$I,ROW()-1)="","",INDEX(Tasks!$I:$I,ROW()-1))</f>
        <v/>
      </c>
      <c r="F306" s="17" t="str">
        <f aca="false">IF(INDEX(Tasks!$K:$K,ROW()-1)="","",INDEX(Tasks!$K:$K,ROW()-1))</f>
        <v/>
      </c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  <c r="AG306" s="18"/>
      <c r="AH306" s="18"/>
      <c r="AI306" s="18"/>
      <c r="AJ306" s="18"/>
      <c r="AK306" s="18"/>
      <c r="AL306" s="18"/>
      <c r="AM306" s="18"/>
      <c r="AN306" s="18"/>
      <c r="AO306" s="18"/>
      <c r="AP306" s="18"/>
      <c r="AQ306" s="18"/>
      <c r="AR306" s="18"/>
      <c r="AS306" s="18"/>
      <c r="AT306" s="18"/>
      <c r="AU306" s="18"/>
      <c r="AV306" s="18"/>
      <c r="AW306" s="18"/>
      <c r="AX306" s="18"/>
    </row>
    <row r="307" customFormat="false" ht="15" hidden="false" customHeight="false" outlineLevel="0" collapsed="false">
      <c r="A307" s="16" t="str">
        <f aca="false">IF(INDEX(Tasks!$A:$A,ROW()-1)="","",INDEX(Tasks!$A:$A,ROW()-1))</f>
        <v/>
      </c>
      <c r="B307" s="16" t="str">
        <f aca="false">IF(INDEX(Tasks!$A:$A,ROW()-1)="","",IF(ISERROR(FIND(".",INDEX(Tasks!$A:$A,ROW()-1))),"","   ")&amp;INDEX(Tasks!$D:$D,ROW()-1))</f>
        <v/>
      </c>
      <c r="C307" s="16" t="str">
        <f aca="false">IF(INDEX(Tasks!$G:$G,ROW()-1)="","",INDEX(Tasks!$G:$G,ROW()-1))</f>
        <v/>
      </c>
      <c r="D307" s="16" t="str">
        <f aca="false">IF(INDEX(Tasks!$H:$H,ROW()-1)="","",INDEX(Tasks!$H:$H,ROW()-1))</f>
        <v/>
      </c>
      <c r="E307" s="17" t="str">
        <f aca="false">IF(INDEX(Tasks!$I:$I,ROW()-1)="","",INDEX(Tasks!$I:$I,ROW()-1))</f>
        <v/>
      </c>
      <c r="F307" s="17" t="str">
        <f aca="false">IF(INDEX(Tasks!$K:$K,ROW()-1)="","",INDEX(Tasks!$K:$K,ROW()-1))</f>
        <v/>
      </c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  <c r="AG307" s="18"/>
      <c r="AH307" s="18"/>
      <c r="AI307" s="18"/>
      <c r="AJ307" s="18"/>
      <c r="AK307" s="18"/>
      <c r="AL307" s="18"/>
      <c r="AM307" s="18"/>
      <c r="AN307" s="18"/>
      <c r="AO307" s="18"/>
      <c r="AP307" s="18"/>
      <c r="AQ307" s="18"/>
      <c r="AR307" s="18"/>
      <c r="AS307" s="18"/>
      <c r="AT307" s="18"/>
      <c r="AU307" s="18"/>
      <c r="AV307" s="18"/>
      <c r="AW307" s="18"/>
      <c r="AX307" s="18"/>
    </row>
    <row r="308" customFormat="false" ht="15" hidden="false" customHeight="false" outlineLevel="0" collapsed="false">
      <c r="A308" s="16" t="str">
        <f aca="false">IF(INDEX(Tasks!$A:$A,ROW()-1)="","",INDEX(Tasks!$A:$A,ROW()-1))</f>
        <v/>
      </c>
      <c r="B308" s="16" t="str">
        <f aca="false">IF(INDEX(Tasks!$A:$A,ROW()-1)="","",IF(ISERROR(FIND(".",INDEX(Tasks!$A:$A,ROW()-1))),"","   ")&amp;INDEX(Tasks!$D:$D,ROW()-1))</f>
        <v/>
      </c>
      <c r="C308" s="16" t="str">
        <f aca="false">IF(INDEX(Tasks!$G:$G,ROW()-1)="","",INDEX(Tasks!$G:$G,ROW()-1))</f>
        <v/>
      </c>
      <c r="D308" s="16" t="str">
        <f aca="false">IF(INDEX(Tasks!$H:$H,ROW()-1)="","",INDEX(Tasks!$H:$H,ROW()-1))</f>
        <v/>
      </c>
      <c r="E308" s="17" t="str">
        <f aca="false">IF(INDEX(Tasks!$I:$I,ROW()-1)="","",INDEX(Tasks!$I:$I,ROW()-1))</f>
        <v/>
      </c>
      <c r="F308" s="17" t="str">
        <f aca="false">IF(INDEX(Tasks!$K:$K,ROW()-1)="","",INDEX(Tasks!$K:$K,ROW()-1))</f>
        <v/>
      </c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  <c r="AG308" s="18"/>
      <c r="AH308" s="18"/>
      <c r="AI308" s="18"/>
      <c r="AJ308" s="18"/>
      <c r="AK308" s="18"/>
      <c r="AL308" s="18"/>
      <c r="AM308" s="18"/>
      <c r="AN308" s="18"/>
      <c r="AO308" s="18"/>
      <c r="AP308" s="18"/>
      <c r="AQ308" s="18"/>
      <c r="AR308" s="18"/>
      <c r="AS308" s="18"/>
      <c r="AT308" s="18"/>
      <c r="AU308" s="18"/>
      <c r="AV308" s="18"/>
      <c r="AW308" s="18"/>
      <c r="AX308" s="18"/>
    </row>
    <row r="309" customFormat="false" ht="15" hidden="false" customHeight="false" outlineLevel="0" collapsed="false">
      <c r="A309" s="16" t="str">
        <f aca="false">IF(INDEX(Tasks!$A:$A,ROW()-1)="","",INDEX(Tasks!$A:$A,ROW()-1))</f>
        <v/>
      </c>
      <c r="B309" s="16" t="str">
        <f aca="false">IF(INDEX(Tasks!$A:$A,ROW()-1)="","",IF(ISERROR(FIND(".",INDEX(Tasks!$A:$A,ROW()-1))),"","   ")&amp;INDEX(Tasks!$D:$D,ROW()-1))</f>
        <v/>
      </c>
      <c r="C309" s="16" t="str">
        <f aca="false">IF(INDEX(Tasks!$G:$G,ROW()-1)="","",INDEX(Tasks!$G:$G,ROW()-1))</f>
        <v/>
      </c>
      <c r="D309" s="16" t="str">
        <f aca="false">IF(INDEX(Tasks!$H:$H,ROW()-1)="","",INDEX(Tasks!$H:$H,ROW()-1))</f>
        <v/>
      </c>
      <c r="E309" s="17" t="str">
        <f aca="false">IF(INDEX(Tasks!$I:$I,ROW()-1)="","",INDEX(Tasks!$I:$I,ROW()-1))</f>
        <v/>
      </c>
      <c r="F309" s="17" t="str">
        <f aca="false">IF(INDEX(Tasks!$K:$K,ROW()-1)="","",INDEX(Tasks!$K:$K,ROW()-1))</f>
        <v/>
      </c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  <c r="AG309" s="18"/>
      <c r="AH309" s="18"/>
      <c r="AI309" s="18"/>
      <c r="AJ309" s="18"/>
      <c r="AK309" s="18"/>
      <c r="AL309" s="18"/>
      <c r="AM309" s="18"/>
      <c r="AN309" s="18"/>
      <c r="AO309" s="18"/>
      <c r="AP309" s="18"/>
      <c r="AQ309" s="18"/>
      <c r="AR309" s="18"/>
      <c r="AS309" s="18"/>
      <c r="AT309" s="18"/>
      <c r="AU309" s="18"/>
      <c r="AV309" s="18"/>
      <c r="AW309" s="18"/>
      <c r="AX309" s="18"/>
    </row>
    <row r="310" customFormat="false" ht="15" hidden="false" customHeight="false" outlineLevel="0" collapsed="false">
      <c r="A310" s="16" t="str">
        <f aca="false">IF(INDEX(Tasks!$A:$A,ROW()-1)="","",INDEX(Tasks!$A:$A,ROW()-1))</f>
        <v/>
      </c>
      <c r="B310" s="16" t="str">
        <f aca="false">IF(INDEX(Tasks!$A:$A,ROW()-1)="","",IF(ISERROR(FIND(".",INDEX(Tasks!$A:$A,ROW()-1))),"","   ")&amp;INDEX(Tasks!$D:$D,ROW()-1))</f>
        <v/>
      </c>
      <c r="C310" s="16" t="str">
        <f aca="false">IF(INDEX(Tasks!$G:$G,ROW()-1)="","",INDEX(Tasks!$G:$G,ROW()-1))</f>
        <v/>
      </c>
      <c r="D310" s="16" t="str">
        <f aca="false">IF(INDEX(Tasks!$H:$H,ROW()-1)="","",INDEX(Tasks!$H:$H,ROW()-1))</f>
        <v/>
      </c>
      <c r="E310" s="17" t="str">
        <f aca="false">IF(INDEX(Tasks!$I:$I,ROW()-1)="","",INDEX(Tasks!$I:$I,ROW()-1))</f>
        <v/>
      </c>
      <c r="F310" s="17" t="str">
        <f aca="false">IF(INDEX(Tasks!$K:$K,ROW()-1)="","",INDEX(Tasks!$K:$K,ROW()-1))</f>
        <v/>
      </c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  <c r="AG310" s="18"/>
      <c r="AH310" s="18"/>
      <c r="AI310" s="18"/>
      <c r="AJ310" s="18"/>
      <c r="AK310" s="18"/>
      <c r="AL310" s="18"/>
      <c r="AM310" s="18"/>
      <c r="AN310" s="18"/>
      <c r="AO310" s="18"/>
      <c r="AP310" s="18"/>
      <c r="AQ310" s="18"/>
      <c r="AR310" s="18"/>
      <c r="AS310" s="18"/>
      <c r="AT310" s="18"/>
      <c r="AU310" s="18"/>
      <c r="AV310" s="18"/>
      <c r="AW310" s="18"/>
      <c r="AX310" s="18"/>
    </row>
    <row r="311" customFormat="false" ht="15" hidden="false" customHeight="false" outlineLevel="0" collapsed="false">
      <c r="A311" s="16" t="str">
        <f aca="false">IF(INDEX(Tasks!$A:$A,ROW()-1)="","",INDEX(Tasks!$A:$A,ROW()-1))</f>
        <v/>
      </c>
      <c r="B311" s="16" t="str">
        <f aca="false">IF(INDEX(Tasks!$A:$A,ROW()-1)="","",IF(ISERROR(FIND(".",INDEX(Tasks!$A:$A,ROW()-1))),"","   ")&amp;INDEX(Tasks!$D:$D,ROW()-1))</f>
        <v/>
      </c>
      <c r="C311" s="16" t="str">
        <f aca="false">IF(INDEX(Tasks!$G:$G,ROW()-1)="","",INDEX(Tasks!$G:$G,ROW()-1))</f>
        <v/>
      </c>
      <c r="D311" s="16" t="str">
        <f aca="false">IF(INDEX(Tasks!$H:$H,ROW()-1)="","",INDEX(Tasks!$H:$H,ROW()-1))</f>
        <v/>
      </c>
      <c r="E311" s="17" t="str">
        <f aca="false">IF(INDEX(Tasks!$I:$I,ROW()-1)="","",INDEX(Tasks!$I:$I,ROW()-1))</f>
        <v/>
      </c>
      <c r="F311" s="17" t="str">
        <f aca="false">IF(INDEX(Tasks!$K:$K,ROW()-1)="","",INDEX(Tasks!$K:$K,ROW()-1))</f>
        <v/>
      </c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  <c r="AG311" s="18"/>
      <c r="AH311" s="18"/>
      <c r="AI311" s="18"/>
      <c r="AJ311" s="18"/>
      <c r="AK311" s="18"/>
      <c r="AL311" s="18"/>
      <c r="AM311" s="18"/>
      <c r="AN311" s="18"/>
      <c r="AO311" s="18"/>
      <c r="AP311" s="18"/>
      <c r="AQ311" s="18"/>
      <c r="AR311" s="18"/>
      <c r="AS311" s="18"/>
      <c r="AT311" s="18"/>
      <c r="AU311" s="18"/>
      <c r="AV311" s="18"/>
      <c r="AW311" s="18"/>
      <c r="AX311" s="18"/>
    </row>
    <row r="312" customFormat="false" ht="15" hidden="false" customHeight="false" outlineLevel="0" collapsed="false">
      <c r="A312" s="16" t="str">
        <f aca="false">IF(INDEX(Tasks!$A:$A,ROW()-1)="","",INDEX(Tasks!$A:$A,ROW()-1))</f>
        <v/>
      </c>
      <c r="B312" s="16" t="str">
        <f aca="false">IF(INDEX(Tasks!$A:$A,ROW()-1)="","",IF(ISERROR(FIND(".",INDEX(Tasks!$A:$A,ROW()-1))),"","   ")&amp;INDEX(Tasks!$D:$D,ROW()-1))</f>
        <v/>
      </c>
      <c r="C312" s="16" t="str">
        <f aca="false">IF(INDEX(Tasks!$G:$G,ROW()-1)="","",INDEX(Tasks!$G:$G,ROW()-1))</f>
        <v/>
      </c>
      <c r="D312" s="16" t="str">
        <f aca="false">IF(INDEX(Tasks!$H:$H,ROW()-1)="","",INDEX(Tasks!$H:$H,ROW()-1))</f>
        <v/>
      </c>
      <c r="E312" s="17" t="str">
        <f aca="false">IF(INDEX(Tasks!$I:$I,ROW()-1)="","",INDEX(Tasks!$I:$I,ROW()-1))</f>
        <v/>
      </c>
      <c r="F312" s="17" t="str">
        <f aca="false">IF(INDEX(Tasks!$K:$K,ROW()-1)="","",INDEX(Tasks!$K:$K,ROW()-1))</f>
        <v/>
      </c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  <c r="AG312" s="18"/>
      <c r="AH312" s="18"/>
      <c r="AI312" s="18"/>
      <c r="AJ312" s="18"/>
      <c r="AK312" s="18"/>
      <c r="AL312" s="18"/>
      <c r="AM312" s="18"/>
      <c r="AN312" s="18"/>
      <c r="AO312" s="18"/>
      <c r="AP312" s="18"/>
      <c r="AQ312" s="18"/>
      <c r="AR312" s="18"/>
      <c r="AS312" s="18"/>
      <c r="AT312" s="18"/>
      <c r="AU312" s="18"/>
      <c r="AV312" s="18"/>
      <c r="AW312" s="18"/>
      <c r="AX312" s="18"/>
    </row>
    <row r="313" customFormat="false" ht="15" hidden="false" customHeight="false" outlineLevel="0" collapsed="false">
      <c r="A313" s="16" t="str">
        <f aca="false">IF(INDEX(Tasks!$A:$A,ROW()-1)="","",INDEX(Tasks!$A:$A,ROW()-1))</f>
        <v/>
      </c>
      <c r="B313" s="16" t="str">
        <f aca="false">IF(INDEX(Tasks!$A:$A,ROW()-1)="","",IF(ISERROR(FIND(".",INDEX(Tasks!$A:$A,ROW()-1))),"","   ")&amp;INDEX(Tasks!$D:$D,ROW()-1))</f>
        <v/>
      </c>
      <c r="C313" s="16" t="str">
        <f aca="false">IF(INDEX(Tasks!$G:$G,ROW()-1)="","",INDEX(Tasks!$G:$G,ROW()-1))</f>
        <v/>
      </c>
      <c r="D313" s="16" t="str">
        <f aca="false">IF(INDEX(Tasks!$H:$H,ROW()-1)="","",INDEX(Tasks!$H:$H,ROW()-1))</f>
        <v/>
      </c>
      <c r="E313" s="17" t="str">
        <f aca="false">IF(INDEX(Tasks!$I:$I,ROW()-1)="","",INDEX(Tasks!$I:$I,ROW()-1))</f>
        <v/>
      </c>
      <c r="F313" s="17" t="str">
        <f aca="false">IF(INDEX(Tasks!$K:$K,ROW()-1)="","",INDEX(Tasks!$K:$K,ROW()-1))</f>
        <v/>
      </c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  <c r="AG313" s="18"/>
      <c r="AH313" s="18"/>
      <c r="AI313" s="18"/>
      <c r="AJ313" s="18"/>
      <c r="AK313" s="18"/>
      <c r="AL313" s="18"/>
      <c r="AM313" s="18"/>
      <c r="AN313" s="18"/>
      <c r="AO313" s="18"/>
      <c r="AP313" s="18"/>
      <c r="AQ313" s="18"/>
      <c r="AR313" s="18"/>
      <c r="AS313" s="18"/>
      <c r="AT313" s="18"/>
      <c r="AU313" s="18"/>
      <c r="AV313" s="18"/>
      <c r="AW313" s="18"/>
      <c r="AX313" s="18"/>
    </row>
    <row r="314" customFormat="false" ht="15" hidden="false" customHeight="false" outlineLevel="0" collapsed="false">
      <c r="A314" s="16" t="str">
        <f aca="false">IF(INDEX(Tasks!$A:$A,ROW()-1)="","",INDEX(Tasks!$A:$A,ROW()-1))</f>
        <v/>
      </c>
      <c r="B314" s="16" t="str">
        <f aca="false">IF(INDEX(Tasks!$A:$A,ROW()-1)="","",IF(ISERROR(FIND(".",INDEX(Tasks!$A:$A,ROW()-1))),"","   ")&amp;INDEX(Tasks!$D:$D,ROW()-1))</f>
        <v/>
      </c>
      <c r="C314" s="16" t="str">
        <f aca="false">IF(INDEX(Tasks!$G:$G,ROW()-1)="","",INDEX(Tasks!$G:$G,ROW()-1))</f>
        <v/>
      </c>
      <c r="D314" s="16" t="str">
        <f aca="false">IF(INDEX(Tasks!$H:$H,ROW()-1)="","",INDEX(Tasks!$H:$H,ROW()-1))</f>
        <v/>
      </c>
      <c r="E314" s="17" t="str">
        <f aca="false">IF(INDEX(Tasks!$I:$I,ROW()-1)="","",INDEX(Tasks!$I:$I,ROW()-1))</f>
        <v/>
      </c>
      <c r="F314" s="17" t="str">
        <f aca="false">IF(INDEX(Tasks!$K:$K,ROW()-1)="","",INDEX(Tasks!$K:$K,ROW()-1))</f>
        <v/>
      </c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  <c r="AG314" s="18"/>
      <c r="AH314" s="18"/>
      <c r="AI314" s="18"/>
      <c r="AJ314" s="18"/>
      <c r="AK314" s="18"/>
      <c r="AL314" s="18"/>
      <c r="AM314" s="18"/>
      <c r="AN314" s="18"/>
      <c r="AO314" s="18"/>
      <c r="AP314" s="18"/>
      <c r="AQ314" s="18"/>
      <c r="AR314" s="18"/>
      <c r="AS314" s="18"/>
      <c r="AT314" s="18"/>
      <c r="AU314" s="18"/>
      <c r="AV314" s="18"/>
      <c r="AW314" s="18"/>
      <c r="AX314" s="18"/>
    </row>
    <row r="315" customFormat="false" ht="15" hidden="false" customHeight="false" outlineLevel="0" collapsed="false">
      <c r="A315" s="16" t="str">
        <f aca="false">IF(INDEX(Tasks!$A:$A,ROW()-1)="","",INDEX(Tasks!$A:$A,ROW()-1))</f>
        <v/>
      </c>
      <c r="B315" s="16" t="str">
        <f aca="false">IF(INDEX(Tasks!$A:$A,ROW()-1)="","",IF(ISERROR(FIND(".",INDEX(Tasks!$A:$A,ROW()-1))),"","   ")&amp;INDEX(Tasks!$D:$D,ROW()-1))</f>
        <v/>
      </c>
      <c r="C315" s="16" t="str">
        <f aca="false">IF(INDEX(Tasks!$G:$G,ROW()-1)="","",INDEX(Tasks!$G:$G,ROW()-1))</f>
        <v/>
      </c>
      <c r="D315" s="16" t="str">
        <f aca="false">IF(INDEX(Tasks!$H:$H,ROW()-1)="","",INDEX(Tasks!$H:$H,ROW()-1))</f>
        <v/>
      </c>
      <c r="E315" s="17" t="str">
        <f aca="false">IF(INDEX(Tasks!$I:$I,ROW()-1)="","",INDEX(Tasks!$I:$I,ROW()-1))</f>
        <v/>
      </c>
      <c r="F315" s="17" t="str">
        <f aca="false">IF(INDEX(Tasks!$K:$K,ROW()-1)="","",INDEX(Tasks!$K:$K,ROW()-1))</f>
        <v/>
      </c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  <c r="AG315" s="18"/>
      <c r="AH315" s="18"/>
      <c r="AI315" s="18"/>
      <c r="AJ315" s="18"/>
      <c r="AK315" s="18"/>
      <c r="AL315" s="18"/>
      <c r="AM315" s="18"/>
      <c r="AN315" s="18"/>
      <c r="AO315" s="18"/>
      <c r="AP315" s="18"/>
      <c r="AQ315" s="18"/>
      <c r="AR315" s="18"/>
      <c r="AS315" s="18"/>
      <c r="AT315" s="18"/>
      <c r="AU315" s="18"/>
      <c r="AV315" s="18"/>
      <c r="AW315" s="18"/>
      <c r="AX315" s="18"/>
    </row>
    <row r="316" customFormat="false" ht="15" hidden="false" customHeight="false" outlineLevel="0" collapsed="false">
      <c r="A316" s="16" t="str">
        <f aca="false">IF(INDEX(Tasks!$A:$A,ROW()-1)="","",INDEX(Tasks!$A:$A,ROW()-1))</f>
        <v/>
      </c>
      <c r="B316" s="16" t="str">
        <f aca="false">IF(INDEX(Tasks!$A:$A,ROW()-1)="","",IF(ISERROR(FIND(".",INDEX(Tasks!$A:$A,ROW()-1))),"","   ")&amp;INDEX(Tasks!$D:$D,ROW()-1))</f>
        <v/>
      </c>
      <c r="C316" s="16" t="str">
        <f aca="false">IF(INDEX(Tasks!$G:$G,ROW()-1)="","",INDEX(Tasks!$G:$G,ROW()-1))</f>
        <v/>
      </c>
      <c r="D316" s="16" t="str">
        <f aca="false">IF(INDEX(Tasks!$H:$H,ROW()-1)="","",INDEX(Tasks!$H:$H,ROW()-1))</f>
        <v/>
      </c>
      <c r="E316" s="17" t="str">
        <f aca="false">IF(INDEX(Tasks!$I:$I,ROW()-1)="","",INDEX(Tasks!$I:$I,ROW()-1))</f>
        <v/>
      </c>
      <c r="F316" s="17" t="str">
        <f aca="false">IF(INDEX(Tasks!$K:$K,ROW()-1)="","",INDEX(Tasks!$K:$K,ROW()-1))</f>
        <v/>
      </c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  <c r="AG316" s="18"/>
      <c r="AH316" s="18"/>
      <c r="AI316" s="18"/>
      <c r="AJ316" s="18"/>
      <c r="AK316" s="18"/>
      <c r="AL316" s="18"/>
      <c r="AM316" s="18"/>
      <c r="AN316" s="18"/>
      <c r="AO316" s="18"/>
      <c r="AP316" s="18"/>
      <c r="AQ316" s="18"/>
      <c r="AR316" s="18"/>
      <c r="AS316" s="18"/>
      <c r="AT316" s="18"/>
      <c r="AU316" s="18"/>
      <c r="AV316" s="18"/>
      <c r="AW316" s="18"/>
      <c r="AX316" s="18"/>
    </row>
    <row r="317" customFormat="false" ht="15" hidden="false" customHeight="false" outlineLevel="0" collapsed="false">
      <c r="A317" s="16" t="str">
        <f aca="false">IF(INDEX(Tasks!$A:$A,ROW()-1)="","",INDEX(Tasks!$A:$A,ROW()-1))</f>
        <v/>
      </c>
      <c r="B317" s="16" t="str">
        <f aca="false">IF(INDEX(Tasks!$A:$A,ROW()-1)="","",IF(ISERROR(FIND(".",INDEX(Tasks!$A:$A,ROW()-1))),"","   ")&amp;INDEX(Tasks!$D:$D,ROW()-1))</f>
        <v/>
      </c>
      <c r="C317" s="16" t="str">
        <f aca="false">IF(INDEX(Tasks!$G:$G,ROW()-1)="","",INDEX(Tasks!$G:$G,ROW()-1))</f>
        <v/>
      </c>
      <c r="D317" s="16" t="str">
        <f aca="false">IF(INDEX(Tasks!$H:$H,ROW()-1)="","",INDEX(Tasks!$H:$H,ROW()-1))</f>
        <v/>
      </c>
      <c r="E317" s="17" t="str">
        <f aca="false">IF(INDEX(Tasks!$I:$I,ROW()-1)="","",INDEX(Tasks!$I:$I,ROW()-1))</f>
        <v/>
      </c>
      <c r="F317" s="17" t="str">
        <f aca="false">IF(INDEX(Tasks!$K:$K,ROW()-1)="","",INDEX(Tasks!$K:$K,ROW()-1))</f>
        <v/>
      </c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  <c r="AG317" s="18"/>
      <c r="AH317" s="18"/>
      <c r="AI317" s="18"/>
      <c r="AJ317" s="18"/>
      <c r="AK317" s="18"/>
      <c r="AL317" s="18"/>
      <c r="AM317" s="18"/>
      <c r="AN317" s="18"/>
      <c r="AO317" s="18"/>
      <c r="AP317" s="18"/>
      <c r="AQ317" s="18"/>
      <c r="AR317" s="18"/>
      <c r="AS317" s="18"/>
      <c r="AT317" s="18"/>
      <c r="AU317" s="18"/>
      <c r="AV317" s="18"/>
      <c r="AW317" s="18"/>
      <c r="AX317" s="18"/>
    </row>
    <row r="318" customFormat="false" ht="15" hidden="false" customHeight="false" outlineLevel="0" collapsed="false">
      <c r="A318" s="16" t="str">
        <f aca="false">IF(INDEX(Tasks!$A:$A,ROW()-1)="","",INDEX(Tasks!$A:$A,ROW()-1))</f>
        <v/>
      </c>
      <c r="B318" s="16" t="str">
        <f aca="false">IF(INDEX(Tasks!$A:$A,ROW()-1)="","",IF(ISERROR(FIND(".",INDEX(Tasks!$A:$A,ROW()-1))),"","   ")&amp;INDEX(Tasks!$D:$D,ROW()-1))</f>
        <v/>
      </c>
      <c r="C318" s="16" t="str">
        <f aca="false">IF(INDEX(Tasks!$G:$G,ROW()-1)="","",INDEX(Tasks!$G:$G,ROW()-1))</f>
        <v/>
      </c>
      <c r="D318" s="16" t="str">
        <f aca="false">IF(INDEX(Tasks!$H:$H,ROW()-1)="","",INDEX(Tasks!$H:$H,ROW()-1))</f>
        <v/>
      </c>
      <c r="E318" s="17" t="str">
        <f aca="false">IF(INDEX(Tasks!$I:$I,ROW()-1)="","",INDEX(Tasks!$I:$I,ROW()-1))</f>
        <v/>
      </c>
      <c r="F318" s="17" t="str">
        <f aca="false">IF(INDEX(Tasks!$K:$K,ROW()-1)="","",INDEX(Tasks!$K:$K,ROW()-1))</f>
        <v/>
      </c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  <c r="AG318" s="18"/>
      <c r="AH318" s="18"/>
      <c r="AI318" s="18"/>
      <c r="AJ318" s="18"/>
      <c r="AK318" s="18"/>
      <c r="AL318" s="18"/>
      <c r="AM318" s="18"/>
      <c r="AN318" s="18"/>
      <c r="AO318" s="18"/>
      <c r="AP318" s="18"/>
      <c r="AQ318" s="18"/>
      <c r="AR318" s="18"/>
      <c r="AS318" s="18"/>
      <c r="AT318" s="18"/>
      <c r="AU318" s="18"/>
      <c r="AV318" s="18"/>
      <c r="AW318" s="18"/>
      <c r="AX318" s="18"/>
    </row>
    <row r="319" customFormat="false" ht="15" hidden="false" customHeight="false" outlineLevel="0" collapsed="false">
      <c r="A319" s="16" t="str">
        <f aca="false">IF(INDEX(Tasks!$A:$A,ROW()-1)="","",INDEX(Tasks!$A:$A,ROW()-1))</f>
        <v/>
      </c>
      <c r="B319" s="16" t="str">
        <f aca="false">IF(INDEX(Tasks!$A:$A,ROW()-1)="","",IF(ISERROR(FIND(".",INDEX(Tasks!$A:$A,ROW()-1))),"","   ")&amp;INDEX(Tasks!$D:$D,ROW()-1))</f>
        <v/>
      </c>
      <c r="C319" s="16" t="str">
        <f aca="false">IF(INDEX(Tasks!$G:$G,ROW()-1)="","",INDEX(Tasks!$G:$G,ROW()-1))</f>
        <v/>
      </c>
      <c r="D319" s="16" t="str">
        <f aca="false">IF(INDEX(Tasks!$H:$H,ROW()-1)="","",INDEX(Tasks!$H:$H,ROW()-1))</f>
        <v/>
      </c>
      <c r="E319" s="17" t="str">
        <f aca="false">IF(INDEX(Tasks!$I:$I,ROW()-1)="","",INDEX(Tasks!$I:$I,ROW()-1))</f>
        <v/>
      </c>
      <c r="F319" s="17" t="str">
        <f aca="false">IF(INDEX(Tasks!$K:$K,ROW()-1)="","",INDEX(Tasks!$K:$K,ROW()-1))</f>
        <v/>
      </c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  <c r="AG319" s="18"/>
      <c r="AH319" s="18"/>
      <c r="AI319" s="18"/>
      <c r="AJ319" s="18"/>
      <c r="AK319" s="18"/>
      <c r="AL319" s="18"/>
      <c r="AM319" s="18"/>
      <c r="AN319" s="18"/>
      <c r="AO319" s="18"/>
      <c r="AP319" s="18"/>
      <c r="AQ319" s="18"/>
      <c r="AR319" s="18"/>
      <c r="AS319" s="18"/>
      <c r="AT319" s="18"/>
      <c r="AU319" s="18"/>
      <c r="AV319" s="18"/>
      <c r="AW319" s="18"/>
      <c r="AX319" s="18"/>
    </row>
    <row r="320" customFormat="false" ht="15" hidden="false" customHeight="false" outlineLevel="0" collapsed="false">
      <c r="A320" s="16" t="str">
        <f aca="false">IF(INDEX(Tasks!$A:$A,ROW()-1)="","",INDEX(Tasks!$A:$A,ROW()-1))</f>
        <v/>
      </c>
      <c r="B320" s="16" t="str">
        <f aca="false">IF(INDEX(Tasks!$A:$A,ROW()-1)="","",IF(ISERROR(FIND(".",INDEX(Tasks!$A:$A,ROW()-1))),"","   ")&amp;INDEX(Tasks!$D:$D,ROW()-1))</f>
        <v/>
      </c>
      <c r="C320" s="16" t="str">
        <f aca="false">IF(INDEX(Tasks!$G:$G,ROW()-1)="","",INDEX(Tasks!$G:$G,ROW()-1))</f>
        <v/>
      </c>
      <c r="D320" s="16" t="str">
        <f aca="false">IF(INDEX(Tasks!$H:$H,ROW()-1)="","",INDEX(Tasks!$H:$H,ROW()-1))</f>
        <v/>
      </c>
      <c r="E320" s="17" t="str">
        <f aca="false">IF(INDEX(Tasks!$I:$I,ROW()-1)="","",INDEX(Tasks!$I:$I,ROW()-1))</f>
        <v/>
      </c>
      <c r="F320" s="17" t="str">
        <f aca="false">IF(INDEX(Tasks!$K:$K,ROW()-1)="","",INDEX(Tasks!$K:$K,ROW()-1))</f>
        <v/>
      </c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  <c r="AG320" s="18"/>
      <c r="AH320" s="18"/>
      <c r="AI320" s="18"/>
      <c r="AJ320" s="18"/>
      <c r="AK320" s="18"/>
      <c r="AL320" s="18"/>
      <c r="AM320" s="18"/>
      <c r="AN320" s="18"/>
      <c r="AO320" s="18"/>
      <c r="AP320" s="18"/>
      <c r="AQ320" s="18"/>
      <c r="AR320" s="18"/>
      <c r="AS320" s="18"/>
      <c r="AT320" s="18"/>
      <c r="AU320" s="18"/>
      <c r="AV320" s="18"/>
      <c r="AW320" s="18"/>
      <c r="AX320" s="18"/>
    </row>
    <row r="321" customFormat="false" ht="15" hidden="false" customHeight="false" outlineLevel="0" collapsed="false">
      <c r="A321" s="16" t="str">
        <f aca="false">IF(INDEX(Tasks!$A:$A,ROW()-1)="","",INDEX(Tasks!$A:$A,ROW()-1))</f>
        <v/>
      </c>
      <c r="B321" s="16" t="str">
        <f aca="false">IF(INDEX(Tasks!$A:$A,ROW()-1)="","",IF(ISERROR(FIND(".",INDEX(Tasks!$A:$A,ROW()-1))),"","   ")&amp;INDEX(Tasks!$D:$D,ROW()-1))</f>
        <v/>
      </c>
      <c r="C321" s="16" t="str">
        <f aca="false">IF(INDEX(Tasks!$G:$G,ROW()-1)="","",INDEX(Tasks!$G:$G,ROW()-1))</f>
        <v/>
      </c>
      <c r="D321" s="16" t="str">
        <f aca="false">IF(INDEX(Tasks!$H:$H,ROW()-1)="","",INDEX(Tasks!$H:$H,ROW()-1))</f>
        <v/>
      </c>
      <c r="E321" s="17" t="str">
        <f aca="false">IF(INDEX(Tasks!$I:$I,ROW()-1)="","",INDEX(Tasks!$I:$I,ROW()-1))</f>
        <v/>
      </c>
      <c r="F321" s="17" t="str">
        <f aca="false">IF(INDEX(Tasks!$K:$K,ROW()-1)="","",INDEX(Tasks!$K:$K,ROW()-1))</f>
        <v/>
      </c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  <c r="AG321" s="18"/>
      <c r="AH321" s="18"/>
      <c r="AI321" s="18"/>
      <c r="AJ321" s="18"/>
      <c r="AK321" s="18"/>
      <c r="AL321" s="18"/>
      <c r="AM321" s="18"/>
      <c r="AN321" s="18"/>
      <c r="AO321" s="18"/>
      <c r="AP321" s="18"/>
      <c r="AQ321" s="18"/>
      <c r="AR321" s="18"/>
      <c r="AS321" s="18"/>
      <c r="AT321" s="18"/>
      <c r="AU321" s="18"/>
      <c r="AV321" s="18"/>
      <c r="AW321" s="18"/>
      <c r="AX321" s="18"/>
    </row>
    <row r="322" customFormat="false" ht="15" hidden="false" customHeight="false" outlineLevel="0" collapsed="false">
      <c r="A322" s="16" t="str">
        <f aca="false">IF(INDEX(Tasks!$A:$A,ROW()-1)="","",INDEX(Tasks!$A:$A,ROW()-1))</f>
        <v/>
      </c>
      <c r="B322" s="16" t="str">
        <f aca="false">IF(INDEX(Tasks!$A:$A,ROW()-1)="","",IF(ISERROR(FIND(".",INDEX(Tasks!$A:$A,ROW()-1))),"","   ")&amp;INDEX(Tasks!$D:$D,ROW()-1))</f>
        <v/>
      </c>
      <c r="C322" s="16" t="str">
        <f aca="false">IF(INDEX(Tasks!$G:$G,ROW()-1)="","",INDEX(Tasks!$G:$G,ROW()-1))</f>
        <v/>
      </c>
      <c r="D322" s="16" t="str">
        <f aca="false">IF(INDEX(Tasks!$H:$H,ROW()-1)="","",INDEX(Tasks!$H:$H,ROW()-1))</f>
        <v/>
      </c>
      <c r="E322" s="17" t="str">
        <f aca="false">IF(INDEX(Tasks!$I:$I,ROW()-1)="","",INDEX(Tasks!$I:$I,ROW()-1))</f>
        <v/>
      </c>
      <c r="F322" s="17" t="str">
        <f aca="false">IF(INDEX(Tasks!$K:$K,ROW()-1)="","",INDEX(Tasks!$K:$K,ROW()-1))</f>
        <v/>
      </c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  <c r="AG322" s="18"/>
      <c r="AH322" s="18"/>
      <c r="AI322" s="18"/>
      <c r="AJ322" s="18"/>
      <c r="AK322" s="18"/>
      <c r="AL322" s="18"/>
      <c r="AM322" s="18"/>
      <c r="AN322" s="18"/>
      <c r="AO322" s="18"/>
      <c r="AP322" s="18"/>
      <c r="AQ322" s="18"/>
      <c r="AR322" s="18"/>
      <c r="AS322" s="18"/>
      <c r="AT322" s="18"/>
      <c r="AU322" s="18"/>
      <c r="AV322" s="18"/>
      <c r="AW322" s="18"/>
      <c r="AX322" s="18"/>
    </row>
    <row r="323" customFormat="false" ht="15" hidden="false" customHeight="false" outlineLevel="0" collapsed="false">
      <c r="A323" s="16" t="str">
        <f aca="false">IF(INDEX(Tasks!$A:$A,ROW()-1)="","",INDEX(Tasks!$A:$A,ROW()-1))</f>
        <v/>
      </c>
      <c r="B323" s="16" t="str">
        <f aca="false">IF(INDEX(Tasks!$A:$A,ROW()-1)="","",IF(ISERROR(FIND(".",INDEX(Tasks!$A:$A,ROW()-1))),"","   ")&amp;INDEX(Tasks!$D:$D,ROW()-1))</f>
        <v/>
      </c>
      <c r="C323" s="16" t="str">
        <f aca="false">IF(INDEX(Tasks!$G:$G,ROW()-1)="","",INDEX(Tasks!$G:$G,ROW()-1))</f>
        <v/>
      </c>
      <c r="D323" s="16" t="str">
        <f aca="false">IF(INDEX(Tasks!$H:$H,ROW()-1)="","",INDEX(Tasks!$H:$H,ROW()-1))</f>
        <v/>
      </c>
      <c r="E323" s="17" t="str">
        <f aca="false">IF(INDEX(Tasks!$I:$I,ROW()-1)="","",INDEX(Tasks!$I:$I,ROW()-1))</f>
        <v/>
      </c>
      <c r="F323" s="17" t="str">
        <f aca="false">IF(INDEX(Tasks!$K:$K,ROW()-1)="","",INDEX(Tasks!$K:$K,ROW()-1))</f>
        <v/>
      </c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  <c r="AG323" s="18"/>
      <c r="AH323" s="18"/>
      <c r="AI323" s="18"/>
      <c r="AJ323" s="18"/>
      <c r="AK323" s="18"/>
      <c r="AL323" s="18"/>
      <c r="AM323" s="18"/>
      <c r="AN323" s="18"/>
      <c r="AO323" s="18"/>
      <c r="AP323" s="18"/>
      <c r="AQ323" s="18"/>
      <c r="AR323" s="18"/>
      <c r="AS323" s="18"/>
      <c r="AT323" s="18"/>
      <c r="AU323" s="18"/>
      <c r="AV323" s="18"/>
      <c r="AW323" s="18"/>
      <c r="AX323" s="18"/>
    </row>
    <row r="324" customFormat="false" ht="15" hidden="false" customHeight="false" outlineLevel="0" collapsed="false">
      <c r="A324" s="16" t="str">
        <f aca="false">IF(INDEX(Tasks!$A:$A,ROW()-1)="","",INDEX(Tasks!$A:$A,ROW()-1))</f>
        <v/>
      </c>
      <c r="B324" s="16" t="str">
        <f aca="false">IF(INDEX(Tasks!$A:$A,ROW()-1)="","",IF(ISERROR(FIND(".",INDEX(Tasks!$A:$A,ROW()-1))),"","   ")&amp;INDEX(Tasks!$D:$D,ROW()-1))</f>
        <v/>
      </c>
      <c r="C324" s="16" t="str">
        <f aca="false">IF(INDEX(Tasks!$G:$G,ROW()-1)="","",INDEX(Tasks!$G:$G,ROW()-1))</f>
        <v/>
      </c>
      <c r="D324" s="16" t="str">
        <f aca="false">IF(INDEX(Tasks!$H:$H,ROW()-1)="","",INDEX(Tasks!$H:$H,ROW()-1))</f>
        <v/>
      </c>
      <c r="E324" s="17" t="str">
        <f aca="false">IF(INDEX(Tasks!$I:$I,ROW()-1)="","",INDEX(Tasks!$I:$I,ROW()-1))</f>
        <v/>
      </c>
      <c r="F324" s="17" t="str">
        <f aca="false">IF(INDEX(Tasks!$K:$K,ROW()-1)="","",INDEX(Tasks!$K:$K,ROW()-1))</f>
        <v/>
      </c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  <c r="AG324" s="18"/>
      <c r="AH324" s="18"/>
      <c r="AI324" s="18"/>
      <c r="AJ324" s="18"/>
      <c r="AK324" s="18"/>
      <c r="AL324" s="18"/>
      <c r="AM324" s="18"/>
      <c r="AN324" s="18"/>
      <c r="AO324" s="18"/>
      <c r="AP324" s="18"/>
      <c r="AQ324" s="18"/>
      <c r="AR324" s="18"/>
      <c r="AS324" s="18"/>
      <c r="AT324" s="18"/>
      <c r="AU324" s="18"/>
      <c r="AV324" s="18"/>
      <c r="AW324" s="18"/>
      <c r="AX324" s="18"/>
    </row>
    <row r="325" customFormat="false" ht="15" hidden="false" customHeight="false" outlineLevel="0" collapsed="false">
      <c r="A325" s="16" t="str">
        <f aca="false">IF(INDEX(Tasks!$A:$A,ROW()-1)="","",INDEX(Tasks!$A:$A,ROW()-1))</f>
        <v/>
      </c>
      <c r="B325" s="16" t="str">
        <f aca="false">IF(INDEX(Tasks!$A:$A,ROW()-1)="","",IF(ISERROR(FIND(".",INDEX(Tasks!$A:$A,ROW()-1))),"","   ")&amp;INDEX(Tasks!$D:$D,ROW()-1))</f>
        <v/>
      </c>
      <c r="C325" s="16" t="str">
        <f aca="false">IF(INDEX(Tasks!$G:$G,ROW()-1)="","",INDEX(Tasks!$G:$G,ROW()-1))</f>
        <v/>
      </c>
      <c r="D325" s="16" t="str">
        <f aca="false">IF(INDEX(Tasks!$H:$H,ROW()-1)="","",INDEX(Tasks!$H:$H,ROW()-1))</f>
        <v/>
      </c>
      <c r="E325" s="17" t="str">
        <f aca="false">IF(INDEX(Tasks!$I:$I,ROW()-1)="","",INDEX(Tasks!$I:$I,ROW()-1))</f>
        <v/>
      </c>
      <c r="F325" s="17" t="str">
        <f aca="false">IF(INDEX(Tasks!$K:$K,ROW()-1)="","",INDEX(Tasks!$K:$K,ROW()-1))</f>
        <v/>
      </c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  <c r="AG325" s="18"/>
      <c r="AH325" s="18"/>
      <c r="AI325" s="18"/>
      <c r="AJ325" s="18"/>
      <c r="AK325" s="18"/>
      <c r="AL325" s="18"/>
      <c r="AM325" s="18"/>
      <c r="AN325" s="18"/>
      <c r="AO325" s="18"/>
      <c r="AP325" s="18"/>
      <c r="AQ325" s="18"/>
      <c r="AR325" s="18"/>
      <c r="AS325" s="18"/>
      <c r="AT325" s="18"/>
      <c r="AU325" s="18"/>
      <c r="AV325" s="18"/>
      <c r="AW325" s="18"/>
      <c r="AX325" s="18"/>
    </row>
    <row r="326" customFormat="false" ht="15" hidden="false" customHeight="false" outlineLevel="0" collapsed="false">
      <c r="A326" s="16" t="str">
        <f aca="false">IF(INDEX(Tasks!$A:$A,ROW()-1)="","",INDEX(Tasks!$A:$A,ROW()-1))</f>
        <v/>
      </c>
      <c r="B326" s="16" t="str">
        <f aca="false">IF(INDEX(Tasks!$A:$A,ROW()-1)="","",IF(ISERROR(FIND(".",INDEX(Tasks!$A:$A,ROW()-1))),"","   ")&amp;INDEX(Tasks!$D:$D,ROW()-1))</f>
        <v/>
      </c>
      <c r="C326" s="16" t="str">
        <f aca="false">IF(INDEX(Tasks!$G:$G,ROW()-1)="","",INDEX(Tasks!$G:$G,ROW()-1))</f>
        <v/>
      </c>
      <c r="D326" s="16" t="str">
        <f aca="false">IF(INDEX(Tasks!$H:$H,ROW()-1)="","",INDEX(Tasks!$H:$H,ROW()-1))</f>
        <v/>
      </c>
      <c r="E326" s="17" t="str">
        <f aca="false">IF(INDEX(Tasks!$I:$I,ROW()-1)="","",INDEX(Tasks!$I:$I,ROW()-1))</f>
        <v/>
      </c>
      <c r="F326" s="17" t="str">
        <f aca="false">IF(INDEX(Tasks!$K:$K,ROW()-1)="","",INDEX(Tasks!$K:$K,ROW()-1))</f>
        <v/>
      </c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  <c r="AG326" s="18"/>
      <c r="AH326" s="18"/>
      <c r="AI326" s="18"/>
      <c r="AJ326" s="18"/>
      <c r="AK326" s="18"/>
      <c r="AL326" s="18"/>
      <c r="AM326" s="18"/>
      <c r="AN326" s="18"/>
      <c r="AO326" s="18"/>
      <c r="AP326" s="18"/>
      <c r="AQ326" s="18"/>
      <c r="AR326" s="18"/>
      <c r="AS326" s="18"/>
      <c r="AT326" s="18"/>
      <c r="AU326" s="18"/>
      <c r="AV326" s="18"/>
      <c r="AW326" s="18"/>
      <c r="AX326" s="18"/>
    </row>
    <row r="327" customFormat="false" ht="15" hidden="false" customHeight="false" outlineLevel="0" collapsed="false">
      <c r="A327" s="16" t="str">
        <f aca="false">IF(INDEX(Tasks!$A:$A,ROW()-1)="","",INDEX(Tasks!$A:$A,ROW()-1))</f>
        <v/>
      </c>
      <c r="B327" s="16" t="str">
        <f aca="false">IF(INDEX(Tasks!$A:$A,ROW()-1)="","",IF(ISERROR(FIND(".",INDEX(Tasks!$A:$A,ROW()-1))),"","   ")&amp;INDEX(Tasks!$D:$D,ROW()-1))</f>
        <v/>
      </c>
      <c r="C327" s="16" t="str">
        <f aca="false">IF(INDEX(Tasks!$G:$G,ROW()-1)="","",INDEX(Tasks!$G:$G,ROW()-1))</f>
        <v/>
      </c>
      <c r="D327" s="16" t="str">
        <f aca="false">IF(INDEX(Tasks!$H:$H,ROW()-1)="","",INDEX(Tasks!$H:$H,ROW()-1))</f>
        <v/>
      </c>
      <c r="E327" s="17" t="str">
        <f aca="false">IF(INDEX(Tasks!$I:$I,ROW()-1)="","",INDEX(Tasks!$I:$I,ROW()-1))</f>
        <v/>
      </c>
      <c r="F327" s="17" t="str">
        <f aca="false">IF(INDEX(Tasks!$K:$K,ROW()-1)="","",INDEX(Tasks!$K:$K,ROW()-1))</f>
        <v/>
      </c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  <c r="AG327" s="18"/>
      <c r="AH327" s="18"/>
      <c r="AI327" s="18"/>
      <c r="AJ327" s="18"/>
      <c r="AK327" s="18"/>
      <c r="AL327" s="18"/>
      <c r="AM327" s="18"/>
      <c r="AN327" s="18"/>
      <c r="AO327" s="18"/>
      <c r="AP327" s="18"/>
      <c r="AQ327" s="18"/>
      <c r="AR327" s="18"/>
      <c r="AS327" s="18"/>
      <c r="AT327" s="18"/>
      <c r="AU327" s="18"/>
      <c r="AV327" s="18"/>
      <c r="AW327" s="18"/>
      <c r="AX327" s="18"/>
    </row>
    <row r="328" customFormat="false" ht="15" hidden="false" customHeight="false" outlineLevel="0" collapsed="false">
      <c r="A328" s="16" t="str">
        <f aca="false">IF(INDEX(Tasks!$A:$A,ROW()-1)="","",INDEX(Tasks!$A:$A,ROW()-1))</f>
        <v/>
      </c>
      <c r="B328" s="16" t="str">
        <f aca="false">IF(INDEX(Tasks!$A:$A,ROW()-1)="","",IF(ISERROR(FIND(".",INDEX(Tasks!$A:$A,ROW()-1))),"","   ")&amp;INDEX(Tasks!$D:$D,ROW()-1))</f>
        <v/>
      </c>
      <c r="C328" s="16" t="str">
        <f aca="false">IF(INDEX(Tasks!$G:$G,ROW()-1)="","",INDEX(Tasks!$G:$G,ROW()-1))</f>
        <v/>
      </c>
      <c r="D328" s="16" t="str">
        <f aca="false">IF(INDEX(Tasks!$H:$H,ROW()-1)="","",INDEX(Tasks!$H:$H,ROW()-1))</f>
        <v/>
      </c>
      <c r="E328" s="17" t="str">
        <f aca="false">IF(INDEX(Tasks!$I:$I,ROW()-1)="","",INDEX(Tasks!$I:$I,ROW()-1))</f>
        <v/>
      </c>
      <c r="F328" s="17" t="str">
        <f aca="false">IF(INDEX(Tasks!$K:$K,ROW()-1)="","",INDEX(Tasks!$K:$K,ROW()-1))</f>
        <v/>
      </c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  <c r="AG328" s="18"/>
      <c r="AH328" s="18"/>
      <c r="AI328" s="18"/>
      <c r="AJ328" s="18"/>
      <c r="AK328" s="18"/>
      <c r="AL328" s="18"/>
      <c r="AM328" s="18"/>
      <c r="AN328" s="18"/>
      <c r="AO328" s="18"/>
      <c r="AP328" s="18"/>
      <c r="AQ328" s="18"/>
      <c r="AR328" s="18"/>
      <c r="AS328" s="18"/>
      <c r="AT328" s="18"/>
      <c r="AU328" s="18"/>
      <c r="AV328" s="18"/>
      <c r="AW328" s="18"/>
      <c r="AX328" s="18"/>
    </row>
    <row r="329" customFormat="false" ht="15" hidden="false" customHeight="false" outlineLevel="0" collapsed="false">
      <c r="A329" s="16" t="str">
        <f aca="false">IF(INDEX(Tasks!$A:$A,ROW()-1)="","",INDEX(Tasks!$A:$A,ROW()-1))</f>
        <v/>
      </c>
      <c r="B329" s="16" t="str">
        <f aca="false">IF(INDEX(Tasks!$A:$A,ROW()-1)="","",IF(ISERROR(FIND(".",INDEX(Tasks!$A:$A,ROW()-1))),"","   ")&amp;INDEX(Tasks!$D:$D,ROW()-1))</f>
        <v/>
      </c>
      <c r="C329" s="16" t="str">
        <f aca="false">IF(INDEX(Tasks!$G:$G,ROW()-1)="","",INDEX(Tasks!$G:$G,ROW()-1))</f>
        <v/>
      </c>
      <c r="D329" s="16" t="str">
        <f aca="false">IF(INDEX(Tasks!$H:$H,ROW()-1)="","",INDEX(Tasks!$H:$H,ROW()-1))</f>
        <v/>
      </c>
      <c r="E329" s="17" t="str">
        <f aca="false">IF(INDEX(Tasks!$I:$I,ROW()-1)="","",INDEX(Tasks!$I:$I,ROW()-1))</f>
        <v/>
      </c>
      <c r="F329" s="17" t="str">
        <f aca="false">IF(INDEX(Tasks!$K:$K,ROW()-1)="","",INDEX(Tasks!$K:$K,ROW()-1))</f>
        <v/>
      </c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  <c r="AG329" s="18"/>
      <c r="AH329" s="18"/>
      <c r="AI329" s="18"/>
      <c r="AJ329" s="18"/>
      <c r="AK329" s="18"/>
      <c r="AL329" s="18"/>
      <c r="AM329" s="18"/>
      <c r="AN329" s="18"/>
      <c r="AO329" s="18"/>
      <c r="AP329" s="18"/>
      <c r="AQ329" s="18"/>
      <c r="AR329" s="18"/>
      <c r="AS329" s="18"/>
      <c r="AT329" s="18"/>
      <c r="AU329" s="18"/>
      <c r="AV329" s="18"/>
      <c r="AW329" s="18"/>
      <c r="AX329" s="18"/>
    </row>
    <row r="330" customFormat="false" ht="15" hidden="false" customHeight="false" outlineLevel="0" collapsed="false">
      <c r="A330" s="16" t="str">
        <f aca="false">IF(INDEX(Tasks!$A:$A,ROW()-1)="","",INDEX(Tasks!$A:$A,ROW()-1))</f>
        <v/>
      </c>
      <c r="B330" s="16" t="str">
        <f aca="false">IF(INDEX(Tasks!$A:$A,ROW()-1)="","",IF(ISERROR(FIND(".",INDEX(Tasks!$A:$A,ROW()-1))),"","   ")&amp;INDEX(Tasks!$D:$D,ROW()-1))</f>
        <v/>
      </c>
      <c r="C330" s="16" t="str">
        <f aca="false">IF(INDEX(Tasks!$G:$G,ROW()-1)="","",INDEX(Tasks!$G:$G,ROW()-1))</f>
        <v/>
      </c>
      <c r="D330" s="16" t="str">
        <f aca="false">IF(INDEX(Tasks!$H:$H,ROW()-1)="","",INDEX(Tasks!$H:$H,ROW()-1))</f>
        <v/>
      </c>
      <c r="E330" s="17" t="str">
        <f aca="false">IF(INDEX(Tasks!$I:$I,ROW()-1)="","",INDEX(Tasks!$I:$I,ROW()-1))</f>
        <v/>
      </c>
      <c r="F330" s="17" t="str">
        <f aca="false">IF(INDEX(Tasks!$K:$K,ROW()-1)="","",INDEX(Tasks!$K:$K,ROW()-1))</f>
        <v/>
      </c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  <c r="AG330" s="18"/>
      <c r="AH330" s="18"/>
      <c r="AI330" s="18"/>
      <c r="AJ330" s="18"/>
      <c r="AK330" s="18"/>
      <c r="AL330" s="18"/>
      <c r="AM330" s="18"/>
      <c r="AN330" s="18"/>
      <c r="AO330" s="18"/>
      <c r="AP330" s="18"/>
      <c r="AQ330" s="18"/>
      <c r="AR330" s="18"/>
      <c r="AS330" s="18"/>
      <c r="AT330" s="18"/>
      <c r="AU330" s="18"/>
      <c r="AV330" s="18"/>
      <c r="AW330" s="18"/>
      <c r="AX330" s="18"/>
    </row>
    <row r="331" customFormat="false" ht="15" hidden="false" customHeight="false" outlineLevel="0" collapsed="false">
      <c r="A331" s="16" t="str">
        <f aca="false">IF(INDEX(Tasks!$A:$A,ROW()-1)="","",INDEX(Tasks!$A:$A,ROW()-1))</f>
        <v/>
      </c>
      <c r="B331" s="16" t="str">
        <f aca="false">IF(INDEX(Tasks!$A:$A,ROW()-1)="","",IF(ISERROR(FIND(".",INDEX(Tasks!$A:$A,ROW()-1))),"","   ")&amp;INDEX(Tasks!$D:$D,ROW()-1))</f>
        <v/>
      </c>
      <c r="C331" s="16" t="str">
        <f aca="false">IF(INDEX(Tasks!$G:$G,ROW()-1)="","",INDEX(Tasks!$G:$G,ROW()-1))</f>
        <v/>
      </c>
      <c r="D331" s="16" t="str">
        <f aca="false">IF(INDEX(Tasks!$H:$H,ROW()-1)="","",INDEX(Tasks!$H:$H,ROW()-1))</f>
        <v/>
      </c>
      <c r="E331" s="17" t="str">
        <f aca="false">IF(INDEX(Tasks!$I:$I,ROW()-1)="","",INDEX(Tasks!$I:$I,ROW()-1))</f>
        <v/>
      </c>
      <c r="F331" s="17" t="str">
        <f aca="false">IF(INDEX(Tasks!$K:$K,ROW()-1)="","",INDEX(Tasks!$K:$K,ROW()-1))</f>
        <v/>
      </c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J331" s="18"/>
      <c r="AK331" s="18"/>
      <c r="AL331" s="18"/>
      <c r="AM331" s="18"/>
      <c r="AN331" s="18"/>
      <c r="AO331" s="18"/>
      <c r="AP331" s="18"/>
      <c r="AQ331" s="18"/>
      <c r="AR331" s="18"/>
      <c r="AS331" s="18"/>
      <c r="AT331" s="18"/>
      <c r="AU331" s="18"/>
      <c r="AV331" s="18"/>
      <c r="AW331" s="18"/>
      <c r="AX331" s="18"/>
    </row>
    <row r="332" customFormat="false" ht="15" hidden="false" customHeight="false" outlineLevel="0" collapsed="false">
      <c r="A332" s="16" t="str">
        <f aca="false">IF(INDEX(Tasks!$A:$A,ROW()-1)="","",INDEX(Tasks!$A:$A,ROW()-1))</f>
        <v/>
      </c>
      <c r="B332" s="16" t="str">
        <f aca="false">IF(INDEX(Tasks!$A:$A,ROW()-1)="","",IF(ISERROR(FIND(".",INDEX(Tasks!$A:$A,ROW()-1))),"","   ")&amp;INDEX(Tasks!$D:$D,ROW()-1))</f>
        <v/>
      </c>
      <c r="C332" s="16" t="str">
        <f aca="false">IF(INDEX(Tasks!$G:$G,ROW()-1)="","",INDEX(Tasks!$G:$G,ROW()-1))</f>
        <v/>
      </c>
      <c r="D332" s="16" t="str">
        <f aca="false">IF(INDEX(Tasks!$H:$H,ROW()-1)="","",INDEX(Tasks!$H:$H,ROW()-1))</f>
        <v/>
      </c>
      <c r="E332" s="17" t="str">
        <f aca="false">IF(INDEX(Tasks!$I:$I,ROW()-1)="","",INDEX(Tasks!$I:$I,ROW()-1))</f>
        <v/>
      </c>
      <c r="F332" s="17" t="str">
        <f aca="false">IF(INDEX(Tasks!$K:$K,ROW()-1)="","",INDEX(Tasks!$K:$K,ROW()-1))</f>
        <v/>
      </c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  <c r="AG332" s="18"/>
      <c r="AH332" s="18"/>
      <c r="AI332" s="18"/>
      <c r="AJ332" s="18"/>
      <c r="AK332" s="18"/>
      <c r="AL332" s="18"/>
      <c r="AM332" s="18"/>
      <c r="AN332" s="18"/>
      <c r="AO332" s="18"/>
      <c r="AP332" s="18"/>
      <c r="AQ332" s="18"/>
      <c r="AR332" s="18"/>
      <c r="AS332" s="18"/>
      <c r="AT332" s="18"/>
      <c r="AU332" s="18"/>
      <c r="AV332" s="18"/>
      <c r="AW332" s="18"/>
      <c r="AX332" s="18"/>
    </row>
    <row r="333" customFormat="false" ht="15" hidden="false" customHeight="false" outlineLevel="0" collapsed="false">
      <c r="A333" s="16" t="str">
        <f aca="false">IF(INDEX(Tasks!$A:$A,ROW()-1)="","",INDEX(Tasks!$A:$A,ROW()-1))</f>
        <v/>
      </c>
      <c r="B333" s="16" t="str">
        <f aca="false">IF(INDEX(Tasks!$A:$A,ROW()-1)="","",IF(ISERROR(FIND(".",INDEX(Tasks!$A:$A,ROW()-1))),"","   ")&amp;INDEX(Tasks!$D:$D,ROW()-1))</f>
        <v/>
      </c>
      <c r="C333" s="16" t="str">
        <f aca="false">IF(INDEX(Tasks!$G:$G,ROW()-1)="","",INDEX(Tasks!$G:$G,ROW()-1))</f>
        <v/>
      </c>
      <c r="D333" s="16" t="str">
        <f aca="false">IF(INDEX(Tasks!$H:$H,ROW()-1)="","",INDEX(Tasks!$H:$H,ROW()-1))</f>
        <v/>
      </c>
      <c r="E333" s="17" t="str">
        <f aca="false">IF(INDEX(Tasks!$I:$I,ROW()-1)="","",INDEX(Tasks!$I:$I,ROW()-1))</f>
        <v/>
      </c>
      <c r="F333" s="17" t="str">
        <f aca="false">IF(INDEX(Tasks!$K:$K,ROW()-1)="","",INDEX(Tasks!$K:$K,ROW()-1))</f>
        <v/>
      </c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  <c r="AG333" s="18"/>
      <c r="AH333" s="18"/>
      <c r="AI333" s="18"/>
      <c r="AJ333" s="18"/>
      <c r="AK333" s="18"/>
      <c r="AL333" s="18"/>
      <c r="AM333" s="18"/>
      <c r="AN333" s="18"/>
      <c r="AO333" s="18"/>
      <c r="AP333" s="18"/>
      <c r="AQ333" s="18"/>
      <c r="AR333" s="18"/>
      <c r="AS333" s="18"/>
      <c r="AT333" s="18"/>
      <c r="AU333" s="18"/>
      <c r="AV333" s="18"/>
      <c r="AW333" s="18"/>
      <c r="AX333" s="18"/>
    </row>
    <row r="334" customFormat="false" ht="15" hidden="false" customHeight="false" outlineLevel="0" collapsed="false">
      <c r="A334" s="16" t="str">
        <f aca="false">IF(INDEX(Tasks!$A:$A,ROW()-1)="","",INDEX(Tasks!$A:$A,ROW()-1))</f>
        <v/>
      </c>
      <c r="B334" s="16" t="str">
        <f aca="false">IF(INDEX(Tasks!$A:$A,ROW()-1)="","",IF(ISERROR(FIND(".",INDEX(Tasks!$A:$A,ROW()-1))),"","   ")&amp;INDEX(Tasks!$D:$D,ROW()-1))</f>
        <v/>
      </c>
      <c r="C334" s="16" t="str">
        <f aca="false">IF(INDEX(Tasks!$G:$G,ROW()-1)="","",INDEX(Tasks!$G:$G,ROW()-1))</f>
        <v/>
      </c>
      <c r="D334" s="16" t="str">
        <f aca="false">IF(INDEX(Tasks!$H:$H,ROW()-1)="","",INDEX(Tasks!$H:$H,ROW()-1))</f>
        <v/>
      </c>
      <c r="E334" s="17" t="str">
        <f aca="false">IF(INDEX(Tasks!$I:$I,ROW()-1)="","",INDEX(Tasks!$I:$I,ROW()-1))</f>
        <v/>
      </c>
      <c r="F334" s="17" t="str">
        <f aca="false">IF(INDEX(Tasks!$K:$K,ROW()-1)="","",INDEX(Tasks!$K:$K,ROW()-1))</f>
        <v/>
      </c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  <c r="AG334" s="18"/>
      <c r="AH334" s="18"/>
      <c r="AI334" s="18"/>
      <c r="AJ334" s="18"/>
      <c r="AK334" s="18"/>
      <c r="AL334" s="18"/>
      <c r="AM334" s="18"/>
      <c r="AN334" s="18"/>
      <c r="AO334" s="18"/>
      <c r="AP334" s="18"/>
      <c r="AQ334" s="18"/>
      <c r="AR334" s="18"/>
      <c r="AS334" s="18"/>
      <c r="AT334" s="18"/>
      <c r="AU334" s="18"/>
      <c r="AV334" s="18"/>
      <c r="AW334" s="18"/>
      <c r="AX334" s="18"/>
    </row>
    <row r="335" customFormat="false" ht="15" hidden="false" customHeight="false" outlineLevel="0" collapsed="false">
      <c r="A335" s="16" t="str">
        <f aca="false">IF(INDEX(Tasks!$A:$A,ROW()-1)="","",INDEX(Tasks!$A:$A,ROW()-1))</f>
        <v/>
      </c>
      <c r="B335" s="16" t="str">
        <f aca="false">IF(INDEX(Tasks!$A:$A,ROW()-1)="","",IF(ISERROR(FIND(".",INDEX(Tasks!$A:$A,ROW()-1))),"","   ")&amp;INDEX(Tasks!$D:$D,ROW()-1))</f>
        <v/>
      </c>
      <c r="C335" s="16" t="str">
        <f aca="false">IF(INDEX(Tasks!$G:$G,ROW()-1)="","",INDEX(Tasks!$G:$G,ROW()-1))</f>
        <v/>
      </c>
      <c r="D335" s="16" t="str">
        <f aca="false">IF(INDEX(Tasks!$H:$H,ROW()-1)="","",INDEX(Tasks!$H:$H,ROW()-1))</f>
        <v/>
      </c>
      <c r="E335" s="17" t="str">
        <f aca="false">IF(INDEX(Tasks!$I:$I,ROW()-1)="","",INDEX(Tasks!$I:$I,ROW()-1))</f>
        <v/>
      </c>
      <c r="F335" s="17" t="str">
        <f aca="false">IF(INDEX(Tasks!$K:$K,ROW()-1)="","",INDEX(Tasks!$K:$K,ROW()-1))</f>
        <v/>
      </c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  <c r="AG335" s="18"/>
      <c r="AH335" s="18"/>
      <c r="AI335" s="18"/>
      <c r="AJ335" s="18"/>
      <c r="AK335" s="18"/>
      <c r="AL335" s="18"/>
      <c r="AM335" s="18"/>
      <c r="AN335" s="18"/>
      <c r="AO335" s="18"/>
      <c r="AP335" s="18"/>
      <c r="AQ335" s="18"/>
      <c r="AR335" s="18"/>
      <c r="AS335" s="18"/>
      <c r="AT335" s="18"/>
      <c r="AU335" s="18"/>
      <c r="AV335" s="18"/>
      <c r="AW335" s="18"/>
      <c r="AX335" s="18"/>
    </row>
    <row r="336" customFormat="false" ht="15" hidden="false" customHeight="false" outlineLevel="0" collapsed="false">
      <c r="A336" s="16" t="str">
        <f aca="false">IF(INDEX(Tasks!$A:$A,ROW()-1)="","",INDEX(Tasks!$A:$A,ROW()-1))</f>
        <v/>
      </c>
      <c r="B336" s="16" t="str">
        <f aca="false">IF(INDEX(Tasks!$A:$A,ROW()-1)="","",IF(ISERROR(FIND(".",INDEX(Tasks!$A:$A,ROW()-1))),"","   ")&amp;INDEX(Tasks!$D:$D,ROW()-1))</f>
        <v/>
      </c>
      <c r="C336" s="16" t="str">
        <f aca="false">IF(INDEX(Tasks!$G:$G,ROW()-1)="","",INDEX(Tasks!$G:$G,ROW()-1))</f>
        <v/>
      </c>
      <c r="D336" s="16" t="str">
        <f aca="false">IF(INDEX(Tasks!$H:$H,ROW()-1)="","",INDEX(Tasks!$H:$H,ROW()-1))</f>
        <v/>
      </c>
      <c r="E336" s="17" t="str">
        <f aca="false">IF(INDEX(Tasks!$I:$I,ROW()-1)="","",INDEX(Tasks!$I:$I,ROW()-1))</f>
        <v/>
      </c>
      <c r="F336" s="17" t="str">
        <f aca="false">IF(INDEX(Tasks!$K:$K,ROW()-1)="","",INDEX(Tasks!$K:$K,ROW()-1))</f>
        <v/>
      </c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  <c r="AG336" s="18"/>
      <c r="AH336" s="18"/>
      <c r="AI336" s="18"/>
      <c r="AJ336" s="18"/>
      <c r="AK336" s="18"/>
      <c r="AL336" s="18"/>
      <c r="AM336" s="18"/>
      <c r="AN336" s="18"/>
      <c r="AO336" s="18"/>
      <c r="AP336" s="18"/>
      <c r="AQ336" s="18"/>
      <c r="AR336" s="18"/>
      <c r="AS336" s="18"/>
      <c r="AT336" s="18"/>
      <c r="AU336" s="18"/>
      <c r="AV336" s="18"/>
      <c r="AW336" s="18"/>
      <c r="AX336" s="18"/>
    </row>
    <row r="337" customFormat="false" ht="15" hidden="false" customHeight="false" outlineLevel="0" collapsed="false">
      <c r="A337" s="16" t="str">
        <f aca="false">IF(INDEX(Tasks!$A:$A,ROW()-1)="","",INDEX(Tasks!$A:$A,ROW()-1))</f>
        <v/>
      </c>
      <c r="B337" s="16" t="str">
        <f aca="false">IF(INDEX(Tasks!$A:$A,ROW()-1)="","",IF(ISERROR(FIND(".",INDEX(Tasks!$A:$A,ROW()-1))),"","   ")&amp;INDEX(Tasks!$D:$D,ROW()-1))</f>
        <v/>
      </c>
      <c r="C337" s="16" t="str">
        <f aca="false">IF(INDEX(Tasks!$G:$G,ROW()-1)="","",INDEX(Tasks!$G:$G,ROW()-1))</f>
        <v/>
      </c>
      <c r="D337" s="16" t="str">
        <f aca="false">IF(INDEX(Tasks!$H:$H,ROW()-1)="","",INDEX(Tasks!$H:$H,ROW()-1))</f>
        <v/>
      </c>
      <c r="E337" s="17" t="str">
        <f aca="false">IF(INDEX(Tasks!$I:$I,ROW()-1)="","",INDEX(Tasks!$I:$I,ROW()-1))</f>
        <v/>
      </c>
      <c r="F337" s="17" t="str">
        <f aca="false">IF(INDEX(Tasks!$K:$K,ROW()-1)="","",INDEX(Tasks!$K:$K,ROW()-1))</f>
        <v/>
      </c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  <c r="AG337" s="18"/>
      <c r="AH337" s="18"/>
      <c r="AI337" s="18"/>
      <c r="AJ337" s="18"/>
      <c r="AK337" s="18"/>
      <c r="AL337" s="18"/>
      <c r="AM337" s="18"/>
      <c r="AN337" s="18"/>
      <c r="AO337" s="18"/>
      <c r="AP337" s="18"/>
      <c r="AQ337" s="18"/>
      <c r="AR337" s="18"/>
      <c r="AS337" s="18"/>
      <c r="AT337" s="18"/>
      <c r="AU337" s="18"/>
      <c r="AV337" s="18"/>
      <c r="AW337" s="18"/>
      <c r="AX337" s="18"/>
    </row>
    <row r="338" customFormat="false" ht="15" hidden="false" customHeight="false" outlineLevel="0" collapsed="false">
      <c r="A338" s="16" t="str">
        <f aca="false">IF(INDEX(Tasks!$A:$A,ROW()-1)="","",INDEX(Tasks!$A:$A,ROW()-1))</f>
        <v/>
      </c>
      <c r="B338" s="16" t="str">
        <f aca="false">IF(INDEX(Tasks!$A:$A,ROW()-1)="","",IF(ISERROR(FIND(".",INDEX(Tasks!$A:$A,ROW()-1))),"","   ")&amp;INDEX(Tasks!$D:$D,ROW()-1))</f>
        <v/>
      </c>
      <c r="C338" s="16" t="str">
        <f aca="false">IF(INDEX(Tasks!$G:$G,ROW()-1)="","",INDEX(Tasks!$G:$G,ROW()-1))</f>
        <v/>
      </c>
      <c r="D338" s="16" t="str">
        <f aca="false">IF(INDEX(Tasks!$H:$H,ROW()-1)="","",INDEX(Tasks!$H:$H,ROW()-1))</f>
        <v/>
      </c>
      <c r="E338" s="17" t="str">
        <f aca="false">IF(INDEX(Tasks!$I:$I,ROW()-1)="","",INDEX(Tasks!$I:$I,ROW()-1))</f>
        <v/>
      </c>
      <c r="F338" s="17" t="str">
        <f aca="false">IF(INDEX(Tasks!$K:$K,ROW()-1)="","",INDEX(Tasks!$K:$K,ROW()-1))</f>
        <v/>
      </c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  <c r="AG338" s="18"/>
      <c r="AH338" s="18"/>
      <c r="AI338" s="18"/>
      <c r="AJ338" s="18"/>
      <c r="AK338" s="18"/>
      <c r="AL338" s="18"/>
      <c r="AM338" s="18"/>
      <c r="AN338" s="18"/>
      <c r="AO338" s="18"/>
      <c r="AP338" s="18"/>
      <c r="AQ338" s="18"/>
      <c r="AR338" s="18"/>
      <c r="AS338" s="18"/>
      <c r="AT338" s="18"/>
      <c r="AU338" s="18"/>
      <c r="AV338" s="18"/>
      <c r="AW338" s="18"/>
      <c r="AX338" s="18"/>
    </row>
    <row r="339" customFormat="false" ht="15" hidden="false" customHeight="false" outlineLevel="0" collapsed="false">
      <c r="A339" s="16" t="str">
        <f aca="false">IF(INDEX(Tasks!$A:$A,ROW()-1)="","",INDEX(Tasks!$A:$A,ROW()-1))</f>
        <v/>
      </c>
      <c r="B339" s="16" t="str">
        <f aca="false">IF(INDEX(Tasks!$A:$A,ROW()-1)="","",IF(ISERROR(FIND(".",INDEX(Tasks!$A:$A,ROW()-1))),"","   ")&amp;INDEX(Tasks!$D:$D,ROW()-1))</f>
        <v/>
      </c>
      <c r="C339" s="16" t="str">
        <f aca="false">IF(INDEX(Tasks!$G:$G,ROW()-1)="","",INDEX(Tasks!$G:$G,ROW()-1))</f>
        <v/>
      </c>
      <c r="D339" s="16" t="str">
        <f aca="false">IF(INDEX(Tasks!$H:$H,ROW()-1)="","",INDEX(Tasks!$H:$H,ROW()-1))</f>
        <v/>
      </c>
      <c r="E339" s="17" t="str">
        <f aca="false">IF(INDEX(Tasks!$I:$I,ROW()-1)="","",INDEX(Tasks!$I:$I,ROW()-1))</f>
        <v/>
      </c>
      <c r="F339" s="17" t="str">
        <f aca="false">IF(INDEX(Tasks!$K:$K,ROW()-1)="","",INDEX(Tasks!$K:$K,ROW()-1))</f>
        <v/>
      </c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  <c r="AG339" s="18"/>
      <c r="AH339" s="18"/>
      <c r="AI339" s="18"/>
      <c r="AJ339" s="18"/>
      <c r="AK339" s="18"/>
      <c r="AL339" s="18"/>
      <c r="AM339" s="18"/>
      <c r="AN339" s="18"/>
      <c r="AO339" s="18"/>
      <c r="AP339" s="18"/>
      <c r="AQ339" s="18"/>
      <c r="AR339" s="18"/>
      <c r="AS339" s="18"/>
      <c r="AT339" s="18"/>
      <c r="AU339" s="18"/>
      <c r="AV339" s="18"/>
      <c r="AW339" s="18"/>
      <c r="AX339" s="18"/>
    </row>
    <row r="340" customFormat="false" ht="15" hidden="false" customHeight="false" outlineLevel="0" collapsed="false">
      <c r="A340" s="16" t="str">
        <f aca="false">IF(INDEX(Tasks!$A:$A,ROW()-1)="","",INDEX(Tasks!$A:$A,ROW()-1))</f>
        <v/>
      </c>
      <c r="B340" s="16" t="str">
        <f aca="false">IF(INDEX(Tasks!$A:$A,ROW()-1)="","",IF(ISERROR(FIND(".",INDEX(Tasks!$A:$A,ROW()-1))),"","   ")&amp;INDEX(Tasks!$D:$D,ROW()-1))</f>
        <v/>
      </c>
      <c r="C340" s="16" t="str">
        <f aca="false">IF(INDEX(Tasks!$G:$G,ROW()-1)="","",INDEX(Tasks!$G:$G,ROW()-1))</f>
        <v/>
      </c>
      <c r="D340" s="16" t="str">
        <f aca="false">IF(INDEX(Tasks!$H:$H,ROW()-1)="","",INDEX(Tasks!$H:$H,ROW()-1))</f>
        <v/>
      </c>
      <c r="E340" s="17" t="str">
        <f aca="false">IF(INDEX(Tasks!$I:$I,ROW()-1)="","",INDEX(Tasks!$I:$I,ROW()-1))</f>
        <v/>
      </c>
      <c r="F340" s="17" t="str">
        <f aca="false">IF(INDEX(Tasks!$K:$K,ROW()-1)="","",INDEX(Tasks!$K:$K,ROW()-1))</f>
        <v/>
      </c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  <c r="AG340" s="18"/>
      <c r="AH340" s="18"/>
      <c r="AI340" s="18"/>
      <c r="AJ340" s="18"/>
      <c r="AK340" s="18"/>
      <c r="AL340" s="18"/>
      <c r="AM340" s="18"/>
      <c r="AN340" s="18"/>
      <c r="AO340" s="18"/>
      <c r="AP340" s="18"/>
      <c r="AQ340" s="18"/>
      <c r="AR340" s="18"/>
      <c r="AS340" s="18"/>
      <c r="AT340" s="18"/>
      <c r="AU340" s="18"/>
      <c r="AV340" s="18"/>
      <c r="AW340" s="18"/>
      <c r="AX340" s="18"/>
    </row>
    <row r="341" customFormat="false" ht="15" hidden="false" customHeight="false" outlineLevel="0" collapsed="false">
      <c r="A341" s="16" t="str">
        <f aca="false">IF(INDEX(Tasks!$A:$A,ROW()-1)="","",INDEX(Tasks!$A:$A,ROW()-1))</f>
        <v/>
      </c>
      <c r="B341" s="16" t="str">
        <f aca="false">IF(INDEX(Tasks!$A:$A,ROW()-1)="","",IF(ISERROR(FIND(".",INDEX(Tasks!$A:$A,ROW()-1))),"","   ")&amp;INDEX(Tasks!$D:$D,ROW()-1))</f>
        <v/>
      </c>
      <c r="C341" s="16" t="str">
        <f aca="false">IF(INDEX(Tasks!$G:$G,ROW()-1)="","",INDEX(Tasks!$G:$G,ROW()-1))</f>
        <v/>
      </c>
      <c r="D341" s="16" t="str">
        <f aca="false">IF(INDEX(Tasks!$H:$H,ROW()-1)="","",INDEX(Tasks!$H:$H,ROW()-1))</f>
        <v/>
      </c>
      <c r="E341" s="17" t="str">
        <f aca="false">IF(INDEX(Tasks!$I:$I,ROW()-1)="","",INDEX(Tasks!$I:$I,ROW()-1))</f>
        <v/>
      </c>
      <c r="F341" s="17" t="str">
        <f aca="false">IF(INDEX(Tasks!$K:$K,ROW()-1)="","",INDEX(Tasks!$K:$K,ROW()-1))</f>
        <v/>
      </c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  <c r="AG341" s="18"/>
      <c r="AH341" s="18"/>
      <c r="AI341" s="18"/>
      <c r="AJ341" s="18"/>
      <c r="AK341" s="18"/>
      <c r="AL341" s="18"/>
      <c r="AM341" s="18"/>
      <c r="AN341" s="18"/>
      <c r="AO341" s="18"/>
      <c r="AP341" s="18"/>
      <c r="AQ341" s="18"/>
      <c r="AR341" s="18"/>
      <c r="AS341" s="18"/>
      <c r="AT341" s="18"/>
      <c r="AU341" s="18"/>
      <c r="AV341" s="18"/>
      <c r="AW341" s="18"/>
      <c r="AX341" s="18"/>
    </row>
    <row r="342" customFormat="false" ht="15" hidden="false" customHeight="false" outlineLevel="0" collapsed="false">
      <c r="A342" s="16" t="str">
        <f aca="false">IF(INDEX(Tasks!$A:$A,ROW()-1)="","",INDEX(Tasks!$A:$A,ROW()-1))</f>
        <v/>
      </c>
      <c r="B342" s="16" t="str">
        <f aca="false">IF(INDEX(Tasks!$A:$A,ROW()-1)="","",IF(ISERROR(FIND(".",INDEX(Tasks!$A:$A,ROW()-1))),"","   ")&amp;INDEX(Tasks!$D:$D,ROW()-1))</f>
        <v/>
      </c>
      <c r="C342" s="16" t="str">
        <f aca="false">IF(INDEX(Tasks!$G:$G,ROW()-1)="","",INDEX(Tasks!$G:$G,ROW()-1))</f>
        <v/>
      </c>
      <c r="D342" s="16" t="str">
        <f aca="false">IF(INDEX(Tasks!$H:$H,ROW()-1)="","",INDEX(Tasks!$H:$H,ROW()-1))</f>
        <v/>
      </c>
      <c r="E342" s="17" t="str">
        <f aca="false">IF(INDEX(Tasks!$I:$I,ROW()-1)="","",INDEX(Tasks!$I:$I,ROW()-1))</f>
        <v/>
      </c>
      <c r="F342" s="17" t="str">
        <f aca="false">IF(INDEX(Tasks!$K:$K,ROW()-1)="","",INDEX(Tasks!$K:$K,ROW()-1))</f>
        <v/>
      </c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  <c r="AG342" s="18"/>
      <c r="AH342" s="18"/>
      <c r="AI342" s="18"/>
      <c r="AJ342" s="18"/>
      <c r="AK342" s="18"/>
      <c r="AL342" s="18"/>
      <c r="AM342" s="18"/>
      <c r="AN342" s="18"/>
      <c r="AO342" s="18"/>
      <c r="AP342" s="18"/>
      <c r="AQ342" s="18"/>
      <c r="AR342" s="18"/>
      <c r="AS342" s="18"/>
      <c r="AT342" s="18"/>
      <c r="AU342" s="18"/>
      <c r="AV342" s="18"/>
      <c r="AW342" s="18"/>
      <c r="AX342" s="18"/>
    </row>
    <row r="343" customFormat="false" ht="15" hidden="false" customHeight="false" outlineLevel="0" collapsed="false">
      <c r="A343" s="16" t="str">
        <f aca="false">IF(INDEX(Tasks!$A:$A,ROW()-1)="","",INDEX(Tasks!$A:$A,ROW()-1))</f>
        <v/>
      </c>
      <c r="B343" s="16" t="str">
        <f aca="false">IF(INDEX(Tasks!$A:$A,ROW()-1)="","",IF(ISERROR(FIND(".",INDEX(Tasks!$A:$A,ROW()-1))),"","   ")&amp;INDEX(Tasks!$D:$D,ROW()-1))</f>
        <v/>
      </c>
      <c r="C343" s="16" t="str">
        <f aca="false">IF(INDEX(Tasks!$G:$G,ROW()-1)="","",INDEX(Tasks!$G:$G,ROW()-1))</f>
        <v/>
      </c>
      <c r="D343" s="16" t="str">
        <f aca="false">IF(INDEX(Tasks!$H:$H,ROW()-1)="","",INDEX(Tasks!$H:$H,ROW()-1))</f>
        <v/>
      </c>
      <c r="E343" s="17" t="str">
        <f aca="false">IF(INDEX(Tasks!$I:$I,ROW()-1)="","",INDEX(Tasks!$I:$I,ROW()-1))</f>
        <v/>
      </c>
      <c r="F343" s="17" t="str">
        <f aca="false">IF(INDEX(Tasks!$K:$K,ROW()-1)="","",INDEX(Tasks!$K:$K,ROW()-1))</f>
        <v/>
      </c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  <c r="AG343" s="18"/>
      <c r="AH343" s="18"/>
      <c r="AI343" s="18"/>
      <c r="AJ343" s="18"/>
      <c r="AK343" s="18"/>
      <c r="AL343" s="18"/>
      <c r="AM343" s="18"/>
      <c r="AN343" s="18"/>
      <c r="AO343" s="18"/>
      <c r="AP343" s="18"/>
      <c r="AQ343" s="18"/>
      <c r="AR343" s="18"/>
      <c r="AS343" s="18"/>
      <c r="AT343" s="18"/>
      <c r="AU343" s="18"/>
      <c r="AV343" s="18"/>
      <c r="AW343" s="18"/>
      <c r="AX343" s="18"/>
    </row>
    <row r="344" customFormat="false" ht="15" hidden="false" customHeight="false" outlineLevel="0" collapsed="false">
      <c r="A344" s="16" t="str">
        <f aca="false">IF(INDEX(Tasks!$A:$A,ROW()-1)="","",INDEX(Tasks!$A:$A,ROW()-1))</f>
        <v/>
      </c>
      <c r="B344" s="16" t="str">
        <f aca="false">IF(INDEX(Tasks!$A:$A,ROW()-1)="","",IF(ISERROR(FIND(".",INDEX(Tasks!$A:$A,ROW()-1))),"","   ")&amp;INDEX(Tasks!$D:$D,ROW()-1))</f>
        <v/>
      </c>
      <c r="C344" s="16" t="str">
        <f aca="false">IF(INDEX(Tasks!$G:$G,ROW()-1)="","",INDEX(Tasks!$G:$G,ROW()-1))</f>
        <v/>
      </c>
      <c r="D344" s="16" t="str">
        <f aca="false">IF(INDEX(Tasks!$H:$H,ROW()-1)="","",INDEX(Tasks!$H:$H,ROW()-1))</f>
        <v/>
      </c>
      <c r="E344" s="17" t="str">
        <f aca="false">IF(INDEX(Tasks!$I:$I,ROW()-1)="","",INDEX(Tasks!$I:$I,ROW()-1))</f>
        <v/>
      </c>
      <c r="F344" s="17" t="str">
        <f aca="false">IF(INDEX(Tasks!$K:$K,ROW()-1)="","",INDEX(Tasks!$K:$K,ROW()-1))</f>
        <v/>
      </c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  <c r="AG344" s="18"/>
      <c r="AH344" s="18"/>
      <c r="AI344" s="18"/>
      <c r="AJ344" s="18"/>
      <c r="AK344" s="18"/>
      <c r="AL344" s="18"/>
      <c r="AM344" s="18"/>
      <c r="AN344" s="18"/>
      <c r="AO344" s="18"/>
      <c r="AP344" s="18"/>
      <c r="AQ344" s="18"/>
      <c r="AR344" s="18"/>
      <c r="AS344" s="18"/>
      <c r="AT344" s="18"/>
      <c r="AU344" s="18"/>
      <c r="AV344" s="18"/>
      <c r="AW344" s="18"/>
      <c r="AX344" s="18"/>
    </row>
    <row r="345" customFormat="false" ht="15" hidden="false" customHeight="false" outlineLevel="0" collapsed="false">
      <c r="A345" s="16" t="str">
        <f aca="false">IF(INDEX(Tasks!$A:$A,ROW()-1)="","",INDEX(Tasks!$A:$A,ROW()-1))</f>
        <v/>
      </c>
      <c r="B345" s="16" t="str">
        <f aca="false">IF(INDEX(Tasks!$A:$A,ROW()-1)="","",IF(ISERROR(FIND(".",INDEX(Tasks!$A:$A,ROW()-1))),"","   ")&amp;INDEX(Tasks!$D:$D,ROW()-1))</f>
        <v/>
      </c>
      <c r="C345" s="16" t="str">
        <f aca="false">IF(INDEX(Tasks!$G:$G,ROW()-1)="","",INDEX(Tasks!$G:$G,ROW()-1))</f>
        <v/>
      </c>
      <c r="D345" s="16" t="str">
        <f aca="false">IF(INDEX(Tasks!$H:$H,ROW()-1)="","",INDEX(Tasks!$H:$H,ROW()-1))</f>
        <v/>
      </c>
      <c r="E345" s="17" t="str">
        <f aca="false">IF(INDEX(Tasks!$I:$I,ROW()-1)="","",INDEX(Tasks!$I:$I,ROW()-1))</f>
        <v/>
      </c>
      <c r="F345" s="17" t="str">
        <f aca="false">IF(INDEX(Tasks!$K:$K,ROW()-1)="","",INDEX(Tasks!$K:$K,ROW()-1))</f>
        <v/>
      </c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  <c r="AG345" s="18"/>
      <c r="AH345" s="18"/>
      <c r="AI345" s="18"/>
      <c r="AJ345" s="18"/>
      <c r="AK345" s="18"/>
      <c r="AL345" s="18"/>
      <c r="AM345" s="18"/>
      <c r="AN345" s="18"/>
      <c r="AO345" s="18"/>
      <c r="AP345" s="18"/>
      <c r="AQ345" s="18"/>
      <c r="AR345" s="18"/>
      <c r="AS345" s="18"/>
      <c r="AT345" s="18"/>
      <c r="AU345" s="18"/>
      <c r="AV345" s="18"/>
      <c r="AW345" s="18"/>
      <c r="AX345" s="18"/>
    </row>
    <row r="346" customFormat="false" ht="15" hidden="false" customHeight="false" outlineLevel="0" collapsed="false">
      <c r="A346" s="16" t="str">
        <f aca="false">IF(INDEX(Tasks!$A:$A,ROW()-1)="","",INDEX(Tasks!$A:$A,ROW()-1))</f>
        <v/>
      </c>
      <c r="B346" s="16" t="str">
        <f aca="false">IF(INDEX(Tasks!$A:$A,ROW()-1)="","",IF(ISERROR(FIND(".",INDEX(Tasks!$A:$A,ROW()-1))),"","   ")&amp;INDEX(Tasks!$D:$D,ROW()-1))</f>
        <v/>
      </c>
      <c r="C346" s="16" t="str">
        <f aca="false">IF(INDEX(Tasks!$G:$G,ROW()-1)="","",INDEX(Tasks!$G:$G,ROW()-1))</f>
        <v/>
      </c>
      <c r="D346" s="16" t="str">
        <f aca="false">IF(INDEX(Tasks!$H:$H,ROW()-1)="","",INDEX(Tasks!$H:$H,ROW()-1))</f>
        <v/>
      </c>
      <c r="E346" s="17" t="str">
        <f aca="false">IF(INDEX(Tasks!$I:$I,ROW()-1)="","",INDEX(Tasks!$I:$I,ROW()-1))</f>
        <v/>
      </c>
      <c r="F346" s="17" t="str">
        <f aca="false">IF(INDEX(Tasks!$K:$K,ROW()-1)="","",INDEX(Tasks!$K:$K,ROW()-1))</f>
        <v/>
      </c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  <c r="AG346" s="18"/>
      <c r="AH346" s="18"/>
      <c r="AI346" s="18"/>
      <c r="AJ346" s="18"/>
      <c r="AK346" s="18"/>
      <c r="AL346" s="18"/>
      <c r="AM346" s="18"/>
      <c r="AN346" s="18"/>
      <c r="AO346" s="18"/>
      <c r="AP346" s="18"/>
      <c r="AQ346" s="18"/>
      <c r="AR346" s="18"/>
      <c r="AS346" s="18"/>
      <c r="AT346" s="18"/>
      <c r="AU346" s="18"/>
      <c r="AV346" s="18"/>
      <c r="AW346" s="18"/>
      <c r="AX346" s="18"/>
    </row>
    <row r="347" customFormat="false" ht="15" hidden="false" customHeight="false" outlineLevel="0" collapsed="false">
      <c r="A347" s="16" t="str">
        <f aca="false">IF(INDEX(Tasks!$A:$A,ROW()-1)="","",INDEX(Tasks!$A:$A,ROW()-1))</f>
        <v/>
      </c>
      <c r="B347" s="16" t="str">
        <f aca="false">IF(INDEX(Tasks!$A:$A,ROW()-1)="","",IF(ISERROR(FIND(".",INDEX(Tasks!$A:$A,ROW()-1))),"","   ")&amp;INDEX(Tasks!$D:$D,ROW()-1))</f>
        <v/>
      </c>
      <c r="C347" s="16" t="str">
        <f aca="false">IF(INDEX(Tasks!$G:$G,ROW()-1)="","",INDEX(Tasks!$G:$G,ROW()-1))</f>
        <v/>
      </c>
      <c r="D347" s="16" t="str">
        <f aca="false">IF(INDEX(Tasks!$H:$H,ROW()-1)="","",INDEX(Tasks!$H:$H,ROW()-1))</f>
        <v/>
      </c>
      <c r="E347" s="17" t="str">
        <f aca="false">IF(INDEX(Tasks!$I:$I,ROW()-1)="","",INDEX(Tasks!$I:$I,ROW()-1))</f>
        <v/>
      </c>
      <c r="F347" s="17" t="str">
        <f aca="false">IF(INDEX(Tasks!$K:$K,ROW()-1)="","",INDEX(Tasks!$K:$K,ROW()-1))</f>
        <v/>
      </c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  <c r="AG347" s="18"/>
      <c r="AH347" s="18"/>
      <c r="AI347" s="18"/>
      <c r="AJ347" s="18"/>
      <c r="AK347" s="18"/>
      <c r="AL347" s="18"/>
      <c r="AM347" s="18"/>
      <c r="AN347" s="18"/>
      <c r="AO347" s="18"/>
      <c r="AP347" s="18"/>
      <c r="AQ347" s="18"/>
      <c r="AR347" s="18"/>
      <c r="AS347" s="18"/>
      <c r="AT347" s="18"/>
      <c r="AU347" s="18"/>
      <c r="AV347" s="18"/>
      <c r="AW347" s="18"/>
      <c r="AX347" s="18"/>
    </row>
    <row r="348" customFormat="false" ht="15" hidden="false" customHeight="false" outlineLevel="0" collapsed="false">
      <c r="A348" s="16" t="str">
        <f aca="false">IF(INDEX(Tasks!$A:$A,ROW()-1)="","",INDEX(Tasks!$A:$A,ROW()-1))</f>
        <v/>
      </c>
      <c r="B348" s="16" t="str">
        <f aca="false">IF(INDEX(Tasks!$A:$A,ROW()-1)="","",IF(ISERROR(FIND(".",INDEX(Tasks!$A:$A,ROW()-1))),"","   ")&amp;INDEX(Tasks!$D:$D,ROW()-1))</f>
        <v/>
      </c>
      <c r="C348" s="16" t="str">
        <f aca="false">IF(INDEX(Tasks!$G:$G,ROW()-1)="","",INDEX(Tasks!$G:$G,ROW()-1))</f>
        <v/>
      </c>
      <c r="D348" s="16" t="str">
        <f aca="false">IF(INDEX(Tasks!$H:$H,ROW()-1)="","",INDEX(Tasks!$H:$H,ROW()-1))</f>
        <v/>
      </c>
      <c r="E348" s="17" t="str">
        <f aca="false">IF(INDEX(Tasks!$I:$I,ROW()-1)="","",INDEX(Tasks!$I:$I,ROW()-1))</f>
        <v/>
      </c>
      <c r="F348" s="17" t="str">
        <f aca="false">IF(INDEX(Tasks!$K:$K,ROW()-1)="","",INDEX(Tasks!$K:$K,ROW()-1))</f>
        <v/>
      </c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  <c r="AG348" s="18"/>
      <c r="AH348" s="18"/>
      <c r="AI348" s="18"/>
      <c r="AJ348" s="18"/>
      <c r="AK348" s="18"/>
      <c r="AL348" s="18"/>
      <c r="AM348" s="18"/>
      <c r="AN348" s="18"/>
      <c r="AO348" s="18"/>
      <c r="AP348" s="18"/>
      <c r="AQ348" s="18"/>
      <c r="AR348" s="18"/>
      <c r="AS348" s="18"/>
      <c r="AT348" s="18"/>
      <c r="AU348" s="18"/>
      <c r="AV348" s="18"/>
      <c r="AW348" s="18"/>
      <c r="AX348" s="18"/>
    </row>
    <row r="349" customFormat="false" ht="15" hidden="false" customHeight="false" outlineLevel="0" collapsed="false">
      <c r="A349" s="16" t="str">
        <f aca="false">IF(INDEX(Tasks!$A:$A,ROW()-1)="","",INDEX(Tasks!$A:$A,ROW()-1))</f>
        <v/>
      </c>
      <c r="B349" s="16" t="str">
        <f aca="false">IF(INDEX(Tasks!$A:$A,ROW()-1)="","",IF(ISERROR(FIND(".",INDEX(Tasks!$A:$A,ROW()-1))),"","   ")&amp;INDEX(Tasks!$D:$D,ROW()-1))</f>
        <v/>
      </c>
      <c r="C349" s="16" t="str">
        <f aca="false">IF(INDEX(Tasks!$G:$G,ROW()-1)="","",INDEX(Tasks!$G:$G,ROW()-1))</f>
        <v/>
      </c>
      <c r="D349" s="16" t="str">
        <f aca="false">IF(INDEX(Tasks!$H:$H,ROW()-1)="","",INDEX(Tasks!$H:$H,ROW()-1))</f>
        <v/>
      </c>
      <c r="E349" s="17" t="str">
        <f aca="false">IF(INDEX(Tasks!$I:$I,ROW()-1)="","",INDEX(Tasks!$I:$I,ROW()-1))</f>
        <v/>
      </c>
      <c r="F349" s="17" t="str">
        <f aca="false">IF(INDEX(Tasks!$K:$K,ROW()-1)="","",INDEX(Tasks!$K:$K,ROW()-1))</f>
        <v/>
      </c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  <c r="AG349" s="18"/>
      <c r="AH349" s="18"/>
      <c r="AI349" s="18"/>
      <c r="AJ349" s="18"/>
      <c r="AK349" s="18"/>
      <c r="AL349" s="18"/>
      <c r="AM349" s="18"/>
      <c r="AN349" s="18"/>
      <c r="AO349" s="18"/>
      <c r="AP349" s="18"/>
      <c r="AQ349" s="18"/>
      <c r="AR349" s="18"/>
      <c r="AS349" s="18"/>
      <c r="AT349" s="18"/>
      <c r="AU349" s="18"/>
      <c r="AV349" s="18"/>
      <c r="AW349" s="18"/>
      <c r="AX349" s="18"/>
    </row>
    <row r="350" customFormat="false" ht="15" hidden="false" customHeight="false" outlineLevel="0" collapsed="false">
      <c r="A350" s="16" t="str">
        <f aca="false">IF(INDEX(Tasks!$A:$A,ROW()-1)="","",INDEX(Tasks!$A:$A,ROW()-1))</f>
        <v/>
      </c>
      <c r="B350" s="16" t="str">
        <f aca="false">IF(INDEX(Tasks!$A:$A,ROW()-1)="","",IF(ISERROR(FIND(".",INDEX(Tasks!$A:$A,ROW()-1))),"","   ")&amp;INDEX(Tasks!$D:$D,ROW()-1))</f>
        <v/>
      </c>
      <c r="C350" s="16" t="str">
        <f aca="false">IF(INDEX(Tasks!$G:$G,ROW()-1)="","",INDEX(Tasks!$G:$G,ROW()-1))</f>
        <v/>
      </c>
      <c r="D350" s="16" t="str">
        <f aca="false">IF(INDEX(Tasks!$H:$H,ROW()-1)="","",INDEX(Tasks!$H:$H,ROW()-1))</f>
        <v/>
      </c>
      <c r="E350" s="17" t="str">
        <f aca="false">IF(INDEX(Tasks!$I:$I,ROW()-1)="","",INDEX(Tasks!$I:$I,ROW()-1))</f>
        <v/>
      </c>
      <c r="F350" s="17" t="str">
        <f aca="false">IF(INDEX(Tasks!$K:$K,ROW()-1)="","",INDEX(Tasks!$K:$K,ROW()-1))</f>
        <v/>
      </c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  <c r="AG350" s="18"/>
      <c r="AH350" s="18"/>
      <c r="AI350" s="18"/>
      <c r="AJ350" s="18"/>
      <c r="AK350" s="18"/>
      <c r="AL350" s="18"/>
      <c r="AM350" s="18"/>
      <c r="AN350" s="18"/>
      <c r="AO350" s="18"/>
      <c r="AP350" s="18"/>
      <c r="AQ350" s="18"/>
      <c r="AR350" s="18"/>
      <c r="AS350" s="18"/>
      <c r="AT350" s="18"/>
      <c r="AU350" s="18"/>
      <c r="AV350" s="18"/>
      <c r="AW350" s="18"/>
      <c r="AX350" s="18"/>
    </row>
    <row r="351" customFormat="false" ht="15" hidden="false" customHeight="false" outlineLevel="0" collapsed="false">
      <c r="A351" s="16" t="str">
        <f aca="false">IF(INDEX(Tasks!$A:$A,ROW()-1)="","",INDEX(Tasks!$A:$A,ROW()-1))</f>
        <v/>
      </c>
      <c r="B351" s="16" t="str">
        <f aca="false">IF(INDEX(Tasks!$A:$A,ROW()-1)="","",IF(ISERROR(FIND(".",INDEX(Tasks!$A:$A,ROW()-1))),"","   ")&amp;INDEX(Tasks!$D:$D,ROW()-1))</f>
        <v/>
      </c>
      <c r="C351" s="16" t="str">
        <f aca="false">IF(INDEX(Tasks!$G:$G,ROW()-1)="","",INDEX(Tasks!$G:$G,ROW()-1))</f>
        <v/>
      </c>
      <c r="D351" s="16" t="str">
        <f aca="false">IF(INDEX(Tasks!$H:$H,ROW()-1)="","",INDEX(Tasks!$H:$H,ROW()-1))</f>
        <v/>
      </c>
      <c r="E351" s="17" t="str">
        <f aca="false">IF(INDEX(Tasks!$I:$I,ROW()-1)="","",INDEX(Tasks!$I:$I,ROW()-1))</f>
        <v/>
      </c>
      <c r="F351" s="17" t="str">
        <f aca="false">IF(INDEX(Tasks!$K:$K,ROW()-1)="","",INDEX(Tasks!$K:$K,ROW()-1))</f>
        <v/>
      </c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  <c r="AG351" s="18"/>
      <c r="AH351" s="18"/>
      <c r="AI351" s="18"/>
      <c r="AJ351" s="18"/>
      <c r="AK351" s="18"/>
      <c r="AL351" s="18"/>
      <c r="AM351" s="18"/>
      <c r="AN351" s="18"/>
      <c r="AO351" s="18"/>
      <c r="AP351" s="18"/>
      <c r="AQ351" s="18"/>
      <c r="AR351" s="18"/>
      <c r="AS351" s="18"/>
      <c r="AT351" s="18"/>
      <c r="AU351" s="18"/>
      <c r="AV351" s="18"/>
      <c r="AW351" s="18"/>
      <c r="AX351" s="18"/>
    </row>
    <row r="352" customFormat="false" ht="15" hidden="false" customHeight="false" outlineLevel="0" collapsed="false">
      <c r="A352" s="16" t="str">
        <f aca="false">IF(INDEX(Tasks!$A:$A,ROW()-1)="","",INDEX(Tasks!$A:$A,ROW()-1))</f>
        <v/>
      </c>
      <c r="B352" s="16" t="str">
        <f aca="false">IF(INDEX(Tasks!$A:$A,ROW()-1)="","",IF(ISERROR(FIND(".",INDEX(Tasks!$A:$A,ROW()-1))),"","   ")&amp;INDEX(Tasks!$D:$D,ROW()-1))</f>
        <v/>
      </c>
      <c r="C352" s="16" t="str">
        <f aca="false">IF(INDEX(Tasks!$G:$G,ROW()-1)="","",INDEX(Tasks!$G:$G,ROW()-1))</f>
        <v/>
      </c>
      <c r="D352" s="16" t="str">
        <f aca="false">IF(INDEX(Tasks!$H:$H,ROW()-1)="","",INDEX(Tasks!$H:$H,ROW()-1))</f>
        <v/>
      </c>
      <c r="E352" s="17" t="str">
        <f aca="false">IF(INDEX(Tasks!$I:$I,ROW()-1)="","",INDEX(Tasks!$I:$I,ROW()-1))</f>
        <v/>
      </c>
      <c r="F352" s="17" t="str">
        <f aca="false">IF(INDEX(Tasks!$K:$K,ROW()-1)="","",INDEX(Tasks!$K:$K,ROW()-1))</f>
        <v/>
      </c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  <c r="AG352" s="18"/>
      <c r="AH352" s="18"/>
      <c r="AI352" s="18"/>
      <c r="AJ352" s="18"/>
      <c r="AK352" s="18"/>
      <c r="AL352" s="18"/>
      <c r="AM352" s="18"/>
      <c r="AN352" s="18"/>
      <c r="AO352" s="18"/>
      <c r="AP352" s="18"/>
      <c r="AQ352" s="18"/>
      <c r="AR352" s="18"/>
      <c r="AS352" s="18"/>
      <c r="AT352" s="18"/>
      <c r="AU352" s="18"/>
      <c r="AV352" s="18"/>
      <c r="AW352" s="18"/>
      <c r="AX352" s="18"/>
    </row>
    <row r="353" customFormat="false" ht="15" hidden="false" customHeight="false" outlineLevel="0" collapsed="false">
      <c r="A353" s="16" t="str">
        <f aca="false">IF(INDEX(Tasks!$A:$A,ROW()-1)="","",INDEX(Tasks!$A:$A,ROW()-1))</f>
        <v/>
      </c>
      <c r="B353" s="16" t="str">
        <f aca="false">IF(INDEX(Tasks!$A:$A,ROW()-1)="","",IF(ISERROR(FIND(".",INDEX(Tasks!$A:$A,ROW()-1))),"","   ")&amp;INDEX(Tasks!$D:$D,ROW()-1))</f>
        <v/>
      </c>
      <c r="C353" s="16" t="str">
        <f aca="false">IF(INDEX(Tasks!$G:$G,ROW()-1)="","",INDEX(Tasks!$G:$G,ROW()-1))</f>
        <v/>
      </c>
      <c r="D353" s="16" t="str">
        <f aca="false">IF(INDEX(Tasks!$H:$H,ROW()-1)="","",INDEX(Tasks!$H:$H,ROW()-1))</f>
        <v/>
      </c>
      <c r="E353" s="17" t="str">
        <f aca="false">IF(INDEX(Tasks!$I:$I,ROW()-1)="","",INDEX(Tasks!$I:$I,ROW()-1))</f>
        <v/>
      </c>
      <c r="F353" s="17" t="str">
        <f aca="false">IF(INDEX(Tasks!$K:$K,ROW()-1)="","",INDEX(Tasks!$K:$K,ROW()-1))</f>
        <v/>
      </c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  <c r="AG353" s="18"/>
      <c r="AH353" s="18"/>
      <c r="AI353" s="18"/>
      <c r="AJ353" s="18"/>
      <c r="AK353" s="18"/>
      <c r="AL353" s="18"/>
      <c r="AM353" s="18"/>
      <c r="AN353" s="18"/>
      <c r="AO353" s="18"/>
      <c r="AP353" s="18"/>
      <c r="AQ353" s="18"/>
      <c r="AR353" s="18"/>
      <c r="AS353" s="18"/>
      <c r="AT353" s="18"/>
      <c r="AU353" s="18"/>
      <c r="AV353" s="18"/>
      <c r="AW353" s="18"/>
      <c r="AX353" s="18"/>
    </row>
    <row r="354" customFormat="false" ht="15" hidden="false" customHeight="false" outlineLevel="0" collapsed="false">
      <c r="A354" s="16" t="str">
        <f aca="false">IF(INDEX(Tasks!$A:$A,ROW()-1)="","",INDEX(Tasks!$A:$A,ROW()-1))</f>
        <v/>
      </c>
      <c r="B354" s="16" t="str">
        <f aca="false">IF(INDEX(Tasks!$A:$A,ROW()-1)="","",IF(ISERROR(FIND(".",INDEX(Tasks!$A:$A,ROW()-1))),"","   ")&amp;INDEX(Tasks!$D:$D,ROW()-1))</f>
        <v/>
      </c>
      <c r="C354" s="16" t="str">
        <f aca="false">IF(INDEX(Tasks!$G:$G,ROW()-1)="","",INDEX(Tasks!$G:$G,ROW()-1))</f>
        <v/>
      </c>
      <c r="D354" s="16" t="str">
        <f aca="false">IF(INDEX(Tasks!$H:$H,ROW()-1)="","",INDEX(Tasks!$H:$H,ROW()-1))</f>
        <v/>
      </c>
      <c r="E354" s="17" t="str">
        <f aca="false">IF(INDEX(Tasks!$I:$I,ROW()-1)="","",INDEX(Tasks!$I:$I,ROW()-1))</f>
        <v/>
      </c>
      <c r="F354" s="17" t="str">
        <f aca="false">IF(INDEX(Tasks!$K:$K,ROW()-1)="","",INDEX(Tasks!$K:$K,ROW()-1))</f>
        <v/>
      </c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  <c r="AG354" s="18"/>
      <c r="AH354" s="18"/>
      <c r="AI354" s="18"/>
      <c r="AJ354" s="18"/>
      <c r="AK354" s="18"/>
      <c r="AL354" s="18"/>
      <c r="AM354" s="18"/>
      <c r="AN354" s="18"/>
      <c r="AO354" s="18"/>
      <c r="AP354" s="18"/>
      <c r="AQ354" s="18"/>
      <c r="AR354" s="18"/>
      <c r="AS354" s="18"/>
      <c r="AT354" s="18"/>
      <c r="AU354" s="18"/>
      <c r="AV354" s="18"/>
      <c r="AW354" s="18"/>
      <c r="AX354" s="18"/>
    </row>
    <row r="355" customFormat="false" ht="15" hidden="false" customHeight="false" outlineLevel="0" collapsed="false">
      <c r="A355" s="16" t="str">
        <f aca="false">IF(INDEX(Tasks!$A:$A,ROW()-1)="","",INDEX(Tasks!$A:$A,ROW()-1))</f>
        <v/>
      </c>
      <c r="B355" s="16" t="str">
        <f aca="false">IF(INDEX(Tasks!$A:$A,ROW()-1)="","",IF(ISERROR(FIND(".",INDEX(Tasks!$A:$A,ROW()-1))),"","   ")&amp;INDEX(Tasks!$D:$D,ROW()-1))</f>
        <v/>
      </c>
      <c r="C355" s="16" t="str">
        <f aca="false">IF(INDEX(Tasks!$G:$G,ROW()-1)="","",INDEX(Tasks!$G:$G,ROW()-1))</f>
        <v/>
      </c>
      <c r="D355" s="16" t="str">
        <f aca="false">IF(INDEX(Tasks!$H:$H,ROW()-1)="","",INDEX(Tasks!$H:$H,ROW()-1))</f>
        <v/>
      </c>
      <c r="E355" s="17" t="str">
        <f aca="false">IF(INDEX(Tasks!$I:$I,ROW()-1)="","",INDEX(Tasks!$I:$I,ROW()-1))</f>
        <v/>
      </c>
      <c r="F355" s="17" t="str">
        <f aca="false">IF(INDEX(Tasks!$K:$K,ROW()-1)="","",INDEX(Tasks!$K:$K,ROW()-1))</f>
        <v/>
      </c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  <c r="AG355" s="18"/>
      <c r="AH355" s="18"/>
      <c r="AI355" s="18"/>
      <c r="AJ355" s="18"/>
      <c r="AK355" s="18"/>
      <c r="AL355" s="18"/>
      <c r="AM355" s="18"/>
      <c r="AN355" s="18"/>
      <c r="AO355" s="18"/>
      <c r="AP355" s="18"/>
      <c r="AQ355" s="18"/>
      <c r="AR355" s="18"/>
      <c r="AS355" s="18"/>
      <c r="AT355" s="18"/>
      <c r="AU355" s="18"/>
      <c r="AV355" s="18"/>
      <c r="AW355" s="18"/>
      <c r="AX355" s="18"/>
    </row>
    <row r="356" customFormat="false" ht="15" hidden="false" customHeight="false" outlineLevel="0" collapsed="false">
      <c r="A356" s="16" t="str">
        <f aca="false">IF(INDEX(Tasks!$A:$A,ROW()-1)="","",INDEX(Tasks!$A:$A,ROW()-1))</f>
        <v/>
      </c>
      <c r="B356" s="16" t="str">
        <f aca="false">IF(INDEX(Tasks!$A:$A,ROW()-1)="","",IF(ISERROR(FIND(".",INDEX(Tasks!$A:$A,ROW()-1))),"","   ")&amp;INDEX(Tasks!$D:$D,ROW()-1))</f>
        <v/>
      </c>
      <c r="C356" s="16" t="str">
        <f aca="false">IF(INDEX(Tasks!$G:$G,ROW()-1)="","",INDEX(Tasks!$G:$G,ROW()-1))</f>
        <v/>
      </c>
      <c r="D356" s="16" t="str">
        <f aca="false">IF(INDEX(Tasks!$H:$H,ROW()-1)="","",INDEX(Tasks!$H:$H,ROW()-1))</f>
        <v/>
      </c>
      <c r="E356" s="17" t="str">
        <f aca="false">IF(INDEX(Tasks!$I:$I,ROW()-1)="","",INDEX(Tasks!$I:$I,ROW()-1))</f>
        <v/>
      </c>
      <c r="F356" s="17" t="str">
        <f aca="false">IF(INDEX(Tasks!$K:$K,ROW()-1)="","",INDEX(Tasks!$K:$K,ROW()-1))</f>
        <v/>
      </c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  <c r="AG356" s="18"/>
      <c r="AH356" s="18"/>
      <c r="AI356" s="18"/>
      <c r="AJ356" s="18"/>
      <c r="AK356" s="18"/>
      <c r="AL356" s="18"/>
      <c r="AM356" s="18"/>
      <c r="AN356" s="18"/>
      <c r="AO356" s="18"/>
      <c r="AP356" s="18"/>
      <c r="AQ356" s="18"/>
      <c r="AR356" s="18"/>
      <c r="AS356" s="18"/>
      <c r="AT356" s="18"/>
      <c r="AU356" s="18"/>
      <c r="AV356" s="18"/>
      <c r="AW356" s="18"/>
      <c r="AX356" s="18"/>
    </row>
    <row r="357" customFormat="false" ht="15" hidden="false" customHeight="false" outlineLevel="0" collapsed="false">
      <c r="A357" s="16" t="str">
        <f aca="false">IF(INDEX(Tasks!$A:$A,ROW()-1)="","",INDEX(Tasks!$A:$A,ROW()-1))</f>
        <v/>
      </c>
      <c r="B357" s="16" t="str">
        <f aca="false">IF(INDEX(Tasks!$A:$A,ROW()-1)="","",IF(ISERROR(FIND(".",INDEX(Tasks!$A:$A,ROW()-1))),"","   ")&amp;INDEX(Tasks!$D:$D,ROW()-1))</f>
        <v/>
      </c>
      <c r="C357" s="16" t="str">
        <f aca="false">IF(INDEX(Tasks!$G:$G,ROW()-1)="","",INDEX(Tasks!$G:$G,ROW()-1))</f>
        <v/>
      </c>
      <c r="D357" s="16" t="str">
        <f aca="false">IF(INDEX(Tasks!$H:$H,ROW()-1)="","",INDEX(Tasks!$H:$H,ROW()-1))</f>
        <v/>
      </c>
      <c r="E357" s="17" t="str">
        <f aca="false">IF(INDEX(Tasks!$I:$I,ROW()-1)="","",INDEX(Tasks!$I:$I,ROW()-1))</f>
        <v/>
      </c>
      <c r="F357" s="17" t="str">
        <f aca="false">IF(INDEX(Tasks!$K:$K,ROW()-1)="","",INDEX(Tasks!$K:$K,ROW()-1))</f>
        <v/>
      </c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  <c r="AG357" s="18"/>
      <c r="AH357" s="18"/>
      <c r="AI357" s="18"/>
      <c r="AJ357" s="18"/>
      <c r="AK357" s="18"/>
      <c r="AL357" s="18"/>
      <c r="AM357" s="18"/>
      <c r="AN357" s="18"/>
      <c r="AO357" s="18"/>
      <c r="AP357" s="18"/>
      <c r="AQ357" s="18"/>
      <c r="AR357" s="18"/>
      <c r="AS357" s="18"/>
      <c r="AT357" s="18"/>
      <c r="AU357" s="18"/>
      <c r="AV357" s="18"/>
      <c r="AW357" s="18"/>
      <c r="AX357" s="18"/>
    </row>
    <row r="358" customFormat="false" ht="15" hidden="false" customHeight="false" outlineLevel="0" collapsed="false">
      <c r="A358" s="16" t="str">
        <f aca="false">IF(INDEX(Tasks!$A:$A,ROW()-1)="","",INDEX(Tasks!$A:$A,ROW()-1))</f>
        <v/>
      </c>
      <c r="B358" s="16" t="str">
        <f aca="false">IF(INDEX(Tasks!$A:$A,ROW()-1)="","",IF(ISERROR(FIND(".",INDEX(Tasks!$A:$A,ROW()-1))),"","   ")&amp;INDEX(Tasks!$D:$D,ROW()-1))</f>
        <v/>
      </c>
      <c r="C358" s="16" t="str">
        <f aca="false">IF(INDEX(Tasks!$G:$G,ROW()-1)="","",INDEX(Tasks!$G:$G,ROW()-1))</f>
        <v/>
      </c>
      <c r="D358" s="16" t="str">
        <f aca="false">IF(INDEX(Tasks!$H:$H,ROW()-1)="","",INDEX(Tasks!$H:$H,ROW()-1))</f>
        <v/>
      </c>
      <c r="E358" s="17" t="str">
        <f aca="false">IF(INDEX(Tasks!$I:$I,ROW()-1)="","",INDEX(Tasks!$I:$I,ROW()-1))</f>
        <v/>
      </c>
      <c r="F358" s="17" t="str">
        <f aca="false">IF(INDEX(Tasks!$K:$K,ROW()-1)="","",INDEX(Tasks!$K:$K,ROW()-1))</f>
        <v/>
      </c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  <c r="AG358" s="18"/>
      <c r="AH358" s="18"/>
      <c r="AI358" s="18"/>
      <c r="AJ358" s="18"/>
      <c r="AK358" s="18"/>
      <c r="AL358" s="18"/>
      <c r="AM358" s="18"/>
      <c r="AN358" s="18"/>
      <c r="AO358" s="18"/>
      <c r="AP358" s="18"/>
      <c r="AQ358" s="18"/>
      <c r="AR358" s="18"/>
      <c r="AS358" s="18"/>
      <c r="AT358" s="18"/>
      <c r="AU358" s="18"/>
      <c r="AV358" s="18"/>
      <c r="AW358" s="18"/>
      <c r="AX358" s="18"/>
    </row>
    <row r="359" customFormat="false" ht="15" hidden="false" customHeight="false" outlineLevel="0" collapsed="false">
      <c r="A359" s="16" t="str">
        <f aca="false">IF(INDEX(Tasks!$A:$A,ROW()-1)="","",INDEX(Tasks!$A:$A,ROW()-1))</f>
        <v/>
      </c>
      <c r="B359" s="16" t="str">
        <f aca="false">IF(INDEX(Tasks!$A:$A,ROW()-1)="","",IF(ISERROR(FIND(".",INDEX(Tasks!$A:$A,ROW()-1))),"","   ")&amp;INDEX(Tasks!$D:$D,ROW()-1))</f>
        <v/>
      </c>
      <c r="C359" s="16" t="str">
        <f aca="false">IF(INDEX(Tasks!$G:$G,ROW()-1)="","",INDEX(Tasks!$G:$G,ROW()-1))</f>
        <v/>
      </c>
      <c r="D359" s="16" t="str">
        <f aca="false">IF(INDEX(Tasks!$H:$H,ROW()-1)="","",INDEX(Tasks!$H:$H,ROW()-1))</f>
        <v/>
      </c>
      <c r="E359" s="17" t="str">
        <f aca="false">IF(INDEX(Tasks!$I:$I,ROW()-1)="","",INDEX(Tasks!$I:$I,ROW()-1))</f>
        <v/>
      </c>
      <c r="F359" s="17" t="str">
        <f aca="false">IF(INDEX(Tasks!$K:$K,ROW()-1)="","",INDEX(Tasks!$K:$K,ROW()-1))</f>
        <v/>
      </c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  <c r="AG359" s="18"/>
      <c r="AH359" s="18"/>
      <c r="AI359" s="18"/>
      <c r="AJ359" s="18"/>
      <c r="AK359" s="18"/>
      <c r="AL359" s="18"/>
      <c r="AM359" s="18"/>
      <c r="AN359" s="18"/>
      <c r="AO359" s="18"/>
      <c r="AP359" s="18"/>
      <c r="AQ359" s="18"/>
      <c r="AR359" s="18"/>
      <c r="AS359" s="18"/>
      <c r="AT359" s="18"/>
      <c r="AU359" s="18"/>
      <c r="AV359" s="18"/>
      <c r="AW359" s="18"/>
      <c r="AX359" s="18"/>
    </row>
    <row r="360" customFormat="false" ht="15" hidden="false" customHeight="false" outlineLevel="0" collapsed="false">
      <c r="A360" s="16" t="str">
        <f aca="false">IF(INDEX(Tasks!$A:$A,ROW()-1)="","",INDEX(Tasks!$A:$A,ROW()-1))</f>
        <v/>
      </c>
      <c r="B360" s="16" t="str">
        <f aca="false">IF(INDEX(Tasks!$A:$A,ROW()-1)="","",IF(ISERROR(FIND(".",INDEX(Tasks!$A:$A,ROW()-1))),"","   ")&amp;INDEX(Tasks!$D:$D,ROW()-1))</f>
        <v/>
      </c>
      <c r="C360" s="16" t="str">
        <f aca="false">IF(INDEX(Tasks!$G:$G,ROW()-1)="","",INDEX(Tasks!$G:$G,ROW()-1))</f>
        <v/>
      </c>
      <c r="D360" s="16" t="str">
        <f aca="false">IF(INDEX(Tasks!$H:$H,ROW()-1)="","",INDEX(Tasks!$H:$H,ROW()-1))</f>
        <v/>
      </c>
      <c r="E360" s="17" t="str">
        <f aca="false">IF(INDEX(Tasks!$I:$I,ROW()-1)="","",INDEX(Tasks!$I:$I,ROW()-1))</f>
        <v/>
      </c>
      <c r="F360" s="17" t="str">
        <f aca="false">IF(INDEX(Tasks!$K:$K,ROW()-1)="","",INDEX(Tasks!$K:$K,ROW()-1))</f>
        <v/>
      </c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  <c r="AG360" s="18"/>
      <c r="AH360" s="18"/>
      <c r="AI360" s="18"/>
      <c r="AJ360" s="18"/>
      <c r="AK360" s="18"/>
      <c r="AL360" s="18"/>
      <c r="AM360" s="18"/>
      <c r="AN360" s="18"/>
      <c r="AO360" s="18"/>
      <c r="AP360" s="18"/>
      <c r="AQ360" s="18"/>
      <c r="AR360" s="18"/>
      <c r="AS360" s="18"/>
      <c r="AT360" s="18"/>
      <c r="AU360" s="18"/>
      <c r="AV360" s="18"/>
      <c r="AW360" s="18"/>
      <c r="AX360" s="18"/>
    </row>
    <row r="361" customFormat="false" ht="15" hidden="false" customHeight="false" outlineLevel="0" collapsed="false">
      <c r="A361" s="16" t="str">
        <f aca="false">IF(INDEX(Tasks!$A:$A,ROW()-1)="","",INDEX(Tasks!$A:$A,ROW()-1))</f>
        <v/>
      </c>
      <c r="B361" s="16" t="str">
        <f aca="false">IF(INDEX(Tasks!$A:$A,ROW()-1)="","",IF(ISERROR(FIND(".",INDEX(Tasks!$A:$A,ROW()-1))),"","   ")&amp;INDEX(Tasks!$D:$D,ROW()-1))</f>
        <v/>
      </c>
      <c r="C361" s="16" t="str">
        <f aca="false">IF(INDEX(Tasks!$G:$G,ROW()-1)="","",INDEX(Tasks!$G:$G,ROW()-1))</f>
        <v/>
      </c>
      <c r="D361" s="16" t="str">
        <f aca="false">IF(INDEX(Tasks!$H:$H,ROW()-1)="","",INDEX(Tasks!$H:$H,ROW()-1))</f>
        <v/>
      </c>
      <c r="E361" s="17" t="str">
        <f aca="false">IF(INDEX(Tasks!$I:$I,ROW()-1)="","",INDEX(Tasks!$I:$I,ROW()-1))</f>
        <v/>
      </c>
      <c r="F361" s="17" t="str">
        <f aca="false">IF(INDEX(Tasks!$K:$K,ROW()-1)="","",INDEX(Tasks!$K:$K,ROW()-1))</f>
        <v/>
      </c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  <c r="AG361" s="18"/>
      <c r="AH361" s="18"/>
      <c r="AI361" s="18"/>
      <c r="AJ361" s="18"/>
      <c r="AK361" s="18"/>
      <c r="AL361" s="18"/>
      <c r="AM361" s="18"/>
      <c r="AN361" s="18"/>
      <c r="AO361" s="18"/>
      <c r="AP361" s="18"/>
      <c r="AQ361" s="18"/>
      <c r="AR361" s="18"/>
      <c r="AS361" s="18"/>
      <c r="AT361" s="18"/>
      <c r="AU361" s="18"/>
      <c r="AV361" s="18"/>
      <c r="AW361" s="18"/>
      <c r="AX361" s="18"/>
    </row>
    <row r="362" customFormat="false" ht="15" hidden="false" customHeight="false" outlineLevel="0" collapsed="false">
      <c r="A362" s="16" t="str">
        <f aca="false">IF(INDEX(Tasks!$A:$A,ROW()-1)="","",INDEX(Tasks!$A:$A,ROW()-1))</f>
        <v/>
      </c>
      <c r="B362" s="16" t="str">
        <f aca="false">IF(INDEX(Tasks!$A:$A,ROW()-1)="","",IF(ISERROR(FIND(".",INDEX(Tasks!$A:$A,ROW()-1))),"","   ")&amp;INDEX(Tasks!$D:$D,ROW()-1))</f>
        <v/>
      </c>
      <c r="C362" s="16" t="str">
        <f aca="false">IF(INDEX(Tasks!$G:$G,ROW()-1)="","",INDEX(Tasks!$G:$G,ROW()-1))</f>
        <v/>
      </c>
      <c r="D362" s="16" t="str">
        <f aca="false">IF(INDEX(Tasks!$H:$H,ROW()-1)="","",INDEX(Tasks!$H:$H,ROW()-1))</f>
        <v/>
      </c>
      <c r="E362" s="17" t="str">
        <f aca="false">IF(INDEX(Tasks!$I:$I,ROW()-1)="","",INDEX(Tasks!$I:$I,ROW()-1))</f>
        <v/>
      </c>
      <c r="F362" s="17" t="str">
        <f aca="false">IF(INDEX(Tasks!$K:$K,ROW()-1)="","",INDEX(Tasks!$K:$K,ROW()-1))</f>
        <v/>
      </c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  <c r="AG362" s="18"/>
      <c r="AH362" s="18"/>
      <c r="AI362" s="18"/>
      <c r="AJ362" s="18"/>
      <c r="AK362" s="18"/>
      <c r="AL362" s="18"/>
      <c r="AM362" s="18"/>
      <c r="AN362" s="18"/>
      <c r="AO362" s="18"/>
      <c r="AP362" s="18"/>
      <c r="AQ362" s="18"/>
      <c r="AR362" s="18"/>
      <c r="AS362" s="18"/>
      <c r="AT362" s="18"/>
      <c r="AU362" s="18"/>
      <c r="AV362" s="18"/>
      <c r="AW362" s="18"/>
      <c r="AX362" s="18"/>
    </row>
    <row r="363" customFormat="false" ht="15" hidden="false" customHeight="false" outlineLevel="0" collapsed="false">
      <c r="A363" s="16" t="str">
        <f aca="false">IF(INDEX(Tasks!$A:$A,ROW()-1)="","",INDEX(Tasks!$A:$A,ROW()-1))</f>
        <v/>
      </c>
      <c r="B363" s="16" t="str">
        <f aca="false">IF(INDEX(Tasks!$A:$A,ROW()-1)="","",IF(ISERROR(FIND(".",INDEX(Tasks!$A:$A,ROW()-1))),"","   ")&amp;INDEX(Tasks!$D:$D,ROW()-1))</f>
        <v/>
      </c>
      <c r="C363" s="16" t="str">
        <f aca="false">IF(INDEX(Tasks!$G:$G,ROW()-1)="","",INDEX(Tasks!$G:$G,ROW()-1))</f>
        <v/>
      </c>
      <c r="D363" s="16" t="str">
        <f aca="false">IF(INDEX(Tasks!$H:$H,ROW()-1)="","",INDEX(Tasks!$H:$H,ROW()-1))</f>
        <v/>
      </c>
      <c r="E363" s="17" t="str">
        <f aca="false">IF(INDEX(Tasks!$I:$I,ROW()-1)="","",INDEX(Tasks!$I:$I,ROW()-1))</f>
        <v/>
      </c>
      <c r="F363" s="17" t="str">
        <f aca="false">IF(INDEX(Tasks!$K:$K,ROW()-1)="","",INDEX(Tasks!$K:$K,ROW()-1))</f>
        <v/>
      </c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  <c r="AG363" s="18"/>
      <c r="AH363" s="18"/>
      <c r="AI363" s="18"/>
      <c r="AJ363" s="18"/>
      <c r="AK363" s="18"/>
      <c r="AL363" s="18"/>
      <c r="AM363" s="18"/>
      <c r="AN363" s="18"/>
      <c r="AO363" s="18"/>
      <c r="AP363" s="18"/>
      <c r="AQ363" s="18"/>
      <c r="AR363" s="18"/>
      <c r="AS363" s="18"/>
      <c r="AT363" s="18"/>
      <c r="AU363" s="18"/>
      <c r="AV363" s="18"/>
      <c r="AW363" s="18"/>
      <c r="AX363" s="18"/>
    </row>
    <row r="364" customFormat="false" ht="15" hidden="false" customHeight="false" outlineLevel="0" collapsed="false">
      <c r="A364" s="16" t="str">
        <f aca="false">IF(INDEX(Tasks!$A:$A,ROW()-1)="","",INDEX(Tasks!$A:$A,ROW()-1))</f>
        <v/>
      </c>
      <c r="B364" s="16" t="str">
        <f aca="false">IF(INDEX(Tasks!$A:$A,ROW()-1)="","",IF(ISERROR(FIND(".",INDEX(Tasks!$A:$A,ROW()-1))),"","   ")&amp;INDEX(Tasks!$D:$D,ROW()-1))</f>
        <v/>
      </c>
      <c r="C364" s="16" t="str">
        <f aca="false">IF(INDEX(Tasks!$G:$G,ROW()-1)="","",INDEX(Tasks!$G:$G,ROW()-1))</f>
        <v/>
      </c>
      <c r="D364" s="16" t="str">
        <f aca="false">IF(INDEX(Tasks!$H:$H,ROW()-1)="","",INDEX(Tasks!$H:$H,ROW()-1))</f>
        <v/>
      </c>
      <c r="E364" s="17" t="str">
        <f aca="false">IF(INDEX(Tasks!$I:$I,ROW()-1)="","",INDEX(Tasks!$I:$I,ROW()-1))</f>
        <v/>
      </c>
      <c r="F364" s="17" t="str">
        <f aca="false">IF(INDEX(Tasks!$K:$K,ROW()-1)="","",INDEX(Tasks!$K:$K,ROW()-1))</f>
        <v/>
      </c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  <c r="AG364" s="18"/>
      <c r="AH364" s="18"/>
      <c r="AI364" s="18"/>
      <c r="AJ364" s="18"/>
      <c r="AK364" s="18"/>
      <c r="AL364" s="18"/>
      <c r="AM364" s="18"/>
      <c r="AN364" s="18"/>
      <c r="AO364" s="18"/>
      <c r="AP364" s="18"/>
      <c r="AQ364" s="18"/>
      <c r="AR364" s="18"/>
      <c r="AS364" s="18"/>
      <c r="AT364" s="18"/>
      <c r="AU364" s="18"/>
      <c r="AV364" s="18"/>
      <c r="AW364" s="18"/>
      <c r="AX364" s="18"/>
    </row>
    <row r="365" customFormat="false" ht="15" hidden="false" customHeight="false" outlineLevel="0" collapsed="false">
      <c r="A365" s="16" t="str">
        <f aca="false">IF(INDEX(Tasks!$A:$A,ROW()-1)="","",INDEX(Tasks!$A:$A,ROW()-1))</f>
        <v/>
      </c>
      <c r="B365" s="16" t="str">
        <f aca="false">IF(INDEX(Tasks!$A:$A,ROW()-1)="","",IF(ISERROR(FIND(".",INDEX(Tasks!$A:$A,ROW()-1))),"","   ")&amp;INDEX(Tasks!$D:$D,ROW()-1))</f>
        <v/>
      </c>
      <c r="C365" s="16" t="str">
        <f aca="false">IF(INDEX(Tasks!$G:$G,ROW()-1)="","",INDEX(Tasks!$G:$G,ROW()-1))</f>
        <v/>
      </c>
      <c r="D365" s="16" t="str">
        <f aca="false">IF(INDEX(Tasks!$H:$H,ROW()-1)="","",INDEX(Tasks!$H:$H,ROW()-1))</f>
        <v/>
      </c>
      <c r="E365" s="17" t="str">
        <f aca="false">IF(INDEX(Tasks!$I:$I,ROW()-1)="","",INDEX(Tasks!$I:$I,ROW()-1))</f>
        <v/>
      </c>
      <c r="F365" s="17" t="str">
        <f aca="false">IF(INDEX(Tasks!$K:$K,ROW()-1)="","",INDEX(Tasks!$K:$K,ROW()-1))</f>
        <v/>
      </c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  <c r="AG365" s="18"/>
      <c r="AH365" s="18"/>
      <c r="AI365" s="18"/>
      <c r="AJ365" s="18"/>
      <c r="AK365" s="18"/>
      <c r="AL365" s="18"/>
      <c r="AM365" s="18"/>
      <c r="AN365" s="18"/>
      <c r="AO365" s="18"/>
      <c r="AP365" s="18"/>
      <c r="AQ365" s="18"/>
      <c r="AR365" s="18"/>
      <c r="AS365" s="18"/>
      <c r="AT365" s="18"/>
      <c r="AU365" s="18"/>
      <c r="AV365" s="18"/>
      <c r="AW365" s="18"/>
      <c r="AX365" s="18"/>
    </row>
    <row r="366" customFormat="false" ht="15" hidden="false" customHeight="false" outlineLevel="0" collapsed="false">
      <c r="A366" s="16" t="str">
        <f aca="false">IF(INDEX(Tasks!$A:$A,ROW()-1)="","",INDEX(Tasks!$A:$A,ROW()-1))</f>
        <v/>
      </c>
      <c r="B366" s="16" t="str">
        <f aca="false">IF(INDEX(Tasks!$A:$A,ROW()-1)="","",IF(ISERROR(FIND(".",INDEX(Tasks!$A:$A,ROW()-1))),"","   ")&amp;INDEX(Tasks!$D:$D,ROW()-1))</f>
        <v/>
      </c>
      <c r="C366" s="16" t="str">
        <f aca="false">IF(INDEX(Tasks!$G:$G,ROW()-1)="","",INDEX(Tasks!$G:$G,ROW()-1))</f>
        <v/>
      </c>
      <c r="D366" s="16" t="str">
        <f aca="false">IF(INDEX(Tasks!$H:$H,ROW()-1)="","",INDEX(Tasks!$H:$H,ROW()-1))</f>
        <v/>
      </c>
      <c r="E366" s="17" t="str">
        <f aca="false">IF(INDEX(Tasks!$I:$I,ROW()-1)="","",INDEX(Tasks!$I:$I,ROW()-1))</f>
        <v/>
      </c>
      <c r="F366" s="17" t="str">
        <f aca="false">IF(INDEX(Tasks!$K:$K,ROW()-1)="","",INDEX(Tasks!$K:$K,ROW()-1))</f>
        <v/>
      </c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  <c r="AG366" s="18"/>
      <c r="AH366" s="18"/>
      <c r="AI366" s="18"/>
      <c r="AJ366" s="18"/>
      <c r="AK366" s="18"/>
      <c r="AL366" s="18"/>
      <c r="AM366" s="18"/>
      <c r="AN366" s="18"/>
      <c r="AO366" s="18"/>
      <c r="AP366" s="18"/>
      <c r="AQ366" s="18"/>
      <c r="AR366" s="18"/>
      <c r="AS366" s="18"/>
      <c r="AT366" s="18"/>
      <c r="AU366" s="18"/>
      <c r="AV366" s="18"/>
      <c r="AW366" s="18"/>
      <c r="AX366" s="18"/>
    </row>
    <row r="367" customFormat="false" ht="15" hidden="false" customHeight="false" outlineLevel="0" collapsed="false">
      <c r="A367" s="16" t="str">
        <f aca="false">IF(INDEX(Tasks!$A:$A,ROW()-1)="","",INDEX(Tasks!$A:$A,ROW()-1))</f>
        <v/>
      </c>
      <c r="B367" s="16" t="str">
        <f aca="false">IF(INDEX(Tasks!$A:$A,ROW()-1)="","",IF(ISERROR(FIND(".",INDEX(Tasks!$A:$A,ROW()-1))),"","   ")&amp;INDEX(Tasks!$D:$D,ROW()-1))</f>
        <v/>
      </c>
      <c r="C367" s="16" t="str">
        <f aca="false">IF(INDEX(Tasks!$G:$G,ROW()-1)="","",INDEX(Tasks!$G:$G,ROW()-1))</f>
        <v/>
      </c>
      <c r="D367" s="16" t="str">
        <f aca="false">IF(INDEX(Tasks!$H:$H,ROW()-1)="","",INDEX(Tasks!$H:$H,ROW()-1))</f>
        <v/>
      </c>
      <c r="E367" s="17" t="str">
        <f aca="false">IF(INDEX(Tasks!$I:$I,ROW()-1)="","",INDEX(Tasks!$I:$I,ROW()-1))</f>
        <v/>
      </c>
      <c r="F367" s="17" t="str">
        <f aca="false">IF(INDEX(Tasks!$K:$K,ROW()-1)="","",INDEX(Tasks!$K:$K,ROW()-1))</f>
        <v/>
      </c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  <c r="AG367" s="18"/>
      <c r="AH367" s="18"/>
      <c r="AI367" s="18"/>
      <c r="AJ367" s="18"/>
      <c r="AK367" s="18"/>
      <c r="AL367" s="18"/>
      <c r="AM367" s="18"/>
      <c r="AN367" s="18"/>
      <c r="AO367" s="18"/>
      <c r="AP367" s="18"/>
      <c r="AQ367" s="18"/>
      <c r="AR367" s="18"/>
      <c r="AS367" s="18"/>
      <c r="AT367" s="18"/>
      <c r="AU367" s="18"/>
      <c r="AV367" s="18"/>
      <c r="AW367" s="18"/>
      <c r="AX367" s="18"/>
    </row>
    <row r="368" customFormat="false" ht="15" hidden="false" customHeight="false" outlineLevel="0" collapsed="false">
      <c r="A368" s="16" t="str">
        <f aca="false">IF(INDEX(Tasks!$A:$A,ROW()-1)="","",INDEX(Tasks!$A:$A,ROW()-1))</f>
        <v/>
      </c>
      <c r="B368" s="16" t="str">
        <f aca="false">IF(INDEX(Tasks!$A:$A,ROW()-1)="","",IF(ISERROR(FIND(".",INDEX(Tasks!$A:$A,ROW()-1))),"","   ")&amp;INDEX(Tasks!$D:$D,ROW()-1))</f>
        <v/>
      </c>
      <c r="C368" s="16" t="str">
        <f aca="false">IF(INDEX(Tasks!$G:$G,ROW()-1)="","",INDEX(Tasks!$G:$G,ROW()-1))</f>
        <v/>
      </c>
      <c r="D368" s="16" t="str">
        <f aca="false">IF(INDEX(Tasks!$H:$H,ROW()-1)="","",INDEX(Tasks!$H:$H,ROW()-1))</f>
        <v/>
      </c>
      <c r="E368" s="17" t="str">
        <f aca="false">IF(INDEX(Tasks!$I:$I,ROW()-1)="","",INDEX(Tasks!$I:$I,ROW()-1))</f>
        <v/>
      </c>
      <c r="F368" s="17" t="str">
        <f aca="false">IF(INDEX(Tasks!$K:$K,ROW()-1)="","",INDEX(Tasks!$K:$K,ROW()-1))</f>
        <v/>
      </c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  <c r="AG368" s="18"/>
      <c r="AH368" s="18"/>
      <c r="AI368" s="18"/>
      <c r="AJ368" s="18"/>
      <c r="AK368" s="18"/>
      <c r="AL368" s="18"/>
      <c r="AM368" s="18"/>
      <c r="AN368" s="18"/>
      <c r="AO368" s="18"/>
      <c r="AP368" s="18"/>
      <c r="AQ368" s="18"/>
      <c r="AR368" s="18"/>
      <c r="AS368" s="18"/>
      <c r="AT368" s="18"/>
      <c r="AU368" s="18"/>
      <c r="AV368" s="18"/>
      <c r="AW368" s="18"/>
      <c r="AX368" s="18"/>
    </row>
    <row r="369" customFormat="false" ht="15" hidden="false" customHeight="false" outlineLevel="0" collapsed="false">
      <c r="A369" s="16" t="str">
        <f aca="false">IF(INDEX(Tasks!$A:$A,ROW()-1)="","",INDEX(Tasks!$A:$A,ROW()-1))</f>
        <v/>
      </c>
      <c r="B369" s="16" t="str">
        <f aca="false">IF(INDEX(Tasks!$A:$A,ROW()-1)="","",IF(ISERROR(FIND(".",INDEX(Tasks!$A:$A,ROW()-1))),"","   ")&amp;INDEX(Tasks!$D:$D,ROW()-1))</f>
        <v/>
      </c>
      <c r="C369" s="16" t="str">
        <f aca="false">IF(INDEX(Tasks!$G:$G,ROW()-1)="","",INDEX(Tasks!$G:$G,ROW()-1))</f>
        <v/>
      </c>
      <c r="D369" s="16" t="str">
        <f aca="false">IF(INDEX(Tasks!$H:$H,ROW()-1)="","",INDEX(Tasks!$H:$H,ROW()-1))</f>
        <v/>
      </c>
      <c r="E369" s="17" t="str">
        <f aca="false">IF(INDEX(Tasks!$I:$I,ROW()-1)="","",INDEX(Tasks!$I:$I,ROW()-1))</f>
        <v/>
      </c>
      <c r="F369" s="17" t="str">
        <f aca="false">IF(INDEX(Tasks!$K:$K,ROW()-1)="","",INDEX(Tasks!$K:$K,ROW()-1))</f>
        <v/>
      </c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  <c r="AG369" s="18"/>
      <c r="AH369" s="18"/>
      <c r="AI369" s="18"/>
      <c r="AJ369" s="18"/>
      <c r="AK369" s="18"/>
      <c r="AL369" s="18"/>
      <c r="AM369" s="18"/>
      <c r="AN369" s="18"/>
      <c r="AO369" s="18"/>
      <c r="AP369" s="18"/>
      <c r="AQ369" s="18"/>
      <c r="AR369" s="18"/>
      <c r="AS369" s="18"/>
      <c r="AT369" s="18"/>
      <c r="AU369" s="18"/>
      <c r="AV369" s="18"/>
      <c r="AW369" s="18"/>
      <c r="AX369" s="18"/>
    </row>
    <row r="370" customFormat="false" ht="15" hidden="false" customHeight="false" outlineLevel="0" collapsed="false">
      <c r="A370" s="16" t="str">
        <f aca="false">IF(INDEX(Tasks!$A:$A,ROW()-1)="","",INDEX(Tasks!$A:$A,ROW()-1))</f>
        <v/>
      </c>
      <c r="B370" s="16" t="str">
        <f aca="false">IF(INDEX(Tasks!$A:$A,ROW()-1)="","",IF(ISERROR(FIND(".",INDEX(Tasks!$A:$A,ROW()-1))),"","   ")&amp;INDEX(Tasks!$D:$D,ROW()-1))</f>
        <v/>
      </c>
      <c r="C370" s="16" t="str">
        <f aca="false">IF(INDEX(Tasks!$G:$G,ROW()-1)="","",INDEX(Tasks!$G:$G,ROW()-1))</f>
        <v/>
      </c>
      <c r="D370" s="16" t="str">
        <f aca="false">IF(INDEX(Tasks!$H:$H,ROW()-1)="","",INDEX(Tasks!$H:$H,ROW()-1))</f>
        <v/>
      </c>
      <c r="E370" s="17" t="str">
        <f aca="false">IF(INDEX(Tasks!$I:$I,ROW()-1)="","",INDEX(Tasks!$I:$I,ROW()-1))</f>
        <v/>
      </c>
      <c r="F370" s="17" t="str">
        <f aca="false">IF(INDEX(Tasks!$K:$K,ROW()-1)="","",INDEX(Tasks!$K:$K,ROW()-1))</f>
        <v/>
      </c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  <c r="AG370" s="18"/>
      <c r="AH370" s="18"/>
      <c r="AI370" s="18"/>
      <c r="AJ370" s="18"/>
      <c r="AK370" s="18"/>
      <c r="AL370" s="18"/>
      <c r="AM370" s="18"/>
      <c r="AN370" s="18"/>
      <c r="AO370" s="18"/>
      <c r="AP370" s="18"/>
      <c r="AQ370" s="18"/>
      <c r="AR370" s="18"/>
      <c r="AS370" s="18"/>
      <c r="AT370" s="18"/>
      <c r="AU370" s="18"/>
      <c r="AV370" s="18"/>
      <c r="AW370" s="18"/>
      <c r="AX370" s="18"/>
    </row>
    <row r="371" customFormat="false" ht="15" hidden="false" customHeight="false" outlineLevel="0" collapsed="false">
      <c r="A371" s="16" t="str">
        <f aca="false">IF(INDEX(Tasks!$A:$A,ROW()-1)="","",INDEX(Tasks!$A:$A,ROW()-1))</f>
        <v/>
      </c>
      <c r="B371" s="16" t="str">
        <f aca="false">IF(INDEX(Tasks!$A:$A,ROW()-1)="","",IF(ISERROR(FIND(".",INDEX(Tasks!$A:$A,ROW()-1))),"","   ")&amp;INDEX(Tasks!$D:$D,ROW()-1))</f>
        <v/>
      </c>
      <c r="C371" s="16" t="str">
        <f aca="false">IF(INDEX(Tasks!$G:$G,ROW()-1)="","",INDEX(Tasks!$G:$G,ROW()-1))</f>
        <v/>
      </c>
      <c r="D371" s="16" t="str">
        <f aca="false">IF(INDEX(Tasks!$H:$H,ROW()-1)="","",INDEX(Tasks!$H:$H,ROW()-1))</f>
        <v/>
      </c>
      <c r="E371" s="17" t="str">
        <f aca="false">IF(INDEX(Tasks!$I:$I,ROW()-1)="","",INDEX(Tasks!$I:$I,ROW()-1))</f>
        <v/>
      </c>
      <c r="F371" s="17" t="str">
        <f aca="false">IF(INDEX(Tasks!$K:$K,ROW()-1)="","",INDEX(Tasks!$K:$K,ROW()-1))</f>
        <v/>
      </c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  <c r="AG371" s="18"/>
      <c r="AH371" s="18"/>
      <c r="AI371" s="18"/>
      <c r="AJ371" s="18"/>
      <c r="AK371" s="18"/>
      <c r="AL371" s="18"/>
      <c r="AM371" s="18"/>
      <c r="AN371" s="18"/>
      <c r="AO371" s="18"/>
      <c r="AP371" s="18"/>
      <c r="AQ371" s="18"/>
      <c r="AR371" s="18"/>
      <c r="AS371" s="18"/>
      <c r="AT371" s="18"/>
      <c r="AU371" s="18"/>
      <c r="AV371" s="18"/>
      <c r="AW371" s="18"/>
      <c r="AX371" s="18"/>
    </row>
    <row r="372" customFormat="false" ht="15" hidden="false" customHeight="false" outlineLevel="0" collapsed="false">
      <c r="A372" s="16" t="str">
        <f aca="false">IF(INDEX(Tasks!$A:$A,ROW()-1)="","",INDEX(Tasks!$A:$A,ROW()-1))</f>
        <v/>
      </c>
      <c r="B372" s="16" t="str">
        <f aca="false">IF(INDEX(Tasks!$A:$A,ROW()-1)="","",IF(ISERROR(FIND(".",INDEX(Tasks!$A:$A,ROW()-1))),"","   ")&amp;INDEX(Tasks!$D:$D,ROW()-1))</f>
        <v/>
      </c>
      <c r="C372" s="16" t="str">
        <f aca="false">IF(INDEX(Tasks!$G:$G,ROW()-1)="","",INDEX(Tasks!$G:$G,ROW()-1))</f>
        <v/>
      </c>
      <c r="D372" s="16" t="str">
        <f aca="false">IF(INDEX(Tasks!$H:$H,ROW()-1)="","",INDEX(Tasks!$H:$H,ROW()-1))</f>
        <v/>
      </c>
      <c r="E372" s="17" t="str">
        <f aca="false">IF(INDEX(Tasks!$I:$I,ROW()-1)="","",INDEX(Tasks!$I:$I,ROW()-1))</f>
        <v/>
      </c>
      <c r="F372" s="17" t="str">
        <f aca="false">IF(INDEX(Tasks!$K:$K,ROW()-1)="","",INDEX(Tasks!$K:$K,ROW()-1))</f>
        <v/>
      </c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  <c r="AG372" s="18"/>
      <c r="AH372" s="18"/>
      <c r="AI372" s="18"/>
      <c r="AJ372" s="18"/>
      <c r="AK372" s="18"/>
      <c r="AL372" s="18"/>
      <c r="AM372" s="18"/>
      <c r="AN372" s="18"/>
      <c r="AO372" s="18"/>
      <c r="AP372" s="18"/>
      <c r="AQ372" s="18"/>
      <c r="AR372" s="18"/>
      <c r="AS372" s="18"/>
      <c r="AT372" s="18"/>
      <c r="AU372" s="18"/>
      <c r="AV372" s="18"/>
      <c r="AW372" s="18"/>
      <c r="AX372" s="18"/>
    </row>
    <row r="373" customFormat="false" ht="15" hidden="false" customHeight="false" outlineLevel="0" collapsed="false">
      <c r="A373" s="16" t="str">
        <f aca="false">IF(INDEX(Tasks!$A:$A,ROW()-1)="","",INDEX(Tasks!$A:$A,ROW()-1))</f>
        <v/>
      </c>
      <c r="B373" s="16" t="str">
        <f aca="false">IF(INDEX(Tasks!$A:$A,ROW()-1)="","",IF(ISERROR(FIND(".",INDEX(Tasks!$A:$A,ROW()-1))),"","   ")&amp;INDEX(Tasks!$D:$D,ROW()-1))</f>
        <v/>
      </c>
      <c r="C373" s="16" t="str">
        <f aca="false">IF(INDEX(Tasks!$G:$G,ROW()-1)="","",INDEX(Tasks!$G:$G,ROW()-1))</f>
        <v/>
      </c>
      <c r="D373" s="16" t="str">
        <f aca="false">IF(INDEX(Tasks!$H:$H,ROW()-1)="","",INDEX(Tasks!$H:$H,ROW()-1))</f>
        <v/>
      </c>
      <c r="E373" s="17" t="str">
        <f aca="false">IF(INDEX(Tasks!$I:$I,ROW()-1)="","",INDEX(Tasks!$I:$I,ROW()-1))</f>
        <v/>
      </c>
      <c r="F373" s="17" t="str">
        <f aca="false">IF(INDEX(Tasks!$K:$K,ROW()-1)="","",INDEX(Tasks!$K:$K,ROW()-1))</f>
        <v/>
      </c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  <c r="AG373" s="18"/>
      <c r="AH373" s="18"/>
      <c r="AI373" s="18"/>
      <c r="AJ373" s="18"/>
      <c r="AK373" s="18"/>
      <c r="AL373" s="18"/>
      <c r="AM373" s="18"/>
      <c r="AN373" s="18"/>
      <c r="AO373" s="18"/>
      <c r="AP373" s="18"/>
      <c r="AQ373" s="18"/>
      <c r="AR373" s="18"/>
      <c r="AS373" s="18"/>
      <c r="AT373" s="18"/>
      <c r="AU373" s="18"/>
      <c r="AV373" s="18"/>
      <c r="AW373" s="18"/>
      <c r="AX373" s="18"/>
    </row>
    <row r="374" customFormat="false" ht="15" hidden="false" customHeight="false" outlineLevel="0" collapsed="false">
      <c r="A374" s="16" t="str">
        <f aca="false">IF(INDEX(Tasks!$A:$A,ROW()-1)="","",INDEX(Tasks!$A:$A,ROW()-1))</f>
        <v/>
      </c>
      <c r="B374" s="16" t="str">
        <f aca="false">IF(INDEX(Tasks!$A:$A,ROW()-1)="","",IF(ISERROR(FIND(".",INDEX(Tasks!$A:$A,ROW()-1))),"","   ")&amp;INDEX(Tasks!$D:$D,ROW()-1))</f>
        <v/>
      </c>
      <c r="C374" s="16" t="str">
        <f aca="false">IF(INDEX(Tasks!$G:$G,ROW()-1)="","",INDEX(Tasks!$G:$G,ROW()-1))</f>
        <v/>
      </c>
      <c r="D374" s="16" t="str">
        <f aca="false">IF(INDEX(Tasks!$H:$H,ROW()-1)="","",INDEX(Tasks!$H:$H,ROW()-1))</f>
        <v/>
      </c>
      <c r="E374" s="17" t="str">
        <f aca="false">IF(INDEX(Tasks!$I:$I,ROW()-1)="","",INDEX(Tasks!$I:$I,ROW()-1))</f>
        <v/>
      </c>
      <c r="F374" s="17" t="str">
        <f aca="false">IF(INDEX(Tasks!$K:$K,ROW()-1)="","",INDEX(Tasks!$K:$K,ROW()-1))</f>
        <v/>
      </c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  <c r="AG374" s="18"/>
      <c r="AH374" s="18"/>
      <c r="AI374" s="18"/>
      <c r="AJ374" s="18"/>
      <c r="AK374" s="18"/>
      <c r="AL374" s="18"/>
      <c r="AM374" s="18"/>
      <c r="AN374" s="18"/>
      <c r="AO374" s="18"/>
      <c r="AP374" s="18"/>
      <c r="AQ374" s="18"/>
      <c r="AR374" s="18"/>
      <c r="AS374" s="18"/>
      <c r="AT374" s="18"/>
      <c r="AU374" s="18"/>
      <c r="AV374" s="18"/>
      <c r="AW374" s="18"/>
      <c r="AX374" s="18"/>
    </row>
    <row r="375" customFormat="false" ht="15" hidden="false" customHeight="false" outlineLevel="0" collapsed="false">
      <c r="A375" s="16" t="str">
        <f aca="false">IF(INDEX(Tasks!$A:$A,ROW()-1)="","",INDEX(Tasks!$A:$A,ROW()-1))</f>
        <v/>
      </c>
      <c r="B375" s="16" t="str">
        <f aca="false">IF(INDEX(Tasks!$A:$A,ROW()-1)="","",IF(ISERROR(FIND(".",INDEX(Tasks!$A:$A,ROW()-1))),"","   ")&amp;INDEX(Tasks!$D:$D,ROW()-1))</f>
        <v/>
      </c>
      <c r="C375" s="16" t="str">
        <f aca="false">IF(INDEX(Tasks!$G:$G,ROW()-1)="","",INDEX(Tasks!$G:$G,ROW()-1))</f>
        <v/>
      </c>
      <c r="D375" s="16" t="str">
        <f aca="false">IF(INDEX(Tasks!$H:$H,ROW()-1)="","",INDEX(Tasks!$H:$H,ROW()-1))</f>
        <v/>
      </c>
      <c r="E375" s="17" t="str">
        <f aca="false">IF(INDEX(Tasks!$I:$I,ROW()-1)="","",INDEX(Tasks!$I:$I,ROW()-1))</f>
        <v/>
      </c>
      <c r="F375" s="17" t="str">
        <f aca="false">IF(INDEX(Tasks!$K:$K,ROW()-1)="","",INDEX(Tasks!$K:$K,ROW()-1))</f>
        <v/>
      </c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  <c r="AG375" s="18"/>
      <c r="AH375" s="18"/>
      <c r="AI375" s="18"/>
      <c r="AJ375" s="18"/>
      <c r="AK375" s="18"/>
      <c r="AL375" s="18"/>
      <c r="AM375" s="18"/>
      <c r="AN375" s="18"/>
      <c r="AO375" s="18"/>
      <c r="AP375" s="18"/>
      <c r="AQ375" s="18"/>
      <c r="AR375" s="18"/>
      <c r="AS375" s="18"/>
      <c r="AT375" s="18"/>
      <c r="AU375" s="18"/>
      <c r="AV375" s="18"/>
      <c r="AW375" s="18"/>
      <c r="AX375" s="18"/>
    </row>
    <row r="376" customFormat="false" ht="15" hidden="false" customHeight="false" outlineLevel="0" collapsed="false">
      <c r="A376" s="16" t="str">
        <f aca="false">IF(INDEX(Tasks!$A:$A,ROW()-1)="","",INDEX(Tasks!$A:$A,ROW()-1))</f>
        <v/>
      </c>
      <c r="B376" s="16" t="str">
        <f aca="false">IF(INDEX(Tasks!$A:$A,ROW()-1)="","",IF(ISERROR(FIND(".",INDEX(Tasks!$A:$A,ROW()-1))),"","   ")&amp;INDEX(Tasks!$D:$D,ROW()-1))</f>
        <v/>
      </c>
      <c r="C376" s="16" t="str">
        <f aca="false">IF(INDEX(Tasks!$G:$G,ROW()-1)="","",INDEX(Tasks!$G:$G,ROW()-1))</f>
        <v/>
      </c>
      <c r="D376" s="16" t="str">
        <f aca="false">IF(INDEX(Tasks!$H:$H,ROW()-1)="","",INDEX(Tasks!$H:$H,ROW()-1))</f>
        <v/>
      </c>
      <c r="E376" s="17" t="str">
        <f aca="false">IF(INDEX(Tasks!$I:$I,ROW()-1)="","",INDEX(Tasks!$I:$I,ROW()-1))</f>
        <v/>
      </c>
      <c r="F376" s="17" t="str">
        <f aca="false">IF(INDEX(Tasks!$K:$K,ROW()-1)="","",INDEX(Tasks!$K:$K,ROW()-1))</f>
        <v/>
      </c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  <c r="AG376" s="18"/>
      <c r="AH376" s="18"/>
      <c r="AI376" s="18"/>
      <c r="AJ376" s="18"/>
      <c r="AK376" s="18"/>
      <c r="AL376" s="18"/>
      <c r="AM376" s="18"/>
      <c r="AN376" s="18"/>
      <c r="AO376" s="18"/>
      <c r="AP376" s="18"/>
      <c r="AQ376" s="18"/>
      <c r="AR376" s="18"/>
      <c r="AS376" s="18"/>
      <c r="AT376" s="18"/>
      <c r="AU376" s="18"/>
      <c r="AV376" s="18"/>
      <c r="AW376" s="18"/>
      <c r="AX376" s="18"/>
    </row>
    <row r="377" customFormat="false" ht="15" hidden="false" customHeight="false" outlineLevel="0" collapsed="false">
      <c r="A377" s="16" t="str">
        <f aca="false">IF(INDEX(Tasks!$A:$A,ROW()-1)="","",INDEX(Tasks!$A:$A,ROW()-1))</f>
        <v/>
      </c>
      <c r="B377" s="16" t="str">
        <f aca="false">IF(INDEX(Tasks!$A:$A,ROW()-1)="","",IF(ISERROR(FIND(".",INDEX(Tasks!$A:$A,ROW()-1))),"","   ")&amp;INDEX(Tasks!$D:$D,ROW()-1))</f>
        <v/>
      </c>
      <c r="C377" s="16" t="str">
        <f aca="false">IF(INDEX(Tasks!$G:$G,ROW()-1)="","",INDEX(Tasks!$G:$G,ROW()-1))</f>
        <v/>
      </c>
      <c r="D377" s="16" t="str">
        <f aca="false">IF(INDEX(Tasks!$H:$H,ROW()-1)="","",INDEX(Tasks!$H:$H,ROW()-1))</f>
        <v/>
      </c>
      <c r="E377" s="17" t="str">
        <f aca="false">IF(INDEX(Tasks!$I:$I,ROW()-1)="","",INDEX(Tasks!$I:$I,ROW()-1))</f>
        <v/>
      </c>
      <c r="F377" s="17" t="str">
        <f aca="false">IF(INDEX(Tasks!$K:$K,ROW()-1)="","",INDEX(Tasks!$K:$K,ROW()-1))</f>
        <v/>
      </c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  <c r="AG377" s="18"/>
      <c r="AH377" s="18"/>
      <c r="AI377" s="18"/>
      <c r="AJ377" s="18"/>
      <c r="AK377" s="18"/>
      <c r="AL377" s="18"/>
      <c r="AM377" s="18"/>
      <c r="AN377" s="18"/>
      <c r="AO377" s="18"/>
      <c r="AP377" s="18"/>
      <c r="AQ377" s="18"/>
      <c r="AR377" s="18"/>
      <c r="AS377" s="18"/>
      <c r="AT377" s="18"/>
      <c r="AU377" s="18"/>
      <c r="AV377" s="18"/>
      <c r="AW377" s="18"/>
      <c r="AX377" s="18"/>
    </row>
    <row r="378" customFormat="false" ht="15" hidden="false" customHeight="false" outlineLevel="0" collapsed="false">
      <c r="A378" s="16" t="str">
        <f aca="false">IF(INDEX(Tasks!$A:$A,ROW()-1)="","",INDEX(Tasks!$A:$A,ROW()-1))</f>
        <v/>
      </c>
      <c r="B378" s="16" t="str">
        <f aca="false">IF(INDEX(Tasks!$A:$A,ROW()-1)="","",IF(ISERROR(FIND(".",INDEX(Tasks!$A:$A,ROW()-1))),"","   ")&amp;INDEX(Tasks!$D:$D,ROW()-1))</f>
        <v/>
      </c>
      <c r="C378" s="16" t="str">
        <f aca="false">IF(INDEX(Tasks!$G:$G,ROW()-1)="","",INDEX(Tasks!$G:$G,ROW()-1))</f>
        <v/>
      </c>
      <c r="D378" s="16" t="str">
        <f aca="false">IF(INDEX(Tasks!$H:$H,ROW()-1)="","",INDEX(Tasks!$H:$H,ROW()-1))</f>
        <v/>
      </c>
      <c r="E378" s="17" t="str">
        <f aca="false">IF(INDEX(Tasks!$I:$I,ROW()-1)="","",INDEX(Tasks!$I:$I,ROW()-1))</f>
        <v/>
      </c>
      <c r="F378" s="17" t="str">
        <f aca="false">IF(INDEX(Tasks!$K:$K,ROW()-1)="","",INDEX(Tasks!$K:$K,ROW()-1))</f>
        <v/>
      </c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  <c r="AG378" s="18"/>
      <c r="AH378" s="18"/>
      <c r="AI378" s="18"/>
      <c r="AJ378" s="18"/>
      <c r="AK378" s="18"/>
      <c r="AL378" s="18"/>
      <c r="AM378" s="18"/>
      <c r="AN378" s="18"/>
      <c r="AO378" s="18"/>
      <c r="AP378" s="18"/>
      <c r="AQ378" s="18"/>
      <c r="AR378" s="18"/>
      <c r="AS378" s="18"/>
      <c r="AT378" s="18"/>
      <c r="AU378" s="18"/>
      <c r="AV378" s="18"/>
      <c r="AW378" s="18"/>
      <c r="AX378" s="18"/>
    </row>
    <row r="379" customFormat="false" ht="15" hidden="false" customHeight="false" outlineLevel="0" collapsed="false">
      <c r="A379" s="16" t="str">
        <f aca="false">IF(INDEX(Tasks!$A:$A,ROW()-1)="","",INDEX(Tasks!$A:$A,ROW()-1))</f>
        <v/>
      </c>
      <c r="B379" s="16" t="str">
        <f aca="false">IF(INDEX(Tasks!$A:$A,ROW()-1)="","",IF(ISERROR(FIND(".",INDEX(Tasks!$A:$A,ROW()-1))),"","   ")&amp;INDEX(Tasks!$D:$D,ROW()-1))</f>
        <v/>
      </c>
      <c r="C379" s="16" t="str">
        <f aca="false">IF(INDEX(Tasks!$G:$G,ROW()-1)="","",INDEX(Tasks!$G:$G,ROW()-1))</f>
        <v/>
      </c>
      <c r="D379" s="16" t="str">
        <f aca="false">IF(INDEX(Tasks!$H:$H,ROW()-1)="","",INDEX(Tasks!$H:$H,ROW()-1))</f>
        <v/>
      </c>
      <c r="E379" s="17" t="str">
        <f aca="false">IF(INDEX(Tasks!$I:$I,ROW()-1)="","",INDEX(Tasks!$I:$I,ROW()-1))</f>
        <v/>
      </c>
      <c r="F379" s="17" t="str">
        <f aca="false">IF(INDEX(Tasks!$K:$K,ROW()-1)="","",INDEX(Tasks!$K:$K,ROW()-1))</f>
        <v/>
      </c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  <c r="AG379" s="18"/>
      <c r="AH379" s="18"/>
      <c r="AI379" s="18"/>
      <c r="AJ379" s="18"/>
      <c r="AK379" s="18"/>
      <c r="AL379" s="18"/>
      <c r="AM379" s="18"/>
      <c r="AN379" s="18"/>
      <c r="AO379" s="18"/>
      <c r="AP379" s="18"/>
      <c r="AQ379" s="18"/>
      <c r="AR379" s="18"/>
      <c r="AS379" s="18"/>
      <c r="AT379" s="18"/>
      <c r="AU379" s="18"/>
      <c r="AV379" s="18"/>
      <c r="AW379" s="18"/>
      <c r="AX379" s="18"/>
    </row>
    <row r="380" customFormat="false" ht="15" hidden="false" customHeight="false" outlineLevel="0" collapsed="false">
      <c r="A380" s="16" t="str">
        <f aca="false">IF(INDEX(Tasks!$A:$A,ROW()-1)="","",INDEX(Tasks!$A:$A,ROW()-1))</f>
        <v/>
      </c>
      <c r="B380" s="16" t="str">
        <f aca="false">IF(INDEX(Tasks!$A:$A,ROW()-1)="","",IF(ISERROR(FIND(".",INDEX(Tasks!$A:$A,ROW()-1))),"","   ")&amp;INDEX(Tasks!$D:$D,ROW()-1))</f>
        <v/>
      </c>
      <c r="C380" s="16" t="str">
        <f aca="false">IF(INDEX(Tasks!$G:$G,ROW()-1)="","",INDEX(Tasks!$G:$G,ROW()-1))</f>
        <v/>
      </c>
      <c r="D380" s="16" t="str">
        <f aca="false">IF(INDEX(Tasks!$H:$H,ROW()-1)="","",INDEX(Tasks!$H:$H,ROW()-1))</f>
        <v/>
      </c>
      <c r="E380" s="17" t="str">
        <f aca="false">IF(INDEX(Tasks!$I:$I,ROW()-1)="","",INDEX(Tasks!$I:$I,ROW()-1))</f>
        <v/>
      </c>
      <c r="F380" s="17" t="str">
        <f aca="false">IF(INDEX(Tasks!$K:$K,ROW()-1)="","",INDEX(Tasks!$K:$K,ROW()-1))</f>
        <v/>
      </c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  <c r="AG380" s="18"/>
      <c r="AH380" s="18"/>
      <c r="AI380" s="18"/>
      <c r="AJ380" s="18"/>
      <c r="AK380" s="18"/>
      <c r="AL380" s="18"/>
      <c r="AM380" s="18"/>
      <c r="AN380" s="18"/>
      <c r="AO380" s="18"/>
      <c r="AP380" s="18"/>
      <c r="AQ380" s="18"/>
      <c r="AR380" s="18"/>
      <c r="AS380" s="18"/>
      <c r="AT380" s="18"/>
      <c r="AU380" s="18"/>
      <c r="AV380" s="18"/>
      <c r="AW380" s="18"/>
      <c r="AX380" s="18"/>
    </row>
    <row r="381" customFormat="false" ht="15" hidden="false" customHeight="false" outlineLevel="0" collapsed="false">
      <c r="A381" s="16" t="str">
        <f aca="false">IF(INDEX(Tasks!$A:$A,ROW()-1)="","",INDEX(Tasks!$A:$A,ROW()-1))</f>
        <v/>
      </c>
      <c r="B381" s="16" t="str">
        <f aca="false">IF(INDEX(Tasks!$A:$A,ROW()-1)="","",IF(ISERROR(FIND(".",INDEX(Tasks!$A:$A,ROW()-1))),"","   ")&amp;INDEX(Tasks!$D:$D,ROW()-1))</f>
        <v/>
      </c>
      <c r="C381" s="16" t="str">
        <f aca="false">IF(INDEX(Tasks!$G:$G,ROW()-1)="","",INDEX(Tasks!$G:$G,ROW()-1))</f>
        <v/>
      </c>
      <c r="D381" s="16" t="str">
        <f aca="false">IF(INDEX(Tasks!$H:$H,ROW()-1)="","",INDEX(Tasks!$H:$H,ROW()-1))</f>
        <v/>
      </c>
      <c r="E381" s="17" t="str">
        <f aca="false">IF(INDEX(Tasks!$I:$I,ROW()-1)="","",INDEX(Tasks!$I:$I,ROW()-1))</f>
        <v/>
      </c>
      <c r="F381" s="17" t="str">
        <f aca="false">IF(INDEX(Tasks!$K:$K,ROW()-1)="","",INDEX(Tasks!$K:$K,ROW()-1))</f>
        <v/>
      </c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  <c r="AG381" s="18"/>
      <c r="AH381" s="18"/>
      <c r="AI381" s="18"/>
      <c r="AJ381" s="18"/>
      <c r="AK381" s="18"/>
      <c r="AL381" s="18"/>
      <c r="AM381" s="18"/>
      <c r="AN381" s="18"/>
      <c r="AO381" s="18"/>
      <c r="AP381" s="18"/>
      <c r="AQ381" s="18"/>
      <c r="AR381" s="18"/>
      <c r="AS381" s="18"/>
      <c r="AT381" s="18"/>
      <c r="AU381" s="18"/>
      <c r="AV381" s="18"/>
      <c r="AW381" s="18"/>
      <c r="AX381" s="18"/>
    </row>
    <row r="382" customFormat="false" ht="15" hidden="false" customHeight="false" outlineLevel="0" collapsed="false">
      <c r="A382" s="16" t="str">
        <f aca="false">IF(INDEX(Tasks!$A:$A,ROW()-1)="","",INDEX(Tasks!$A:$A,ROW()-1))</f>
        <v/>
      </c>
      <c r="B382" s="16" t="str">
        <f aca="false">IF(INDEX(Tasks!$A:$A,ROW()-1)="","",IF(ISERROR(FIND(".",INDEX(Tasks!$A:$A,ROW()-1))),"","   ")&amp;INDEX(Tasks!$D:$D,ROW()-1))</f>
        <v/>
      </c>
      <c r="C382" s="16" t="str">
        <f aca="false">IF(INDEX(Tasks!$G:$G,ROW()-1)="","",INDEX(Tasks!$G:$G,ROW()-1))</f>
        <v/>
      </c>
      <c r="D382" s="16" t="str">
        <f aca="false">IF(INDEX(Tasks!$H:$H,ROW()-1)="","",INDEX(Tasks!$H:$H,ROW()-1))</f>
        <v/>
      </c>
      <c r="E382" s="17" t="str">
        <f aca="false">IF(INDEX(Tasks!$I:$I,ROW()-1)="","",INDEX(Tasks!$I:$I,ROW()-1))</f>
        <v/>
      </c>
      <c r="F382" s="17" t="str">
        <f aca="false">IF(INDEX(Tasks!$K:$K,ROW()-1)="","",INDEX(Tasks!$K:$K,ROW()-1))</f>
        <v/>
      </c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  <c r="AG382" s="18"/>
      <c r="AH382" s="18"/>
      <c r="AI382" s="18"/>
      <c r="AJ382" s="18"/>
      <c r="AK382" s="18"/>
      <c r="AL382" s="18"/>
      <c r="AM382" s="18"/>
      <c r="AN382" s="18"/>
      <c r="AO382" s="18"/>
      <c r="AP382" s="18"/>
      <c r="AQ382" s="18"/>
      <c r="AR382" s="18"/>
      <c r="AS382" s="18"/>
      <c r="AT382" s="18"/>
      <c r="AU382" s="18"/>
      <c r="AV382" s="18"/>
      <c r="AW382" s="18"/>
      <c r="AX382" s="18"/>
    </row>
    <row r="383" customFormat="false" ht="15" hidden="false" customHeight="false" outlineLevel="0" collapsed="false">
      <c r="A383" s="16" t="str">
        <f aca="false">IF(INDEX(Tasks!$A:$A,ROW()-1)="","",INDEX(Tasks!$A:$A,ROW()-1))</f>
        <v/>
      </c>
      <c r="B383" s="16" t="str">
        <f aca="false">IF(INDEX(Tasks!$A:$A,ROW()-1)="","",IF(ISERROR(FIND(".",INDEX(Tasks!$A:$A,ROW()-1))),"","   ")&amp;INDEX(Tasks!$D:$D,ROW()-1))</f>
        <v/>
      </c>
      <c r="C383" s="16" t="str">
        <f aca="false">IF(INDEX(Tasks!$G:$G,ROW()-1)="","",INDEX(Tasks!$G:$G,ROW()-1))</f>
        <v/>
      </c>
      <c r="D383" s="16" t="str">
        <f aca="false">IF(INDEX(Tasks!$H:$H,ROW()-1)="","",INDEX(Tasks!$H:$H,ROW()-1))</f>
        <v/>
      </c>
      <c r="E383" s="17" t="str">
        <f aca="false">IF(INDEX(Tasks!$I:$I,ROW()-1)="","",INDEX(Tasks!$I:$I,ROW()-1))</f>
        <v/>
      </c>
      <c r="F383" s="17" t="str">
        <f aca="false">IF(INDEX(Tasks!$K:$K,ROW()-1)="","",INDEX(Tasks!$K:$K,ROW()-1))</f>
        <v/>
      </c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  <c r="AG383" s="18"/>
      <c r="AH383" s="18"/>
      <c r="AI383" s="18"/>
      <c r="AJ383" s="18"/>
      <c r="AK383" s="18"/>
      <c r="AL383" s="18"/>
      <c r="AM383" s="18"/>
      <c r="AN383" s="18"/>
      <c r="AO383" s="18"/>
      <c r="AP383" s="18"/>
      <c r="AQ383" s="18"/>
      <c r="AR383" s="18"/>
      <c r="AS383" s="18"/>
      <c r="AT383" s="18"/>
      <c r="AU383" s="18"/>
      <c r="AV383" s="18"/>
      <c r="AW383" s="18"/>
      <c r="AX383" s="18"/>
    </row>
    <row r="384" customFormat="false" ht="15" hidden="false" customHeight="false" outlineLevel="0" collapsed="false">
      <c r="A384" s="16" t="str">
        <f aca="false">IF(INDEX(Tasks!$A:$A,ROW()-1)="","",INDEX(Tasks!$A:$A,ROW()-1))</f>
        <v/>
      </c>
      <c r="B384" s="16" t="str">
        <f aca="false">IF(INDEX(Tasks!$A:$A,ROW()-1)="","",IF(ISERROR(FIND(".",INDEX(Tasks!$A:$A,ROW()-1))),"","   ")&amp;INDEX(Tasks!$D:$D,ROW()-1))</f>
        <v/>
      </c>
      <c r="C384" s="16" t="str">
        <f aca="false">IF(INDEX(Tasks!$G:$G,ROW()-1)="","",INDEX(Tasks!$G:$G,ROW()-1))</f>
        <v/>
      </c>
      <c r="D384" s="16" t="str">
        <f aca="false">IF(INDEX(Tasks!$H:$H,ROW()-1)="","",INDEX(Tasks!$H:$H,ROW()-1))</f>
        <v/>
      </c>
      <c r="E384" s="17" t="str">
        <f aca="false">IF(INDEX(Tasks!$I:$I,ROW()-1)="","",INDEX(Tasks!$I:$I,ROW()-1))</f>
        <v/>
      </c>
      <c r="F384" s="17" t="str">
        <f aca="false">IF(INDEX(Tasks!$K:$K,ROW()-1)="","",INDEX(Tasks!$K:$K,ROW()-1))</f>
        <v/>
      </c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  <c r="AG384" s="18"/>
      <c r="AH384" s="18"/>
      <c r="AI384" s="18"/>
      <c r="AJ384" s="18"/>
      <c r="AK384" s="18"/>
      <c r="AL384" s="18"/>
      <c r="AM384" s="18"/>
      <c r="AN384" s="18"/>
      <c r="AO384" s="18"/>
      <c r="AP384" s="18"/>
      <c r="AQ384" s="18"/>
      <c r="AR384" s="18"/>
      <c r="AS384" s="18"/>
      <c r="AT384" s="18"/>
      <c r="AU384" s="18"/>
      <c r="AV384" s="18"/>
      <c r="AW384" s="18"/>
      <c r="AX384" s="18"/>
    </row>
    <row r="385" customFormat="false" ht="15" hidden="false" customHeight="false" outlineLevel="0" collapsed="false">
      <c r="A385" s="16" t="str">
        <f aca="false">IF(INDEX(Tasks!$A:$A,ROW()-1)="","",INDEX(Tasks!$A:$A,ROW()-1))</f>
        <v/>
      </c>
      <c r="B385" s="16" t="str">
        <f aca="false">IF(INDEX(Tasks!$A:$A,ROW()-1)="","",IF(ISERROR(FIND(".",INDEX(Tasks!$A:$A,ROW()-1))),"","   ")&amp;INDEX(Tasks!$D:$D,ROW()-1))</f>
        <v/>
      </c>
      <c r="C385" s="16" t="str">
        <f aca="false">IF(INDEX(Tasks!$G:$G,ROW()-1)="","",INDEX(Tasks!$G:$G,ROW()-1))</f>
        <v/>
      </c>
      <c r="D385" s="16" t="str">
        <f aca="false">IF(INDEX(Tasks!$H:$H,ROW()-1)="","",INDEX(Tasks!$H:$H,ROW()-1))</f>
        <v/>
      </c>
      <c r="E385" s="17" t="str">
        <f aca="false">IF(INDEX(Tasks!$I:$I,ROW()-1)="","",INDEX(Tasks!$I:$I,ROW()-1))</f>
        <v/>
      </c>
      <c r="F385" s="17" t="str">
        <f aca="false">IF(INDEX(Tasks!$K:$K,ROW()-1)="","",INDEX(Tasks!$K:$K,ROW()-1))</f>
        <v/>
      </c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  <c r="AG385" s="18"/>
      <c r="AH385" s="18"/>
      <c r="AI385" s="18"/>
      <c r="AJ385" s="18"/>
      <c r="AK385" s="18"/>
      <c r="AL385" s="18"/>
      <c r="AM385" s="18"/>
      <c r="AN385" s="18"/>
      <c r="AO385" s="18"/>
      <c r="AP385" s="18"/>
      <c r="AQ385" s="18"/>
      <c r="AR385" s="18"/>
      <c r="AS385" s="18"/>
      <c r="AT385" s="18"/>
      <c r="AU385" s="18"/>
      <c r="AV385" s="18"/>
      <c r="AW385" s="18"/>
      <c r="AX385" s="18"/>
    </row>
    <row r="386" customFormat="false" ht="15" hidden="false" customHeight="false" outlineLevel="0" collapsed="false">
      <c r="A386" s="16" t="str">
        <f aca="false">IF(INDEX(Tasks!$A:$A,ROW()-1)="","",INDEX(Tasks!$A:$A,ROW()-1))</f>
        <v/>
      </c>
      <c r="B386" s="16" t="str">
        <f aca="false">IF(INDEX(Tasks!$A:$A,ROW()-1)="","",IF(ISERROR(FIND(".",INDEX(Tasks!$A:$A,ROW()-1))),"","   ")&amp;INDEX(Tasks!$D:$D,ROW()-1))</f>
        <v/>
      </c>
      <c r="C386" s="16" t="str">
        <f aca="false">IF(INDEX(Tasks!$G:$G,ROW()-1)="","",INDEX(Tasks!$G:$G,ROW()-1))</f>
        <v/>
      </c>
      <c r="D386" s="16" t="str">
        <f aca="false">IF(INDEX(Tasks!$H:$H,ROW()-1)="","",INDEX(Tasks!$H:$H,ROW()-1))</f>
        <v/>
      </c>
      <c r="E386" s="17" t="str">
        <f aca="false">IF(INDEX(Tasks!$I:$I,ROW()-1)="","",INDEX(Tasks!$I:$I,ROW()-1))</f>
        <v/>
      </c>
      <c r="F386" s="17" t="str">
        <f aca="false">IF(INDEX(Tasks!$K:$K,ROW()-1)="","",INDEX(Tasks!$K:$K,ROW()-1))</f>
        <v/>
      </c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J386" s="18"/>
      <c r="AK386" s="18"/>
      <c r="AL386" s="18"/>
      <c r="AM386" s="18"/>
      <c r="AN386" s="18"/>
      <c r="AO386" s="18"/>
      <c r="AP386" s="18"/>
      <c r="AQ386" s="18"/>
      <c r="AR386" s="18"/>
      <c r="AS386" s="18"/>
      <c r="AT386" s="18"/>
      <c r="AU386" s="18"/>
      <c r="AV386" s="18"/>
      <c r="AW386" s="18"/>
      <c r="AX386" s="18"/>
    </row>
    <row r="387" customFormat="false" ht="15" hidden="false" customHeight="false" outlineLevel="0" collapsed="false">
      <c r="A387" s="16" t="str">
        <f aca="false">IF(INDEX(Tasks!$A:$A,ROW()-1)="","",INDEX(Tasks!$A:$A,ROW()-1))</f>
        <v/>
      </c>
      <c r="B387" s="16" t="str">
        <f aca="false">IF(INDEX(Tasks!$A:$A,ROW()-1)="","",IF(ISERROR(FIND(".",INDEX(Tasks!$A:$A,ROW()-1))),"","   ")&amp;INDEX(Tasks!$D:$D,ROW()-1))</f>
        <v/>
      </c>
      <c r="C387" s="16" t="str">
        <f aca="false">IF(INDEX(Tasks!$G:$G,ROW()-1)="","",INDEX(Tasks!$G:$G,ROW()-1))</f>
        <v/>
      </c>
      <c r="D387" s="16" t="str">
        <f aca="false">IF(INDEX(Tasks!$H:$H,ROW()-1)="","",INDEX(Tasks!$H:$H,ROW()-1))</f>
        <v/>
      </c>
      <c r="E387" s="17" t="str">
        <f aca="false">IF(INDEX(Tasks!$I:$I,ROW()-1)="","",INDEX(Tasks!$I:$I,ROW()-1))</f>
        <v/>
      </c>
      <c r="F387" s="17" t="str">
        <f aca="false">IF(INDEX(Tasks!$K:$K,ROW()-1)="","",INDEX(Tasks!$K:$K,ROW()-1))</f>
        <v/>
      </c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  <c r="AG387" s="18"/>
      <c r="AH387" s="18"/>
      <c r="AI387" s="18"/>
      <c r="AJ387" s="18"/>
      <c r="AK387" s="18"/>
      <c r="AL387" s="18"/>
      <c r="AM387" s="18"/>
      <c r="AN387" s="18"/>
      <c r="AO387" s="18"/>
      <c r="AP387" s="18"/>
      <c r="AQ387" s="18"/>
      <c r="AR387" s="18"/>
      <c r="AS387" s="18"/>
      <c r="AT387" s="18"/>
      <c r="AU387" s="18"/>
      <c r="AV387" s="18"/>
      <c r="AW387" s="18"/>
      <c r="AX387" s="18"/>
    </row>
    <row r="388" customFormat="false" ht="15" hidden="false" customHeight="false" outlineLevel="0" collapsed="false">
      <c r="A388" s="16" t="str">
        <f aca="false">IF(INDEX(Tasks!$A:$A,ROW()-1)="","",INDEX(Tasks!$A:$A,ROW()-1))</f>
        <v/>
      </c>
      <c r="B388" s="16" t="str">
        <f aca="false">IF(INDEX(Tasks!$A:$A,ROW()-1)="","",IF(ISERROR(FIND(".",INDEX(Tasks!$A:$A,ROW()-1))),"","   ")&amp;INDEX(Tasks!$D:$D,ROW()-1))</f>
        <v/>
      </c>
      <c r="C388" s="16" t="str">
        <f aca="false">IF(INDEX(Tasks!$G:$G,ROW()-1)="","",INDEX(Tasks!$G:$G,ROW()-1))</f>
        <v/>
      </c>
      <c r="D388" s="16" t="str">
        <f aca="false">IF(INDEX(Tasks!$H:$H,ROW()-1)="","",INDEX(Tasks!$H:$H,ROW()-1))</f>
        <v/>
      </c>
      <c r="E388" s="17" t="str">
        <f aca="false">IF(INDEX(Tasks!$I:$I,ROW()-1)="","",INDEX(Tasks!$I:$I,ROW()-1))</f>
        <v/>
      </c>
      <c r="F388" s="17" t="str">
        <f aca="false">IF(INDEX(Tasks!$K:$K,ROW()-1)="","",INDEX(Tasks!$K:$K,ROW()-1))</f>
        <v/>
      </c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  <c r="AG388" s="18"/>
      <c r="AH388" s="18"/>
      <c r="AI388" s="18"/>
      <c r="AJ388" s="18"/>
      <c r="AK388" s="18"/>
      <c r="AL388" s="18"/>
      <c r="AM388" s="18"/>
      <c r="AN388" s="18"/>
      <c r="AO388" s="18"/>
      <c r="AP388" s="18"/>
      <c r="AQ388" s="18"/>
      <c r="AR388" s="18"/>
      <c r="AS388" s="18"/>
      <c r="AT388" s="18"/>
      <c r="AU388" s="18"/>
      <c r="AV388" s="18"/>
      <c r="AW388" s="18"/>
      <c r="AX388" s="18"/>
    </row>
    <row r="389" customFormat="false" ht="15" hidden="false" customHeight="false" outlineLevel="0" collapsed="false">
      <c r="A389" s="16" t="str">
        <f aca="false">IF(INDEX(Tasks!$A:$A,ROW()-1)="","",INDEX(Tasks!$A:$A,ROW()-1))</f>
        <v/>
      </c>
      <c r="B389" s="16" t="str">
        <f aca="false">IF(INDEX(Tasks!$A:$A,ROW()-1)="","",IF(ISERROR(FIND(".",INDEX(Tasks!$A:$A,ROW()-1))),"","   ")&amp;INDEX(Tasks!$D:$D,ROW()-1))</f>
        <v/>
      </c>
      <c r="C389" s="16" t="str">
        <f aca="false">IF(INDEX(Tasks!$G:$G,ROW()-1)="","",INDEX(Tasks!$G:$G,ROW()-1))</f>
        <v/>
      </c>
      <c r="D389" s="16" t="str">
        <f aca="false">IF(INDEX(Tasks!$H:$H,ROW()-1)="","",INDEX(Tasks!$H:$H,ROW()-1))</f>
        <v/>
      </c>
      <c r="E389" s="17" t="str">
        <f aca="false">IF(INDEX(Tasks!$I:$I,ROW()-1)="","",INDEX(Tasks!$I:$I,ROW()-1))</f>
        <v/>
      </c>
      <c r="F389" s="17" t="str">
        <f aca="false">IF(INDEX(Tasks!$K:$K,ROW()-1)="","",INDEX(Tasks!$K:$K,ROW()-1))</f>
        <v/>
      </c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  <c r="AG389" s="18"/>
      <c r="AH389" s="18"/>
      <c r="AI389" s="18"/>
      <c r="AJ389" s="18"/>
      <c r="AK389" s="18"/>
      <c r="AL389" s="18"/>
      <c r="AM389" s="18"/>
      <c r="AN389" s="18"/>
      <c r="AO389" s="18"/>
      <c r="AP389" s="18"/>
      <c r="AQ389" s="18"/>
      <c r="AR389" s="18"/>
      <c r="AS389" s="18"/>
      <c r="AT389" s="18"/>
      <c r="AU389" s="18"/>
      <c r="AV389" s="18"/>
      <c r="AW389" s="18"/>
      <c r="AX389" s="18"/>
    </row>
    <row r="390" customFormat="false" ht="15" hidden="false" customHeight="false" outlineLevel="0" collapsed="false">
      <c r="A390" s="16" t="str">
        <f aca="false">IF(INDEX(Tasks!$A:$A,ROW()-1)="","",INDEX(Tasks!$A:$A,ROW()-1))</f>
        <v/>
      </c>
      <c r="B390" s="16" t="str">
        <f aca="false">IF(INDEX(Tasks!$A:$A,ROW()-1)="","",IF(ISERROR(FIND(".",INDEX(Tasks!$A:$A,ROW()-1))),"","   ")&amp;INDEX(Tasks!$D:$D,ROW()-1))</f>
        <v/>
      </c>
      <c r="C390" s="16" t="str">
        <f aca="false">IF(INDEX(Tasks!$G:$G,ROW()-1)="","",INDEX(Tasks!$G:$G,ROW()-1))</f>
        <v/>
      </c>
      <c r="D390" s="16" t="str">
        <f aca="false">IF(INDEX(Tasks!$H:$H,ROW()-1)="","",INDEX(Tasks!$H:$H,ROW()-1))</f>
        <v/>
      </c>
      <c r="E390" s="17" t="str">
        <f aca="false">IF(INDEX(Tasks!$I:$I,ROW()-1)="","",INDEX(Tasks!$I:$I,ROW()-1))</f>
        <v/>
      </c>
      <c r="F390" s="17" t="str">
        <f aca="false">IF(INDEX(Tasks!$K:$K,ROW()-1)="","",INDEX(Tasks!$K:$K,ROW()-1))</f>
        <v/>
      </c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  <c r="AG390" s="18"/>
      <c r="AH390" s="18"/>
      <c r="AI390" s="18"/>
      <c r="AJ390" s="18"/>
      <c r="AK390" s="18"/>
      <c r="AL390" s="18"/>
      <c r="AM390" s="18"/>
      <c r="AN390" s="18"/>
      <c r="AO390" s="18"/>
      <c r="AP390" s="18"/>
      <c r="AQ390" s="18"/>
      <c r="AR390" s="18"/>
      <c r="AS390" s="18"/>
      <c r="AT390" s="18"/>
      <c r="AU390" s="18"/>
      <c r="AV390" s="18"/>
      <c r="AW390" s="18"/>
      <c r="AX390" s="18"/>
    </row>
    <row r="391" customFormat="false" ht="15" hidden="false" customHeight="false" outlineLevel="0" collapsed="false">
      <c r="A391" s="16" t="str">
        <f aca="false">IF(INDEX(Tasks!$A:$A,ROW()-1)="","",INDEX(Tasks!$A:$A,ROW()-1))</f>
        <v/>
      </c>
      <c r="B391" s="16" t="str">
        <f aca="false">IF(INDEX(Tasks!$A:$A,ROW()-1)="","",IF(ISERROR(FIND(".",INDEX(Tasks!$A:$A,ROW()-1))),"","   ")&amp;INDEX(Tasks!$D:$D,ROW()-1))</f>
        <v/>
      </c>
      <c r="C391" s="16" t="str">
        <f aca="false">IF(INDEX(Tasks!$G:$G,ROW()-1)="","",INDEX(Tasks!$G:$G,ROW()-1))</f>
        <v/>
      </c>
      <c r="D391" s="16" t="str">
        <f aca="false">IF(INDEX(Tasks!$H:$H,ROW()-1)="","",INDEX(Tasks!$H:$H,ROW()-1))</f>
        <v/>
      </c>
      <c r="E391" s="17" t="str">
        <f aca="false">IF(INDEX(Tasks!$I:$I,ROW()-1)="","",INDEX(Tasks!$I:$I,ROW()-1))</f>
        <v/>
      </c>
      <c r="F391" s="17" t="str">
        <f aca="false">IF(INDEX(Tasks!$K:$K,ROW()-1)="","",INDEX(Tasks!$K:$K,ROW()-1))</f>
        <v/>
      </c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  <c r="AG391" s="18"/>
      <c r="AH391" s="18"/>
      <c r="AI391" s="18"/>
      <c r="AJ391" s="18"/>
      <c r="AK391" s="18"/>
      <c r="AL391" s="18"/>
      <c r="AM391" s="18"/>
      <c r="AN391" s="18"/>
      <c r="AO391" s="18"/>
      <c r="AP391" s="18"/>
      <c r="AQ391" s="18"/>
      <c r="AR391" s="18"/>
      <c r="AS391" s="18"/>
      <c r="AT391" s="18"/>
      <c r="AU391" s="18"/>
      <c r="AV391" s="18"/>
      <c r="AW391" s="18"/>
      <c r="AX391" s="18"/>
    </row>
    <row r="392" customFormat="false" ht="15" hidden="false" customHeight="false" outlineLevel="0" collapsed="false">
      <c r="A392" s="16" t="str">
        <f aca="false">IF(INDEX(Tasks!$A:$A,ROW()-1)="","",INDEX(Tasks!$A:$A,ROW()-1))</f>
        <v/>
      </c>
      <c r="B392" s="16" t="str">
        <f aca="false">IF(INDEX(Tasks!$A:$A,ROW()-1)="","",IF(ISERROR(FIND(".",INDEX(Tasks!$A:$A,ROW()-1))),"","   ")&amp;INDEX(Tasks!$D:$D,ROW()-1))</f>
        <v/>
      </c>
      <c r="C392" s="16" t="str">
        <f aca="false">IF(INDEX(Tasks!$G:$G,ROW()-1)="","",INDEX(Tasks!$G:$G,ROW()-1))</f>
        <v/>
      </c>
      <c r="D392" s="16" t="str">
        <f aca="false">IF(INDEX(Tasks!$H:$H,ROW()-1)="","",INDEX(Tasks!$H:$H,ROW()-1))</f>
        <v/>
      </c>
      <c r="E392" s="17" t="str">
        <f aca="false">IF(INDEX(Tasks!$I:$I,ROW()-1)="","",INDEX(Tasks!$I:$I,ROW()-1))</f>
        <v/>
      </c>
      <c r="F392" s="17" t="str">
        <f aca="false">IF(INDEX(Tasks!$K:$K,ROW()-1)="","",INDEX(Tasks!$K:$K,ROW()-1))</f>
        <v/>
      </c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  <c r="AG392" s="18"/>
      <c r="AH392" s="18"/>
      <c r="AI392" s="18"/>
      <c r="AJ392" s="18"/>
      <c r="AK392" s="18"/>
      <c r="AL392" s="18"/>
      <c r="AM392" s="18"/>
      <c r="AN392" s="18"/>
      <c r="AO392" s="18"/>
      <c r="AP392" s="18"/>
      <c r="AQ392" s="18"/>
      <c r="AR392" s="18"/>
      <c r="AS392" s="18"/>
      <c r="AT392" s="18"/>
      <c r="AU392" s="18"/>
      <c r="AV392" s="18"/>
      <c r="AW392" s="18"/>
      <c r="AX392" s="18"/>
    </row>
    <row r="393" customFormat="false" ht="15" hidden="false" customHeight="false" outlineLevel="0" collapsed="false">
      <c r="A393" s="16" t="str">
        <f aca="false">IF(INDEX(Tasks!$A:$A,ROW()-1)="","",INDEX(Tasks!$A:$A,ROW()-1))</f>
        <v/>
      </c>
      <c r="B393" s="16" t="str">
        <f aca="false">IF(INDEX(Tasks!$A:$A,ROW()-1)="","",IF(ISERROR(FIND(".",INDEX(Tasks!$A:$A,ROW()-1))),"","   ")&amp;INDEX(Tasks!$D:$D,ROW()-1))</f>
        <v/>
      </c>
      <c r="C393" s="16" t="str">
        <f aca="false">IF(INDEX(Tasks!$G:$G,ROW()-1)="","",INDEX(Tasks!$G:$G,ROW()-1))</f>
        <v/>
      </c>
      <c r="D393" s="16" t="str">
        <f aca="false">IF(INDEX(Tasks!$H:$H,ROW()-1)="","",INDEX(Tasks!$H:$H,ROW()-1))</f>
        <v/>
      </c>
      <c r="E393" s="17" t="str">
        <f aca="false">IF(INDEX(Tasks!$I:$I,ROW()-1)="","",INDEX(Tasks!$I:$I,ROW()-1))</f>
        <v/>
      </c>
      <c r="F393" s="17" t="str">
        <f aca="false">IF(INDEX(Tasks!$K:$K,ROW()-1)="","",INDEX(Tasks!$K:$K,ROW()-1))</f>
        <v/>
      </c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  <c r="AG393" s="18"/>
      <c r="AH393" s="18"/>
      <c r="AI393" s="18"/>
      <c r="AJ393" s="18"/>
      <c r="AK393" s="18"/>
      <c r="AL393" s="18"/>
      <c r="AM393" s="18"/>
      <c r="AN393" s="18"/>
      <c r="AO393" s="18"/>
      <c r="AP393" s="18"/>
      <c r="AQ393" s="18"/>
      <c r="AR393" s="18"/>
      <c r="AS393" s="18"/>
      <c r="AT393" s="18"/>
      <c r="AU393" s="18"/>
      <c r="AV393" s="18"/>
      <c r="AW393" s="18"/>
      <c r="AX393" s="18"/>
    </row>
    <row r="394" customFormat="false" ht="15" hidden="false" customHeight="false" outlineLevel="0" collapsed="false">
      <c r="A394" s="16" t="str">
        <f aca="false">IF(INDEX(Tasks!$A:$A,ROW()-1)="","",INDEX(Tasks!$A:$A,ROW()-1))</f>
        <v/>
      </c>
      <c r="B394" s="16" t="str">
        <f aca="false">IF(INDEX(Tasks!$A:$A,ROW()-1)="","",IF(ISERROR(FIND(".",INDEX(Tasks!$A:$A,ROW()-1))),"","   ")&amp;INDEX(Tasks!$D:$D,ROW()-1))</f>
        <v/>
      </c>
      <c r="C394" s="16" t="str">
        <f aca="false">IF(INDEX(Tasks!$G:$G,ROW()-1)="","",INDEX(Tasks!$G:$G,ROW()-1))</f>
        <v/>
      </c>
      <c r="D394" s="16" t="str">
        <f aca="false">IF(INDEX(Tasks!$H:$H,ROW()-1)="","",INDEX(Tasks!$H:$H,ROW()-1))</f>
        <v/>
      </c>
      <c r="E394" s="17" t="str">
        <f aca="false">IF(INDEX(Tasks!$I:$I,ROW()-1)="","",INDEX(Tasks!$I:$I,ROW()-1))</f>
        <v/>
      </c>
      <c r="F394" s="17" t="str">
        <f aca="false">IF(INDEX(Tasks!$K:$K,ROW()-1)="","",INDEX(Tasks!$K:$K,ROW()-1))</f>
        <v/>
      </c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  <c r="AG394" s="18"/>
      <c r="AH394" s="18"/>
      <c r="AI394" s="18"/>
      <c r="AJ394" s="18"/>
      <c r="AK394" s="18"/>
      <c r="AL394" s="18"/>
      <c r="AM394" s="18"/>
      <c r="AN394" s="18"/>
      <c r="AO394" s="18"/>
      <c r="AP394" s="18"/>
      <c r="AQ394" s="18"/>
      <c r="AR394" s="18"/>
      <c r="AS394" s="18"/>
      <c r="AT394" s="18"/>
      <c r="AU394" s="18"/>
      <c r="AV394" s="18"/>
      <c r="AW394" s="18"/>
      <c r="AX394" s="18"/>
    </row>
    <row r="395" customFormat="false" ht="15" hidden="false" customHeight="false" outlineLevel="0" collapsed="false">
      <c r="A395" s="16" t="str">
        <f aca="false">IF(INDEX(Tasks!$A:$A,ROW()-1)="","",INDEX(Tasks!$A:$A,ROW()-1))</f>
        <v/>
      </c>
      <c r="B395" s="16" t="str">
        <f aca="false">IF(INDEX(Tasks!$A:$A,ROW()-1)="","",IF(ISERROR(FIND(".",INDEX(Tasks!$A:$A,ROW()-1))),"","   ")&amp;INDEX(Tasks!$D:$D,ROW()-1))</f>
        <v/>
      </c>
      <c r="C395" s="16" t="str">
        <f aca="false">IF(INDEX(Tasks!$G:$G,ROW()-1)="","",INDEX(Tasks!$G:$G,ROW()-1))</f>
        <v/>
      </c>
      <c r="D395" s="16" t="str">
        <f aca="false">IF(INDEX(Tasks!$H:$H,ROW()-1)="","",INDEX(Tasks!$H:$H,ROW()-1))</f>
        <v/>
      </c>
      <c r="E395" s="17" t="str">
        <f aca="false">IF(INDEX(Tasks!$I:$I,ROW()-1)="","",INDEX(Tasks!$I:$I,ROW()-1))</f>
        <v/>
      </c>
      <c r="F395" s="17" t="str">
        <f aca="false">IF(INDEX(Tasks!$K:$K,ROW()-1)="","",INDEX(Tasks!$K:$K,ROW()-1))</f>
        <v/>
      </c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  <c r="AG395" s="18"/>
      <c r="AH395" s="18"/>
      <c r="AI395" s="18"/>
      <c r="AJ395" s="18"/>
      <c r="AK395" s="18"/>
      <c r="AL395" s="18"/>
      <c r="AM395" s="18"/>
      <c r="AN395" s="18"/>
      <c r="AO395" s="18"/>
      <c r="AP395" s="18"/>
      <c r="AQ395" s="18"/>
      <c r="AR395" s="18"/>
      <c r="AS395" s="18"/>
      <c r="AT395" s="18"/>
      <c r="AU395" s="18"/>
      <c r="AV395" s="18"/>
      <c r="AW395" s="18"/>
      <c r="AX395" s="18"/>
    </row>
    <row r="396" customFormat="false" ht="15" hidden="false" customHeight="false" outlineLevel="0" collapsed="false">
      <c r="A396" s="16" t="str">
        <f aca="false">IF(INDEX(Tasks!$A:$A,ROW()-1)="","",INDEX(Tasks!$A:$A,ROW()-1))</f>
        <v/>
      </c>
      <c r="B396" s="16" t="str">
        <f aca="false">IF(INDEX(Tasks!$A:$A,ROW()-1)="","",IF(ISERROR(FIND(".",INDEX(Tasks!$A:$A,ROW()-1))),"","   ")&amp;INDEX(Tasks!$D:$D,ROW()-1))</f>
        <v/>
      </c>
      <c r="C396" s="16" t="str">
        <f aca="false">IF(INDEX(Tasks!$G:$G,ROW()-1)="","",INDEX(Tasks!$G:$G,ROW()-1))</f>
        <v/>
      </c>
      <c r="D396" s="16" t="str">
        <f aca="false">IF(INDEX(Tasks!$H:$H,ROW()-1)="","",INDEX(Tasks!$H:$H,ROW()-1))</f>
        <v/>
      </c>
      <c r="E396" s="17" t="str">
        <f aca="false">IF(INDEX(Tasks!$I:$I,ROW()-1)="","",INDEX(Tasks!$I:$I,ROW()-1))</f>
        <v/>
      </c>
      <c r="F396" s="17" t="str">
        <f aca="false">IF(INDEX(Tasks!$K:$K,ROW()-1)="","",INDEX(Tasks!$K:$K,ROW()-1))</f>
        <v/>
      </c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  <c r="AG396" s="18"/>
      <c r="AH396" s="18"/>
      <c r="AI396" s="18"/>
      <c r="AJ396" s="18"/>
      <c r="AK396" s="18"/>
      <c r="AL396" s="18"/>
      <c r="AM396" s="18"/>
      <c r="AN396" s="18"/>
      <c r="AO396" s="18"/>
      <c r="AP396" s="18"/>
      <c r="AQ396" s="18"/>
      <c r="AR396" s="18"/>
      <c r="AS396" s="18"/>
      <c r="AT396" s="18"/>
      <c r="AU396" s="18"/>
      <c r="AV396" s="18"/>
      <c r="AW396" s="18"/>
      <c r="AX396" s="18"/>
    </row>
    <row r="397" customFormat="false" ht="15" hidden="false" customHeight="false" outlineLevel="0" collapsed="false">
      <c r="A397" s="16" t="str">
        <f aca="false">IF(INDEX(Tasks!$A:$A,ROW()-1)="","",INDEX(Tasks!$A:$A,ROW()-1))</f>
        <v/>
      </c>
      <c r="B397" s="16" t="str">
        <f aca="false">IF(INDEX(Tasks!$A:$A,ROW()-1)="","",IF(ISERROR(FIND(".",INDEX(Tasks!$A:$A,ROW()-1))),"","   ")&amp;INDEX(Tasks!$D:$D,ROW()-1))</f>
        <v/>
      </c>
      <c r="C397" s="16" t="str">
        <f aca="false">IF(INDEX(Tasks!$G:$G,ROW()-1)="","",INDEX(Tasks!$G:$G,ROW()-1))</f>
        <v/>
      </c>
      <c r="D397" s="16" t="str">
        <f aca="false">IF(INDEX(Tasks!$H:$H,ROW()-1)="","",INDEX(Tasks!$H:$H,ROW()-1))</f>
        <v/>
      </c>
      <c r="E397" s="17" t="str">
        <f aca="false">IF(INDEX(Tasks!$I:$I,ROW()-1)="","",INDEX(Tasks!$I:$I,ROW()-1))</f>
        <v/>
      </c>
      <c r="F397" s="17" t="str">
        <f aca="false">IF(INDEX(Tasks!$K:$K,ROW()-1)="","",INDEX(Tasks!$K:$K,ROW()-1))</f>
        <v/>
      </c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  <c r="AG397" s="18"/>
      <c r="AH397" s="18"/>
      <c r="AI397" s="18"/>
      <c r="AJ397" s="18"/>
      <c r="AK397" s="18"/>
      <c r="AL397" s="18"/>
      <c r="AM397" s="18"/>
      <c r="AN397" s="18"/>
      <c r="AO397" s="18"/>
      <c r="AP397" s="18"/>
      <c r="AQ397" s="18"/>
      <c r="AR397" s="18"/>
      <c r="AS397" s="18"/>
      <c r="AT397" s="18"/>
      <c r="AU397" s="18"/>
      <c r="AV397" s="18"/>
      <c r="AW397" s="18"/>
      <c r="AX397" s="18"/>
    </row>
    <row r="398" customFormat="false" ht="15" hidden="false" customHeight="false" outlineLevel="0" collapsed="false">
      <c r="A398" s="16" t="str">
        <f aca="false">IF(INDEX(Tasks!$A:$A,ROW()-1)="","",INDEX(Tasks!$A:$A,ROW()-1))</f>
        <v/>
      </c>
      <c r="B398" s="16" t="str">
        <f aca="false">IF(INDEX(Tasks!$A:$A,ROW()-1)="","",IF(ISERROR(FIND(".",INDEX(Tasks!$A:$A,ROW()-1))),"","   ")&amp;INDEX(Tasks!$D:$D,ROW()-1))</f>
        <v/>
      </c>
      <c r="C398" s="16" t="str">
        <f aca="false">IF(INDEX(Tasks!$G:$G,ROW()-1)="","",INDEX(Tasks!$G:$G,ROW()-1))</f>
        <v/>
      </c>
      <c r="D398" s="16" t="str">
        <f aca="false">IF(INDEX(Tasks!$H:$H,ROW()-1)="","",INDEX(Tasks!$H:$H,ROW()-1))</f>
        <v/>
      </c>
      <c r="E398" s="17" t="str">
        <f aca="false">IF(INDEX(Tasks!$I:$I,ROW()-1)="","",INDEX(Tasks!$I:$I,ROW()-1))</f>
        <v/>
      </c>
      <c r="F398" s="17" t="str">
        <f aca="false">IF(INDEX(Tasks!$K:$K,ROW()-1)="","",INDEX(Tasks!$K:$K,ROW()-1))</f>
        <v/>
      </c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  <c r="AG398" s="18"/>
      <c r="AH398" s="18"/>
      <c r="AI398" s="18"/>
      <c r="AJ398" s="18"/>
      <c r="AK398" s="18"/>
      <c r="AL398" s="18"/>
      <c r="AM398" s="18"/>
      <c r="AN398" s="18"/>
      <c r="AO398" s="18"/>
      <c r="AP398" s="18"/>
      <c r="AQ398" s="18"/>
      <c r="AR398" s="18"/>
      <c r="AS398" s="18"/>
      <c r="AT398" s="18"/>
      <c r="AU398" s="18"/>
      <c r="AV398" s="18"/>
      <c r="AW398" s="18"/>
      <c r="AX398" s="18"/>
    </row>
    <row r="399" customFormat="false" ht="15" hidden="false" customHeight="false" outlineLevel="0" collapsed="false">
      <c r="A399" s="16" t="str">
        <f aca="false">IF(INDEX(Tasks!$A:$A,ROW()-1)="","",INDEX(Tasks!$A:$A,ROW()-1))</f>
        <v/>
      </c>
      <c r="B399" s="16" t="str">
        <f aca="false">IF(INDEX(Tasks!$A:$A,ROW()-1)="","",IF(ISERROR(FIND(".",INDEX(Tasks!$A:$A,ROW()-1))),"","   ")&amp;INDEX(Tasks!$D:$D,ROW()-1))</f>
        <v/>
      </c>
      <c r="C399" s="16" t="str">
        <f aca="false">IF(INDEX(Tasks!$G:$G,ROW()-1)="","",INDEX(Tasks!$G:$G,ROW()-1))</f>
        <v/>
      </c>
      <c r="D399" s="16" t="str">
        <f aca="false">IF(INDEX(Tasks!$H:$H,ROW()-1)="","",INDEX(Tasks!$H:$H,ROW()-1))</f>
        <v/>
      </c>
      <c r="E399" s="17" t="str">
        <f aca="false">IF(INDEX(Tasks!$I:$I,ROW()-1)="","",INDEX(Tasks!$I:$I,ROW()-1))</f>
        <v/>
      </c>
      <c r="F399" s="17" t="str">
        <f aca="false">IF(INDEX(Tasks!$K:$K,ROW()-1)="","",INDEX(Tasks!$K:$K,ROW()-1))</f>
        <v/>
      </c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  <c r="AG399" s="18"/>
      <c r="AH399" s="18"/>
      <c r="AI399" s="18"/>
      <c r="AJ399" s="18"/>
      <c r="AK399" s="18"/>
      <c r="AL399" s="18"/>
      <c r="AM399" s="18"/>
      <c r="AN399" s="18"/>
      <c r="AO399" s="18"/>
      <c r="AP399" s="18"/>
      <c r="AQ399" s="18"/>
      <c r="AR399" s="18"/>
      <c r="AS399" s="18"/>
      <c r="AT399" s="18"/>
      <c r="AU399" s="18"/>
      <c r="AV399" s="18"/>
      <c r="AW399" s="18"/>
      <c r="AX399" s="18"/>
    </row>
    <row r="400" customFormat="false" ht="15" hidden="false" customHeight="false" outlineLevel="0" collapsed="false">
      <c r="A400" s="16" t="str">
        <f aca="false">IF(INDEX(Tasks!$A:$A,ROW()-1)="","",INDEX(Tasks!$A:$A,ROW()-1))</f>
        <v/>
      </c>
      <c r="B400" s="16" t="str">
        <f aca="false">IF(INDEX(Tasks!$A:$A,ROW()-1)="","",IF(ISERROR(FIND(".",INDEX(Tasks!$A:$A,ROW()-1))),"","   ")&amp;INDEX(Tasks!$D:$D,ROW()-1))</f>
        <v/>
      </c>
      <c r="C400" s="16" t="str">
        <f aca="false">IF(INDEX(Tasks!$G:$G,ROW()-1)="","",INDEX(Tasks!$G:$G,ROW()-1))</f>
        <v/>
      </c>
      <c r="D400" s="16" t="str">
        <f aca="false">IF(INDEX(Tasks!$H:$H,ROW()-1)="","",INDEX(Tasks!$H:$H,ROW()-1))</f>
        <v/>
      </c>
      <c r="E400" s="17" t="str">
        <f aca="false">IF(INDEX(Tasks!$I:$I,ROW()-1)="","",INDEX(Tasks!$I:$I,ROW()-1))</f>
        <v/>
      </c>
      <c r="F400" s="17" t="str">
        <f aca="false">IF(INDEX(Tasks!$K:$K,ROW()-1)="","",INDEX(Tasks!$K:$K,ROW()-1))</f>
        <v/>
      </c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  <c r="AG400" s="18"/>
      <c r="AH400" s="18"/>
      <c r="AI400" s="18"/>
      <c r="AJ400" s="18"/>
      <c r="AK400" s="18"/>
      <c r="AL400" s="18"/>
      <c r="AM400" s="18"/>
      <c r="AN400" s="18"/>
      <c r="AO400" s="18"/>
      <c r="AP400" s="18"/>
      <c r="AQ400" s="18"/>
      <c r="AR400" s="18"/>
      <c r="AS400" s="18"/>
      <c r="AT400" s="18"/>
      <c r="AU400" s="18"/>
      <c r="AV400" s="18"/>
      <c r="AW400" s="18"/>
      <c r="AX400" s="18"/>
    </row>
    <row r="401" customFormat="false" ht="15" hidden="false" customHeight="false" outlineLevel="0" collapsed="false">
      <c r="A401" s="16" t="str">
        <f aca="false">IF(INDEX(Tasks!$A:$A,ROW()-1)="","",INDEX(Tasks!$A:$A,ROW()-1))</f>
        <v/>
      </c>
      <c r="B401" s="16" t="str">
        <f aca="false">IF(INDEX(Tasks!$A:$A,ROW()-1)="","",IF(ISERROR(FIND(".",INDEX(Tasks!$A:$A,ROW()-1))),"","   ")&amp;INDEX(Tasks!$D:$D,ROW()-1))</f>
        <v/>
      </c>
      <c r="C401" s="16" t="str">
        <f aca="false">IF(INDEX(Tasks!$G:$G,ROW()-1)="","",INDEX(Tasks!$G:$G,ROW()-1))</f>
        <v/>
      </c>
      <c r="D401" s="16" t="str">
        <f aca="false">IF(INDEX(Tasks!$H:$H,ROW()-1)="","",INDEX(Tasks!$H:$H,ROW()-1))</f>
        <v/>
      </c>
      <c r="E401" s="17" t="str">
        <f aca="false">IF(INDEX(Tasks!$I:$I,ROW()-1)="","",INDEX(Tasks!$I:$I,ROW()-1))</f>
        <v/>
      </c>
      <c r="F401" s="17" t="str">
        <f aca="false">IF(INDEX(Tasks!$K:$K,ROW()-1)="","",INDEX(Tasks!$K:$K,ROW()-1))</f>
        <v/>
      </c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  <c r="AG401" s="18"/>
      <c r="AH401" s="18"/>
      <c r="AI401" s="18"/>
      <c r="AJ401" s="18"/>
      <c r="AK401" s="18"/>
      <c r="AL401" s="18"/>
      <c r="AM401" s="18"/>
      <c r="AN401" s="18"/>
      <c r="AO401" s="18"/>
      <c r="AP401" s="18"/>
      <c r="AQ401" s="18"/>
      <c r="AR401" s="18"/>
      <c r="AS401" s="18"/>
      <c r="AT401" s="18"/>
      <c r="AU401" s="18"/>
      <c r="AV401" s="18"/>
      <c r="AW401" s="18"/>
      <c r="AX401" s="18"/>
    </row>
    <row r="402" customFormat="false" ht="15" hidden="false" customHeight="false" outlineLevel="0" collapsed="false">
      <c r="A402" s="16" t="str">
        <f aca="false">IF(INDEX(Tasks!$A:$A,ROW()-1)="","",INDEX(Tasks!$A:$A,ROW()-1))</f>
        <v/>
      </c>
      <c r="B402" s="16" t="str">
        <f aca="false">IF(INDEX(Tasks!$A:$A,ROW()-1)="","",IF(ISERROR(FIND(".",INDEX(Tasks!$A:$A,ROW()-1))),"","   ")&amp;INDEX(Tasks!$D:$D,ROW()-1))</f>
        <v/>
      </c>
      <c r="C402" s="16" t="str">
        <f aca="false">IF(INDEX(Tasks!$G:$G,ROW()-1)="","",INDEX(Tasks!$G:$G,ROW()-1))</f>
        <v/>
      </c>
      <c r="D402" s="16" t="str">
        <f aca="false">IF(INDEX(Tasks!$H:$H,ROW()-1)="","",INDEX(Tasks!$H:$H,ROW()-1))</f>
        <v/>
      </c>
      <c r="E402" s="17" t="str">
        <f aca="false">IF(INDEX(Tasks!$I:$I,ROW()-1)="","",INDEX(Tasks!$I:$I,ROW()-1))</f>
        <v/>
      </c>
      <c r="F402" s="17" t="str">
        <f aca="false">IF(INDEX(Tasks!$K:$K,ROW()-1)="","",INDEX(Tasks!$K:$K,ROW()-1))</f>
        <v/>
      </c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  <c r="AG402" s="18"/>
      <c r="AH402" s="18"/>
      <c r="AI402" s="18"/>
      <c r="AJ402" s="18"/>
      <c r="AK402" s="18"/>
      <c r="AL402" s="18"/>
      <c r="AM402" s="18"/>
      <c r="AN402" s="18"/>
      <c r="AO402" s="18"/>
      <c r="AP402" s="18"/>
      <c r="AQ402" s="18"/>
      <c r="AR402" s="18"/>
      <c r="AS402" s="18"/>
      <c r="AT402" s="18"/>
      <c r="AU402" s="18"/>
      <c r="AV402" s="18"/>
      <c r="AW402" s="18"/>
      <c r="AX402" s="18"/>
    </row>
    <row r="403" customFormat="false" ht="15" hidden="false" customHeight="false" outlineLevel="0" collapsed="false">
      <c r="A403" s="16" t="str">
        <f aca="false">IF(INDEX(Tasks!$A:$A,ROW()-1)="","",INDEX(Tasks!$A:$A,ROW()-1))</f>
        <v/>
      </c>
      <c r="B403" s="16" t="str">
        <f aca="false">IF(INDEX(Tasks!$A:$A,ROW()-1)="","",IF(ISERROR(FIND(".",INDEX(Tasks!$A:$A,ROW()-1))),"","   ")&amp;INDEX(Tasks!$D:$D,ROW()-1))</f>
        <v/>
      </c>
      <c r="C403" s="16" t="str">
        <f aca="false">IF(INDEX(Tasks!$G:$G,ROW()-1)="","",INDEX(Tasks!$G:$G,ROW()-1))</f>
        <v/>
      </c>
      <c r="D403" s="16" t="str">
        <f aca="false">IF(INDEX(Tasks!$H:$H,ROW()-1)="","",INDEX(Tasks!$H:$H,ROW()-1))</f>
        <v/>
      </c>
      <c r="E403" s="17" t="str">
        <f aca="false">IF(INDEX(Tasks!$I:$I,ROW()-1)="","",INDEX(Tasks!$I:$I,ROW()-1))</f>
        <v/>
      </c>
      <c r="F403" s="17" t="str">
        <f aca="false">IF(INDEX(Tasks!$K:$K,ROW()-1)="","",INDEX(Tasks!$K:$K,ROW()-1))</f>
        <v/>
      </c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  <c r="AG403" s="18"/>
      <c r="AH403" s="18"/>
      <c r="AI403" s="18"/>
      <c r="AJ403" s="18"/>
      <c r="AK403" s="18"/>
      <c r="AL403" s="18"/>
      <c r="AM403" s="18"/>
      <c r="AN403" s="18"/>
      <c r="AO403" s="18"/>
      <c r="AP403" s="18"/>
      <c r="AQ403" s="18"/>
      <c r="AR403" s="18"/>
      <c r="AS403" s="18"/>
      <c r="AT403" s="18"/>
      <c r="AU403" s="18"/>
      <c r="AV403" s="18"/>
      <c r="AW403" s="18"/>
      <c r="AX403" s="18"/>
    </row>
    <row r="404" customFormat="false" ht="15" hidden="false" customHeight="false" outlineLevel="0" collapsed="false">
      <c r="A404" s="16" t="str">
        <f aca="false">IF(INDEX(Tasks!$A:$A,ROW()-1)="","",INDEX(Tasks!$A:$A,ROW()-1))</f>
        <v/>
      </c>
      <c r="B404" s="16" t="str">
        <f aca="false">IF(INDEX(Tasks!$A:$A,ROW()-1)="","",IF(ISERROR(FIND(".",INDEX(Tasks!$A:$A,ROW()-1))),"","   ")&amp;INDEX(Tasks!$D:$D,ROW()-1))</f>
        <v/>
      </c>
      <c r="C404" s="16" t="str">
        <f aca="false">IF(INDEX(Tasks!$G:$G,ROW()-1)="","",INDEX(Tasks!$G:$G,ROW()-1))</f>
        <v/>
      </c>
      <c r="D404" s="16" t="str">
        <f aca="false">IF(INDEX(Tasks!$H:$H,ROW()-1)="","",INDEX(Tasks!$H:$H,ROW()-1))</f>
        <v/>
      </c>
      <c r="E404" s="17" t="str">
        <f aca="false">IF(INDEX(Tasks!$I:$I,ROW()-1)="","",INDEX(Tasks!$I:$I,ROW()-1))</f>
        <v/>
      </c>
      <c r="F404" s="17" t="str">
        <f aca="false">IF(INDEX(Tasks!$K:$K,ROW()-1)="","",INDEX(Tasks!$K:$K,ROW()-1))</f>
        <v/>
      </c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  <c r="AG404" s="18"/>
      <c r="AH404" s="18"/>
      <c r="AI404" s="18"/>
      <c r="AJ404" s="18"/>
      <c r="AK404" s="18"/>
      <c r="AL404" s="18"/>
      <c r="AM404" s="18"/>
      <c r="AN404" s="18"/>
      <c r="AO404" s="18"/>
      <c r="AP404" s="18"/>
      <c r="AQ404" s="18"/>
      <c r="AR404" s="18"/>
      <c r="AS404" s="18"/>
      <c r="AT404" s="18"/>
      <c r="AU404" s="18"/>
      <c r="AV404" s="18"/>
      <c r="AW404" s="18"/>
      <c r="AX404" s="18"/>
    </row>
  </sheetData>
  <mergeCells count="1">
    <mergeCell ref="A2:B2"/>
  </mergeCells>
  <conditionalFormatting sqref="G5:AX404">
    <cfRule type="expression" priority="2" aboveAverage="0" equalAverage="0" bottom="0" percent="0" rank="0" text="" dxfId="0">
      <formula>AND(AND(ISNUMBER($E5),ISNUMBER($F5),G$4&lt;=$F5,G$4+6&gt;=$E5),ISNUMBER(SEARCH("-M",$A5)))</formula>
    </cfRule>
    <cfRule type="expression" priority="3" aboveAverage="0" equalAverage="0" bottom="0" percent="0" rank="0" text="" dxfId="1">
      <formula>AND(AND(ISNUMBER($E5),ISNUMBER($F5),G$4&lt;=$F5,G$4+6&gt;=$E5),$D5="Complete",NOT(ISNUMBER(SEARCH("-M",$A5))))</formula>
    </cfRule>
    <cfRule type="expression" priority="4" aboveAverage="0" equalAverage="0" bottom="0" percent="0" rank="0" text="" dxfId="2">
      <formula>AND(AND(ISNUMBER($E5),ISNUMBER($F5),G$4&lt;=$F5,G$4+6&gt;=$E5),$D5="In Progress",NOT(ISNUMBER(SEARCH("-M",$A5))))</formula>
    </cfRule>
    <cfRule type="expression" priority="5" aboveAverage="0" equalAverage="0" bottom="0" percent="0" rank="0" text="" dxfId="3">
      <formula>AND(AND(ISNUMBER($E5),ISNUMBER($F5),G$4&lt;=$F5,G$4+6&gt;=$E5),$D5="Partially Completed",NOT(ISNUMBER(SEARCH("-M",$A5))))</formula>
    </cfRule>
    <cfRule type="expression" priority="6" aboveAverage="0" equalAverage="0" bottom="0" percent="0" rank="0" text="" dxfId="4">
      <formula>AND(AND(ISNUMBER($E5),ISNUMBER($F5),G$4&lt;=$F5,G$4+6&gt;=$E5),$D5="Blocked",NOT(ISNUMBER(SEARCH("-M",$A5))))</formula>
    </cfRule>
    <cfRule type="expression" priority="7" aboveAverage="0" equalAverage="0" bottom="0" percent="0" rank="0" text="" dxfId="5">
      <formula>AND(AND(ISNUMBER($E5),ISNUMBER($F5),G$4&lt;=$F5,G$4+6&gt;=$E5),OR($D5="Not Started",$D5=""),NOT(ISNUMBER(SEARCH("-M",$A5))))</formula>
    </cfRule>
    <cfRule type="expression" priority="8" aboveAverage="0" equalAverage="0" bottom="0" percent="0" rank="0" text="" dxfId="6">
      <formula>AND(AND(G$4&lt;=TODAY(),G$4+6&gt;=TODAY()),NOT(AND(ISNUMBER($E5),ISNUMBER($F5),G$4&lt;=$F5,G$4+6&gt;=$E5)))</formula>
    </cfRule>
  </conditionalFormatting>
  <conditionalFormatting sqref="G4:AX4">
    <cfRule type="expression" priority="9" aboveAverage="0" equalAverage="0" bottom="0" percent="0" rank="0" text="" dxfId="4">
      <formula>AND(G$4&lt;=TODAY(),G$4+6&gt;=TODAY())</formula>
    </cfRule>
  </conditionalFormatting>
  <conditionalFormatting sqref="D5:D404">
    <cfRule type="expression" priority="10" aboveAverage="0" equalAverage="0" bottom="0" percent="0" rank="0" text="" dxfId="7">
      <formula>D5="Not Started"</formula>
    </cfRule>
    <cfRule type="expression" priority="11" aboveAverage="0" equalAverage="0" bottom="0" percent="0" rank="0" text="" dxfId="8">
      <formula>D5="In Progress"</formula>
    </cfRule>
    <cfRule type="expression" priority="12" aboveAverage="0" equalAverage="0" bottom="0" percent="0" rank="0" text="" dxfId="9">
      <formula>D5="Blocked"</formula>
    </cfRule>
    <cfRule type="expression" priority="13" aboveAverage="0" equalAverage="0" bottom="0" percent="0" rank="0" text="" dxfId="10">
      <formula>D5="Complete"</formula>
    </cfRule>
    <cfRule type="expression" priority="14" aboveAverage="0" equalAverage="0" bottom="0" percent="0" rank="0" text="" dxfId="6">
      <formula>D5="Partially Completed"</formula>
    </cfRule>
  </conditionalFormatting>
  <conditionalFormatting sqref="F5:F404">
    <cfRule type="expression" priority="15" aboveAverage="0" equalAverage="0" bottom="0" percent="0" rank="0" text="" dxfId="11">
      <formula>AND(ISNUMBER($F5),$F5&lt;TODAY(),$D5&lt;&gt;"Complete")</formula>
    </cfRule>
  </conditionalFormatting>
  <conditionalFormatting sqref="A5:C404 E5:F404">
    <cfRule type="expression" priority="16" aboveAverage="0" equalAverage="0" bottom="0" percent="0" rank="0" text="" dxfId="12">
      <formula>AND($A5&lt;&gt;"",ISERROR(FIND(".",$A5)))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20"/>
    <col collapsed="false" customWidth="true" hidden="false" outlineLevel="0" max="4" min="4" style="0" width="12"/>
    <col collapsed="false" customWidth="true" hidden="false" outlineLevel="0" max="5" min="5" style="0" width="17"/>
    <col collapsed="false" customWidth="true" hidden="false" outlineLevel="0" max="6" min="6" style="0" width="10"/>
    <col collapsed="false" customWidth="true" hidden="false" outlineLevel="0" max="7" min="7" style="0" width="13"/>
    <col collapsed="false" customWidth="true" hidden="false" outlineLevel="0" max="8" min="8" style="0" width="50"/>
    <col collapsed="false" customWidth="true" hidden="false" outlineLevel="0" max="10" min="9" style="0" width="30"/>
    <col collapsed="false" customWidth="true" hidden="false" outlineLevel="0" max="11" min="11" style="0" width="40"/>
    <col collapsed="false" customWidth="true" hidden="false" outlineLevel="0" max="12" min="12" style="0" width="11"/>
    <col collapsed="false" customWidth="true" hidden="false" outlineLevel="0" max="13" min="13" style="0" width="26"/>
  </cols>
  <sheetData>
    <row r="1" customFormat="false" ht="17.35" hidden="false" customHeight="false" outlineLevel="0" collapsed="false">
      <c r="A1" s="1" t="s">
        <v>9</v>
      </c>
    </row>
    <row r="2" customFormat="false" ht="15" hidden="false" customHeight="false" outlineLevel="0" collapsed="false">
      <c r="A2" s="2" t="s">
        <v>578</v>
      </c>
      <c r="E2" s="36" t="s">
        <v>579</v>
      </c>
    </row>
    <row r="3" customFormat="false" ht="30" hidden="false" customHeight="true" outlineLevel="0" collapsed="false">
      <c r="A3" s="19" t="s">
        <v>580</v>
      </c>
      <c r="B3" s="19" t="s">
        <v>581</v>
      </c>
      <c r="C3" s="19" t="s">
        <v>45</v>
      </c>
      <c r="D3" s="19" t="s">
        <v>582</v>
      </c>
      <c r="E3" s="19" t="s">
        <v>60</v>
      </c>
      <c r="F3" s="19" t="s">
        <v>583</v>
      </c>
      <c r="G3" s="19" t="s">
        <v>89</v>
      </c>
      <c r="H3" s="19" t="s">
        <v>584</v>
      </c>
      <c r="I3" s="19" t="s">
        <v>585</v>
      </c>
      <c r="J3" s="19" t="s">
        <v>586</v>
      </c>
      <c r="K3" s="19" t="s">
        <v>587</v>
      </c>
      <c r="L3" s="19" t="s">
        <v>588</v>
      </c>
      <c r="M3" s="19" t="s">
        <v>104</v>
      </c>
    </row>
    <row r="4" customFormat="false" ht="35.05" hidden="false" customHeight="false" outlineLevel="0" collapsed="false">
      <c r="A4" s="4" t="s">
        <v>589</v>
      </c>
      <c r="B4" s="37" t="n">
        <v>46302</v>
      </c>
      <c r="C4" s="4" t="s">
        <v>56</v>
      </c>
      <c r="D4" s="4" t="s">
        <v>203</v>
      </c>
      <c r="E4" s="4" t="s">
        <v>67</v>
      </c>
      <c r="F4" s="4" t="s">
        <v>77</v>
      </c>
      <c r="G4" s="4" t="s">
        <v>72</v>
      </c>
      <c r="H4" s="4" t="s">
        <v>590</v>
      </c>
      <c r="I4" s="4" t="s">
        <v>591</v>
      </c>
      <c r="J4" s="4" t="s">
        <v>592</v>
      </c>
      <c r="K4" s="4" t="s">
        <v>593</v>
      </c>
      <c r="L4" s="37"/>
      <c r="M4" s="4"/>
    </row>
    <row r="5" customFormat="false" ht="23.85" hidden="false" customHeight="false" outlineLevel="0" collapsed="false">
      <c r="A5" s="4" t="s">
        <v>594</v>
      </c>
      <c r="B5" s="37" t="n">
        <v>46302</v>
      </c>
      <c r="C5" s="4" t="s">
        <v>57</v>
      </c>
      <c r="D5" s="4" t="s">
        <v>144</v>
      </c>
      <c r="E5" s="4" t="s">
        <v>62</v>
      </c>
      <c r="F5" s="4" t="s">
        <v>77</v>
      </c>
      <c r="G5" s="4" t="s">
        <v>71</v>
      </c>
      <c r="H5" s="4" t="s">
        <v>595</v>
      </c>
      <c r="I5" s="4" t="s">
        <v>596</v>
      </c>
      <c r="J5" s="4" t="s">
        <v>597</v>
      </c>
      <c r="K5" s="4" t="s">
        <v>598</v>
      </c>
      <c r="L5" s="37"/>
      <c r="M5" s="4"/>
    </row>
    <row r="6" customFormat="false" ht="23.85" hidden="false" customHeight="false" outlineLevel="0" collapsed="false">
      <c r="A6" s="4" t="s">
        <v>599</v>
      </c>
      <c r="B6" s="37" t="n">
        <v>46302</v>
      </c>
      <c r="C6" s="4" t="s">
        <v>56</v>
      </c>
      <c r="D6" s="4" t="s">
        <v>203</v>
      </c>
      <c r="E6" s="4" t="s">
        <v>67</v>
      </c>
      <c r="F6" s="4" t="s">
        <v>77</v>
      </c>
      <c r="G6" s="4" t="s">
        <v>72</v>
      </c>
      <c r="H6" s="4" t="s">
        <v>600</v>
      </c>
      <c r="I6" s="4" t="s">
        <v>601</v>
      </c>
      <c r="J6" s="4" t="s">
        <v>602</v>
      </c>
      <c r="K6" s="4" t="s">
        <v>603</v>
      </c>
      <c r="L6" s="37"/>
      <c r="M6" s="4"/>
    </row>
    <row r="7" customFormat="false" ht="23.85" hidden="false" customHeight="false" outlineLevel="0" collapsed="false">
      <c r="A7" s="4" t="s">
        <v>604</v>
      </c>
      <c r="B7" s="37" t="n">
        <v>46302</v>
      </c>
      <c r="C7" s="4" t="s">
        <v>57</v>
      </c>
      <c r="D7" s="4" t="s">
        <v>135</v>
      </c>
      <c r="E7" s="4" t="s">
        <v>62</v>
      </c>
      <c r="F7" s="4" t="s">
        <v>77</v>
      </c>
      <c r="G7" s="4" t="s">
        <v>71</v>
      </c>
      <c r="H7" s="4" t="s">
        <v>605</v>
      </c>
      <c r="I7" s="4" t="s">
        <v>606</v>
      </c>
      <c r="J7" s="4"/>
      <c r="K7" s="4"/>
      <c r="L7" s="37"/>
      <c r="M7" s="4"/>
    </row>
    <row r="8" customFormat="false" ht="23.85" hidden="false" customHeight="false" outlineLevel="0" collapsed="false">
      <c r="A8" s="4" t="s">
        <v>607</v>
      </c>
      <c r="B8" s="37" t="n">
        <v>46302</v>
      </c>
      <c r="C8" s="4" t="s">
        <v>56</v>
      </c>
      <c r="D8" s="4" t="s">
        <v>189</v>
      </c>
      <c r="E8" s="4" t="s">
        <v>67</v>
      </c>
      <c r="F8" s="4" t="s">
        <v>78</v>
      </c>
      <c r="G8" s="4" t="s">
        <v>71</v>
      </c>
      <c r="H8" s="4" t="s">
        <v>608</v>
      </c>
      <c r="I8" s="4" t="s">
        <v>609</v>
      </c>
      <c r="J8" s="4" t="s">
        <v>610</v>
      </c>
      <c r="K8" s="4"/>
      <c r="L8" s="37"/>
      <c r="M8" s="4"/>
    </row>
    <row r="9" customFormat="false" ht="23.85" hidden="false" customHeight="false" outlineLevel="0" collapsed="false">
      <c r="A9" s="4" t="s">
        <v>611</v>
      </c>
      <c r="B9" s="37" t="n">
        <v>46302</v>
      </c>
      <c r="C9" s="4" t="s">
        <v>57</v>
      </c>
      <c r="D9" s="4" t="s">
        <v>108</v>
      </c>
      <c r="E9" s="4" t="s">
        <v>62</v>
      </c>
      <c r="F9" s="4" t="s">
        <v>78</v>
      </c>
      <c r="G9" s="4" t="s">
        <v>71</v>
      </c>
      <c r="H9" s="4" t="s">
        <v>612</v>
      </c>
      <c r="I9" s="4" t="s">
        <v>613</v>
      </c>
      <c r="J9" s="4"/>
      <c r="K9" s="4"/>
      <c r="L9" s="37"/>
      <c r="M9" s="4"/>
    </row>
    <row r="10" customFormat="false" ht="23.85" hidden="false" customHeight="false" outlineLevel="0" collapsed="false">
      <c r="A10" s="4" t="s">
        <v>614</v>
      </c>
      <c r="B10" s="37" t="n">
        <v>46302</v>
      </c>
      <c r="C10" s="4" t="s">
        <v>56</v>
      </c>
      <c r="D10" s="4" t="s">
        <v>221</v>
      </c>
      <c r="E10" s="4" t="s">
        <v>67</v>
      </c>
      <c r="F10" s="4" t="s">
        <v>78</v>
      </c>
      <c r="G10" s="4" t="s">
        <v>71</v>
      </c>
      <c r="H10" s="4" t="s">
        <v>615</v>
      </c>
      <c r="I10" s="4" t="s">
        <v>616</v>
      </c>
      <c r="J10" s="4" t="s">
        <v>617</v>
      </c>
      <c r="K10" s="4" t="s">
        <v>618</v>
      </c>
      <c r="L10" s="37"/>
      <c r="M10" s="4"/>
    </row>
    <row r="11" customFormat="false" ht="23.85" hidden="false" customHeight="false" outlineLevel="0" collapsed="false">
      <c r="A11" s="4" t="s">
        <v>619</v>
      </c>
      <c r="B11" s="37" t="n">
        <v>46302</v>
      </c>
      <c r="C11" s="4" t="s">
        <v>56</v>
      </c>
      <c r="D11" s="4" t="s">
        <v>241</v>
      </c>
      <c r="E11" s="4" t="s">
        <v>67</v>
      </c>
      <c r="F11" s="4" t="s">
        <v>78</v>
      </c>
      <c r="G11" s="4" t="s">
        <v>71</v>
      </c>
      <c r="H11" s="4" t="s">
        <v>620</v>
      </c>
      <c r="I11" s="4" t="s">
        <v>621</v>
      </c>
      <c r="J11" s="4" t="s">
        <v>622</v>
      </c>
      <c r="K11" s="4" t="s">
        <v>623</v>
      </c>
      <c r="L11" s="37"/>
      <c r="M11" s="4"/>
    </row>
    <row r="12" customFormat="false" ht="23.85" hidden="false" customHeight="false" outlineLevel="0" collapsed="false">
      <c r="A12" s="4" t="s">
        <v>624</v>
      </c>
      <c r="B12" s="37" t="n">
        <v>46302</v>
      </c>
      <c r="C12" s="4" t="s">
        <v>55</v>
      </c>
      <c r="D12" s="4" t="s">
        <v>277</v>
      </c>
      <c r="E12" s="4" t="s">
        <v>62</v>
      </c>
      <c r="F12" s="4" t="s">
        <v>76</v>
      </c>
      <c r="G12" s="4" t="s">
        <v>71</v>
      </c>
      <c r="H12" s="4" t="s">
        <v>625</v>
      </c>
      <c r="I12" s="4" t="s">
        <v>626</v>
      </c>
      <c r="J12" s="4" t="s">
        <v>627</v>
      </c>
      <c r="K12" s="4" t="s">
        <v>628</v>
      </c>
      <c r="L12" s="37"/>
      <c r="M12" s="4"/>
    </row>
    <row r="13" customFormat="false" ht="23.85" hidden="false" customHeight="false" outlineLevel="0" collapsed="false">
      <c r="A13" s="4" t="s">
        <v>629</v>
      </c>
      <c r="B13" s="37" t="n">
        <v>46302</v>
      </c>
      <c r="C13" s="4" t="s">
        <v>55</v>
      </c>
      <c r="D13" s="4" t="s">
        <v>282</v>
      </c>
      <c r="E13" s="4" t="s">
        <v>62</v>
      </c>
      <c r="F13" s="4" t="s">
        <v>77</v>
      </c>
      <c r="G13" s="4" t="s">
        <v>72</v>
      </c>
      <c r="H13" s="4" t="s">
        <v>630</v>
      </c>
      <c r="I13" s="4" t="s">
        <v>631</v>
      </c>
      <c r="J13" s="4" t="s">
        <v>632</v>
      </c>
      <c r="K13" s="4" t="s">
        <v>633</v>
      </c>
      <c r="L13" s="37"/>
      <c r="M13" s="4"/>
    </row>
    <row r="14" customFormat="false" ht="15" hidden="false" customHeight="false" outlineLevel="0" collapsed="false">
      <c r="A14" s="4"/>
      <c r="B14" s="37"/>
      <c r="C14" s="4"/>
      <c r="D14" s="4"/>
      <c r="E14" s="4"/>
      <c r="F14" s="4"/>
      <c r="G14" s="4"/>
      <c r="H14" s="4"/>
      <c r="I14" s="4"/>
      <c r="J14" s="4"/>
      <c r="K14" s="4"/>
      <c r="L14" s="37"/>
      <c r="M14" s="4"/>
    </row>
    <row r="15" customFormat="false" ht="15" hidden="false" customHeight="false" outlineLevel="0" collapsed="false">
      <c r="A15" s="4"/>
      <c r="B15" s="37"/>
      <c r="C15" s="4"/>
      <c r="D15" s="4"/>
      <c r="E15" s="4"/>
      <c r="F15" s="4"/>
      <c r="G15" s="4"/>
      <c r="H15" s="4"/>
      <c r="I15" s="4"/>
      <c r="J15" s="4"/>
      <c r="K15" s="4"/>
      <c r="L15" s="37"/>
      <c r="M15" s="4"/>
    </row>
    <row r="16" customFormat="false" ht="15" hidden="false" customHeight="false" outlineLevel="0" collapsed="false">
      <c r="A16" s="4"/>
      <c r="B16" s="37"/>
      <c r="C16" s="4"/>
      <c r="D16" s="4"/>
      <c r="E16" s="4"/>
      <c r="F16" s="4"/>
      <c r="G16" s="4"/>
      <c r="H16" s="4"/>
      <c r="I16" s="4"/>
      <c r="J16" s="4"/>
      <c r="K16" s="4"/>
      <c r="L16" s="37"/>
      <c r="M16" s="4"/>
    </row>
    <row r="17" customFormat="false" ht="15" hidden="false" customHeight="false" outlineLevel="0" collapsed="false">
      <c r="A17" s="4"/>
      <c r="B17" s="37"/>
      <c r="C17" s="4"/>
      <c r="D17" s="4"/>
      <c r="E17" s="4"/>
      <c r="F17" s="4"/>
      <c r="G17" s="4"/>
      <c r="H17" s="4"/>
      <c r="I17" s="4"/>
      <c r="J17" s="4"/>
      <c r="K17" s="4"/>
      <c r="L17" s="37"/>
      <c r="M17" s="4"/>
    </row>
    <row r="18" customFormat="false" ht="15" hidden="false" customHeight="false" outlineLevel="0" collapsed="false">
      <c r="A18" s="4"/>
      <c r="B18" s="37"/>
      <c r="C18" s="4"/>
      <c r="D18" s="4"/>
      <c r="E18" s="4"/>
      <c r="F18" s="4"/>
      <c r="G18" s="4"/>
      <c r="H18" s="4"/>
      <c r="I18" s="4"/>
      <c r="J18" s="4"/>
      <c r="K18" s="4"/>
      <c r="L18" s="37"/>
      <c r="M18" s="4"/>
    </row>
    <row r="19" customFormat="false" ht="15" hidden="false" customHeight="false" outlineLevel="0" collapsed="false">
      <c r="A19" s="4"/>
      <c r="B19" s="37"/>
      <c r="C19" s="4"/>
      <c r="D19" s="4"/>
      <c r="E19" s="4"/>
      <c r="F19" s="4"/>
      <c r="G19" s="4"/>
      <c r="H19" s="4"/>
      <c r="I19" s="4"/>
      <c r="J19" s="4"/>
      <c r="K19" s="4"/>
      <c r="L19" s="37"/>
      <c r="M19" s="4"/>
    </row>
    <row r="20" customFormat="false" ht="15" hidden="false" customHeight="false" outlineLevel="0" collapsed="false">
      <c r="A20" s="4"/>
      <c r="B20" s="37"/>
      <c r="C20" s="4"/>
      <c r="D20" s="4"/>
      <c r="E20" s="4"/>
      <c r="F20" s="4"/>
      <c r="G20" s="4"/>
      <c r="H20" s="4"/>
      <c r="I20" s="4"/>
      <c r="J20" s="4"/>
      <c r="K20" s="4"/>
      <c r="L20" s="37"/>
      <c r="M20" s="4"/>
    </row>
    <row r="21" customFormat="false" ht="15" hidden="false" customHeight="false" outlineLevel="0" collapsed="false">
      <c r="A21" s="4"/>
      <c r="B21" s="37"/>
      <c r="C21" s="4"/>
      <c r="D21" s="4"/>
      <c r="E21" s="4"/>
      <c r="F21" s="4"/>
      <c r="G21" s="4"/>
      <c r="H21" s="4"/>
      <c r="I21" s="4"/>
      <c r="J21" s="4"/>
      <c r="K21" s="4"/>
      <c r="L21" s="37"/>
      <c r="M21" s="4"/>
    </row>
    <row r="22" customFormat="false" ht="15" hidden="false" customHeight="false" outlineLevel="0" collapsed="false">
      <c r="A22" s="4"/>
      <c r="B22" s="37"/>
      <c r="C22" s="4"/>
      <c r="D22" s="4"/>
      <c r="E22" s="4"/>
      <c r="F22" s="4"/>
      <c r="G22" s="4"/>
      <c r="H22" s="4"/>
      <c r="I22" s="4"/>
      <c r="J22" s="4"/>
      <c r="K22" s="4"/>
      <c r="L22" s="37"/>
      <c r="M22" s="4"/>
    </row>
    <row r="23" customFormat="false" ht="15" hidden="false" customHeight="false" outlineLevel="0" collapsed="false">
      <c r="A23" s="4"/>
      <c r="B23" s="37"/>
      <c r="C23" s="4"/>
      <c r="D23" s="4"/>
      <c r="E23" s="4"/>
      <c r="F23" s="4"/>
      <c r="G23" s="4"/>
      <c r="H23" s="4"/>
      <c r="I23" s="4"/>
      <c r="J23" s="4"/>
      <c r="K23" s="4"/>
      <c r="L23" s="37"/>
      <c r="M23" s="4"/>
    </row>
    <row r="24" customFormat="false" ht="15" hidden="false" customHeight="false" outlineLevel="0" collapsed="false">
      <c r="A24" s="4"/>
      <c r="B24" s="37"/>
      <c r="C24" s="4"/>
      <c r="D24" s="4"/>
      <c r="E24" s="4"/>
      <c r="F24" s="4"/>
      <c r="G24" s="4"/>
      <c r="H24" s="4"/>
      <c r="I24" s="4"/>
      <c r="J24" s="4"/>
      <c r="K24" s="4"/>
      <c r="L24" s="37"/>
      <c r="M24" s="4"/>
    </row>
    <row r="25" customFormat="false" ht="15" hidden="false" customHeight="false" outlineLevel="0" collapsed="false">
      <c r="A25" s="4"/>
      <c r="B25" s="37"/>
      <c r="C25" s="4"/>
      <c r="D25" s="4"/>
      <c r="E25" s="4"/>
      <c r="F25" s="4"/>
      <c r="G25" s="4"/>
      <c r="H25" s="4"/>
      <c r="I25" s="4"/>
      <c r="J25" s="4"/>
      <c r="K25" s="4"/>
      <c r="L25" s="37"/>
      <c r="M25" s="4"/>
    </row>
    <row r="26" customFormat="false" ht="15" hidden="false" customHeight="false" outlineLevel="0" collapsed="false">
      <c r="A26" s="4"/>
      <c r="B26" s="37"/>
      <c r="C26" s="4"/>
      <c r="D26" s="4"/>
      <c r="E26" s="4"/>
      <c r="F26" s="4"/>
      <c r="G26" s="4"/>
      <c r="H26" s="4"/>
      <c r="I26" s="4"/>
      <c r="J26" s="4"/>
      <c r="K26" s="4"/>
      <c r="L26" s="37"/>
      <c r="M26" s="4"/>
    </row>
    <row r="27" customFormat="false" ht="15" hidden="false" customHeight="false" outlineLevel="0" collapsed="false">
      <c r="A27" s="4"/>
      <c r="B27" s="37"/>
      <c r="C27" s="4"/>
      <c r="D27" s="4"/>
      <c r="E27" s="4"/>
      <c r="F27" s="4"/>
      <c r="G27" s="4"/>
      <c r="H27" s="4"/>
      <c r="I27" s="4"/>
      <c r="J27" s="4"/>
      <c r="K27" s="4"/>
      <c r="L27" s="37"/>
      <c r="M27" s="4"/>
    </row>
    <row r="28" customFormat="false" ht="15" hidden="false" customHeight="false" outlineLevel="0" collapsed="false">
      <c r="A28" s="4"/>
      <c r="B28" s="37"/>
      <c r="C28" s="4"/>
      <c r="D28" s="4"/>
      <c r="E28" s="4"/>
      <c r="F28" s="4"/>
      <c r="G28" s="4"/>
      <c r="H28" s="4"/>
      <c r="I28" s="4"/>
      <c r="J28" s="4"/>
      <c r="K28" s="4"/>
      <c r="L28" s="37"/>
      <c r="M28" s="4"/>
    </row>
    <row r="29" customFormat="false" ht="15" hidden="false" customHeight="false" outlineLevel="0" collapsed="false">
      <c r="A29" s="4"/>
      <c r="B29" s="37"/>
      <c r="C29" s="4"/>
      <c r="D29" s="4"/>
      <c r="E29" s="4"/>
      <c r="F29" s="4"/>
      <c r="G29" s="4"/>
      <c r="H29" s="4"/>
      <c r="I29" s="4"/>
      <c r="J29" s="4"/>
      <c r="K29" s="4"/>
      <c r="L29" s="37"/>
      <c r="M29" s="4"/>
    </row>
    <row r="30" customFormat="false" ht="15" hidden="false" customHeight="false" outlineLevel="0" collapsed="false">
      <c r="A30" s="4"/>
      <c r="B30" s="37"/>
      <c r="C30" s="4"/>
      <c r="D30" s="4"/>
      <c r="E30" s="4"/>
      <c r="F30" s="4"/>
      <c r="G30" s="4"/>
      <c r="H30" s="4"/>
      <c r="I30" s="4"/>
      <c r="J30" s="4"/>
      <c r="K30" s="4"/>
      <c r="L30" s="37"/>
      <c r="M30" s="4"/>
    </row>
    <row r="31" customFormat="false" ht="15" hidden="false" customHeight="false" outlineLevel="0" collapsed="false">
      <c r="A31" s="4"/>
      <c r="B31" s="37"/>
      <c r="C31" s="4"/>
      <c r="D31" s="4"/>
      <c r="E31" s="4"/>
      <c r="F31" s="4"/>
      <c r="G31" s="4"/>
      <c r="H31" s="4"/>
      <c r="I31" s="4"/>
      <c r="J31" s="4"/>
      <c r="K31" s="4"/>
      <c r="L31" s="37"/>
      <c r="M31" s="4"/>
    </row>
    <row r="32" customFormat="false" ht="15" hidden="false" customHeight="false" outlineLevel="0" collapsed="false">
      <c r="A32" s="4"/>
      <c r="B32" s="37"/>
      <c r="C32" s="4"/>
      <c r="D32" s="4"/>
      <c r="E32" s="4"/>
      <c r="F32" s="4"/>
      <c r="G32" s="4"/>
      <c r="H32" s="4"/>
      <c r="I32" s="4"/>
      <c r="J32" s="4"/>
      <c r="K32" s="4"/>
      <c r="L32" s="37"/>
      <c r="M32" s="4"/>
    </row>
    <row r="33" customFormat="false" ht="15" hidden="false" customHeight="false" outlineLevel="0" collapsed="false">
      <c r="A33" s="4"/>
      <c r="B33" s="37"/>
      <c r="C33" s="4"/>
      <c r="D33" s="4"/>
      <c r="E33" s="4"/>
      <c r="F33" s="4"/>
      <c r="G33" s="4"/>
      <c r="H33" s="4"/>
      <c r="I33" s="4"/>
      <c r="J33" s="4"/>
      <c r="K33" s="4"/>
      <c r="L33" s="37"/>
      <c r="M33" s="4"/>
    </row>
    <row r="34" customFormat="false" ht="15" hidden="false" customHeight="false" outlineLevel="0" collapsed="false">
      <c r="A34" s="4"/>
      <c r="B34" s="37"/>
      <c r="C34" s="4"/>
      <c r="D34" s="4"/>
      <c r="E34" s="4"/>
      <c r="F34" s="4"/>
      <c r="G34" s="4"/>
      <c r="H34" s="4"/>
      <c r="I34" s="4"/>
      <c r="J34" s="4"/>
      <c r="K34" s="4"/>
      <c r="L34" s="37"/>
      <c r="M34" s="4"/>
    </row>
    <row r="35" customFormat="false" ht="15" hidden="false" customHeight="false" outlineLevel="0" collapsed="false">
      <c r="A35" s="4"/>
      <c r="B35" s="37"/>
      <c r="C35" s="4"/>
      <c r="D35" s="4"/>
      <c r="E35" s="4"/>
      <c r="F35" s="4"/>
      <c r="G35" s="4"/>
      <c r="H35" s="4"/>
      <c r="I35" s="4"/>
      <c r="J35" s="4"/>
      <c r="K35" s="4"/>
      <c r="L35" s="37"/>
      <c r="M35" s="4"/>
    </row>
    <row r="36" customFormat="false" ht="15" hidden="false" customHeight="false" outlineLevel="0" collapsed="false">
      <c r="A36" s="4"/>
      <c r="B36" s="37"/>
      <c r="C36" s="4"/>
      <c r="D36" s="4"/>
      <c r="E36" s="4"/>
      <c r="F36" s="4"/>
      <c r="G36" s="4"/>
      <c r="H36" s="4"/>
      <c r="I36" s="4"/>
      <c r="J36" s="4"/>
      <c r="K36" s="4"/>
      <c r="L36" s="37"/>
      <c r="M36" s="4"/>
    </row>
    <row r="37" customFormat="false" ht="15" hidden="false" customHeight="false" outlineLevel="0" collapsed="false">
      <c r="A37" s="4"/>
      <c r="B37" s="37"/>
      <c r="C37" s="4"/>
      <c r="D37" s="4"/>
      <c r="E37" s="4"/>
      <c r="F37" s="4"/>
      <c r="G37" s="4"/>
      <c r="H37" s="4"/>
      <c r="I37" s="4"/>
      <c r="J37" s="4"/>
      <c r="K37" s="4"/>
      <c r="L37" s="37"/>
      <c r="M37" s="4"/>
    </row>
    <row r="38" customFormat="false" ht="15" hidden="false" customHeight="false" outlineLevel="0" collapsed="false">
      <c r="A38" s="4"/>
      <c r="B38" s="37"/>
      <c r="C38" s="4"/>
      <c r="D38" s="4"/>
      <c r="E38" s="4"/>
      <c r="F38" s="4"/>
      <c r="G38" s="4"/>
      <c r="H38" s="4"/>
      <c r="I38" s="4"/>
      <c r="J38" s="4"/>
      <c r="K38" s="4"/>
      <c r="L38" s="37"/>
      <c r="M38" s="4"/>
    </row>
    <row r="39" customFormat="false" ht="15" hidden="false" customHeight="false" outlineLevel="0" collapsed="false">
      <c r="A39" s="4"/>
      <c r="B39" s="37"/>
      <c r="C39" s="4"/>
      <c r="D39" s="4"/>
      <c r="E39" s="4"/>
      <c r="F39" s="4"/>
      <c r="G39" s="4"/>
      <c r="H39" s="4"/>
      <c r="I39" s="4"/>
      <c r="J39" s="4"/>
      <c r="K39" s="4"/>
      <c r="L39" s="37"/>
      <c r="M39" s="4"/>
    </row>
    <row r="40" customFormat="false" ht="15" hidden="false" customHeight="false" outlineLevel="0" collapsed="false">
      <c r="A40" s="4"/>
      <c r="B40" s="37"/>
      <c r="C40" s="4"/>
      <c r="D40" s="4"/>
      <c r="E40" s="4"/>
      <c r="F40" s="4"/>
      <c r="G40" s="4"/>
      <c r="H40" s="4"/>
      <c r="I40" s="4"/>
      <c r="J40" s="4"/>
      <c r="K40" s="4"/>
      <c r="L40" s="37"/>
      <c r="M40" s="4"/>
    </row>
    <row r="41" customFormat="false" ht="15" hidden="false" customHeight="false" outlineLevel="0" collapsed="false">
      <c r="A41" s="4"/>
      <c r="B41" s="37"/>
      <c r="C41" s="4"/>
      <c r="D41" s="4"/>
      <c r="E41" s="4"/>
      <c r="F41" s="4"/>
      <c r="G41" s="4"/>
      <c r="H41" s="4"/>
      <c r="I41" s="4"/>
      <c r="J41" s="4"/>
      <c r="K41" s="4"/>
      <c r="L41" s="37"/>
      <c r="M41" s="4"/>
    </row>
    <row r="42" customFormat="false" ht="15" hidden="false" customHeight="false" outlineLevel="0" collapsed="false">
      <c r="A42" s="4"/>
      <c r="B42" s="37"/>
      <c r="C42" s="4"/>
      <c r="D42" s="4"/>
      <c r="E42" s="4"/>
      <c r="F42" s="4"/>
      <c r="G42" s="4"/>
      <c r="H42" s="4"/>
      <c r="I42" s="4"/>
      <c r="J42" s="4"/>
      <c r="K42" s="4"/>
      <c r="L42" s="37"/>
      <c r="M42" s="4"/>
    </row>
    <row r="43" customFormat="false" ht="15" hidden="false" customHeight="false" outlineLevel="0" collapsed="false">
      <c r="A43" s="4"/>
      <c r="B43" s="37"/>
      <c r="C43" s="4"/>
      <c r="D43" s="4"/>
      <c r="E43" s="4"/>
      <c r="F43" s="4"/>
      <c r="G43" s="4"/>
      <c r="H43" s="4"/>
      <c r="I43" s="4"/>
      <c r="J43" s="4"/>
      <c r="K43" s="4"/>
      <c r="L43" s="37"/>
      <c r="M43" s="4"/>
    </row>
    <row r="44" customFormat="false" ht="15" hidden="false" customHeight="false" outlineLevel="0" collapsed="false">
      <c r="A44" s="4"/>
      <c r="B44" s="37"/>
      <c r="C44" s="4"/>
      <c r="D44" s="4"/>
      <c r="E44" s="4"/>
      <c r="F44" s="4"/>
      <c r="G44" s="4"/>
      <c r="H44" s="4"/>
      <c r="I44" s="4"/>
      <c r="J44" s="4"/>
      <c r="K44" s="4"/>
      <c r="L44" s="37"/>
      <c r="M44" s="4"/>
    </row>
    <row r="45" customFormat="false" ht="15" hidden="false" customHeight="false" outlineLevel="0" collapsed="false">
      <c r="A45" s="4"/>
      <c r="B45" s="37"/>
      <c r="C45" s="4"/>
      <c r="D45" s="4"/>
      <c r="E45" s="4"/>
      <c r="F45" s="4"/>
      <c r="G45" s="4"/>
      <c r="H45" s="4"/>
      <c r="I45" s="4"/>
      <c r="J45" s="4"/>
      <c r="K45" s="4"/>
      <c r="L45" s="37"/>
      <c r="M45" s="4"/>
    </row>
    <row r="46" customFormat="false" ht="15" hidden="false" customHeight="false" outlineLevel="0" collapsed="false">
      <c r="A46" s="4"/>
      <c r="B46" s="37"/>
      <c r="C46" s="4"/>
      <c r="D46" s="4"/>
      <c r="E46" s="4"/>
      <c r="F46" s="4"/>
      <c r="G46" s="4"/>
      <c r="H46" s="4"/>
      <c r="I46" s="4"/>
      <c r="J46" s="4"/>
      <c r="K46" s="4"/>
      <c r="L46" s="37"/>
      <c r="M46" s="4"/>
    </row>
    <row r="47" customFormat="false" ht="15" hidden="false" customHeight="false" outlineLevel="0" collapsed="false">
      <c r="A47" s="4"/>
      <c r="B47" s="37"/>
      <c r="C47" s="4"/>
      <c r="D47" s="4"/>
      <c r="E47" s="4"/>
      <c r="F47" s="4"/>
      <c r="G47" s="4"/>
      <c r="H47" s="4"/>
      <c r="I47" s="4"/>
      <c r="J47" s="4"/>
      <c r="K47" s="4"/>
      <c r="L47" s="37"/>
      <c r="M47" s="4"/>
    </row>
    <row r="48" customFormat="false" ht="15" hidden="false" customHeight="false" outlineLevel="0" collapsed="false">
      <c r="A48" s="4"/>
      <c r="B48" s="37"/>
      <c r="C48" s="4"/>
      <c r="D48" s="4"/>
      <c r="E48" s="4"/>
      <c r="F48" s="4"/>
      <c r="G48" s="4"/>
      <c r="H48" s="4"/>
      <c r="I48" s="4"/>
      <c r="J48" s="4"/>
      <c r="K48" s="4"/>
      <c r="L48" s="37"/>
      <c r="M48" s="4"/>
    </row>
    <row r="49" customFormat="false" ht="15" hidden="false" customHeight="false" outlineLevel="0" collapsed="false">
      <c r="A49" s="4"/>
      <c r="B49" s="37"/>
      <c r="C49" s="4"/>
      <c r="D49" s="4"/>
      <c r="E49" s="4"/>
      <c r="F49" s="4"/>
      <c r="G49" s="4"/>
      <c r="H49" s="4"/>
      <c r="I49" s="4"/>
      <c r="J49" s="4"/>
      <c r="K49" s="4"/>
      <c r="L49" s="37"/>
      <c r="M49" s="4"/>
    </row>
    <row r="50" customFormat="false" ht="15" hidden="false" customHeight="false" outlineLevel="0" collapsed="false">
      <c r="A50" s="4"/>
      <c r="B50" s="37"/>
      <c r="C50" s="4"/>
      <c r="D50" s="4"/>
      <c r="E50" s="4"/>
      <c r="F50" s="4"/>
      <c r="G50" s="4"/>
      <c r="H50" s="4"/>
      <c r="I50" s="4"/>
      <c r="J50" s="4"/>
      <c r="K50" s="4"/>
      <c r="L50" s="37"/>
      <c r="M50" s="4"/>
    </row>
    <row r="51" customFormat="false" ht="15" hidden="false" customHeight="false" outlineLevel="0" collapsed="false">
      <c r="A51" s="4"/>
      <c r="B51" s="37"/>
      <c r="C51" s="4"/>
      <c r="D51" s="4"/>
      <c r="E51" s="4"/>
      <c r="F51" s="4"/>
      <c r="G51" s="4"/>
      <c r="H51" s="4"/>
      <c r="I51" s="4"/>
      <c r="J51" s="4"/>
      <c r="K51" s="4"/>
      <c r="L51" s="37"/>
      <c r="M51" s="4"/>
    </row>
    <row r="52" customFormat="false" ht="15" hidden="false" customHeight="false" outlineLevel="0" collapsed="false">
      <c r="A52" s="4"/>
      <c r="B52" s="37"/>
      <c r="C52" s="4"/>
      <c r="D52" s="4"/>
      <c r="E52" s="4"/>
      <c r="F52" s="4"/>
      <c r="G52" s="4"/>
      <c r="H52" s="4"/>
      <c r="I52" s="4"/>
      <c r="J52" s="4"/>
      <c r="K52" s="4"/>
      <c r="L52" s="37"/>
      <c r="M52" s="4"/>
    </row>
    <row r="53" customFormat="false" ht="15" hidden="false" customHeight="false" outlineLevel="0" collapsed="false">
      <c r="A53" s="4"/>
      <c r="B53" s="37"/>
      <c r="C53" s="4"/>
      <c r="D53" s="4"/>
      <c r="E53" s="4"/>
      <c r="F53" s="4"/>
      <c r="G53" s="4"/>
      <c r="H53" s="4"/>
      <c r="I53" s="4"/>
      <c r="J53" s="4"/>
      <c r="K53" s="4"/>
      <c r="L53" s="37"/>
      <c r="M53" s="4"/>
    </row>
    <row r="54" customFormat="false" ht="15" hidden="false" customHeight="false" outlineLevel="0" collapsed="false">
      <c r="A54" s="4"/>
      <c r="B54" s="37"/>
      <c r="C54" s="4"/>
      <c r="D54" s="4"/>
      <c r="E54" s="4"/>
      <c r="F54" s="4"/>
      <c r="G54" s="4"/>
      <c r="H54" s="4"/>
      <c r="I54" s="4"/>
      <c r="J54" s="4"/>
      <c r="K54" s="4"/>
      <c r="L54" s="37"/>
      <c r="M54" s="4"/>
    </row>
    <row r="55" customFormat="false" ht="15" hidden="false" customHeight="false" outlineLevel="0" collapsed="false">
      <c r="A55" s="4"/>
      <c r="B55" s="37"/>
      <c r="C55" s="4"/>
      <c r="D55" s="4"/>
      <c r="E55" s="4"/>
      <c r="F55" s="4"/>
      <c r="G55" s="4"/>
      <c r="H55" s="4"/>
      <c r="I55" s="4"/>
      <c r="J55" s="4"/>
      <c r="K55" s="4"/>
      <c r="L55" s="37"/>
      <c r="M55" s="4"/>
    </row>
    <row r="56" customFormat="false" ht="15" hidden="false" customHeight="false" outlineLevel="0" collapsed="false">
      <c r="A56" s="4"/>
      <c r="B56" s="37"/>
      <c r="C56" s="4"/>
      <c r="D56" s="4"/>
      <c r="E56" s="4"/>
      <c r="F56" s="4"/>
      <c r="G56" s="4"/>
      <c r="H56" s="4"/>
      <c r="I56" s="4"/>
      <c r="J56" s="4"/>
      <c r="K56" s="4"/>
      <c r="L56" s="37"/>
      <c r="M56" s="4"/>
    </row>
    <row r="57" customFormat="false" ht="15" hidden="false" customHeight="false" outlineLevel="0" collapsed="false">
      <c r="A57" s="4"/>
      <c r="B57" s="37"/>
      <c r="C57" s="4"/>
      <c r="D57" s="4"/>
      <c r="E57" s="4"/>
      <c r="F57" s="4"/>
      <c r="G57" s="4"/>
      <c r="H57" s="4"/>
      <c r="I57" s="4"/>
      <c r="J57" s="4"/>
      <c r="K57" s="4"/>
      <c r="L57" s="37"/>
      <c r="M57" s="4"/>
    </row>
    <row r="58" customFormat="false" ht="15" hidden="false" customHeight="false" outlineLevel="0" collapsed="false">
      <c r="A58" s="4"/>
      <c r="B58" s="37"/>
      <c r="C58" s="4"/>
      <c r="D58" s="4"/>
      <c r="E58" s="4"/>
      <c r="F58" s="4"/>
      <c r="G58" s="4"/>
      <c r="H58" s="4"/>
      <c r="I58" s="4"/>
      <c r="J58" s="4"/>
      <c r="K58" s="4"/>
      <c r="L58" s="37"/>
      <c r="M58" s="4"/>
    </row>
    <row r="59" customFormat="false" ht="15" hidden="false" customHeight="false" outlineLevel="0" collapsed="false">
      <c r="A59" s="4"/>
      <c r="B59" s="37"/>
      <c r="C59" s="4"/>
      <c r="D59" s="4"/>
      <c r="E59" s="4"/>
      <c r="F59" s="4"/>
      <c r="G59" s="4"/>
      <c r="H59" s="4"/>
      <c r="I59" s="4"/>
      <c r="J59" s="4"/>
      <c r="K59" s="4"/>
      <c r="L59" s="37"/>
      <c r="M59" s="4"/>
    </row>
    <row r="60" customFormat="false" ht="15" hidden="false" customHeight="false" outlineLevel="0" collapsed="false">
      <c r="A60" s="4"/>
      <c r="B60" s="37"/>
      <c r="C60" s="4"/>
      <c r="D60" s="4"/>
      <c r="E60" s="4"/>
      <c r="F60" s="4"/>
      <c r="G60" s="4"/>
      <c r="H60" s="4"/>
      <c r="I60" s="4"/>
      <c r="J60" s="4"/>
      <c r="K60" s="4"/>
      <c r="L60" s="37"/>
      <c r="M60" s="4"/>
    </row>
    <row r="61" customFormat="false" ht="15" hidden="false" customHeight="false" outlineLevel="0" collapsed="false">
      <c r="A61" s="4"/>
      <c r="B61" s="37"/>
      <c r="C61" s="4"/>
      <c r="D61" s="4"/>
      <c r="E61" s="4"/>
      <c r="F61" s="4"/>
      <c r="G61" s="4"/>
      <c r="H61" s="4"/>
      <c r="I61" s="4"/>
      <c r="J61" s="4"/>
      <c r="K61" s="4"/>
      <c r="L61" s="37"/>
      <c r="M61" s="4"/>
    </row>
    <row r="62" customFormat="false" ht="15" hidden="false" customHeight="false" outlineLevel="0" collapsed="false">
      <c r="A62" s="4"/>
      <c r="B62" s="37"/>
      <c r="C62" s="4"/>
      <c r="D62" s="4"/>
      <c r="E62" s="4"/>
      <c r="F62" s="4"/>
      <c r="G62" s="4"/>
      <c r="H62" s="4"/>
      <c r="I62" s="4"/>
      <c r="J62" s="4"/>
      <c r="K62" s="4"/>
      <c r="L62" s="37"/>
      <c r="M62" s="4"/>
    </row>
    <row r="63" customFormat="false" ht="15" hidden="false" customHeight="false" outlineLevel="0" collapsed="false">
      <c r="A63" s="4"/>
      <c r="B63" s="37"/>
      <c r="C63" s="4"/>
      <c r="D63" s="4"/>
      <c r="E63" s="4"/>
      <c r="F63" s="4"/>
      <c r="G63" s="4"/>
      <c r="H63" s="4"/>
      <c r="I63" s="4"/>
      <c r="J63" s="4"/>
      <c r="K63" s="4"/>
      <c r="L63" s="37"/>
      <c r="M63" s="4"/>
    </row>
    <row r="64" customFormat="false" ht="15" hidden="false" customHeight="false" outlineLevel="0" collapsed="false">
      <c r="A64" s="4"/>
      <c r="B64" s="37"/>
      <c r="C64" s="4"/>
      <c r="D64" s="4"/>
      <c r="E64" s="4"/>
      <c r="F64" s="4"/>
      <c r="G64" s="4"/>
      <c r="H64" s="4"/>
      <c r="I64" s="4"/>
      <c r="J64" s="4"/>
      <c r="K64" s="4"/>
      <c r="L64" s="37"/>
      <c r="M64" s="4"/>
    </row>
    <row r="65" customFormat="false" ht="15" hidden="false" customHeight="false" outlineLevel="0" collapsed="false">
      <c r="A65" s="4"/>
      <c r="B65" s="37"/>
      <c r="C65" s="4"/>
      <c r="D65" s="4"/>
      <c r="E65" s="4"/>
      <c r="F65" s="4"/>
      <c r="G65" s="4"/>
      <c r="H65" s="4"/>
      <c r="I65" s="4"/>
      <c r="J65" s="4"/>
      <c r="K65" s="4"/>
      <c r="L65" s="37"/>
      <c r="M65" s="4"/>
    </row>
    <row r="66" customFormat="false" ht="15" hidden="false" customHeight="false" outlineLevel="0" collapsed="false">
      <c r="A66" s="4"/>
      <c r="B66" s="37"/>
      <c r="C66" s="4"/>
      <c r="D66" s="4"/>
      <c r="E66" s="4"/>
      <c r="F66" s="4"/>
      <c r="G66" s="4"/>
      <c r="H66" s="4"/>
      <c r="I66" s="4"/>
      <c r="J66" s="4"/>
      <c r="K66" s="4"/>
      <c r="L66" s="37"/>
      <c r="M66" s="4"/>
    </row>
    <row r="67" customFormat="false" ht="15" hidden="false" customHeight="false" outlineLevel="0" collapsed="false">
      <c r="A67" s="4"/>
      <c r="B67" s="37"/>
      <c r="C67" s="4"/>
      <c r="D67" s="4"/>
      <c r="E67" s="4"/>
      <c r="F67" s="4"/>
      <c r="G67" s="4"/>
      <c r="H67" s="4"/>
      <c r="I67" s="4"/>
      <c r="J67" s="4"/>
      <c r="K67" s="4"/>
      <c r="L67" s="37"/>
      <c r="M67" s="4"/>
    </row>
    <row r="68" customFormat="false" ht="15" hidden="false" customHeight="false" outlineLevel="0" collapsed="false">
      <c r="A68" s="4"/>
      <c r="B68" s="37"/>
      <c r="C68" s="4"/>
      <c r="D68" s="4"/>
      <c r="E68" s="4"/>
      <c r="F68" s="4"/>
      <c r="G68" s="4"/>
      <c r="H68" s="4"/>
      <c r="I68" s="4"/>
      <c r="J68" s="4"/>
      <c r="K68" s="4"/>
      <c r="L68" s="37"/>
      <c r="M68" s="4"/>
    </row>
    <row r="69" customFormat="false" ht="15" hidden="false" customHeight="false" outlineLevel="0" collapsed="false">
      <c r="A69" s="4"/>
      <c r="B69" s="37"/>
      <c r="C69" s="4"/>
      <c r="D69" s="4"/>
      <c r="E69" s="4"/>
      <c r="F69" s="4"/>
      <c r="G69" s="4"/>
      <c r="H69" s="4"/>
      <c r="I69" s="4"/>
      <c r="J69" s="4"/>
      <c r="K69" s="4"/>
      <c r="L69" s="37"/>
      <c r="M69" s="4"/>
    </row>
    <row r="70" customFormat="false" ht="15" hidden="false" customHeight="false" outlineLevel="0" collapsed="false">
      <c r="A70" s="4"/>
      <c r="B70" s="37"/>
      <c r="C70" s="4"/>
      <c r="D70" s="4"/>
      <c r="E70" s="4"/>
      <c r="F70" s="4"/>
      <c r="G70" s="4"/>
      <c r="H70" s="4"/>
      <c r="I70" s="4"/>
      <c r="J70" s="4"/>
      <c r="K70" s="4"/>
      <c r="L70" s="37"/>
      <c r="M70" s="4"/>
    </row>
    <row r="71" customFormat="false" ht="15" hidden="false" customHeight="false" outlineLevel="0" collapsed="false">
      <c r="A71" s="4"/>
      <c r="B71" s="37"/>
      <c r="C71" s="4"/>
      <c r="D71" s="4"/>
      <c r="E71" s="4"/>
      <c r="F71" s="4"/>
      <c r="G71" s="4"/>
      <c r="H71" s="4"/>
      <c r="I71" s="4"/>
      <c r="J71" s="4"/>
      <c r="K71" s="4"/>
      <c r="L71" s="37"/>
      <c r="M71" s="4"/>
    </row>
    <row r="72" customFormat="false" ht="15" hidden="false" customHeight="false" outlineLevel="0" collapsed="false">
      <c r="A72" s="4"/>
      <c r="B72" s="37"/>
      <c r="C72" s="4"/>
      <c r="D72" s="4"/>
      <c r="E72" s="4"/>
      <c r="F72" s="4"/>
      <c r="G72" s="4"/>
      <c r="H72" s="4"/>
      <c r="I72" s="4"/>
      <c r="J72" s="4"/>
      <c r="K72" s="4"/>
      <c r="L72" s="37"/>
      <c r="M72" s="4"/>
    </row>
    <row r="73" customFormat="false" ht="15" hidden="false" customHeight="false" outlineLevel="0" collapsed="false">
      <c r="A73" s="4"/>
      <c r="B73" s="37"/>
      <c r="C73" s="4"/>
      <c r="D73" s="4"/>
      <c r="E73" s="4"/>
      <c r="F73" s="4"/>
      <c r="G73" s="4"/>
      <c r="H73" s="4"/>
      <c r="I73" s="4"/>
      <c r="J73" s="4"/>
      <c r="K73" s="4"/>
      <c r="L73" s="37"/>
      <c r="M73" s="4"/>
    </row>
    <row r="74" customFormat="false" ht="15" hidden="false" customHeight="false" outlineLevel="0" collapsed="false">
      <c r="A74" s="4"/>
      <c r="B74" s="37"/>
      <c r="C74" s="4"/>
      <c r="D74" s="4"/>
      <c r="E74" s="4"/>
      <c r="F74" s="4"/>
      <c r="G74" s="4"/>
      <c r="H74" s="4"/>
      <c r="I74" s="4"/>
      <c r="J74" s="4"/>
      <c r="K74" s="4"/>
      <c r="L74" s="37"/>
      <c r="M74" s="4"/>
    </row>
    <row r="75" customFormat="false" ht="15" hidden="false" customHeight="false" outlineLevel="0" collapsed="false">
      <c r="A75" s="4"/>
      <c r="B75" s="37"/>
      <c r="C75" s="4"/>
      <c r="D75" s="4"/>
      <c r="E75" s="4"/>
      <c r="F75" s="4"/>
      <c r="G75" s="4"/>
      <c r="H75" s="4"/>
      <c r="I75" s="4"/>
      <c r="J75" s="4"/>
      <c r="K75" s="4"/>
      <c r="L75" s="37"/>
      <c r="M75" s="4"/>
    </row>
    <row r="76" customFormat="false" ht="15" hidden="false" customHeight="false" outlineLevel="0" collapsed="false">
      <c r="A76" s="4"/>
      <c r="B76" s="37"/>
      <c r="C76" s="4"/>
      <c r="D76" s="4"/>
      <c r="E76" s="4"/>
      <c r="F76" s="4"/>
      <c r="G76" s="4"/>
      <c r="H76" s="4"/>
      <c r="I76" s="4"/>
      <c r="J76" s="4"/>
      <c r="K76" s="4"/>
      <c r="L76" s="37"/>
      <c r="M76" s="4"/>
    </row>
    <row r="77" customFormat="false" ht="15" hidden="false" customHeight="false" outlineLevel="0" collapsed="false">
      <c r="A77" s="4"/>
      <c r="B77" s="37"/>
      <c r="C77" s="4"/>
      <c r="D77" s="4"/>
      <c r="E77" s="4"/>
      <c r="F77" s="4"/>
      <c r="G77" s="4"/>
      <c r="H77" s="4"/>
      <c r="I77" s="4"/>
      <c r="J77" s="4"/>
      <c r="K77" s="4"/>
      <c r="L77" s="37"/>
      <c r="M77" s="4"/>
    </row>
    <row r="78" customFormat="false" ht="15" hidden="false" customHeight="false" outlineLevel="0" collapsed="false">
      <c r="A78" s="4"/>
      <c r="B78" s="37"/>
      <c r="C78" s="4"/>
      <c r="D78" s="4"/>
      <c r="E78" s="4"/>
      <c r="F78" s="4"/>
      <c r="G78" s="4"/>
      <c r="H78" s="4"/>
      <c r="I78" s="4"/>
      <c r="J78" s="4"/>
      <c r="K78" s="4"/>
      <c r="L78" s="37"/>
      <c r="M78" s="4"/>
    </row>
    <row r="79" customFormat="false" ht="15" hidden="false" customHeight="false" outlineLevel="0" collapsed="false">
      <c r="A79" s="4"/>
      <c r="B79" s="37"/>
      <c r="C79" s="4"/>
      <c r="D79" s="4"/>
      <c r="E79" s="4"/>
      <c r="F79" s="4"/>
      <c r="G79" s="4"/>
      <c r="H79" s="4"/>
      <c r="I79" s="4"/>
      <c r="J79" s="4"/>
      <c r="K79" s="4"/>
      <c r="L79" s="37"/>
      <c r="M79" s="4"/>
    </row>
    <row r="80" customFormat="false" ht="15" hidden="false" customHeight="false" outlineLevel="0" collapsed="false">
      <c r="A80" s="4"/>
      <c r="B80" s="37"/>
      <c r="C80" s="4"/>
      <c r="D80" s="4"/>
      <c r="E80" s="4"/>
      <c r="F80" s="4"/>
      <c r="G80" s="4"/>
      <c r="H80" s="4"/>
      <c r="I80" s="4"/>
      <c r="J80" s="4"/>
      <c r="K80" s="4"/>
      <c r="L80" s="37"/>
      <c r="M80" s="4"/>
    </row>
    <row r="81" customFormat="false" ht="15" hidden="false" customHeight="false" outlineLevel="0" collapsed="false">
      <c r="A81" s="4"/>
      <c r="B81" s="37"/>
      <c r="C81" s="4"/>
      <c r="D81" s="4"/>
      <c r="E81" s="4"/>
      <c r="F81" s="4"/>
      <c r="G81" s="4"/>
      <c r="H81" s="4"/>
      <c r="I81" s="4"/>
      <c r="J81" s="4"/>
      <c r="K81" s="4"/>
      <c r="L81" s="37"/>
      <c r="M81" s="4"/>
    </row>
    <row r="82" customFormat="false" ht="15" hidden="false" customHeight="false" outlineLevel="0" collapsed="false">
      <c r="A82" s="4"/>
      <c r="B82" s="37"/>
      <c r="C82" s="4"/>
      <c r="D82" s="4"/>
      <c r="E82" s="4"/>
      <c r="F82" s="4"/>
      <c r="G82" s="4"/>
      <c r="H82" s="4"/>
      <c r="I82" s="4"/>
      <c r="J82" s="4"/>
      <c r="K82" s="4"/>
      <c r="L82" s="37"/>
      <c r="M82" s="4"/>
    </row>
    <row r="83" customFormat="false" ht="15" hidden="false" customHeight="false" outlineLevel="0" collapsed="false">
      <c r="A83" s="4"/>
      <c r="B83" s="37"/>
      <c r="C83" s="4"/>
      <c r="D83" s="4"/>
      <c r="E83" s="4"/>
      <c r="F83" s="4"/>
      <c r="G83" s="4"/>
      <c r="H83" s="4"/>
      <c r="I83" s="4"/>
      <c r="J83" s="4"/>
      <c r="K83" s="4"/>
      <c r="L83" s="37"/>
      <c r="M83" s="4"/>
    </row>
    <row r="84" customFormat="false" ht="15" hidden="false" customHeight="false" outlineLevel="0" collapsed="false">
      <c r="A84" s="4"/>
      <c r="B84" s="37"/>
      <c r="C84" s="4"/>
      <c r="D84" s="4"/>
      <c r="E84" s="4"/>
      <c r="F84" s="4"/>
      <c r="G84" s="4"/>
      <c r="H84" s="4"/>
      <c r="I84" s="4"/>
      <c r="J84" s="4"/>
      <c r="K84" s="4"/>
      <c r="L84" s="37"/>
      <c r="M84" s="4"/>
    </row>
    <row r="85" customFormat="false" ht="15" hidden="false" customHeight="false" outlineLevel="0" collapsed="false">
      <c r="A85" s="4"/>
      <c r="B85" s="37"/>
      <c r="C85" s="4"/>
      <c r="D85" s="4"/>
      <c r="E85" s="4"/>
      <c r="F85" s="4"/>
      <c r="G85" s="4"/>
      <c r="H85" s="4"/>
      <c r="I85" s="4"/>
      <c r="J85" s="4"/>
      <c r="K85" s="4"/>
      <c r="L85" s="37"/>
      <c r="M85" s="4"/>
    </row>
    <row r="86" customFormat="false" ht="15" hidden="false" customHeight="false" outlineLevel="0" collapsed="false">
      <c r="A86" s="4"/>
      <c r="B86" s="37"/>
      <c r="C86" s="4"/>
      <c r="D86" s="4"/>
      <c r="E86" s="4"/>
      <c r="F86" s="4"/>
      <c r="G86" s="4"/>
      <c r="H86" s="4"/>
      <c r="I86" s="4"/>
      <c r="J86" s="4"/>
      <c r="K86" s="4"/>
      <c r="L86" s="37"/>
      <c r="M86" s="4"/>
    </row>
    <row r="87" customFormat="false" ht="15" hidden="false" customHeight="false" outlineLevel="0" collapsed="false">
      <c r="A87" s="4"/>
      <c r="B87" s="37"/>
      <c r="C87" s="4"/>
      <c r="D87" s="4"/>
      <c r="E87" s="4"/>
      <c r="F87" s="4"/>
      <c r="G87" s="4"/>
      <c r="H87" s="4"/>
      <c r="I87" s="4"/>
      <c r="J87" s="4"/>
      <c r="K87" s="4"/>
      <c r="L87" s="37"/>
      <c r="M87" s="4"/>
    </row>
    <row r="88" customFormat="false" ht="15" hidden="false" customHeight="false" outlineLevel="0" collapsed="false">
      <c r="A88" s="4"/>
      <c r="B88" s="37"/>
      <c r="C88" s="4"/>
      <c r="D88" s="4"/>
      <c r="E88" s="4"/>
      <c r="F88" s="4"/>
      <c r="G88" s="4"/>
      <c r="H88" s="4"/>
      <c r="I88" s="4"/>
      <c r="J88" s="4"/>
      <c r="K88" s="4"/>
      <c r="L88" s="37"/>
      <c r="M88" s="4"/>
    </row>
    <row r="89" customFormat="false" ht="15" hidden="false" customHeight="false" outlineLevel="0" collapsed="false">
      <c r="A89" s="4"/>
      <c r="B89" s="37"/>
      <c r="C89" s="4"/>
      <c r="D89" s="4"/>
      <c r="E89" s="4"/>
      <c r="F89" s="4"/>
      <c r="G89" s="4"/>
      <c r="H89" s="4"/>
      <c r="I89" s="4"/>
      <c r="J89" s="4"/>
      <c r="K89" s="4"/>
      <c r="L89" s="37"/>
      <c r="M89" s="4"/>
    </row>
    <row r="90" customFormat="false" ht="15" hidden="false" customHeight="false" outlineLevel="0" collapsed="false">
      <c r="A90" s="4"/>
      <c r="B90" s="37"/>
      <c r="C90" s="4"/>
      <c r="D90" s="4"/>
      <c r="E90" s="4"/>
      <c r="F90" s="4"/>
      <c r="G90" s="4"/>
      <c r="H90" s="4"/>
      <c r="I90" s="4"/>
      <c r="J90" s="4"/>
      <c r="K90" s="4"/>
      <c r="L90" s="37"/>
      <c r="M90" s="4"/>
    </row>
    <row r="91" customFormat="false" ht="15" hidden="false" customHeight="false" outlineLevel="0" collapsed="false">
      <c r="A91" s="4"/>
      <c r="B91" s="37"/>
      <c r="C91" s="4"/>
      <c r="D91" s="4"/>
      <c r="E91" s="4"/>
      <c r="F91" s="4"/>
      <c r="G91" s="4"/>
      <c r="H91" s="4"/>
      <c r="I91" s="4"/>
      <c r="J91" s="4"/>
      <c r="K91" s="4"/>
      <c r="L91" s="37"/>
      <c r="M91" s="4"/>
    </row>
    <row r="92" customFormat="false" ht="15" hidden="false" customHeight="false" outlineLevel="0" collapsed="false">
      <c r="A92" s="4"/>
      <c r="B92" s="37"/>
      <c r="C92" s="4"/>
      <c r="D92" s="4"/>
      <c r="E92" s="4"/>
      <c r="F92" s="4"/>
      <c r="G92" s="4"/>
      <c r="H92" s="4"/>
      <c r="I92" s="4"/>
      <c r="J92" s="4"/>
      <c r="K92" s="4"/>
      <c r="L92" s="37"/>
      <c r="M92" s="4"/>
    </row>
    <row r="93" customFormat="false" ht="15" hidden="false" customHeight="false" outlineLevel="0" collapsed="false">
      <c r="A93" s="4"/>
      <c r="B93" s="37"/>
      <c r="C93" s="4"/>
      <c r="D93" s="4"/>
      <c r="E93" s="4"/>
      <c r="F93" s="4"/>
      <c r="G93" s="4"/>
      <c r="H93" s="4"/>
      <c r="I93" s="4"/>
      <c r="J93" s="4"/>
      <c r="K93" s="4"/>
      <c r="L93" s="37"/>
      <c r="M93" s="4"/>
    </row>
    <row r="94" customFormat="false" ht="15" hidden="false" customHeight="false" outlineLevel="0" collapsed="false">
      <c r="A94" s="4"/>
      <c r="B94" s="37"/>
      <c r="C94" s="4"/>
      <c r="D94" s="4"/>
      <c r="E94" s="4"/>
      <c r="F94" s="4"/>
      <c r="G94" s="4"/>
      <c r="H94" s="4"/>
      <c r="I94" s="4"/>
      <c r="J94" s="4"/>
      <c r="K94" s="4"/>
      <c r="L94" s="37"/>
      <c r="M94" s="4"/>
    </row>
    <row r="95" customFormat="false" ht="15" hidden="false" customHeight="false" outlineLevel="0" collapsed="false">
      <c r="A95" s="4"/>
      <c r="B95" s="37"/>
      <c r="C95" s="4"/>
      <c r="D95" s="4"/>
      <c r="E95" s="4"/>
      <c r="F95" s="4"/>
      <c r="G95" s="4"/>
      <c r="H95" s="4"/>
      <c r="I95" s="4"/>
      <c r="J95" s="4"/>
      <c r="K95" s="4"/>
      <c r="L95" s="37"/>
      <c r="M95" s="4"/>
    </row>
    <row r="96" customFormat="false" ht="15" hidden="false" customHeight="false" outlineLevel="0" collapsed="false">
      <c r="A96" s="4"/>
      <c r="B96" s="37"/>
      <c r="C96" s="4"/>
      <c r="D96" s="4"/>
      <c r="E96" s="4"/>
      <c r="F96" s="4"/>
      <c r="G96" s="4"/>
      <c r="H96" s="4"/>
      <c r="I96" s="4"/>
      <c r="J96" s="4"/>
      <c r="K96" s="4"/>
      <c r="L96" s="37"/>
      <c r="M96" s="4"/>
    </row>
    <row r="97" customFormat="false" ht="15" hidden="false" customHeight="false" outlineLevel="0" collapsed="false">
      <c r="A97" s="4"/>
      <c r="B97" s="37"/>
      <c r="C97" s="4"/>
      <c r="D97" s="4"/>
      <c r="E97" s="4"/>
      <c r="F97" s="4"/>
      <c r="G97" s="4"/>
      <c r="H97" s="4"/>
      <c r="I97" s="4"/>
      <c r="J97" s="4"/>
      <c r="K97" s="4"/>
      <c r="L97" s="37"/>
      <c r="M97" s="4"/>
    </row>
    <row r="98" customFormat="false" ht="15" hidden="false" customHeight="false" outlineLevel="0" collapsed="false">
      <c r="A98" s="4"/>
      <c r="B98" s="37"/>
      <c r="C98" s="4"/>
      <c r="D98" s="4"/>
      <c r="E98" s="4"/>
      <c r="F98" s="4"/>
      <c r="G98" s="4"/>
      <c r="H98" s="4"/>
      <c r="I98" s="4"/>
      <c r="J98" s="4"/>
      <c r="K98" s="4"/>
      <c r="L98" s="37"/>
      <c r="M98" s="4"/>
    </row>
    <row r="99" customFormat="false" ht="15" hidden="false" customHeight="false" outlineLevel="0" collapsed="false">
      <c r="A99" s="4"/>
      <c r="B99" s="37"/>
      <c r="C99" s="4"/>
      <c r="D99" s="4"/>
      <c r="E99" s="4"/>
      <c r="F99" s="4"/>
      <c r="G99" s="4"/>
      <c r="H99" s="4"/>
      <c r="I99" s="4"/>
      <c r="J99" s="4"/>
      <c r="K99" s="4"/>
      <c r="L99" s="37"/>
      <c r="M99" s="4"/>
    </row>
    <row r="100" customFormat="false" ht="15" hidden="false" customHeight="false" outlineLevel="0" collapsed="false">
      <c r="A100" s="4"/>
      <c r="B100" s="37"/>
      <c r="C100" s="4"/>
      <c r="D100" s="4"/>
      <c r="E100" s="4"/>
      <c r="F100" s="4"/>
      <c r="G100" s="4"/>
      <c r="H100" s="4"/>
      <c r="I100" s="4"/>
      <c r="J100" s="4"/>
      <c r="K100" s="4"/>
      <c r="L100" s="37"/>
      <c r="M100" s="4"/>
    </row>
    <row r="101" customFormat="false" ht="15" hidden="false" customHeight="false" outlineLevel="0" collapsed="false">
      <c r="A101" s="4"/>
      <c r="B101" s="37"/>
      <c r="C101" s="4"/>
      <c r="D101" s="4"/>
      <c r="E101" s="4"/>
      <c r="F101" s="4"/>
      <c r="G101" s="4"/>
      <c r="H101" s="4"/>
      <c r="I101" s="4"/>
      <c r="J101" s="4"/>
      <c r="K101" s="4"/>
      <c r="L101" s="37"/>
      <c r="M101" s="4"/>
    </row>
    <row r="102" customFormat="false" ht="15" hidden="false" customHeight="false" outlineLevel="0" collapsed="false">
      <c r="A102" s="4"/>
      <c r="B102" s="37"/>
      <c r="C102" s="4"/>
      <c r="D102" s="4"/>
      <c r="E102" s="4"/>
      <c r="F102" s="4"/>
      <c r="G102" s="4"/>
      <c r="H102" s="4"/>
      <c r="I102" s="4"/>
      <c r="J102" s="4"/>
      <c r="K102" s="4"/>
      <c r="L102" s="37"/>
      <c r="M102" s="4"/>
    </row>
    <row r="103" customFormat="false" ht="15" hidden="false" customHeight="false" outlineLevel="0" collapsed="false">
      <c r="A103" s="4"/>
      <c r="B103" s="37"/>
      <c r="C103" s="4"/>
      <c r="D103" s="4"/>
      <c r="E103" s="4"/>
      <c r="F103" s="4"/>
      <c r="G103" s="4"/>
      <c r="H103" s="4"/>
      <c r="I103" s="4"/>
      <c r="J103" s="4"/>
      <c r="K103" s="4"/>
      <c r="L103" s="37"/>
      <c r="M103" s="4"/>
    </row>
    <row r="104" customFormat="false" ht="15" hidden="false" customHeight="false" outlineLevel="0" collapsed="false">
      <c r="A104" s="4"/>
      <c r="B104" s="37"/>
      <c r="C104" s="4"/>
      <c r="D104" s="4"/>
      <c r="E104" s="4"/>
      <c r="F104" s="4"/>
      <c r="G104" s="4"/>
      <c r="H104" s="4"/>
      <c r="I104" s="4"/>
      <c r="J104" s="4"/>
      <c r="K104" s="4"/>
      <c r="L104" s="37"/>
      <c r="M104" s="4"/>
    </row>
    <row r="105" customFormat="false" ht="15" hidden="false" customHeight="false" outlineLevel="0" collapsed="false">
      <c r="A105" s="4"/>
      <c r="B105" s="37"/>
      <c r="C105" s="4"/>
      <c r="D105" s="4"/>
      <c r="E105" s="4"/>
      <c r="F105" s="4"/>
      <c r="G105" s="4"/>
      <c r="H105" s="4"/>
      <c r="I105" s="4"/>
      <c r="J105" s="4"/>
      <c r="K105" s="4"/>
      <c r="L105" s="37"/>
      <c r="M105" s="4"/>
    </row>
    <row r="106" customFormat="false" ht="15" hidden="false" customHeight="false" outlineLevel="0" collapsed="false">
      <c r="A106" s="4"/>
      <c r="B106" s="37"/>
      <c r="C106" s="4"/>
      <c r="D106" s="4"/>
      <c r="E106" s="4"/>
      <c r="F106" s="4"/>
      <c r="G106" s="4"/>
      <c r="H106" s="4"/>
      <c r="I106" s="4"/>
      <c r="J106" s="4"/>
      <c r="K106" s="4"/>
      <c r="L106" s="37"/>
      <c r="M106" s="4"/>
    </row>
    <row r="107" customFormat="false" ht="15" hidden="false" customHeight="false" outlineLevel="0" collapsed="false">
      <c r="A107" s="4"/>
      <c r="B107" s="37"/>
      <c r="C107" s="4"/>
      <c r="D107" s="4"/>
      <c r="E107" s="4"/>
      <c r="F107" s="4"/>
      <c r="G107" s="4"/>
      <c r="H107" s="4"/>
      <c r="I107" s="4"/>
      <c r="J107" s="4"/>
      <c r="K107" s="4"/>
      <c r="L107" s="37"/>
      <c r="M107" s="4"/>
    </row>
    <row r="108" customFormat="false" ht="15" hidden="false" customHeight="false" outlineLevel="0" collapsed="false">
      <c r="A108" s="4"/>
      <c r="B108" s="37"/>
      <c r="C108" s="4"/>
      <c r="D108" s="4"/>
      <c r="E108" s="4"/>
      <c r="F108" s="4"/>
      <c r="G108" s="4"/>
      <c r="H108" s="4"/>
      <c r="I108" s="4"/>
      <c r="J108" s="4"/>
      <c r="K108" s="4"/>
      <c r="L108" s="37"/>
      <c r="M108" s="4"/>
    </row>
    <row r="109" customFormat="false" ht="15" hidden="false" customHeight="false" outlineLevel="0" collapsed="false">
      <c r="A109" s="4"/>
      <c r="B109" s="37"/>
      <c r="C109" s="4"/>
      <c r="D109" s="4"/>
      <c r="E109" s="4"/>
      <c r="F109" s="4"/>
      <c r="G109" s="4"/>
      <c r="H109" s="4"/>
      <c r="I109" s="4"/>
      <c r="J109" s="4"/>
      <c r="K109" s="4"/>
      <c r="L109" s="37"/>
      <c r="M109" s="4"/>
    </row>
    <row r="110" customFormat="false" ht="15" hidden="false" customHeight="false" outlineLevel="0" collapsed="false">
      <c r="A110" s="4"/>
      <c r="B110" s="37"/>
      <c r="C110" s="4"/>
      <c r="D110" s="4"/>
      <c r="E110" s="4"/>
      <c r="F110" s="4"/>
      <c r="G110" s="4"/>
      <c r="H110" s="4"/>
      <c r="I110" s="4"/>
      <c r="J110" s="4"/>
      <c r="K110" s="4"/>
      <c r="L110" s="37"/>
      <c r="M110" s="4"/>
    </row>
    <row r="111" customFormat="false" ht="15" hidden="false" customHeight="false" outlineLevel="0" collapsed="false">
      <c r="A111" s="4"/>
      <c r="B111" s="37"/>
      <c r="C111" s="4"/>
      <c r="D111" s="4"/>
      <c r="E111" s="4"/>
      <c r="F111" s="4"/>
      <c r="G111" s="4"/>
      <c r="H111" s="4"/>
      <c r="I111" s="4"/>
      <c r="J111" s="4"/>
      <c r="K111" s="4"/>
      <c r="L111" s="37"/>
      <c r="M111" s="4"/>
    </row>
    <row r="112" customFormat="false" ht="15" hidden="false" customHeight="false" outlineLevel="0" collapsed="false">
      <c r="A112" s="4"/>
      <c r="B112" s="37"/>
      <c r="C112" s="4"/>
      <c r="D112" s="4"/>
      <c r="E112" s="4"/>
      <c r="F112" s="4"/>
      <c r="G112" s="4"/>
      <c r="H112" s="4"/>
      <c r="I112" s="4"/>
      <c r="J112" s="4"/>
      <c r="K112" s="4"/>
      <c r="L112" s="37"/>
      <c r="M112" s="4"/>
    </row>
    <row r="113" customFormat="false" ht="15" hidden="false" customHeight="false" outlineLevel="0" collapsed="false">
      <c r="A113" s="4"/>
      <c r="B113" s="37"/>
      <c r="C113" s="4"/>
      <c r="D113" s="4"/>
      <c r="E113" s="4"/>
      <c r="F113" s="4"/>
      <c r="G113" s="4"/>
      <c r="H113" s="4"/>
      <c r="I113" s="4"/>
      <c r="J113" s="4"/>
      <c r="K113" s="4"/>
      <c r="L113" s="37"/>
      <c r="M113" s="4"/>
    </row>
    <row r="114" customFormat="false" ht="15" hidden="false" customHeight="false" outlineLevel="0" collapsed="false">
      <c r="A114" s="4"/>
      <c r="B114" s="37"/>
      <c r="C114" s="4"/>
      <c r="D114" s="4"/>
      <c r="E114" s="4"/>
      <c r="F114" s="4"/>
      <c r="G114" s="4"/>
      <c r="H114" s="4"/>
      <c r="I114" s="4"/>
      <c r="J114" s="4"/>
      <c r="K114" s="4"/>
      <c r="L114" s="37"/>
      <c r="M114" s="4"/>
    </row>
    <row r="115" customFormat="false" ht="15" hidden="false" customHeight="false" outlineLevel="0" collapsed="false">
      <c r="A115" s="4"/>
      <c r="B115" s="37"/>
      <c r="C115" s="4"/>
      <c r="D115" s="4"/>
      <c r="E115" s="4"/>
      <c r="F115" s="4"/>
      <c r="G115" s="4"/>
      <c r="H115" s="4"/>
      <c r="I115" s="4"/>
      <c r="J115" s="4"/>
      <c r="K115" s="4"/>
      <c r="L115" s="37"/>
      <c r="M115" s="4"/>
    </row>
    <row r="116" customFormat="false" ht="15" hidden="false" customHeight="false" outlineLevel="0" collapsed="false">
      <c r="A116" s="4"/>
      <c r="B116" s="37"/>
      <c r="C116" s="4"/>
      <c r="D116" s="4"/>
      <c r="E116" s="4"/>
      <c r="F116" s="4"/>
      <c r="G116" s="4"/>
      <c r="H116" s="4"/>
      <c r="I116" s="4"/>
      <c r="J116" s="4"/>
      <c r="K116" s="4"/>
      <c r="L116" s="37"/>
      <c r="M116" s="4"/>
    </row>
    <row r="117" customFormat="false" ht="15" hidden="false" customHeight="false" outlineLevel="0" collapsed="false">
      <c r="A117" s="4"/>
      <c r="B117" s="37"/>
      <c r="C117" s="4"/>
      <c r="D117" s="4"/>
      <c r="E117" s="4"/>
      <c r="F117" s="4"/>
      <c r="G117" s="4"/>
      <c r="H117" s="4"/>
      <c r="I117" s="4"/>
      <c r="J117" s="4"/>
      <c r="K117" s="4"/>
      <c r="L117" s="37"/>
      <c r="M117" s="4"/>
    </row>
    <row r="118" customFormat="false" ht="15" hidden="false" customHeight="false" outlineLevel="0" collapsed="false">
      <c r="A118" s="4"/>
      <c r="B118" s="37"/>
      <c r="C118" s="4"/>
      <c r="D118" s="4"/>
      <c r="E118" s="4"/>
      <c r="F118" s="4"/>
      <c r="G118" s="4"/>
      <c r="H118" s="4"/>
      <c r="I118" s="4"/>
      <c r="J118" s="4"/>
      <c r="K118" s="4"/>
      <c r="L118" s="37"/>
      <c r="M118" s="4"/>
    </row>
    <row r="119" customFormat="false" ht="15" hidden="false" customHeight="false" outlineLevel="0" collapsed="false">
      <c r="A119" s="4"/>
      <c r="B119" s="37"/>
      <c r="C119" s="4"/>
      <c r="D119" s="4"/>
      <c r="E119" s="4"/>
      <c r="F119" s="4"/>
      <c r="G119" s="4"/>
      <c r="H119" s="4"/>
      <c r="I119" s="4"/>
      <c r="J119" s="4"/>
      <c r="K119" s="4"/>
      <c r="L119" s="37"/>
      <c r="M119" s="4"/>
    </row>
    <row r="120" customFormat="false" ht="15" hidden="false" customHeight="false" outlineLevel="0" collapsed="false">
      <c r="A120" s="4"/>
      <c r="B120" s="37"/>
      <c r="C120" s="4"/>
      <c r="D120" s="4"/>
      <c r="E120" s="4"/>
      <c r="F120" s="4"/>
      <c r="G120" s="4"/>
      <c r="H120" s="4"/>
      <c r="I120" s="4"/>
      <c r="J120" s="4"/>
      <c r="K120" s="4"/>
      <c r="L120" s="37"/>
      <c r="M120" s="4"/>
    </row>
    <row r="121" customFormat="false" ht="15" hidden="false" customHeight="false" outlineLevel="0" collapsed="false">
      <c r="A121" s="4"/>
      <c r="B121" s="37"/>
      <c r="C121" s="4"/>
      <c r="D121" s="4"/>
      <c r="E121" s="4"/>
      <c r="F121" s="4"/>
      <c r="G121" s="4"/>
      <c r="H121" s="4"/>
      <c r="I121" s="4"/>
      <c r="J121" s="4"/>
      <c r="K121" s="4"/>
      <c r="L121" s="37"/>
      <c r="M121" s="4"/>
    </row>
    <row r="122" customFormat="false" ht="15" hidden="false" customHeight="false" outlineLevel="0" collapsed="false">
      <c r="A122" s="4"/>
      <c r="B122" s="37"/>
      <c r="C122" s="4"/>
      <c r="D122" s="4"/>
      <c r="E122" s="4"/>
      <c r="F122" s="4"/>
      <c r="G122" s="4"/>
      <c r="H122" s="4"/>
      <c r="I122" s="4"/>
      <c r="J122" s="4"/>
      <c r="K122" s="4"/>
      <c r="L122" s="37"/>
      <c r="M122" s="4"/>
    </row>
    <row r="123" customFormat="false" ht="15" hidden="false" customHeight="false" outlineLevel="0" collapsed="false">
      <c r="A123" s="4"/>
      <c r="B123" s="37"/>
      <c r="C123" s="4"/>
      <c r="D123" s="4"/>
      <c r="E123" s="4"/>
      <c r="F123" s="4"/>
      <c r="G123" s="4"/>
      <c r="H123" s="4"/>
      <c r="I123" s="4"/>
      <c r="J123" s="4"/>
      <c r="K123" s="4"/>
      <c r="L123" s="37"/>
      <c r="M123" s="4"/>
    </row>
    <row r="124" customFormat="false" ht="15" hidden="false" customHeight="false" outlineLevel="0" collapsed="false">
      <c r="A124" s="4"/>
      <c r="B124" s="37"/>
      <c r="C124" s="4"/>
      <c r="D124" s="4"/>
      <c r="E124" s="4"/>
      <c r="F124" s="4"/>
      <c r="G124" s="4"/>
      <c r="H124" s="4"/>
      <c r="I124" s="4"/>
      <c r="J124" s="4"/>
      <c r="K124" s="4"/>
      <c r="L124" s="37"/>
      <c r="M124" s="4"/>
    </row>
    <row r="125" customFormat="false" ht="15" hidden="false" customHeight="false" outlineLevel="0" collapsed="false">
      <c r="A125" s="4"/>
      <c r="B125" s="37"/>
      <c r="C125" s="4"/>
      <c r="D125" s="4"/>
      <c r="E125" s="4"/>
      <c r="F125" s="4"/>
      <c r="G125" s="4"/>
      <c r="H125" s="4"/>
      <c r="I125" s="4"/>
      <c r="J125" s="4"/>
      <c r="K125" s="4"/>
      <c r="L125" s="37"/>
      <c r="M125" s="4"/>
    </row>
    <row r="126" customFormat="false" ht="15" hidden="false" customHeight="false" outlineLevel="0" collapsed="false">
      <c r="A126" s="4"/>
      <c r="B126" s="37"/>
      <c r="C126" s="4"/>
      <c r="D126" s="4"/>
      <c r="E126" s="4"/>
      <c r="F126" s="4"/>
      <c r="G126" s="4"/>
      <c r="H126" s="4"/>
      <c r="I126" s="4"/>
      <c r="J126" s="4"/>
      <c r="K126" s="4"/>
      <c r="L126" s="37"/>
      <c r="M126" s="4"/>
    </row>
    <row r="127" customFormat="false" ht="15" hidden="false" customHeight="false" outlineLevel="0" collapsed="false">
      <c r="A127" s="4"/>
      <c r="B127" s="37"/>
      <c r="C127" s="4"/>
      <c r="D127" s="4"/>
      <c r="E127" s="4"/>
      <c r="F127" s="4"/>
      <c r="G127" s="4"/>
      <c r="H127" s="4"/>
      <c r="I127" s="4"/>
      <c r="J127" s="4"/>
      <c r="K127" s="4"/>
      <c r="L127" s="37"/>
      <c r="M127" s="4"/>
    </row>
    <row r="128" customFormat="false" ht="15" hidden="false" customHeight="false" outlineLevel="0" collapsed="false">
      <c r="A128" s="4"/>
      <c r="B128" s="37"/>
      <c r="C128" s="4"/>
      <c r="D128" s="4"/>
      <c r="E128" s="4"/>
      <c r="F128" s="4"/>
      <c r="G128" s="4"/>
      <c r="H128" s="4"/>
      <c r="I128" s="4"/>
      <c r="J128" s="4"/>
      <c r="K128" s="4"/>
      <c r="L128" s="37"/>
      <c r="M128" s="4"/>
    </row>
    <row r="129" customFormat="false" ht="15" hidden="false" customHeight="false" outlineLevel="0" collapsed="false">
      <c r="A129" s="4"/>
      <c r="B129" s="37"/>
      <c r="C129" s="4"/>
      <c r="D129" s="4"/>
      <c r="E129" s="4"/>
      <c r="F129" s="4"/>
      <c r="G129" s="4"/>
      <c r="H129" s="4"/>
      <c r="I129" s="4"/>
      <c r="J129" s="4"/>
      <c r="K129" s="4"/>
      <c r="L129" s="37"/>
      <c r="M129" s="4"/>
    </row>
    <row r="130" customFormat="false" ht="15" hidden="false" customHeight="false" outlineLevel="0" collapsed="false">
      <c r="A130" s="4"/>
      <c r="B130" s="37"/>
      <c r="C130" s="4"/>
      <c r="D130" s="4"/>
      <c r="E130" s="4"/>
      <c r="F130" s="4"/>
      <c r="G130" s="4"/>
      <c r="H130" s="4"/>
      <c r="I130" s="4"/>
      <c r="J130" s="4"/>
      <c r="K130" s="4"/>
      <c r="L130" s="37"/>
      <c r="M130" s="4"/>
    </row>
    <row r="131" customFormat="false" ht="15" hidden="false" customHeight="false" outlineLevel="0" collapsed="false">
      <c r="A131" s="4"/>
      <c r="B131" s="37"/>
      <c r="C131" s="4"/>
      <c r="D131" s="4"/>
      <c r="E131" s="4"/>
      <c r="F131" s="4"/>
      <c r="G131" s="4"/>
      <c r="H131" s="4"/>
      <c r="I131" s="4"/>
      <c r="J131" s="4"/>
      <c r="K131" s="4"/>
      <c r="L131" s="37"/>
      <c r="M131" s="4"/>
    </row>
    <row r="132" customFormat="false" ht="15" hidden="false" customHeight="false" outlineLevel="0" collapsed="false">
      <c r="A132" s="4"/>
      <c r="B132" s="37"/>
      <c r="C132" s="4"/>
      <c r="D132" s="4"/>
      <c r="E132" s="4"/>
      <c r="F132" s="4"/>
      <c r="G132" s="4"/>
      <c r="H132" s="4"/>
      <c r="I132" s="4"/>
      <c r="J132" s="4"/>
      <c r="K132" s="4"/>
      <c r="L132" s="37"/>
      <c r="M132" s="4"/>
    </row>
    <row r="133" customFormat="false" ht="15" hidden="false" customHeight="false" outlineLevel="0" collapsed="false">
      <c r="A133" s="4"/>
      <c r="B133" s="37"/>
      <c r="C133" s="4"/>
      <c r="D133" s="4"/>
      <c r="E133" s="4"/>
      <c r="F133" s="4"/>
      <c r="G133" s="4"/>
      <c r="H133" s="4"/>
      <c r="I133" s="4"/>
      <c r="J133" s="4"/>
      <c r="K133" s="4"/>
      <c r="L133" s="37"/>
      <c r="M133" s="4"/>
    </row>
    <row r="134" customFormat="false" ht="15" hidden="false" customHeight="false" outlineLevel="0" collapsed="false">
      <c r="A134" s="4"/>
      <c r="B134" s="37"/>
      <c r="C134" s="4"/>
      <c r="D134" s="4"/>
      <c r="E134" s="4"/>
      <c r="F134" s="4"/>
      <c r="G134" s="4"/>
      <c r="H134" s="4"/>
      <c r="I134" s="4"/>
      <c r="J134" s="4"/>
      <c r="K134" s="4"/>
      <c r="L134" s="37"/>
      <c r="M134" s="4"/>
    </row>
    <row r="135" customFormat="false" ht="15" hidden="false" customHeight="false" outlineLevel="0" collapsed="false">
      <c r="A135" s="4"/>
      <c r="B135" s="37"/>
      <c r="C135" s="4"/>
      <c r="D135" s="4"/>
      <c r="E135" s="4"/>
      <c r="F135" s="4"/>
      <c r="G135" s="4"/>
      <c r="H135" s="4"/>
      <c r="I135" s="4"/>
      <c r="J135" s="4"/>
      <c r="K135" s="4"/>
      <c r="L135" s="37"/>
      <c r="M135" s="4"/>
    </row>
    <row r="136" customFormat="false" ht="15" hidden="false" customHeight="false" outlineLevel="0" collapsed="false">
      <c r="A136" s="4"/>
      <c r="B136" s="37"/>
      <c r="C136" s="4"/>
      <c r="D136" s="4"/>
      <c r="E136" s="4"/>
      <c r="F136" s="4"/>
      <c r="G136" s="4"/>
      <c r="H136" s="4"/>
      <c r="I136" s="4"/>
      <c r="J136" s="4"/>
      <c r="K136" s="4"/>
      <c r="L136" s="37"/>
      <c r="M136" s="4"/>
    </row>
    <row r="137" customFormat="false" ht="15" hidden="false" customHeight="false" outlineLevel="0" collapsed="false">
      <c r="A137" s="4"/>
      <c r="B137" s="37"/>
      <c r="C137" s="4"/>
      <c r="D137" s="4"/>
      <c r="E137" s="4"/>
      <c r="F137" s="4"/>
      <c r="G137" s="4"/>
      <c r="H137" s="4"/>
      <c r="I137" s="4"/>
      <c r="J137" s="4"/>
      <c r="K137" s="4"/>
      <c r="L137" s="37"/>
      <c r="M137" s="4"/>
    </row>
    <row r="138" customFormat="false" ht="15" hidden="false" customHeight="false" outlineLevel="0" collapsed="false">
      <c r="A138" s="4"/>
      <c r="B138" s="37"/>
      <c r="C138" s="4"/>
      <c r="D138" s="4"/>
      <c r="E138" s="4"/>
      <c r="F138" s="4"/>
      <c r="G138" s="4"/>
      <c r="H138" s="4"/>
      <c r="I138" s="4"/>
      <c r="J138" s="4"/>
      <c r="K138" s="4"/>
      <c r="L138" s="37"/>
      <c r="M138" s="4"/>
    </row>
    <row r="139" customFormat="false" ht="15" hidden="false" customHeight="false" outlineLevel="0" collapsed="false">
      <c r="A139" s="4"/>
      <c r="B139" s="37"/>
      <c r="C139" s="4"/>
      <c r="D139" s="4"/>
      <c r="E139" s="4"/>
      <c r="F139" s="4"/>
      <c r="G139" s="4"/>
      <c r="H139" s="4"/>
      <c r="I139" s="4"/>
      <c r="J139" s="4"/>
      <c r="K139" s="4"/>
      <c r="L139" s="37"/>
      <c r="M139" s="4"/>
    </row>
    <row r="140" customFormat="false" ht="15" hidden="false" customHeight="false" outlineLevel="0" collapsed="false">
      <c r="A140" s="4"/>
      <c r="B140" s="37"/>
      <c r="C140" s="4"/>
      <c r="D140" s="4"/>
      <c r="E140" s="4"/>
      <c r="F140" s="4"/>
      <c r="G140" s="4"/>
      <c r="H140" s="4"/>
      <c r="I140" s="4"/>
      <c r="J140" s="4"/>
      <c r="K140" s="4"/>
      <c r="L140" s="37"/>
      <c r="M140" s="4"/>
    </row>
    <row r="141" customFormat="false" ht="15" hidden="false" customHeight="false" outlineLevel="0" collapsed="false">
      <c r="A141" s="4"/>
      <c r="B141" s="37"/>
      <c r="C141" s="4"/>
      <c r="D141" s="4"/>
      <c r="E141" s="4"/>
      <c r="F141" s="4"/>
      <c r="G141" s="4"/>
      <c r="H141" s="4"/>
      <c r="I141" s="4"/>
      <c r="J141" s="4"/>
      <c r="K141" s="4"/>
      <c r="L141" s="37"/>
      <c r="M141" s="4"/>
    </row>
    <row r="142" customFormat="false" ht="15" hidden="false" customHeight="false" outlineLevel="0" collapsed="false">
      <c r="A142" s="4"/>
      <c r="B142" s="37"/>
      <c r="C142" s="4"/>
      <c r="D142" s="4"/>
      <c r="E142" s="4"/>
      <c r="F142" s="4"/>
      <c r="G142" s="4"/>
      <c r="H142" s="4"/>
      <c r="I142" s="4"/>
      <c r="J142" s="4"/>
      <c r="K142" s="4"/>
      <c r="L142" s="37"/>
      <c r="M142" s="4"/>
    </row>
    <row r="143" customFormat="false" ht="15" hidden="false" customHeight="false" outlineLevel="0" collapsed="false">
      <c r="A143" s="4"/>
      <c r="B143" s="37"/>
      <c r="C143" s="4"/>
      <c r="D143" s="4"/>
      <c r="E143" s="4"/>
      <c r="F143" s="4"/>
      <c r="G143" s="4"/>
      <c r="H143" s="4"/>
      <c r="I143" s="4"/>
      <c r="J143" s="4"/>
      <c r="K143" s="4"/>
      <c r="L143" s="37"/>
      <c r="M143" s="4"/>
    </row>
    <row r="144" customFormat="false" ht="15" hidden="false" customHeight="false" outlineLevel="0" collapsed="false">
      <c r="A144" s="4"/>
      <c r="B144" s="37"/>
      <c r="C144" s="4"/>
      <c r="D144" s="4"/>
      <c r="E144" s="4"/>
      <c r="F144" s="4"/>
      <c r="G144" s="4"/>
      <c r="H144" s="4"/>
      <c r="I144" s="4"/>
      <c r="J144" s="4"/>
      <c r="K144" s="4"/>
      <c r="L144" s="37"/>
      <c r="M144" s="4"/>
    </row>
    <row r="145" customFormat="false" ht="15" hidden="false" customHeight="false" outlineLevel="0" collapsed="false">
      <c r="A145" s="4"/>
      <c r="B145" s="37"/>
      <c r="C145" s="4"/>
      <c r="D145" s="4"/>
      <c r="E145" s="4"/>
      <c r="F145" s="4"/>
      <c r="G145" s="4"/>
      <c r="H145" s="4"/>
      <c r="I145" s="4"/>
      <c r="J145" s="4"/>
      <c r="K145" s="4"/>
      <c r="L145" s="37"/>
      <c r="M145" s="4"/>
    </row>
    <row r="146" customFormat="false" ht="15" hidden="false" customHeight="false" outlineLevel="0" collapsed="false">
      <c r="A146" s="4"/>
      <c r="B146" s="37"/>
      <c r="C146" s="4"/>
      <c r="D146" s="4"/>
      <c r="E146" s="4"/>
      <c r="F146" s="4"/>
      <c r="G146" s="4"/>
      <c r="H146" s="4"/>
      <c r="I146" s="4"/>
      <c r="J146" s="4"/>
      <c r="K146" s="4"/>
      <c r="L146" s="37"/>
      <c r="M146" s="4"/>
    </row>
    <row r="147" customFormat="false" ht="15" hidden="false" customHeight="false" outlineLevel="0" collapsed="false">
      <c r="A147" s="4"/>
      <c r="B147" s="37"/>
      <c r="C147" s="4"/>
      <c r="D147" s="4"/>
      <c r="E147" s="4"/>
      <c r="F147" s="4"/>
      <c r="G147" s="4"/>
      <c r="H147" s="4"/>
      <c r="I147" s="4"/>
      <c r="J147" s="4"/>
      <c r="K147" s="4"/>
      <c r="L147" s="37"/>
      <c r="M147" s="4"/>
    </row>
    <row r="148" customFormat="false" ht="15" hidden="false" customHeight="false" outlineLevel="0" collapsed="false">
      <c r="A148" s="4"/>
      <c r="B148" s="37"/>
      <c r="C148" s="4"/>
      <c r="D148" s="4"/>
      <c r="E148" s="4"/>
      <c r="F148" s="4"/>
      <c r="G148" s="4"/>
      <c r="H148" s="4"/>
      <c r="I148" s="4"/>
      <c r="J148" s="4"/>
      <c r="K148" s="4"/>
      <c r="L148" s="37"/>
      <c r="M148" s="4"/>
    </row>
    <row r="149" customFormat="false" ht="15" hidden="false" customHeight="false" outlineLevel="0" collapsed="false">
      <c r="A149" s="4"/>
      <c r="B149" s="37"/>
      <c r="C149" s="4"/>
      <c r="D149" s="4"/>
      <c r="E149" s="4"/>
      <c r="F149" s="4"/>
      <c r="G149" s="4"/>
      <c r="H149" s="4"/>
      <c r="I149" s="4"/>
      <c r="J149" s="4"/>
      <c r="K149" s="4"/>
      <c r="L149" s="37"/>
      <c r="M149" s="4"/>
    </row>
    <row r="150" customFormat="false" ht="15" hidden="false" customHeight="false" outlineLevel="0" collapsed="false">
      <c r="A150" s="4"/>
      <c r="B150" s="37"/>
      <c r="C150" s="4"/>
      <c r="D150" s="4"/>
      <c r="E150" s="4"/>
      <c r="F150" s="4"/>
      <c r="G150" s="4"/>
      <c r="H150" s="4"/>
      <c r="I150" s="4"/>
      <c r="J150" s="4"/>
      <c r="K150" s="4"/>
      <c r="L150" s="37"/>
      <c r="M150" s="4"/>
    </row>
    <row r="151" customFormat="false" ht="15" hidden="false" customHeight="false" outlineLevel="0" collapsed="false">
      <c r="A151" s="4"/>
      <c r="B151" s="37"/>
      <c r="C151" s="4"/>
      <c r="D151" s="4"/>
      <c r="E151" s="4"/>
      <c r="F151" s="4"/>
      <c r="G151" s="4"/>
      <c r="H151" s="4"/>
      <c r="I151" s="4"/>
      <c r="J151" s="4"/>
      <c r="K151" s="4"/>
      <c r="L151" s="37"/>
      <c r="M151" s="4"/>
    </row>
    <row r="152" customFormat="false" ht="15" hidden="false" customHeight="false" outlineLevel="0" collapsed="false">
      <c r="A152" s="4"/>
      <c r="B152" s="37"/>
      <c r="C152" s="4"/>
      <c r="D152" s="4"/>
      <c r="E152" s="4"/>
      <c r="F152" s="4"/>
      <c r="G152" s="4"/>
      <c r="H152" s="4"/>
      <c r="I152" s="4"/>
      <c r="J152" s="4"/>
      <c r="K152" s="4"/>
      <c r="L152" s="37"/>
      <c r="M152" s="4"/>
    </row>
    <row r="153" customFormat="false" ht="15" hidden="false" customHeight="false" outlineLevel="0" collapsed="false">
      <c r="A153" s="4"/>
      <c r="B153" s="37"/>
      <c r="C153" s="4"/>
      <c r="D153" s="4"/>
      <c r="E153" s="4"/>
      <c r="F153" s="4"/>
      <c r="G153" s="4"/>
      <c r="H153" s="4"/>
      <c r="I153" s="4"/>
      <c r="J153" s="4"/>
      <c r="K153" s="4"/>
      <c r="L153" s="37"/>
      <c r="M153" s="4"/>
    </row>
    <row r="154" customFormat="false" ht="15" hidden="false" customHeight="false" outlineLevel="0" collapsed="false">
      <c r="A154" s="4"/>
      <c r="B154" s="37"/>
      <c r="C154" s="4"/>
      <c r="D154" s="4"/>
      <c r="E154" s="4"/>
      <c r="F154" s="4"/>
      <c r="G154" s="4"/>
      <c r="H154" s="4"/>
      <c r="I154" s="4"/>
      <c r="J154" s="4"/>
      <c r="K154" s="4"/>
      <c r="L154" s="37"/>
      <c r="M154" s="4"/>
    </row>
    <row r="155" customFormat="false" ht="15" hidden="false" customHeight="false" outlineLevel="0" collapsed="false">
      <c r="A155" s="4"/>
      <c r="B155" s="37"/>
      <c r="C155" s="4"/>
      <c r="D155" s="4"/>
      <c r="E155" s="4"/>
      <c r="F155" s="4"/>
      <c r="G155" s="4"/>
      <c r="H155" s="4"/>
      <c r="I155" s="4"/>
      <c r="J155" s="4"/>
      <c r="K155" s="4"/>
      <c r="L155" s="37"/>
      <c r="M155" s="4"/>
    </row>
    <row r="156" customFormat="false" ht="15" hidden="false" customHeight="false" outlineLevel="0" collapsed="false">
      <c r="A156" s="4"/>
      <c r="B156" s="37"/>
      <c r="C156" s="4"/>
      <c r="D156" s="4"/>
      <c r="E156" s="4"/>
      <c r="F156" s="4"/>
      <c r="G156" s="4"/>
      <c r="H156" s="4"/>
      <c r="I156" s="4"/>
      <c r="J156" s="4"/>
      <c r="K156" s="4"/>
      <c r="L156" s="37"/>
      <c r="M156" s="4"/>
    </row>
    <row r="157" customFormat="false" ht="15" hidden="false" customHeight="false" outlineLevel="0" collapsed="false">
      <c r="A157" s="4"/>
      <c r="B157" s="37"/>
      <c r="C157" s="4"/>
      <c r="D157" s="4"/>
      <c r="E157" s="4"/>
      <c r="F157" s="4"/>
      <c r="G157" s="4"/>
      <c r="H157" s="4"/>
      <c r="I157" s="4"/>
      <c r="J157" s="4"/>
      <c r="K157" s="4"/>
      <c r="L157" s="37"/>
      <c r="M157" s="4"/>
    </row>
    <row r="158" customFormat="false" ht="15" hidden="false" customHeight="false" outlineLevel="0" collapsed="false">
      <c r="A158" s="4"/>
      <c r="B158" s="37"/>
      <c r="C158" s="4"/>
      <c r="D158" s="4"/>
      <c r="E158" s="4"/>
      <c r="F158" s="4"/>
      <c r="G158" s="4"/>
      <c r="H158" s="4"/>
      <c r="I158" s="4"/>
      <c r="J158" s="4"/>
      <c r="K158" s="4"/>
      <c r="L158" s="37"/>
      <c r="M158" s="4"/>
    </row>
    <row r="159" customFormat="false" ht="15" hidden="false" customHeight="false" outlineLevel="0" collapsed="false">
      <c r="A159" s="4"/>
      <c r="B159" s="37"/>
      <c r="C159" s="4"/>
      <c r="D159" s="4"/>
      <c r="E159" s="4"/>
      <c r="F159" s="4"/>
      <c r="G159" s="4"/>
      <c r="H159" s="4"/>
      <c r="I159" s="4"/>
      <c r="J159" s="4"/>
      <c r="K159" s="4"/>
      <c r="L159" s="37"/>
      <c r="M159" s="4"/>
    </row>
    <row r="160" customFormat="false" ht="15" hidden="false" customHeight="false" outlineLevel="0" collapsed="false">
      <c r="A160" s="4"/>
      <c r="B160" s="37"/>
      <c r="C160" s="4"/>
      <c r="D160" s="4"/>
      <c r="E160" s="4"/>
      <c r="F160" s="4"/>
      <c r="G160" s="4"/>
      <c r="H160" s="4"/>
      <c r="I160" s="4"/>
      <c r="J160" s="4"/>
      <c r="K160" s="4"/>
      <c r="L160" s="37"/>
      <c r="M160" s="4"/>
    </row>
    <row r="161" customFormat="false" ht="15" hidden="false" customHeight="false" outlineLevel="0" collapsed="false">
      <c r="A161" s="4"/>
      <c r="B161" s="37"/>
      <c r="C161" s="4"/>
      <c r="D161" s="4"/>
      <c r="E161" s="4"/>
      <c r="F161" s="4"/>
      <c r="G161" s="4"/>
      <c r="H161" s="4"/>
      <c r="I161" s="4"/>
      <c r="J161" s="4"/>
      <c r="K161" s="4"/>
      <c r="L161" s="37"/>
      <c r="M161" s="4"/>
    </row>
    <row r="162" customFormat="false" ht="15" hidden="false" customHeight="false" outlineLevel="0" collapsed="false">
      <c r="A162" s="4"/>
      <c r="B162" s="37"/>
      <c r="C162" s="4"/>
      <c r="D162" s="4"/>
      <c r="E162" s="4"/>
      <c r="F162" s="4"/>
      <c r="G162" s="4"/>
      <c r="H162" s="4"/>
      <c r="I162" s="4"/>
      <c r="J162" s="4"/>
      <c r="K162" s="4"/>
      <c r="L162" s="37"/>
      <c r="M162" s="4"/>
    </row>
    <row r="163" customFormat="false" ht="15" hidden="false" customHeight="false" outlineLevel="0" collapsed="false">
      <c r="A163" s="4"/>
      <c r="B163" s="37"/>
      <c r="C163" s="4"/>
      <c r="D163" s="4"/>
      <c r="E163" s="4"/>
      <c r="F163" s="4"/>
      <c r="G163" s="4"/>
      <c r="H163" s="4"/>
      <c r="I163" s="4"/>
      <c r="J163" s="4"/>
      <c r="K163" s="4"/>
      <c r="L163" s="37"/>
      <c r="M163" s="4"/>
    </row>
    <row r="164" customFormat="false" ht="15" hidden="false" customHeight="false" outlineLevel="0" collapsed="false">
      <c r="A164" s="4"/>
      <c r="B164" s="37"/>
      <c r="C164" s="4"/>
      <c r="D164" s="4"/>
      <c r="E164" s="4"/>
      <c r="F164" s="4"/>
      <c r="G164" s="4"/>
      <c r="H164" s="4"/>
      <c r="I164" s="4"/>
      <c r="J164" s="4"/>
      <c r="K164" s="4"/>
      <c r="L164" s="37"/>
      <c r="M164" s="4"/>
    </row>
    <row r="165" customFormat="false" ht="15" hidden="false" customHeight="false" outlineLevel="0" collapsed="false">
      <c r="A165" s="4"/>
      <c r="B165" s="37"/>
      <c r="C165" s="4"/>
      <c r="D165" s="4"/>
      <c r="E165" s="4"/>
      <c r="F165" s="4"/>
      <c r="G165" s="4"/>
      <c r="H165" s="4"/>
      <c r="I165" s="4"/>
      <c r="J165" s="4"/>
      <c r="K165" s="4"/>
      <c r="L165" s="37"/>
      <c r="M165" s="4"/>
    </row>
    <row r="166" customFormat="false" ht="15" hidden="false" customHeight="false" outlineLevel="0" collapsed="false">
      <c r="A166" s="4"/>
      <c r="B166" s="37"/>
      <c r="C166" s="4"/>
      <c r="D166" s="4"/>
      <c r="E166" s="4"/>
      <c r="F166" s="4"/>
      <c r="G166" s="4"/>
      <c r="H166" s="4"/>
      <c r="I166" s="4"/>
      <c r="J166" s="4"/>
      <c r="K166" s="4"/>
      <c r="L166" s="37"/>
      <c r="M166" s="4"/>
    </row>
    <row r="167" customFormat="false" ht="15" hidden="false" customHeight="false" outlineLevel="0" collapsed="false">
      <c r="A167" s="4"/>
      <c r="B167" s="37"/>
      <c r="C167" s="4"/>
      <c r="D167" s="4"/>
      <c r="E167" s="4"/>
      <c r="F167" s="4"/>
      <c r="G167" s="4"/>
      <c r="H167" s="4"/>
      <c r="I167" s="4"/>
      <c r="J167" s="4"/>
      <c r="K167" s="4"/>
      <c r="L167" s="37"/>
      <c r="M167" s="4"/>
    </row>
    <row r="168" customFormat="false" ht="15" hidden="false" customHeight="false" outlineLevel="0" collapsed="false">
      <c r="A168" s="4"/>
      <c r="B168" s="37"/>
      <c r="C168" s="4"/>
      <c r="D168" s="4"/>
      <c r="E168" s="4"/>
      <c r="F168" s="4"/>
      <c r="G168" s="4"/>
      <c r="H168" s="4"/>
      <c r="I168" s="4"/>
      <c r="J168" s="4"/>
      <c r="K168" s="4"/>
      <c r="L168" s="37"/>
      <c r="M168" s="4"/>
    </row>
    <row r="169" customFormat="false" ht="15" hidden="false" customHeight="false" outlineLevel="0" collapsed="false">
      <c r="A169" s="4"/>
      <c r="B169" s="37"/>
      <c r="C169" s="4"/>
      <c r="D169" s="4"/>
      <c r="E169" s="4"/>
      <c r="F169" s="4"/>
      <c r="G169" s="4"/>
      <c r="H169" s="4"/>
      <c r="I169" s="4"/>
      <c r="J169" s="4"/>
      <c r="K169" s="4"/>
      <c r="L169" s="37"/>
      <c r="M169" s="4"/>
    </row>
    <row r="170" customFormat="false" ht="15" hidden="false" customHeight="false" outlineLevel="0" collapsed="false">
      <c r="A170" s="4"/>
      <c r="B170" s="37"/>
      <c r="C170" s="4"/>
      <c r="D170" s="4"/>
      <c r="E170" s="4"/>
      <c r="F170" s="4"/>
      <c r="G170" s="4"/>
      <c r="H170" s="4"/>
      <c r="I170" s="4"/>
      <c r="J170" s="4"/>
      <c r="K170" s="4"/>
      <c r="L170" s="37"/>
      <c r="M170" s="4"/>
    </row>
    <row r="171" customFormat="false" ht="15" hidden="false" customHeight="false" outlineLevel="0" collapsed="false">
      <c r="A171" s="4"/>
      <c r="B171" s="37"/>
      <c r="C171" s="4"/>
      <c r="D171" s="4"/>
      <c r="E171" s="4"/>
      <c r="F171" s="4"/>
      <c r="G171" s="4"/>
      <c r="H171" s="4"/>
      <c r="I171" s="4"/>
      <c r="J171" s="4"/>
      <c r="K171" s="4"/>
      <c r="L171" s="37"/>
      <c r="M171" s="4"/>
    </row>
    <row r="172" customFormat="false" ht="15" hidden="false" customHeight="false" outlineLevel="0" collapsed="false">
      <c r="A172" s="4"/>
      <c r="B172" s="37"/>
      <c r="C172" s="4"/>
      <c r="D172" s="4"/>
      <c r="E172" s="4"/>
      <c r="F172" s="4"/>
      <c r="G172" s="4"/>
      <c r="H172" s="4"/>
      <c r="I172" s="4"/>
      <c r="J172" s="4"/>
      <c r="K172" s="4"/>
      <c r="L172" s="37"/>
      <c r="M172" s="4"/>
    </row>
    <row r="173" customFormat="false" ht="15" hidden="false" customHeight="false" outlineLevel="0" collapsed="false">
      <c r="A173" s="4"/>
      <c r="B173" s="37"/>
      <c r="C173" s="4"/>
      <c r="D173" s="4"/>
      <c r="E173" s="4"/>
      <c r="F173" s="4"/>
      <c r="G173" s="4"/>
      <c r="H173" s="4"/>
      <c r="I173" s="4"/>
      <c r="J173" s="4"/>
      <c r="K173" s="4"/>
      <c r="L173" s="37"/>
      <c r="M173" s="4"/>
    </row>
    <row r="174" customFormat="false" ht="15" hidden="false" customHeight="false" outlineLevel="0" collapsed="false">
      <c r="A174" s="4"/>
      <c r="B174" s="37"/>
      <c r="C174" s="4"/>
      <c r="D174" s="4"/>
      <c r="E174" s="4"/>
      <c r="F174" s="4"/>
      <c r="G174" s="4"/>
      <c r="H174" s="4"/>
      <c r="I174" s="4"/>
      <c r="J174" s="4"/>
      <c r="K174" s="4"/>
      <c r="L174" s="37"/>
      <c r="M174" s="4"/>
    </row>
    <row r="175" customFormat="false" ht="15" hidden="false" customHeight="false" outlineLevel="0" collapsed="false">
      <c r="A175" s="4"/>
      <c r="B175" s="37"/>
      <c r="C175" s="4"/>
      <c r="D175" s="4"/>
      <c r="E175" s="4"/>
      <c r="F175" s="4"/>
      <c r="G175" s="4"/>
      <c r="H175" s="4"/>
      <c r="I175" s="4"/>
      <c r="J175" s="4"/>
      <c r="K175" s="4"/>
      <c r="L175" s="37"/>
      <c r="M175" s="4"/>
    </row>
    <row r="176" customFormat="false" ht="15" hidden="false" customHeight="false" outlineLevel="0" collapsed="false">
      <c r="A176" s="4"/>
      <c r="B176" s="37"/>
      <c r="C176" s="4"/>
      <c r="D176" s="4"/>
      <c r="E176" s="4"/>
      <c r="F176" s="4"/>
      <c r="G176" s="4"/>
      <c r="H176" s="4"/>
      <c r="I176" s="4"/>
      <c r="J176" s="4"/>
      <c r="K176" s="4"/>
      <c r="L176" s="37"/>
      <c r="M176" s="4"/>
    </row>
    <row r="177" customFormat="false" ht="15" hidden="false" customHeight="false" outlineLevel="0" collapsed="false">
      <c r="A177" s="4"/>
      <c r="B177" s="37"/>
      <c r="C177" s="4"/>
      <c r="D177" s="4"/>
      <c r="E177" s="4"/>
      <c r="F177" s="4"/>
      <c r="G177" s="4"/>
      <c r="H177" s="4"/>
      <c r="I177" s="4"/>
      <c r="J177" s="4"/>
      <c r="K177" s="4"/>
      <c r="L177" s="37"/>
      <c r="M177" s="4"/>
    </row>
    <row r="178" customFormat="false" ht="15" hidden="false" customHeight="false" outlineLevel="0" collapsed="false">
      <c r="A178" s="4"/>
      <c r="B178" s="37"/>
      <c r="C178" s="4"/>
      <c r="D178" s="4"/>
      <c r="E178" s="4"/>
      <c r="F178" s="4"/>
      <c r="G178" s="4"/>
      <c r="H178" s="4"/>
      <c r="I178" s="4"/>
      <c r="J178" s="4"/>
      <c r="K178" s="4"/>
      <c r="L178" s="37"/>
      <c r="M178" s="4"/>
    </row>
    <row r="179" customFormat="false" ht="15" hidden="false" customHeight="false" outlineLevel="0" collapsed="false">
      <c r="A179" s="4"/>
      <c r="B179" s="37"/>
      <c r="C179" s="4"/>
      <c r="D179" s="4"/>
      <c r="E179" s="4"/>
      <c r="F179" s="4"/>
      <c r="G179" s="4"/>
      <c r="H179" s="4"/>
      <c r="I179" s="4"/>
      <c r="J179" s="4"/>
      <c r="K179" s="4"/>
      <c r="L179" s="37"/>
      <c r="M179" s="4"/>
    </row>
    <row r="180" customFormat="false" ht="15" hidden="false" customHeight="false" outlineLevel="0" collapsed="false">
      <c r="A180" s="4"/>
      <c r="B180" s="37"/>
      <c r="C180" s="4"/>
      <c r="D180" s="4"/>
      <c r="E180" s="4"/>
      <c r="F180" s="4"/>
      <c r="G180" s="4"/>
      <c r="H180" s="4"/>
      <c r="I180" s="4"/>
      <c r="J180" s="4"/>
      <c r="K180" s="4"/>
      <c r="L180" s="37"/>
      <c r="M180" s="4"/>
    </row>
    <row r="181" customFormat="false" ht="15" hidden="false" customHeight="false" outlineLevel="0" collapsed="false">
      <c r="A181" s="4"/>
      <c r="B181" s="37"/>
      <c r="C181" s="4"/>
      <c r="D181" s="4"/>
      <c r="E181" s="4"/>
      <c r="F181" s="4"/>
      <c r="G181" s="4"/>
      <c r="H181" s="4"/>
      <c r="I181" s="4"/>
      <c r="J181" s="4"/>
      <c r="K181" s="4"/>
      <c r="L181" s="37"/>
      <c r="M181" s="4"/>
    </row>
    <row r="182" customFormat="false" ht="15" hidden="false" customHeight="false" outlineLevel="0" collapsed="false">
      <c r="A182" s="4"/>
      <c r="B182" s="37"/>
      <c r="C182" s="4"/>
      <c r="D182" s="4"/>
      <c r="E182" s="4"/>
      <c r="F182" s="4"/>
      <c r="G182" s="4"/>
      <c r="H182" s="4"/>
      <c r="I182" s="4"/>
      <c r="J182" s="4"/>
      <c r="K182" s="4"/>
      <c r="L182" s="37"/>
      <c r="M182" s="4"/>
    </row>
    <row r="183" customFormat="false" ht="15" hidden="false" customHeight="false" outlineLevel="0" collapsed="false">
      <c r="A183" s="4"/>
      <c r="B183" s="37"/>
      <c r="C183" s="4"/>
      <c r="D183" s="4"/>
      <c r="E183" s="4"/>
      <c r="F183" s="4"/>
      <c r="G183" s="4"/>
      <c r="H183" s="4"/>
      <c r="I183" s="4"/>
      <c r="J183" s="4"/>
      <c r="K183" s="4"/>
      <c r="L183" s="37"/>
      <c r="M183" s="4"/>
    </row>
    <row r="184" customFormat="false" ht="15" hidden="false" customHeight="false" outlineLevel="0" collapsed="false">
      <c r="A184" s="4"/>
      <c r="B184" s="37"/>
      <c r="C184" s="4"/>
      <c r="D184" s="4"/>
      <c r="E184" s="4"/>
      <c r="F184" s="4"/>
      <c r="G184" s="4"/>
      <c r="H184" s="4"/>
      <c r="I184" s="4"/>
      <c r="J184" s="4"/>
      <c r="K184" s="4"/>
      <c r="L184" s="37"/>
      <c r="M184" s="4"/>
    </row>
    <row r="185" customFormat="false" ht="15" hidden="false" customHeight="false" outlineLevel="0" collapsed="false">
      <c r="A185" s="4"/>
      <c r="B185" s="37"/>
      <c r="C185" s="4"/>
      <c r="D185" s="4"/>
      <c r="E185" s="4"/>
      <c r="F185" s="4"/>
      <c r="G185" s="4"/>
      <c r="H185" s="4"/>
      <c r="I185" s="4"/>
      <c r="J185" s="4"/>
      <c r="K185" s="4"/>
      <c r="L185" s="37"/>
      <c r="M185" s="4"/>
    </row>
    <row r="186" customFormat="false" ht="15" hidden="false" customHeight="false" outlineLevel="0" collapsed="false">
      <c r="A186" s="4"/>
      <c r="B186" s="37"/>
      <c r="C186" s="4"/>
      <c r="D186" s="4"/>
      <c r="E186" s="4"/>
      <c r="F186" s="4"/>
      <c r="G186" s="4"/>
      <c r="H186" s="4"/>
      <c r="I186" s="4"/>
      <c r="J186" s="4"/>
      <c r="K186" s="4"/>
      <c r="L186" s="37"/>
      <c r="M186" s="4"/>
    </row>
    <row r="187" customFormat="false" ht="15" hidden="false" customHeight="false" outlineLevel="0" collapsed="false">
      <c r="A187" s="4"/>
      <c r="B187" s="37"/>
      <c r="C187" s="4"/>
      <c r="D187" s="4"/>
      <c r="E187" s="4"/>
      <c r="F187" s="4"/>
      <c r="G187" s="4"/>
      <c r="H187" s="4"/>
      <c r="I187" s="4"/>
      <c r="J187" s="4"/>
      <c r="K187" s="4"/>
      <c r="L187" s="37"/>
      <c r="M187" s="4"/>
    </row>
    <row r="188" customFormat="false" ht="15" hidden="false" customHeight="false" outlineLevel="0" collapsed="false">
      <c r="A188" s="4"/>
      <c r="B188" s="37"/>
      <c r="C188" s="4"/>
      <c r="D188" s="4"/>
      <c r="E188" s="4"/>
      <c r="F188" s="4"/>
      <c r="G188" s="4"/>
      <c r="H188" s="4"/>
      <c r="I188" s="4"/>
      <c r="J188" s="4"/>
      <c r="K188" s="4"/>
      <c r="L188" s="37"/>
      <c r="M188" s="4"/>
    </row>
    <row r="189" customFormat="false" ht="15" hidden="false" customHeight="false" outlineLevel="0" collapsed="false">
      <c r="A189" s="4"/>
      <c r="B189" s="37"/>
      <c r="C189" s="4"/>
      <c r="D189" s="4"/>
      <c r="E189" s="4"/>
      <c r="F189" s="4"/>
      <c r="G189" s="4"/>
      <c r="H189" s="4"/>
      <c r="I189" s="4"/>
      <c r="J189" s="4"/>
      <c r="K189" s="4"/>
      <c r="L189" s="37"/>
      <c r="M189" s="4"/>
    </row>
    <row r="190" customFormat="false" ht="15" hidden="false" customHeight="false" outlineLevel="0" collapsed="false">
      <c r="A190" s="4"/>
      <c r="B190" s="37"/>
      <c r="C190" s="4"/>
      <c r="D190" s="4"/>
      <c r="E190" s="4"/>
      <c r="F190" s="4"/>
      <c r="G190" s="4"/>
      <c r="H190" s="4"/>
      <c r="I190" s="4"/>
      <c r="J190" s="4"/>
      <c r="K190" s="4"/>
      <c r="L190" s="37"/>
      <c r="M190" s="4"/>
    </row>
    <row r="191" customFormat="false" ht="15" hidden="false" customHeight="false" outlineLevel="0" collapsed="false">
      <c r="A191" s="4"/>
      <c r="B191" s="37"/>
      <c r="C191" s="4"/>
      <c r="D191" s="4"/>
      <c r="E191" s="4"/>
      <c r="F191" s="4"/>
      <c r="G191" s="4"/>
      <c r="H191" s="4"/>
      <c r="I191" s="4"/>
      <c r="J191" s="4"/>
      <c r="K191" s="4"/>
      <c r="L191" s="37"/>
      <c r="M191" s="4"/>
    </row>
    <row r="192" customFormat="false" ht="15" hidden="false" customHeight="false" outlineLevel="0" collapsed="false">
      <c r="A192" s="4"/>
      <c r="B192" s="37"/>
      <c r="C192" s="4"/>
      <c r="D192" s="4"/>
      <c r="E192" s="4"/>
      <c r="F192" s="4"/>
      <c r="G192" s="4"/>
      <c r="H192" s="4"/>
      <c r="I192" s="4"/>
      <c r="J192" s="4"/>
      <c r="K192" s="4"/>
      <c r="L192" s="37"/>
      <c r="M192" s="4"/>
    </row>
    <row r="193" customFormat="false" ht="15" hidden="false" customHeight="false" outlineLevel="0" collapsed="false">
      <c r="A193" s="4"/>
      <c r="B193" s="37"/>
      <c r="C193" s="4"/>
      <c r="D193" s="4"/>
      <c r="E193" s="4"/>
      <c r="F193" s="4"/>
      <c r="G193" s="4"/>
      <c r="H193" s="4"/>
      <c r="I193" s="4"/>
      <c r="J193" s="4"/>
      <c r="K193" s="4"/>
      <c r="L193" s="37"/>
      <c r="M193" s="4"/>
    </row>
    <row r="194" customFormat="false" ht="15" hidden="false" customHeight="false" outlineLevel="0" collapsed="false">
      <c r="A194" s="4"/>
      <c r="B194" s="37"/>
      <c r="C194" s="4"/>
      <c r="D194" s="4"/>
      <c r="E194" s="4"/>
      <c r="F194" s="4"/>
      <c r="G194" s="4"/>
      <c r="H194" s="4"/>
      <c r="I194" s="4"/>
      <c r="J194" s="4"/>
      <c r="K194" s="4"/>
      <c r="L194" s="37"/>
      <c r="M194" s="4"/>
    </row>
    <row r="195" customFormat="false" ht="15" hidden="false" customHeight="false" outlineLevel="0" collapsed="false">
      <c r="A195" s="4"/>
      <c r="B195" s="37"/>
      <c r="C195" s="4"/>
      <c r="D195" s="4"/>
      <c r="E195" s="4"/>
      <c r="F195" s="4"/>
      <c r="G195" s="4"/>
      <c r="H195" s="4"/>
      <c r="I195" s="4"/>
      <c r="J195" s="4"/>
      <c r="K195" s="4"/>
      <c r="L195" s="37"/>
      <c r="M195" s="4"/>
    </row>
    <row r="196" customFormat="false" ht="15" hidden="false" customHeight="false" outlineLevel="0" collapsed="false">
      <c r="A196" s="4"/>
      <c r="B196" s="37"/>
      <c r="C196" s="4"/>
      <c r="D196" s="4"/>
      <c r="E196" s="4"/>
      <c r="F196" s="4"/>
      <c r="G196" s="4"/>
      <c r="H196" s="4"/>
      <c r="I196" s="4"/>
      <c r="J196" s="4"/>
      <c r="K196" s="4"/>
      <c r="L196" s="37"/>
      <c r="M196" s="4"/>
    </row>
    <row r="197" customFormat="false" ht="15" hidden="false" customHeight="false" outlineLevel="0" collapsed="false">
      <c r="A197" s="4"/>
      <c r="B197" s="37"/>
      <c r="C197" s="4"/>
      <c r="D197" s="4"/>
      <c r="E197" s="4"/>
      <c r="F197" s="4"/>
      <c r="G197" s="4"/>
      <c r="H197" s="4"/>
      <c r="I197" s="4"/>
      <c r="J197" s="4"/>
      <c r="K197" s="4"/>
      <c r="L197" s="37"/>
      <c r="M197" s="4"/>
    </row>
    <row r="198" customFormat="false" ht="15" hidden="false" customHeight="false" outlineLevel="0" collapsed="false">
      <c r="A198" s="4"/>
      <c r="B198" s="37"/>
      <c r="C198" s="4"/>
      <c r="D198" s="4"/>
      <c r="E198" s="4"/>
      <c r="F198" s="4"/>
      <c r="G198" s="4"/>
      <c r="H198" s="4"/>
      <c r="I198" s="4"/>
      <c r="J198" s="4"/>
      <c r="K198" s="4"/>
      <c r="L198" s="37"/>
      <c r="M198" s="4"/>
    </row>
    <row r="199" customFormat="false" ht="15" hidden="false" customHeight="false" outlineLevel="0" collapsed="false">
      <c r="A199" s="4"/>
      <c r="B199" s="37"/>
      <c r="C199" s="4"/>
      <c r="D199" s="4"/>
      <c r="E199" s="4"/>
      <c r="F199" s="4"/>
      <c r="G199" s="4"/>
      <c r="H199" s="4"/>
      <c r="I199" s="4"/>
      <c r="J199" s="4"/>
      <c r="K199" s="4"/>
      <c r="L199" s="37"/>
      <c r="M199" s="4"/>
    </row>
    <row r="200" customFormat="false" ht="15" hidden="false" customHeight="false" outlineLevel="0" collapsed="false">
      <c r="A200" s="4"/>
      <c r="B200" s="37"/>
      <c r="C200" s="4"/>
      <c r="D200" s="4"/>
      <c r="E200" s="4"/>
      <c r="F200" s="4"/>
      <c r="G200" s="4"/>
      <c r="H200" s="4"/>
      <c r="I200" s="4"/>
      <c r="J200" s="4"/>
      <c r="K200" s="4"/>
      <c r="L200" s="37"/>
      <c r="M200" s="4"/>
    </row>
    <row r="201" customFormat="false" ht="15" hidden="false" customHeight="false" outlineLevel="0" collapsed="false">
      <c r="A201" s="4"/>
      <c r="B201" s="37"/>
      <c r="C201" s="4"/>
      <c r="D201" s="4"/>
      <c r="E201" s="4"/>
      <c r="F201" s="4"/>
      <c r="G201" s="4"/>
      <c r="H201" s="4"/>
      <c r="I201" s="4"/>
      <c r="J201" s="4"/>
      <c r="K201" s="4"/>
      <c r="L201" s="37"/>
      <c r="M201" s="4"/>
    </row>
    <row r="202" customFormat="false" ht="15" hidden="false" customHeight="false" outlineLevel="0" collapsed="false">
      <c r="A202" s="4"/>
      <c r="B202" s="37"/>
      <c r="C202" s="4"/>
      <c r="D202" s="4"/>
      <c r="E202" s="4"/>
      <c r="F202" s="4"/>
      <c r="G202" s="4"/>
      <c r="H202" s="4"/>
      <c r="I202" s="4"/>
      <c r="J202" s="4"/>
      <c r="K202" s="4"/>
      <c r="L202" s="37"/>
      <c r="M202" s="4"/>
    </row>
    <row r="203" customFormat="false" ht="15" hidden="false" customHeight="false" outlineLevel="0" collapsed="false">
      <c r="A203" s="4"/>
      <c r="B203" s="37"/>
      <c r="C203" s="4"/>
      <c r="D203" s="4"/>
      <c r="E203" s="4"/>
      <c r="F203" s="4"/>
      <c r="G203" s="4"/>
      <c r="H203" s="4"/>
      <c r="I203" s="4"/>
      <c r="J203" s="4"/>
      <c r="K203" s="4"/>
      <c r="L203" s="37"/>
      <c r="M203" s="4"/>
    </row>
  </sheetData>
  <autoFilter ref="A3:M203"/>
  <conditionalFormatting sqref="F4:F203">
    <cfRule type="expression" priority="2" aboveAverage="0" equalAverage="0" bottom="0" percent="0" rank="0" text="" dxfId="9">
      <formula>F4="Blocker"</formula>
    </cfRule>
    <cfRule type="expression" priority="3" aboveAverage="0" equalAverage="0" bottom="0" percent="0" rank="0" text="" dxfId="8">
      <formula>F4="Major"</formula>
    </cfRule>
    <cfRule type="expression" priority="4" aboveAverage="0" equalAverage="0" bottom="0" percent="0" rank="0" text="" dxfId="7">
      <formula>F4="Minor"</formula>
    </cfRule>
  </conditionalFormatting>
  <conditionalFormatting sqref="A4:E203 G4:M203">
    <cfRule type="expression" priority="5" aboveAverage="0" equalAverage="0" bottom="0" percent="0" rank="0" text="" dxfId="23">
      <formula>OR($G4="Resolved",$G4="Won't fix")</formula>
    </cfRule>
  </conditionalFormatting>
  <dataValidations count="4">
    <dataValidation allowBlank="true" errorStyle="stop" operator="between" showDropDown="false" showErrorMessage="false" showInputMessage="false" sqref="C4:C203" type="list">
      <formula1>"G1 ED305 live digital twin,G2 SCooP dataset &amp; paper,Shared SCooP testbed,Dual-Link Communication,Semantic Communication"</formula1>
      <formula2>0</formula2>
    </dataValidation>
    <dataValidation allowBlank="true" errorStyle="stop" operator="between" showDropDown="false" showErrorMessage="false" showInputMessage="false" sqref="E4:E203" type="list">
      <formula1>"Sensors &amp; platform,GS-SLAM,Scene detection,Isaac Sim,Sionna RT,SCooP dataset,Dual-link comms,Semantic comms,All (integration)"</formula1>
      <formula2>0</formula2>
    </dataValidation>
    <dataValidation allowBlank="true" errorStyle="stop" operator="between" showDropDown="false" showErrorMessage="false" showInputMessage="false" sqref="F4:F203" type="list">
      <formula1>"Blocker,Major,Minor"</formula1>
      <formula2>0</formula2>
    </dataValidation>
    <dataValidation allowBlank="true" errorStyle="stop" operator="between" showDropDown="false" showErrorMessage="false" showInputMessage="false" sqref="G4:G203" type="list">
      <formula1>"Open,Investigating,Resolved,Won't fix"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3" min="2" style="0" width="20"/>
    <col collapsed="false" customWidth="true" hidden="false" outlineLevel="0" max="4" min="4" style="0" width="36"/>
    <col collapsed="false" customWidth="true" hidden="false" outlineLevel="0" max="5" min="5" style="0" width="22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9" min="8" style="0" width="17"/>
    <col collapsed="false" customWidth="true" hidden="false" outlineLevel="0" max="10" min="10" style="0" width="12"/>
    <col collapsed="false" customWidth="true" hidden="false" outlineLevel="0" max="11" min="11" style="0" width="30"/>
  </cols>
  <sheetData>
    <row r="1" customFormat="false" ht="17.35" hidden="false" customHeight="false" outlineLevel="0" collapsed="false">
      <c r="A1" s="1" t="s">
        <v>11</v>
      </c>
    </row>
    <row r="2" customFormat="false" ht="15" hidden="false" customHeight="false" outlineLevel="0" collapsed="false">
      <c r="A2" s="2" t="s">
        <v>634</v>
      </c>
    </row>
    <row r="3" customFormat="false" ht="30" hidden="false" customHeight="true" outlineLevel="0" collapsed="false">
      <c r="A3" s="19" t="s">
        <v>635</v>
      </c>
      <c r="B3" s="19" t="s">
        <v>636</v>
      </c>
      <c r="C3" s="19" t="s">
        <v>637</v>
      </c>
      <c r="D3" s="19" t="s">
        <v>638</v>
      </c>
      <c r="E3" s="19" t="s">
        <v>639</v>
      </c>
      <c r="F3" s="19" t="s">
        <v>640</v>
      </c>
      <c r="G3" s="19" t="s">
        <v>641</v>
      </c>
      <c r="H3" s="19" t="s">
        <v>642</v>
      </c>
      <c r="I3" s="19" t="s">
        <v>643</v>
      </c>
      <c r="J3" s="19" t="s">
        <v>644</v>
      </c>
      <c r="K3" s="19" t="s">
        <v>104</v>
      </c>
    </row>
    <row r="4" customFormat="false" ht="15" hidden="false" customHeight="false" outlineLevel="0" collapsed="false">
      <c r="A4" s="4" t="s">
        <v>645</v>
      </c>
      <c r="B4" s="4" t="s">
        <v>646</v>
      </c>
      <c r="C4" s="4" t="s">
        <v>647</v>
      </c>
      <c r="D4" s="4" t="s">
        <v>648</v>
      </c>
      <c r="E4" s="4" t="s">
        <v>649</v>
      </c>
      <c r="F4" s="4" t="s">
        <v>649</v>
      </c>
      <c r="G4" s="4" t="s">
        <v>649</v>
      </c>
      <c r="H4" s="4" t="s">
        <v>62</v>
      </c>
      <c r="I4" s="4" t="s">
        <v>62</v>
      </c>
      <c r="J4" s="4" t="s">
        <v>80</v>
      </c>
      <c r="K4" s="4"/>
    </row>
    <row r="5" customFormat="false" ht="15" hidden="false" customHeight="false" outlineLevel="0" collapsed="false">
      <c r="A5" s="4" t="s">
        <v>650</v>
      </c>
      <c r="B5" s="4" t="s">
        <v>647</v>
      </c>
      <c r="C5" s="4" t="s">
        <v>651</v>
      </c>
      <c r="D5" s="4" t="s">
        <v>652</v>
      </c>
      <c r="E5" s="4" t="s">
        <v>649</v>
      </c>
      <c r="F5" s="4" t="s">
        <v>649</v>
      </c>
      <c r="G5" s="4" t="s">
        <v>649</v>
      </c>
      <c r="H5" s="4" t="s">
        <v>62</v>
      </c>
      <c r="I5" s="4" t="s">
        <v>63</v>
      </c>
      <c r="J5" s="4" t="s">
        <v>80</v>
      </c>
      <c r="K5" s="4"/>
    </row>
    <row r="6" customFormat="false" ht="15" hidden="false" customHeight="false" outlineLevel="0" collapsed="false">
      <c r="A6" s="4" t="s">
        <v>653</v>
      </c>
      <c r="B6" s="4" t="s">
        <v>646</v>
      </c>
      <c r="C6" s="4" t="s">
        <v>297</v>
      </c>
      <c r="D6" s="4" t="s">
        <v>654</v>
      </c>
      <c r="E6" s="4" t="s">
        <v>649</v>
      </c>
      <c r="F6" s="4" t="s">
        <v>649</v>
      </c>
      <c r="G6" s="4" t="s">
        <v>649</v>
      </c>
      <c r="H6" s="4" t="s">
        <v>62</v>
      </c>
      <c r="I6" s="4" t="s">
        <v>63</v>
      </c>
      <c r="J6" s="4" t="s">
        <v>80</v>
      </c>
      <c r="K6" s="4"/>
    </row>
    <row r="7" customFormat="false" ht="23.85" hidden="false" customHeight="false" outlineLevel="0" collapsed="false">
      <c r="A7" s="4" t="s">
        <v>655</v>
      </c>
      <c r="B7" s="4" t="s">
        <v>656</v>
      </c>
      <c r="C7" s="4" t="s">
        <v>657</v>
      </c>
      <c r="D7" s="4" t="s">
        <v>658</v>
      </c>
      <c r="E7" s="4" t="s">
        <v>649</v>
      </c>
      <c r="F7" s="4" t="s">
        <v>649</v>
      </c>
      <c r="G7" s="4" t="s">
        <v>649</v>
      </c>
      <c r="H7" s="4" t="s">
        <v>62</v>
      </c>
      <c r="I7" s="4" t="s">
        <v>63</v>
      </c>
      <c r="J7" s="4" t="s">
        <v>80</v>
      </c>
      <c r="K7" s="4"/>
    </row>
    <row r="8" customFormat="false" ht="15" hidden="false" customHeight="false" outlineLevel="0" collapsed="false">
      <c r="A8" s="4" t="s">
        <v>659</v>
      </c>
      <c r="B8" s="4" t="s">
        <v>660</v>
      </c>
      <c r="C8" s="4" t="s">
        <v>661</v>
      </c>
      <c r="D8" s="4" t="s">
        <v>662</v>
      </c>
      <c r="E8" s="4" t="s">
        <v>649</v>
      </c>
      <c r="F8" s="4" t="s">
        <v>649</v>
      </c>
      <c r="G8" s="4" t="s">
        <v>649</v>
      </c>
      <c r="H8" s="4" t="s">
        <v>63</v>
      </c>
      <c r="I8" s="4" t="s">
        <v>65</v>
      </c>
      <c r="J8" s="4" t="s">
        <v>80</v>
      </c>
      <c r="K8" s="4"/>
    </row>
    <row r="9" customFormat="false" ht="15" hidden="false" customHeight="false" outlineLevel="0" collapsed="false">
      <c r="A9" s="4" t="s">
        <v>663</v>
      </c>
      <c r="B9" s="4" t="s">
        <v>664</v>
      </c>
      <c r="C9" s="4" t="s">
        <v>665</v>
      </c>
      <c r="D9" s="4" t="s">
        <v>666</v>
      </c>
      <c r="E9" s="4" t="s">
        <v>649</v>
      </c>
      <c r="F9" s="4" t="s">
        <v>649</v>
      </c>
      <c r="G9" s="4" t="s">
        <v>649</v>
      </c>
      <c r="H9" s="4" t="s">
        <v>63</v>
      </c>
      <c r="I9" s="4" t="s">
        <v>63</v>
      </c>
      <c r="J9" s="4" t="s">
        <v>80</v>
      </c>
      <c r="K9" s="4"/>
    </row>
    <row r="10" customFormat="false" ht="23.85" hidden="false" customHeight="false" outlineLevel="0" collapsed="false">
      <c r="A10" s="4" t="s">
        <v>667</v>
      </c>
      <c r="B10" s="4" t="s">
        <v>665</v>
      </c>
      <c r="C10" s="4" t="s">
        <v>668</v>
      </c>
      <c r="D10" s="4" t="s">
        <v>669</v>
      </c>
      <c r="E10" s="4" t="s">
        <v>649</v>
      </c>
      <c r="F10" s="4" t="s">
        <v>649</v>
      </c>
      <c r="G10" s="4" t="s">
        <v>649</v>
      </c>
      <c r="H10" s="4" t="s">
        <v>63</v>
      </c>
      <c r="I10" s="4" t="s">
        <v>64</v>
      </c>
      <c r="J10" s="4" t="s">
        <v>80</v>
      </c>
      <c r="K10" s="4"/>
    </row>
    <row r="11" customFormat="false" ht="23.85" hidden="false" customHeight="false" outlineLevel="0" collapsed="false">
      <c r="A11" s="4" t="s">
        <v>670</v>
      </c>
      <c r="B11" s="4" t="s">
        <v>65</v>
      </c>
      <c r="C11" s="4" t="s">
        <v>671</v>
      </c>
      <c r="D11" s="4" t="s">
        <v>672</v>
      </c>
      <c r="E11" s="4" t="s">
        <v>649</v>
      </c>
      <c r="F11" s="4" t="s">
        <v>649</v>
      </c>
      <c r="G11" s="4" t="s">
        <v>649</v>
      </c>
      <c r="H11" s="4" t="s">
        <v>65</v>
      </c>
      <c r="I11" s="4" t="s">
        <v>64</v>
      </c>
      <c r="J11" s="4" t="s">
        <v>80</v>
      </c>
      <c r="K11" s="4"/>
    </row>
    <row r="12" customFormat="false" ht="23.85" hidden="false" customHeight="false" outlineLevel="0" collapsed="false">
      <c r="A12" s="4" t="s">
        <v>673</v>
      </c>
      <c r="B12" s="4" t="s">
        <v>674</v>
      </c>
      <c r="C12" s="4" t="s">
        <v>675</v>
      </c>
      <c r="D12" s="4" t="s">
        <v>676</v>
      </c>
      <c r="E12" s="4" t="s">
        <v>649</v>
      </c>
      <c r="F12" s="4" t="s">
        <v>649</v>
      </c>
      <c r="G12" s="4" t="s">
        <v>649</v>
      </c>
      <c r="H12" s="4" t="s">
        <v>64</v>
      </c>
      <c r="I12" s="4" t="s">
        <v>65</v>
      </c>
      <c r="J12" s="4" t="s">
        <v>80</v>
      </c>
      <c r="K12" s="4"/>
    </row>
    <row r="13" customFormat="false" ht="15" hidden="false" customHeight="false" outlineLevel="0" collapsed="false">
      <c r="A13" s="4" t="s">
        <v>677</v>
      </c>
      <c r="B13" s="4" t="s">
        <v>65</v>
      </c>
      <c r="C13" s="4" t="s">
        <v>678</v>
      </c>
      <c r="D13" s="4" t="s">
        <v>679</v>
      </c>
      <c r="E13" s="4" t="s">
        <v>649</v>
      </c>
      <c r="F13" s="4" t="s">
        <v>649</v>
      </c>
      <c r="G13" s="4" t="s">
        <v>649</v>
      </c>
      <c r="H13" s="4" t="s">
        <v>65</v>
      </c>
      <c r="I13" s="4" t="s">
        <v>62</v>
      </c>
      <c r="J13" s="4" t="s">
        <v>80</v>
      </c>
      <c r="K13" s="4"/>
    </row>
    <row r="14" customFormat="false" ht="15" hidden="false" customHeight="false" outlineLevel="0" collapsed="false">
      <c r="A14" s="4" t="s">
        <v>680</v>
      </c>
      <c r="B14" s="4" t="s">
        <v>65</v>
      </c>
      <c r="C14" s="4" t="s">
        <v>66</v>
      </c>
      <c r="D14" s="4" t="s">
        <v>681</v>
      </c>
      <c r="E14" s="4" t="s">
        <v>649</v>
      </c>
      <c r="F14" s="4" t="s">
        <v>649</v>
      </c>
      <c r="G14" s="4" t="s">
        <v>649</v>
      </c>
      <c r="H14" s="4" t="s">
        <v>65</v>
      </c>
      <c r="I14" s="4" t="s">
        <v>66</v>
      </c>
      <c r="J14" s="4" t="s">
        <v>80</v>
      </c>
      <c r="K14" s="4"/>
    </row>
    <row r="15" customFormat="false" ht="23.85" hidden="false" customHeight="false" outlineLevel="0" collapsed="false">
      <c r="A15" s="4" t="s">
        <v>682</v>
      </c>
      <c r="B15" s="4" t="s">
        <v>683</v>
      </c>
      <c r="C15" s="4" t="s">
        <v>684</v>
      </c>
      <c r="D15" s="4" t="s">
        <v>685</v>
      </c>
      <c r="E15" s="4" t="s">
        <v>649</v>
      </c>
      <c r="F15" s="4" t="s">
        <v>649</v>
      </c>
      <c r="G15" s="4" t="s">
        <v>649</v>
      </c>
      <c r="H15" s="4" t="s">
        <v>62</v>
      </c>
      <c r="I15" s="4" t="s">
        <v>64</v>
      </c>
      <c r="J15" s="4" t="s">
        <v>80</v>
      </c>
      <c r="K15" s="4"/>
    </row>
    <row r="16" customFormat="false" ht="15" hidden="false" customHeight="false" outlineLevel="0" collapsed="false">
      <c r="A16" s="4" t="s">
        <v>686</v>
      </c>
      <c r="B16" s="4" t="s">
        <v>66</v>
      </c>
      <c r="C16" s="4" t="s">
        <v>687</v>
      </c>
      <c r="D16" s="4" t="s">
        <v>688</v>
      </c>
      <c r="E16" s="4" t="s">
        <v>649</v>
      </c>
      <c r="F16" s="4" t="s">
        <v>649</v>
      </c>
      <c r="G16" s="4" t="s">
        <v>649</v>
      </c>
      <c r="H16" s="4" t="s">
        <v>66</v>
      </c>
      <c r="I16" s="4" t="s">
        <v>68</v>
      </c>
      <c r="J16" s="4" t="s">
        <v>80</v>
      </c>
      <c r="K16" s="4"/>
    </row>
    <row r="17" customFormat="false" ht="15" hidden="false" customHeight="false" outlineLevel="0" collapsed="false">
      <c r="A17" s="4" t="s">
        <v>689</v>
      </c>
      <c r="B17" s="4" t="s">
        <v>690</v>
      </c>
      <c r="C17" s="4" t="s">
        <v>691</v>
      </c>
      <c r="D17" s="4" t="s">
        <v>692</v>
      </c>
      <c r="E17" s="4" t="s">
        <v>649</v>
      </c>
      <c r="F17" s="4" t="s">
        <v>649</v>
      </c>
      <c r="G17" s="4" t="s">
        <v>649</v>
      </c>
      <c r="H17" s="4" t="s">
        <v>67</v>
      </c>
      <c r="I17" s="4" t="s">
        <v>66</v>
      </c>
      <c r="J17" s="4" t="s">
        <v>80</v>
      </c>
      <c r="K17" s="4"/>
    </row>
    <row r="18" customFormat="false" ht="15" hidden="false" customHeight="false" outlineLevel="0" collapsed="false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</row>
    <row r="19" customFormat="false" ht="15" hidden="false" customHeight="false" outlineLevel="0" collapsed="false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</row>
    <row r="20" customFormat="false" ht="15" hidden="false" customHeight="false" outlineLevel="0" collapsed="false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</row>
    <row r="21" customFormat="false" ht="15" hidden="false" customHeight="false" outlineLevel="0" collapsed="false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</row>
    <row r="22" customFormat="false" ht="15" hidden="false" customHeight="false" outlineLevel="0" collapsed="false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</row>
    <row r="23" customFormat="false" ht="15" hidden="false" customHeight="false" outlineLevel="0" collapsed="false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</row>
    <row r="24" customFormat="false" ht="15" hidden="false" customHeight="false" outlineLevel="0" collapsed="false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</row>
    <row r="25" customFormat="false" ht="15" hidden="false" customHeight="false" outlineLevel="0" collapsed="false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</row>
    <row r="26" customFormat="false" ht="15" hidden="false" customHeight="false" outlineLevel="0" collapsed="false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</row>
    <row r="27" customFormat="false" ht="15" hidden="false" customHeight="false" outlineLevel="0" collapsed="false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</row>
    <row r="28" customFormat="false" ht="15" hidden="false" customHeight="false" outlineLevel="0" collapsed="false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</row>
    <row r="29" customFormat="false" ht="15" hidden="false" customHeight="false" outlineLevel="0" collapsed="false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</row>
    <row r="30" customFormat="false" ht="15" hidden="false" customHeight="false" outlineLevel="0" collapsed="false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</row>
    <row r="31" customFormat="false" ht="15" hidden="false" customHeight="false" outlineLevel="0" collapsed="false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</row>
    <row r="32" customFormat="false" ht="15" hidden="false" customHeight="false" outlineLevel="0" collapsed="false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</row>
    <row r="33" customFormat="false" ht="15" hidden="false" customHeight="false" outlineLevel="0" collapsed="false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</row>
    <row r="34" customFormat="false" ht="15" hidden="false" customHeight="false" outlineLevel="0" collapsed="false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</row>
    <row r="35" customFormat="false" ht="15" hidden="false" customHeight="false" outlineLevel="0" collapsed="false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</row>
    <row r="36" customFormat="false" ht="15" hidden="false" customHeight="false" outlineLevel="0" collapsed="false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</row>
    <row r="37" customFormat="false" ht="15" hidden="false" customHeight="false" outlineLevel="0" collapsed="false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</row>
    <row r="38" customFormat="false" ht="15" hidden="false" customHeight="false" outlineLevel="0" collapsed="false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</row>
    <row r="39" customFormat="false" ht="15" hidden="false" customHeight="false" outlineLevel="0" collapsed="false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</row>
    <row r="40" customFormat="false" ht="15" hidden="false" customHeight="false" outlineLevel="0" collapsed="false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</row>
    <row r="41" customFormat="false" ht="15" hidden="false" customHeight="false" outlineLevel="0" collapsed="false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</row>
    <row r="42" customFormat="false" ht="15" hidden="false" customHeight="false" outlineLevel="0" collapsed="false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</row>
    <row r="43" customFormat="false" ht="15" hidden="false" customHeight="false" outlineLevel="0" collapsed="false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</row>
    <row r="44" customFormat="false" ht="15" hidden="false" customHeight="false" outlineLevel="0" collapsed="false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</row>
    <row r="45" customFormat="false" ht="15" hidden="false" customHeight="false" outlineLevel="0" collapsed="false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</row>
    <row r="46" customFormat="false" ht="15" hidden="false" customHeight="false" outlineLevel="0" collapsed="false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</row>
    <row r="47" customFormat="false" ht="15" hidden="false" customHeight="false" outlineLevel="0" collapsed="false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</row>
    <row r="48" customFormat="false" ht="15" hidden="false" customHeight="false" outlineLevel="0" collapsed="false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</row>
    <row r="49" customFormat="false" ht="15" hidden="false" customHeight="false" outlineLevel="0" collapsed="false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</row>
    <row r="50" customFormat="false" ht="15" hidden="false" customHeight="false" outlineLevel="0" collapsed="false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</row>
    <row r="51" customFormat="false" ht="15" hidden="false" customHeight="false" outlineLevel="0" collapsed="false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</row>
    <row r="52" customFormat="false" ht="15" hidden="false" customHeight="false" outlineLevel="0" collapsed="false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</row>
    <row r="53" customFormat="false" ht="15" hidden="false" customHeight="false" outlineLevel="0" collapsed="false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</row>
    <row r="54" customFormat="false" ht="15" hidden="false" customHeight="false" outlineLevel="0" collapsed="false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</row>
    <row r="55" customFormat="false" ht="15" hidden="false" customHeight="false" outlineLevel="0" collapsed="false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</row>
    <row r="56" customFormat="false" ht="15" hidden="false" customHeight="false" outlineLevel="0" collapsed="false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</row>
    <row r="57" customFormat="false" ht="15" hidden="false" customHeight="false" outlineLevel="0" collapsed="false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</row>
    <row r="58" customFormat="false" ht="15" hidden="false" customHeight="false" outlineLevel="0" collapsed="false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</row>
    <row r="59" customFormat="false" ht="15" hidden="false" customHeight="false" outlineLevel="0" collapsed="false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</row>
    <row r="60" customFormat="false" ht="15" hidden="false" customHeight="false" outlineLevel="0" collapsed="false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</row>
    <row r="61" customFormat="false" ht="15" hidden="false" customHeight="false" outlineLevel="0" collapsed="false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</row>
    <row r="62" customFormat="false" ht="15" hidden="false" customHeight="false" outlineLevel="0" collapsed="false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</row>
    <row r="63" customFormat="false" ht="15" hidden="false" customHeight="false" outlineLevel="0" collapsed="false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</row>
    <row r="64" customFormat="false" ht="15" hidden="false" customHeight="false" outlineLevel="0" collapsed="false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</row>
    <row r="65" customFormat="false" ht="15" hidden="false" customHeight="false" outlineLevel="0" collapsed="false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</row>
    <row r="66" customFormat="false" ht="15" hidden="false" customHeight="false" outlineLevel="0" collapsed="false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</row>
    <row r="67" customFormat="false" ht="15" hidden="false" customHeight="false" outlineLevel="0" collapsed="false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</row>
    <row r="68" customFormat="false" ht="15" hidden="false" customHeight="false" outlineLevel="0" collapsed="false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</row>
    <row r="69" customFormat="false" ht="15" hidden="false" customHeight="false" outlineLevel="0" collapsed="false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</row>
    <row r="70" customFormat="false" ht="15" hidden="false" customHeight="false" outlineLevel="0" collapsed="false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</row>
    <row r="71" customFormat="false" ht="15" hidden="false" customHeight="false" outlineLevel="0" collapsed="false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</row>
    <row r="72" customFormat="false" ht="15" hidden="false" customHeight="false" outlineLevel="0" collapsed="false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</row>
    <row r="73" customFormat="false" ht="15" hidden="false" customHeight="false" outlineLevel="0" collapsed="false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</row>
    <row r="74" customFormat="false" ht="15" hidden="false" customHeight="false" outlineLevel="0" collapsed="false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</row>
    <row r="75" customFormat="false" ht="15" hidden="false" customHeight="false" outlineLevel="0" collapsed="false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</row>
    <row r="76" customFormat="false" ht="15" hidden="false" customHeight="false" outlineLevel="0" collapsed="false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</row>
    <row r="77" customFormat="false" ht="15" hidden="false" customHeight="false" outlineLevel="0" collapsed="false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</row>
    <row r="78" customFormat="false" ht="15" hidden="false" customHeight="false" outlineLevel="0" collapsed="false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</row>
    <row r="79" customFormat="false" ht="15" hidden="false" customHeight="false" outlineLevel="0" collapsed="false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</row>
    <row r="80" customFormat="false" ht="15" hidden="false" customHeight="false" outlineLevel="0" collapsed="false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</row>
    <row r="81" customFormat="false" ht="15" hidden="false" customHeight="false" outlineLevel="0" collapsed="false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</row>
    <row r="82" customFormat="false" ht="15" hidden="false" customHeight="false" outlineLevel="0" collapsed="false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</row>
    <row r="83" customFormat="false" ht="15" hidden="false" customHeight="false" outlineLevel="0" collapsed="false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</row>
    <row r="84" customFormat="false" ht="15" hidden="false" customHeight="false" outlineLevel="0" collapsed="false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</row>
    <row r="85" customFormat="false" ht="15" hidden="false" customHeight="false" outlineLevel="0" collapsed="false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</row>
    <row r="86" customFormat="false" ht="15" hidden="false" customHeight="false" outlineLevel="0" collapsed="false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</row>
    <row r="87" customFormat="false" ht="15" hidden="false" customHeight="false" outlineLevel="0" collapsed="false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</row>
    <row r="88" customFormat="false" ht="15" hidden="false" customHeight="false" outlineLevel="0" collapsed="false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</row>
    <row r="89" customFormat="false" ht="15" hidden="false" customHeight="false" outlineLevel="0" collapsed="false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</row>
    <row r="90" customFormat="false" ht="15" hidden="false" customHeight="false" outlineLevel="0" collapsed="false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</row>
    <row r="91" customFormat="false" ht="15" hidden="false" customHeight="false" outlineLevel="0" collapsed="false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</row>
    <row r="92" customFormat="false" ht="15" hidden="false" customHeight="false" outlineLevel="0" collapsed="false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</row>
    <row r="93" customFormat="false" ht="15" hidden="false" customHeight="false" outlineLevel="0" collapsed="false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</row>
    <row r="94" customFormat="false" ht="15" hidden="false" customHeight="false" outlineLevel="0" collapsed="false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</row>
    <row r="95" customFormat="false" ht="15" hidden="false" customHeight="false" outlineLevel="0" collapsed="false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</row>
    <row r="96" customFormat="false" ht="15" hidden="false" customHeight="false" outlineLevel="0" collapsed="false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</row>
    <row r="97" customFormat="false" ht="15" hidden="false" customHeight="false" outlineLevel="0" collapsed="false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</row>
    <row r="98" customFormat="false" ht="15" hidden="false" customHeight="false" outlineLevel="0" collapsed="false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</row>
    <row r="99" customFormat="false" ht="15" hidden="false" customHeight="false" outlineLevel="0" collapsed="false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</row>
    <row r="100" customFormat="false" ht="15" hidden="false" customHeight="false" outlineLevel="0" collapsed="false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</row>
    <row r="101" customFormat="false" ht="15" hidden="false" customHeight="false" outlineLevel="0" collapsed="false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</row>
    <row r="102" customFormat="false" ht="15" hidden="false" customHeight="false" outlineLevel="0" collapsed="false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</row>
    <row r="103" customFormat="false" ht="15" hidden="false" customHeight="false" outlineLevel="0" collapsed="false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</row>
  </sheetData>
  <conditionalFormatting sqref="J4:J103">
    <cfRule type="expression" priority="2" aboveAverage="0" equalAverage="0" bottom="0" percent="0" rank="0" text="" dxfId="7">
      <formula>J4="Not defined"</formula>
    </cfRule>
    <cfRule type="expression" priority="3" aboveAverage="0" equalAverage="0" bottom="0" percent="0" rank="0" text="" dxfId="8">
      <formula>J4="Defined"</formula>
    </cfRule>
    <cfRule type="expression" priority="4" aboveAverage="0" equalAverage="0" bottom="0" percent="0" rank="0" text="" dxfId="24">
      <formula>J4="Implemented"</formula>
    </cfRule>
    <cfRule type="expression" priority="5" aboveAverage="0" equalAverage="0" bottom="0" percent="0" rank="0" text="" dxfId="10">
      <formula>J4="Tested"</formula>
    </cfRule>
  </conditionalFormatting>
  <dataValidations count="3">
    <dataValidation allowBlank="true" errorStyle="stop" operator="between" showDropDown="false" showErrorMessage="false" showInputMessage="false" sqref="H4:H103" type="list">
      <formula1>"Sensors &amp; platform,GS-SLAM,Scene detection,Isaac Sim,Sionna RT,SCooP dataset,Dual-link comms,Semantic comms,All (integration)"</formula1>
      <formula2>0</formula2>
    </dataValidation>
    <dataValidation allowBlank="true" errorStyle="stop" operator="between" showDropDown="false" showErrorMessage="false" showInputMessage="false" sqref="I4:I103" type="list">
      <formula1>"Sensors &amp; platform,GS-SLAM,Scene detection,Isaac Sim,Sionna RT,SCooP dataset,Dual-link comms,Semantic comms,All (integration)"</formula1>
      <formula2>0</formula2>
    </dataValidation>
    <dataValidation allowBlank="true" errorStyle="stop" operator="between" showDropDown="false" showErrorMessage="false" showInputMessage="false" sqref="J4:J103" type="list">
      <formula1>"Not defined,Defined,Implemented,Tested"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6"/>
    <col collapsed="false" customWidth="true" hidden="false" outlineLevel="0" max="4" min="3" style="0" width="50"/>
    <col collapsed="false" customWidth="true" hidden="false" outlineLevel="0" max="5" min="5" style="0" width="16"/>
    <col collapsed="false" customWidth="true" hidden="false" outlineLevel="0" max="6" min="6" style="0" width="30"/>
  </cols>
  <sheetData>
    <row r="1" customFormat="false" ht="17.35" hidden="false" customHeight="false" outlineLevel="0" collapsed="false">
      <c r="A1" s="1" t="s">
        <v>13</v>
      </c>
    </row>
    <row r="2" customFormat="false" ht="15" hidden="false" customHeight="false" outlineLevel="0" collapsed="false">
      <c r="A2" s="2" t="s">
        <v>693</v>
      </c>
    </row>
    <row r="3" customFormat="false" ht="30" hidden="false" customHeight="true" outlineLevel="0" collapsed="false">
      <c r="A3" s="19" t="s">
        <v>694</v>
      </c>
      <c r="B3" s="19" t="s">
        <v>61</v>
      </c>
      <c r="C3" s="19" t="s">
        <v>695</v>
      </c>
      <c r="D3" s="19" t="s">
        <v>696</v>
      </c>
      <c r="E3" s="19" t="s">
        <v>697</v>
      </c>
      <c r="F3" s="19" t="s">
        <v>104</v>
      </c>
    </row>
    <row r="4" customFormat="false" ht="15" hidden="false" customHeight="false" outlineLevel="0" collapsed="false">
      <c r="A4" s="38" t="n">
        <v>46300</v>
      </c>
      <c r="B4" s="39" t="s">
        <v>698</v>
      </c>
      <c r="C4" s="39" t="s">
        <v>699</v>
      </c>
      <c r="D4" s="39" t="s">
        <v>700</v>
      </c>
      <c r="E4" s="39" t="s">
        <v>624</v>
      </c>
      <c r="F4" s="39" t="s">
        <v>701</v>
      </c>
    </row>
    <row r="5" customFormat="false" ht="15" hidden="false" customHeight="false" outlineLevel="0" collapsed="false">
      <c r="A5" s="37"/>
      <c r="B5" s="4"/>
      <c r="C5" s="4"/>
      <c r="D5" s="4"/>
      <c r="E5" s="4"/>
      <c r="F5" s="4"/>
    </row>
    <row r="6" customFormat="false" ht="15" hidden="false" customHeight="false" outlineLevel="0" collapsed="false">
      <c r="A6" s="37"/>
      <c r="B6" s="4"/>
      <c r="C6" s="4"/>
      <c r="D6" s="4"/>
      <c r="E6" s="4"/>
      <c r="F6" s="4"/>
    </row>
    <row r="7" customFormat="false" ht="15" hidden="false" customHeight="false" outlineLevel="0" collapsed="false">
      <c r="A7" s="37"/>
      <c r="B7" s="4"/>
      <c r="C7" s="4"/>
      <c r="D7" s="4"/>
      <c r="E7" s="4"/>
      <c r="F7" s="4"/>
    </row>
    <row r="8" customFormat="false" ht="15" hidden="false" customHeight="false" outlineLevel="0" collapsed="false">
      <c r="A8" s="37"/>
      <c r="B8" s="4"/>
      <c r="C8" s="4"/>
      <c r="D8" s="4"/>
      <c r="E8" s="4"/>
      <c r="F8" s="4"/>
    </row>
    <row r="9" customFormat="false" ht="15" hidden="false" customHeight="false" outlineLevel="0" collapsed="false">
      <c r="A9" s="37"/>
      <c r="B9" s="4"/>
      <c r="C9" s="4"/>
      <c r="D9" s="4"/>
      <c r="E9" s="4"/>
      <c r="F9" s="4"/>
    </row>
    <row r="10" customFormat="false" ht="15" hidden="false" customHeight="false" outlineLevel="0" collapsed="false">
      <c r="A10" s="37"/>
      <c r="B10" s="4"/>
      <c r="C10" s="4"/>
      <c r="D10" s="4"/>
      <c r="E10" s="4"/>
      <c r="F10" s="4"/>
    </row>
    <row r="11" customFormat="false" ht="15" hidden="false" customHeight="false" outlineLevel="0" collapsed="false">
      <c r="A11" s="37"/>
      <c r="B11" s="4"/>
      <c r="C11" s="4"/>
      <c r="D11" s="4"/>
      <c r="E11" s="4"/>
      <c r="F11" s="4"/>
    </row>
    <row r="12" customFormat="false" ht="15" hidden="false" customHeight="false" outlineLevel="0" collapsed="false">
      <c r="A12" s="37"/>
      <c r="B12" s="4"/>
      <c r="C12" s="4"/>
      <c r="D12" s="4"/>
      <c r="E12" s="4"/>
      <c r="F12" s="4"/>
    </row>
    <row r="13" customFormat="false" ht="15" hidden="false" customHeight="false" outlineLevel="0" collapsed="false">
      <c r="A13" s="37"/>
      <c r="B13" s="4"/>
      <c r="C13" s="4"/>
      <c r="D13" s="4"/>
      <c r="E13" s="4"/>
      <c r="F13" s="4"/>
    </row>
    <row r="14" customFormat="false" ht="15" hidden="false" customHeight="false" outlineLevel="0" collapsed="false">
      <c r="A14" s="37"/>
      <c r="B14" s="4"/>
      <c r="C14" s="4"/>
      <c r="D14" s="4"/>
      <c r="E14" s="4"/>
      <c r="F14" s="4"/>
    </row>
    <row r="15" customFormat="false" ht="15" hidden="false" customHeight="false" outlineLevel="0" collapsed="false">
      <c r="A15" s="37"/>
      <c r="B15" s="4"/>
      <c r="C15" s="4"/>
      <c r="D15" s="4"/>
      <c r="E15" s="4"/>
      <c r="F15" s="4"/>
    </row>
    <row r="16" customFormat="false" ht="15" hidden="false" customHeight="false" outlineLevel="0" collapsed="false">
      <c r="A16" s="37"/>
      <c r="B16" s="4"/>
      <c r="C16" s="4"/>
      <c r="D16" s="4"/>
      <c r="E16" s="4"/>
      <c r="F16" s="4"/>
    </row>
    <row r="17" customFormat="false" ht="15" hidden="false" customHeight="false" outlineLevel="0" collapsed="false">
      <c r="A17" s="37"/>
      <c r="B17" s="4"/>
      <c r="C17" s="4"/>
      <c r="D17" s="4"/>
      <c r="E17" s="4"/>
      <c r="F17" s="4"/>
    </row>
    <row r="18" customFormat="false" ht="15" hidden="false" customHeight="false" outlineLevel="0" collapsed="false">
      <c r="A18" s="37"/>
      <c r="B18" s="4"/>
      <c r="C18" s="4"/>
      <c r="D18" s="4"/>
      <c r="E18" s="4"/>
      <c r="F18" s="4"/>
    </row>
    <row r="19" customFormat="false" ht="15" hidden="false" customHeight="false" outlineLevel="0" collapsed="false">
      <c r="A19" s="37"/>
      <c r="B19" s="4"/>
      <c r="C19" s="4"/>
      <c r="D19" s="4"/>
      <c r="E19" s="4"/>
      <c r="F19" s="4"/>
    </row>
    <row r="20" customFormat="false" ht="15" hidden="false" customHeight="false" outlineLevel="0" collapsed="false">
      <c r="A20" s="37"/>
      <c r="B20" s="4"/>
      <c r="C20" s="4"/>
      <c r="D20" s="4"/>
      <c r="E20" s="4"/>
      <c r="F20" s="4"/>
    </row>
    <row r="21" customFormat="false" ht="15" hidden="false" customHeight="false" outlineLevel="0" collapsed="false">
      <c r="A21" s="37"/>
      <c r="B21" s="4"/>
      <c r="C21" s="4"/>
      <c r="D21" s="4"/>
      <c r="E21" s="4"/>
      <c r="F21" s="4"/>
    </row>
    <row r="22" customFormat="false" ht="15" hidden="false" customHeight="false" outlineLevel="0" collapsed="false">
      <c r="A22" s="37"/>
      <c r="B22" s="4"/>
      <c r="C22" s="4"/>
      <c r="D22" s="4"/>
      <c r="E22" s="4"/>
      <c r="F22" s="4"/>
    </row>
    <row r="23" customFormat="false" ht="15" hidden="false" customHeight="false" outlineLevel="0" collapsed="false">
      <c r="A23" s="37"/>
      <c r="B23" s="4"/>
      <c r="C23" s="4"/>
      <c r="D23" s="4"/>
      <c r="E23" s="4"/>
      <c r="F23" s="4"/>
    </row>
    <row r="24" customFormat="false" ht="15" hidden="false" customHeight="false" outlineLevel="0" collapsed="false">
      <c r="A24" s="37"/>
      <c r="B24" s="4"/>
      <c r="C24" s="4"/>
      <c r="D24" s="4"/>
      <c r="E24" s="4"/>
      <c r="F24" s="4"/>
    </row>
    <row r="25" customFormat="false" ht="15" hidden="false" customHeight="false" outlineLevel="0" collapsed="false">
      <c r="A25" s="37"/>
      <c r="B25" s="4"/>
      <c r="C25" s="4"/>
      <c r="D25" s="4"/>
      <c r="E25" s="4"/>
      <c r="F25" s="4"/>
    </row>
    <row r="26" customFormat="false" ht="15" hidden="false" customHeight="false" outlineLevel="0" collapsed="false">
      <c r="A26" s="37"/>
      <c r="B26" s="4"/>
      <c r="C26" s="4"/>
      <c r="D26" s="4"/>
      <c r="E26" s="4"/>
      <c r="F26" s="4"/>
    </row>
    <row r="27" customFormat="false" ht="15" hidden="false" customHeight="false" outlineLevel="0" collapsed="false">
      <c r="A27" s="37"/>
      <c r="B27" s="4"/>
      <c r="C27" s="4"/>
      <c r="D27" s="4"/>
      <c r="E27" s="4"/>
      <c r="F27" s="4"/>
    </row>
    <row r="28" customFormat="false" ht="15" hidden="false" customHeight="false" outlineLevel="0" collapsed="false">
      <c r="A28" s="37"/>
      <c r="B28" s="4"/>
      <c r="C28" s="4"/>
      <c r="D28" s="4"/>
      <c r="E28" s="4"/>
      <c r="F28" s="4"/>
    </row>
    <row r="29" customFormat="false" ht="15" hidden="false" customHeight="false" outlineLevel="0" collapsed="false">
      <c r="A29" s="37"/>
      <c r="B29" s="4"/>
      <c r="C29" s="4"/>
      <c r="D29" s="4"/>
      <c r="E29" s="4"/>
      <c r="F29" s="4"/>
    </row>
    <row r="30" customFormat="false" ht="15" hidden="false" customHeight="false" outlineLevel="0" collapsed="false">
      <c r="A30" s="37"/>
      <c r="B30" s="4"/>
      <c r="C30" s="4"/>
      <c r="D30" s="4"/>
      <c r="E30" s="4"/>
      <c r="F30" s="4"/>
    </row>
    <row r="31" customFormat="false" ht="15" hidden="false" customHeight="false" outlineLevel="0" collapsed="false">
      <c r="A31" s="37"/>
      <c r="B31" s="4"/>
      <c r="C31" s="4"/>
      <c r="D31" s="4"/>
      <c r="E31" s="4"/>
      <c r="F31" s="4"/>
    </row>
    <row r="32" customFormat="false" ht="15" hidden="false" customHeight="false" outlineLevel="0" collapsed="false">
      <c r="A32" s="37"/>
      <c r="B32" s="4"/>
      <c r="C32" s="4"/>
      <c r="D32" s="4"/>
      <c r="E32" s="4"/>
      <c r="F32" s="4"/>
    </row>
    <row r="33" customFormat="false" ht="15" hidden="false" customHeight="false" outlineLevel="0" collapsed="false">
      <c r="A33" s="37"/>
      <c r="B33" s="4"/>
      <c r="C33" s="4"/>
      <c r="D33" s="4"/>
      <c r="E33" s="4"/>
      <c r="F33" s="4"/>
    </row>
    <row r="34" customFormat="false" ht="15" hidden="false" customHeight="false" outlineLevel="0" collapsed="false">
      <c r="A34" s="37"/>
      <c r="B34" s="4"/>
      <c r="C34" s="4"/>
      <c r="D34" s="4"/>
      <c r="E34" s="4"/>
      <c r="F34" s="4"/>
    </row>
    <row r="35" customFormat="false" ht="15" hidden="false" customHeight="false" outlineLevel="0" collapsed="false">
      <c r="A35" s="37"/>
      <c r="B35" s="4"/>
      <c r="C35" s="4"/>
      <c r="D35" s="4"/>
      <c r="E35" s="4"/>
      <c r="F35" s="4"/>
    </row>
    <row r="36" customFormat="false" ht="15" hidden="false" customHeight="false" outlineLevel="0" collapsed="false">
      <c r="A36" s="37"/>
      <c r="B36" s="4"/>
      <c r="C36" s="4"/>
      <c r="D36" s="4"/>
      <c r="E36" s="4"/>
      <c r="F36" s="4"/>
    </row>
    <row r="37" customFormat="false" ht="15" hidden="false" customHeight="false" outlineLevel="0" collapsed="false">
      <c r="A37" s="37"/>
      <c r="B37" s="4"/>
      <c r="C37" s="4"/>
      <c r="D37" s="4"/>
      <c r="E37" s="4"/>
      <c r="F37" s="4"/>
    </row>
    <row r="38" customFormat="false" ht="15" hidden="false" customHeight="false" outlineLevel="0" collapsed="false">
      <c r="A38" s="37"/>
      <c r="B38" s="4"/>
      <c r="C38" s="4"/>
      <c r="D38" s="4"/>
      <c r="E38" s="4"/>
      <c r="F38" s="4"/>
    </row>
    <row r="39" customFormat="false" ht="15" hidden="false" customHeight="false" outlineLevel="0" collapsed="false">
      <c r="A39" s="37"/>
      <c r="B39" s="4"/>
      <c r="C39" s="4"/>
      <c r="D39" s="4"/>
      <c r="E39" s="4"/>
      <c r="F39" s="4"/>
    </row>
    <row r="40" customFormat="false" ht="15" hidden="false" customHeight="false" outlineLevel="0" collapsed="false">
      <c r="A40" s="37"/>
      <c r="B40" s="4"/>
      <c r="C40" s="4"/>
      <c r="D40" s="4"/>
      <c r="E40" s="4"/>
      <c r="F40" s="4"/>
    </row>
    <row r="41" customFormat="false" ht="15" hidden="false" customHeight="false" outlineLevel="0" collapsed="false">
      <c r="A41" s="37"/>
      <c r="B41" s="4"/>
      <c r="C41" s="4"/>
      <c r="D41" s="4"/>
      <c r="E41" s="4"/>
      <c r="F41" s="4"/>
    </row>
    <row r="42" customFormat="false" ht="15" hidden="false" customHeight="false" outlineLevel="0" collapsed="false">
      <c r="A42" s="37"/>
      <c r="B42" s="4"/>
      <c r="C42" s="4"/>
      <c r="D42" s="4"/>
      <c r="E42" s="4"/>
      <c r="F42" s="4"/>
    </row>
    <row r="43" customFormat="false" ht="15" hidden="false" customHeight="false" outlineLevel="0" collapsed="false">
      <c r="A43" s="37"/>
      <c r="B43" s="4"/>
      <c r="C43" s="4"/>
      <c r="D43" s="4"/>
      <c r="E43" s="4"/>
      <c r="F43" s="4"/>
    </row>
    <row r="44" customFormat="false" ht="15" hidden="false" customHeight="false" outlineLevel="0" collapsed="false">
      <c r="A44" s="37"/>
      <c r="B44" s="4"/>
      <c r="C44" s="4"/>
      <c r="D44" s="4"/>
      <c r="E44" s="4"/>
      <c r="F44" s="4"/>
    </row>
    <row r="45" customFormat="false" ht="15" hidden="false" customHeight="false" outlineLevel="0" collapsed="false">
      <c r="A45" s="37"/>
      <c r="B45" s="4"/>
      <c r="C45" s="4"/>
      <c r="D45" s="4"/>
      <c r="E45" s="4"/>
      <c r="F45" s="4"/>
    </row>
    <row r="46" customFormat="false" ht="15" hidden="false" customHeight="false" outlineLevel="0" collapsed="false">
      <c r="A46" s="37"/>
      <c r="B46" s="4"/>
      <c r="C46" s="4"/>
      <c r="D46" s="4"/>
      <c r="E46" s="4"/>
      <c r="F46" s="4"/>
    </row>
    <row r="47" customFormat="false" ht="15" hidden="false" customHeight="false" outlineLevel="0" collapsed="false">
      <c r="A47" s="37"/>
      <c r="B47" s="4"/>
      <c r="C47" s="4"/>
      <c r="D47" s="4"/>
      <c r="E47" s="4"/>
      <c r="F47" s="4"/>
    </row>
    <row r="48" customFormat="false" ht="15" hidden="false" customHeight="false" outlineLevel="0" collapsed="false">
      <c r="A48" s="37"/>
      <c r="B48" s="4"/>
      <c r="C48" s="4"/>
      <c r="D48" s="4"/>
      <c r="E48" s="4"/>
      <c r="F48" s="4"/>
    </row>
    <row r="49" customFormat="false" ht="15" hidden="false" customHeight="false" outlineLevel="0" collapsed="false">
      <c r="A49" s="37"/>
      <c r="B49" s="4"/>
      <c r="C49" s="4"/>
      <c r="D49" s="4"/>
      <c r="E49" s="4"/>
      <c r="F49" s="4"/>
    </row>
    <row r="50" customFormat="false" ht="15" hidden="false" customHeight="false" outlineLevel="0" collapsed="false">
      <c r="A50" s="37"/>
      <c r="B50" s="4"/>
      <c r="C50" s="4"/>
      <c r="D50" s="4"/>
      <c r="E50" s="4"/>
      <c r="F50" s="4"/>
    </row>
    <row r="51" customFormat="false" ht="15" hidden="false" customHeight="false" outlineLevel="0" collapsed="false">
      <c r="A51" s="37"/>
      <c r="B51" s="4"/>
      <c r="C51" s="4"/>
      <c r="D51" s="4"/>
      <c r="E51" s="4"/>
      <c r="F51" s="4"/>
    </row>
    <row r="52" customFormat="false" ht="15" hidden="false" customHeight="false" outlineLevel="0" collapsed="false">
      <c r="A52" s="37"/>
      <c r="B52" s="4"/>
      <c r="C52" s="4"/>
      <c r="D52" s="4"/>
      <c r="E52" s="4"/>
      <c r="F52" s="4"/>
    </row>
    <row r="53" customFormat="false" ht="15" hidden="false" customHeight="false" outlineLevel="0" collapsed="false">
      <c r="A53" s="37"/>
      <c r="B53" s="4"/>
      <c r="C53" s="4"/>
      <c r="D53" s="4"/>
      <c r="E53" s="4"/>
      <c r="F53" s="4"/>
    </row>
    <row r="54" customFormat="false" ht="15" hidden="false" customHeight="false" outlineLevel="0" collapsed="false">
      <c r="A54" s="37"/>
      <c r="B54" s="4"/>
      <c r="C54" s="4"/>
      <c r="D54" s="4"/>
      <c r="E54" s="4"/>
      <c r="F54" s="4"/>
    </row>
    <row r="55" customFormat="false" ht="15" hidden="false" customHeight="false" outlineLevel="0" collapsed="false">
      <c r="A55" s="37"/>
      <c r="B55" s="4"/>
      <c r="C55" s="4"/>
      <c r="D55" s="4"/>
      <c r="E55" s="4"/>
      <c r="F55" s="4"/>
    </row>
    <row r="56" customFormat="false" ht="15" hidden="false" customHeight="false" outlineLevel="0" collapsed="false">
      <c r="A56" s="37"/>
      <c r="B56" s="4"/>
      <c r="C56" s="4"/>
      <c r="D56" s="4"/>
      <c r="E56" s="4"/>
      <c r="F56" s="4"/>
    </row>
    <row r="57" customFormat="false" ht="15" hidden="false" customHeight="false" outlineLevel="0" collapsed="false">
      <c r="A57" s="37"/>
      <c r="B57" s="4"/>
      <c r="C57" s="4"/>
      <c r="D57" s="4"/>
      <c r="E57" s="4"/>
      <c r="F57" s="4"/>
    </row>
    <row r="58" customFormat="false" ht="15" hidden="false" customHeight="false" outlineLevel="0" collapsed="false">
      <c r="A58" s="37"/>
      <c r="B58" s="4"/>
      <c r="C58" s="4"/>
      <c r="D58" s="4"/>
      <c r="E58" s="4"/>
      <c r="F58" s="4"/>
    </row>
    <row r="59" customFormat="false" ht="15" hidden="false" customHeight="false" outlineLevel="0" collapsed="false">
      <c r="A59" s="37"/>
      <c r="B59" s="4"/>
      <c r="C59" s="4"/>
      <c r="D59" s="4"/>
      <c r="E59" s="4"/>
      <c r="F59" s="4"/>
    </row>
    <row r="60" customFormat="false" ht="15" hidden="false" customHeight="false" outlineLevel="0" collapsed="false">
      <c r="A60" s="37"/>
      <c r="B60" s="4"/>
      <c r="C60" s="4"/>
      <c r="D60" s="4"/>
      <c r="E60" s="4"/>
      <c r="F60" s="4"/>
    </row>
    <row r="61" customFormat="false" ht="15" hidden="false" customHeight="false" outlineLevel="0" collapsed="false">
      <c r="A61" s="37"/>
      <c r="B61" s="4"/>
      <c r="C61" s="4"/>
      <c r="D61" s="4"/>
      <c r="E61" s="4"/>
      <c r="F61" s="4"/>
    </row>
    <row r="62" customFormat="false" ht="15" hidden="false" customHeight="false" outlineLevel="0" collapsed="false">
      <c r="A62" s="37"/>
      <c r="B62" s="4"/>
      <c r="C62" s="4"/>
      <c r="D62" s="4"/>
      <c r="E62" s="4"/>
      <c r="F62" s="4"/>
    </row>
    <row r="63" customFormat="false" ht="15" hidden="false" customHeight="false" outlineLevel="0" collapsed="false">
      <c r="A63" s="37"/>
      <c r="B63" s="4"/>
      <c r="C63" s="4"/>
      <c r="D63" s="4"/>
      <c r="E63" s="4"/>
      <c r="F63" s="4"/>
    </row>
    <row r="64" customFormat="false" ht="15" hidden="false" customHeight="false" outlineLevel="0" collapsed="false">
      <c r="A64" s="37"/>
      <c r="B64" s="4"/>
      <c r="C64" s="4"/>
      <c r="D64" s="4"/>
      <c r="E64" s="4"/>
      <c r="F64" s="4"/>
    </row>
    <row r="65" customFormat="false" ht="15" hidden="false" customHeight="false" outlineLevel="0" collapsed="false">
      <c r="A65" s="37"/>
      <c r="B65" s="4"/>
      <c r="C65" s="4"/>
      <c r="D65" s="4"/>
      <c r="E65" s="4"/>
      <c r="F65" s="4"/>
    </row>
    <row r="66" customFormat="false" ht="15" hidden="false" customHeight="false" outlineLevel="0" collapsed="false">
      <c r="A66" s="37"/>
      <c r="B66" s="4"/>
      <c r="C66" s="4"/>
      <c r="D66" s="4"/>
      <c r="E66" s="4"/>
      <c r="F66" s="4"/>
    </row>
    <row r="67" customFormat="false" ht="15" hidden="false" customHeight="false" outlineLevel="0" collapsed="false">
      <c r="A67" s="37"/>
      <c r="B67" s="4"/>
      <c r="C67" s="4"/>
      <c r="D67" s="4"/>
      <c r="E67" s="4"/>
      <c r="F67" s="4"/>
    </row>
    <row r="68" customFormat="false" ht="15" hidden="false" customHeight="false" outlineLevel="0" collapsed="false">
      <c r="A68" s="37"/>
      <c r="B68" s="4"/>
      <c r="C68" s="4"/>
      <c r="D68" s="4"/>
      <c r="E68" s="4"/>
      <c r="F68" s="4"/>
    </row>
    <row r="69" customFormat="false" ht="15" hidden="false" customHeight="false" outlineLevel="0" collapsed="false">
      <c r="A69" s="37"/>
      <c r="B69" s="4"/>
      <c r="C69" s="4"/>
      <c r="D69" s="4"/>
      <c r="E69" s="4"/>
      <c r="F69" s="4"/>
    </row>
    <row r="70" customFormat="false" ht="15" hidden="false" customHeight="false" outlineLevel="0" collapsed="false">
      <c r="A70" s="37"/>
      <c r="B70" s="4"/>
      <c r="C70" s="4"/>
      <c r="D70" s="4"/>
      <c r="E70" s="4"/>
      <c r="F70" s="4"/>
    </row>
    <row r="71" customFormat="false" ht="15" hidden="false" customHeight="false" outlineLevel="0" collapsed="false">
      <c r="A71" s="37"/>
      <c r="B71" s="4"/>
      <c r="C71" s="4"/>
      <c r="D71" s="4"/>
      <c r="E71" s="4"/>
      <c r="F71" s="4"/>
    </row>
    <row r="72" customFormat="false" ht="15" hidden="false" customHeight="false" outlineLevel="0" collapsed="false">
      <c r="A72" s="37"/>
      <c r="B72" s="4"/>
      <c r="C72" s="4"/>
      <c r="D72" s="4"/>
      <c r="E72" s="4"/>
      <c r="F72" s="4"/>
    </row>
    <row r="73" customFormat="false" ht="15" hidden="false" customHeight="false" outlineLevel="0" collapsed="false">
      <c r="A73" s="37"/>
      <c r="B73" s="4"/>
      <c r="C73" s="4"/>
      <c r="D73" s="4"/>
      <c r="E73" s="4"/>
      <c r="F73" s="4"/>
    </row>
    <row r="74" customFormat="false" ht="15" hidden="false" customHeight="false" outlineLevel="0" collapsed="false">
      <c r="A74" s="37"/>
      <c r="B74" s="4"/>
      <c r="C74" s="4"/>
      <c r="D74" s="4"/>
      <c r="E74" s="4"/>
      <c r="F74" s="4"/>
    </row>
    <row r="75" customFormat="false" ht="15" hidden="false" customHeight="false" outlineLevel="0" collapsed="false">
      <c r="A75" s="37"/>
      <c r="B75" s="4"/>
      <c r="C75" s="4"/>
      <c r="D75" s="4"/>
      <c r="E75" s="4"/>
      <c r="F75" s="4"/>
    </row>
    <row r="76" customFormat="false" ht="15" hidden="false" customHeight="false" outlineLevel="0" collapsed="false">
      <c r="A76" s="37"/>
      <c r="B76" s="4"/>
      <c r="C76" s="4"/>
      <c r="D76" s="4"/>
      <c r="E76" s="4"/>
      <c r="F76" s="4"/>
    </row>
    <row r="77" customFormat="false" ht="15" hidden="false" customHeight="false" outlineLevel="0" collapsed="false">
      <c r="A77" s="37"/>
      <c r="B77" s="4"/>
      <c r="C77" s="4"/>
      <c r="D77" s="4"/>
      <c r="E77" s="4"/>
      <c r="F77" s="4"/>
    </row>
    <row r="78" customFormat="false" ht="15" hidden="false" customHeight="false" outlineLevel="0" collapsed="false">
      <c r="A78" s="37"/>
      <c r="B78" s="4"/>
      <c r="C78" s="4"/>
      <c r="D78" s="4"/>
      <c r="E78" s="4"/>
      <c r="F78" s="4"/>
    </row>
    <row r="79" customFormat="false" ht="15" hidden="false" customHeight="false" outlineLevel="0" collapsed="false">
      <c r="A79" s="37"/>
      <c r="B79" s="4"/>
      <c r="C79" s="4"/>
      <c r="D79" s="4"/>
      <c r="E79" s="4"/>
      <c r="F79" s="4"/>
    </row>
    <row r="80" customFormat="false" ht="15" hidden="false" customHeight="false" outlineLevel="0" collapsed="false">
      <c r="A80" s="37"/>
      <c r="B80" s="4"/>
      <c r="C80" s="4"/>
      <c r="D80" s="4"/>
      <c r="E80" s="4"/>
      <c r="F80" s="4"/>
    </row>
    <row r="81" customFormat="false" ht="15" hidden="false" customHeight="false" outlineLevel="0" collapsed="false">
      <c r="A81" s="37"/>
      <c r="B81" s="4"/>
      <c r="C81" s="4"/>
      <c r="D81" s="4"/>
      <c r="E81" s="4"/>
      <c r="F81" s="4"/>
    </row>
    <row r="82" customFormat="false" ht="15" hidden="false" customHeight="false" outlineLevel="0" collapsed="false">
      <c r="A82" s="37"/>
      <c r="B82" s="4"/>
      <c r="C82" s="4"/>
      <c r="D82" s="4"/>
      <c r="E82" s="4"/>
      <c r="F82" s="4"/>
    </row>
    <row r="83" customFormat="false" ht="15" hidden="false" customHeight="false" outlineLevel="0" collapsed="false">
      <c r="A83" s="37"/>
      <c r="B83" s="4"/>
      <c r="C83" s="4"/>
      <c r="D83" s="4"/>
      <c r="E83" s="4"/>
      <c r="F83" s="4"/>
    </row>
    <row r="84" customFormat="false" ht="15" hidden="false" customHeight="false" outlineLevel="0" collapsed="false">
      <c r="A84" s="37"/>
      <c r="B84" s="4"/>
      <c r="C84" s="4"/>
      <c r="D84" s="4"/>
      <c r="E84" s="4"/>
      <c r="F84" s="4"/>
    </row>
    <row r="85" customFormat="false" ht="15" hidden="false" customHeight="false" outlineLevel="0" collapsed="false">
      <c r="A85" s="37"/>
      <c r="B85" s="4"/>
      <c r="C85" s="4"/>
      <c r="D85" s="4"/>
      <c r="E85" s="4"/>
      <c r="F85" s="4"/>
    </row>
    <row r="86" customFormat="false" ht="15" hidden="false" customHeight="false" outlineLevel="0" collapsed="false">
      <c r="A86" s="37"/>
      <c r="B86" s="4"/>
      <c r="C86" s="4"/>
      <c r="D86" s="4"/>
      <c r="E86" s="4"/>
      <c r="F86" s="4"/>
    </row>
    <row r="87" customFormat="false" ht="15" hidden="false" customHeight="false" outlineLevel="0" collapsed="false">
      <c r="A87" s="37"/>
      <c r="B87" s="4"/>
      <c r="C87" s="4"/>
      <c r="D87" s="4"/>
      <c r="E87" s="4"/>
      <c r="F87" s="4"/>
    </row>
    <row r="88" customFormat="false" ht="15" hidden="false" customHeight="false" outlineLevel="0" collapsed="false">
      <c r="A88" s="37"/>
      <c r="B88" s="4"/>
      <c r="C88" s="4"/>
      <c r="D88" s="4"/>
      <c r="E88" s="4"/>
      <c r="F88" s="4"/>
    </row>
    <row r="89" customFormat="false" ht="15" hidden="false" customHeight="false" outlineLevel="0" collapsed="false">
      <c r="A89" s="37"/>
      <c r="B89" s="4"/>
      <c r="C89" s="4"/>
      <c r="D89" s="4"/>
      <c r="E89" s="4"/>
      <c r="F89" s="4"/>
    </row>
    <row r="90" customFormat="false" ht="15" hidden="false" customHeight="false" outlineLevel="0" collapsed="false">
      <c r="A90" s="37"/>
      <c r="B90" s="4"/>
      <c r="C90" s="4"/>
      <c r="D90" s="4"/>
      <c r="E90" s="4"/>
      <c r="F90" s="4"/>
    </row>
    <row r="91" customFormat="false" ht="15" hidden="false" customHeight="false" outlineLevel="0" collapsed="false">
      <c r="A91" s="37"/>
      <c r="B91" s="4"/>
      <c r="C91" s="4"/>
      <c r="D91" s="4"/>
      <c r="E91" s="4"/>
      <c r="F91" s="4"/>
    </row>
    <row r="92" customFormat="false" ht="15" hidden="false" customHeight="false" outlineLevel="0" collapsed="false">
      <c r="A92" s="37"/>
      <c r="B92" s="4"/>
      <c r="C92" s="4"/>
      <c r="D92" s="4"/>
      <c r="E92" s="4"/>
      <c r="F92" s="4"/>
    </row>
    <row r="93" customFormat="false" ht="15" hidden="false" customHeight="false" outlineLevel="0" collapsed="false">
      <c r="A93" s="37"/>
      <c r="B93" s="4"/>
      <c r="C93" s="4"/>
      <c r="D93" s="4"/>
      <c r="E93" s="4"/>
      <c r="F93" s="4"/>
    </row>
    <row r="94" customFormat="false" ht="15" hidden="false" customHeight="false" outlineLevel="0" collapsed="false">
      <c r="A94" s="37"/>
      <c r="B94" s="4"/>
      <c r="C94" s="4"/>
      <c r="D94" s="4"/>
      <c r="E94" s="4"/>
      <c r="F94" s="4"/>
    </row>
    <row r="95" customFormat="false" ht="15" hidden="false" customHeight="false" outlineLevel="0" collapsed="false">
      <c r="A95" s="37"/>
      <c r="B95" s="4"/>
      <c r="C95" s="4"/>
      <c r="D95" s="4"/>
      <c r="E95" s="4"/>
      <c r="F95" s="4"/>
    </row>
    <row r="96" customFormat="false" ht="15" hidden="false" customHeight="false" outlineLevel="0" collapsed="false">
      <c r="A96" s="37"/>
      <c r="B96" s="4"/>
      <c r="C96" s="4"/>
      <c r="D96" s="4"/>
      <c r="E96" s="4"/>
      <c r="F96" s="4"/>
    </row>
    <row r="97" customFormat="false" ht="15" hidden="false" customHeight="false" outlineLevel="0" collapsed="false">
      <c r="A97" s="37"/>
      <c r="B97" s="4"/>
      <c r="C97" s="4"/>
      <c r="D97" s="4"/>
      <c r="E97" s="4"/>
      <c r="F97" s="4"/>
    </row>
    <row r="98" customFormat="false" ht="15" hidden="false" customHeight="false" outlineLevel="0" collapsed="false">
      <c r="A98" s="37"/>
      <c r="B98" s="4"/>
      <c r="C98" s="4"/>
      <c r="D98" s="4"/>
      <c r="E98" s="4"/>
      <c r="F98" s="4"/>
    </row>
    <row r="99" customFormat="false" ht="15" hidden="false" customHeight="false" outlineLevel="0" collapsed="false">
      <c r="A99" s="37"/>
      <c r="B99" s="4"/>
      <c r="C99" s="4"/>
      <c r="D99" s="4"/>
      <c r="E99" s="4"/>
      <c r="F99" s="4"/>
    </row>
    <row r="100" customFormat="false" ht="15" hidden="false" customHeight="false" outlineLevel="0" collapsed="false">
      <c r="A100" s="37"/>
      <c r="B100" s="4"/>
      <c r="C100" s="4"/>
      <c r="D100" s="4"/>
      <c r="E100" s="4"/>
      <c r="F100" s="4"/>
    </row>
    <row r="101" customFormat="false" ht="15" hidden="false" customHeight="false" outlineLevel="0" collapsed="false">
      <c r="A101" s="37"/>
      <c r="B101" s="4"/>
      <c r="C101" s="4"/>
      <c r="D101" s="4"/>
      <c r="E101" s="4"/>
      <c r="F101" s="4"/>
    </row>
    <row r="102" customFormat="false" ht="15" hidden="false" customHeight="false" outlineLevel="0" collapsed="false">
      <c r="A102" s="37"/>
      <c r="B102" s="4"/>
      <c r="C102" s="4"/>
      <c r="D102" s="4"/>
      <c r="E102" s="4"/>
      <c r="F102" s="4"/>
    </row>
    <row r="103" customFormat="false" ht="15" hidden="false" customHeight="false" outlineLevel="0" collapsed="false">
      <c r="A103" s="37"/>
      <c r="B103" s="4"/>
      <c r="C103" s="4"/>
      <c r="D103" s="4"/>
      <c r="E103" s="4"/>
      <c r="F103" s="4"/>
    </row>
    <row r="104" customFormat="false" ht="15" hidden="false" customHeight="false" outlineLevel="0" collapsed="false">
      <c r="A104" s="37"/>
      <c r="B104" s="4"/>
      <c r="C104" s="4"/>
      <c r="D104" s="4"/>
      <c r="E104" s="4"/>
      <c r="F104" s="4"/>
    </row>
    <row r="105" customFormat="false" ht="15" hidden="false" customHeight="false" outlineLevel="0" collapsed="false">
      <c r="A105" s="37"/>
      <c r="B105" s="4"/>
      <c r="C105" s="4"/>
      <c r="D105" s="4"/>
      <c r="E105" s="4"/>
      <c r="F105" s="4"/>
    </row>
    <row r="106" customFormat="false" ht="15" hidden="false" customHeight="false" outlineLevel="0" collapsed="false">
      <c r="A106" s="37"/>
      <c r="B106" s="4"/>
      <c r="C106" s="4"/>
      <c r="D106" s="4"/>
      <c r="E106" s="4"/>
      <c r="F106" s="4"/>
    </row>
    <row r="107" customFormat="false" ht="15" hidden="false" customHeight="false" outlineLevel="0" collapsed="false">
      <c r="A107" s="37"/>
      <c r="B107" s="4"/>
      <c r="C107" s="4"/>
      <c r="D107" s="4"/>
      <c r="E107" s="4"/>
      <c r="F107" s="4"/>
    </row>
    <row r="108" customFormat="false" ht="15" hidden="false" customHeight="false" outlineLevel="0" collapsed="false">
      <c r="A108" s="37"/>
      <c r="B108" s="4"/>
      <c r="C108" s="4"/>
      <c r="D108" s="4"/>
      <c r="E108" s="4"/>
      <c r="F108" s="4"/>
    </row>
    <row r="109" customFormat="false" ht="15" hidden="false" customHeight="false" outlineLevel="0" collapsed="false">
      <c r="A109" s="37"/>
      <c r="B109" s="4"/>
      <c r="C109" s="4"/>
      <c r="D109" s="4"/>
      <c r="E109" s="4"/>
      <c r="F109" s="4"/>
    </row>
    <row r="110" customFormat="false" ht="15" hidden="false" customHeight="false" outlineLevel="0" collapsed="false">
      <c r="A110" s="37"/>
      <c r="B110" s="4"/>
      <c r="C110" s="4"/>
      <c r="D110" s="4"/>
      <c r="E110" s="4"/>
      <c r="F110" s="4"/>
    </row>
    <row r="111" customFormat="false" ht="15" hidden="false" customHeight="false" outlineLevel="0" collapsed="false">
      <c r="A111" s="37"/>
      <c r="B111" s="4"/>
      <c r="C111" s="4"/>
      <c r="D111" s="4"/>
      <c r="E111" s="4"/>
      <c r="F111" s="4"/>
    </row>
    <row r="112" customFormat="false" ht="15" hidden="false" customHeight="false" outlineLevel="0" collapsed="false">
      <c r="A112" s="37"/>
      <c r="B112" s="4"/>
      <c r="C112" s="4"/>
      <c r="D112" s="4"/>
      <c r="E112" s="4"/>
      <c r="F112" s="4"/>
    </row>
    <row r="113" customFormat="false" ht="15" hidden="false" customHeight="false" outlineLevel="0" collapsed="false">
      <c r="A113" s="37"/>
      <c r="B113" s="4"/>
      <c r="C113" s="4"/>
      <c r="D113" s="4"/>
      <c r="E113" s="4"/>
      <c r="F113" s="4"/>
    </row>
    <row r="114" customFormat="false" ht="15" hidden="false" customHeight="false" outlineLevel="0" collapsed="false">
      <c r="A114" s="37"/>
      <c r="B114" s="4"/>
      <c r="C114" s="4"/>
      <c r="D114" s="4"/>
      <c r="E114" s="4"/>
      <c r="F114" s="4"/>
    </row>
    <row r="115" customFormat="false" ht="15" hidden="false" customHeight="false" outlineLevel="0" collapsed="false">
      <c r="A115" s="37"/>
      <c r="B115" s="4"/>
      <c r="C115" s="4"/>
      <c r="D115" s="4"/>
      <c r="E115" s="4"/>
      <c r="F115" s="4"/>
    </row>
    <row r="116" customFormat="false" ht="15" hidden="false" customHeight="false" outlineLevel="0" collapsed="false">
      <c r="A116" s="37"/>
      <c r="B116" s="4"/>
      <c r="C116" s="4"/>
      <c r="D116" s="4"/>
      <c r="E116" s="4"/>
      <c r="F116" s="4"/>
    </row>
    <row r="117" customFormat="false" ht="15" hidden="false" customHeight="false" outlineLevel="0" collapsed="false">
      <c r="A117" s="37"/>
      <c r="B117" s="4"/>
      <c r="C117" s="4"/>
      <c r="D117" s="4"/>
      <c r="E117" s="4"/>
      <c r="F117" s="4"/>
    </row>
    <row r="118" customFormat="false" ht="15" hidden="false" customHeight="false" outlineLevel="0" collapsed="false">
      <c r="A118" s="37"/>
      <c r="B118" s="4"/>
      <c r="C118" s="4"/>
      <c r="D118" s="4"/>
      <c r="E118" s="4"/>
      <c r="F118" s="4"/>
    </row>
    <row r="119" customFormat="false" ht="15" hidden="false" customHeight="false" outlineLevel="0" collapsed="false">
      <c r="A119" s="37"/>
      <c r="B119" s="4"/>
      <c r="C119" s="4"/>
      <c r="D119" s="4"/>
      <c r="E119" s="4"/>
      <c r="F119" s="4"/>
    </row>
    <row r="120" customFormat="false" ht="15" hidden="false" customHeight="false" outlineLevel="0" collapsed="false">
      <c r="A120" s="37"/>
      <c r="B120" s="4"/>
      <c r="C120" s="4"/>
      <c r="D120" s="4"/>
      <c r="E120" s="4"/>
      <c r="F120" s="4"/>
    </row>
    <row r="121" customFormat="false" ht="15" hidden="false" customHeight="false" outlineLevel="0" collapsed="false">
      <c r="A121" s="37"/>
      <c r="B121" s="4"/>
      <c r="C121" s="4"/>
      <c r="D121" s="4"/>
      <c r="E121" s="4"/>
      <c r="F121" s="4"/>
    </row>
    <row r="122" customFormat="false" ht="15" hidden="false" customHeight="false" outlineLevel="0" collapsed="false">
      <c r="A122" s="37"/>
      <c r="B122" s="4"/>
      <c r="C122" s="4"/>
      <c r="D122" s="4"/>
      <c r="E122" s="4"/>
      <c r="F122" s="4"/>
    </row>
    <row r="123" customFormat="false" ht="15" hidden="false" customHeight="false" outlineLevel="0" collapsed="false">
      <c r="A123" s="37"/>
      <c r="B123" s="4"/>
      <c r="C123" s="4"/>
      <c r="D123" s="4"/>
      <c r="E123" s="4"/>
      <c r="F123" s="4"/>
    </row>
    <row r="124" customFormat="false" ht="15" hidden="false" customHeight="false" outlineLevel="0" collapsed="false">
      <c r="A124" s="37"/>
      <c r="B124" s="4"/>
      <c r="C124" s="4"/>
      <c r="D124" s="4"/>
      <c r="E124" s="4"/>
      <c r="F124" s="4"/>
    </row>
    <row r="125" customFormat="false" ht="15" hidden="false" customHeight="false" outlineLevel="0" collapsed="false">
      <c r="A125" s="37"/>
      <c r="B125" s="4"/>
      <c r="C125" s="4"/>
      <c r="D125" s="4"/>
      <c r="E125" s="4"/>
      <c r="F125" s="4"/>
    </row>
    <row r="126" customFormat="false" ht="15" hidden="false" customHeight="false" outlineLevel="0" collapsed="false">
      <c r="A126" s="37"/>
      <c r="B126" s="4"/>
      <c r="C126" s="4"/>
      <c r="D126" s="4"/>
      <c r="E126" s="4"/>
      <c r="F126" s="4"/>
    </row>
    <row r="127" customFormat="false" ht="15" hidden="false" customHeight="false" outlineLevel="0" collapsed="false">
      <c r="A127" s="37"/>
      <c r="B127" s="4"/>
      <c r="C127" s="4"/>
      <c r="D127" s="4"/>
      <c r="E127" s="4"/>
      <c r="F127" s="4"/>
    </row>
    <row r="128" customFormat="false" ht="15" hidden="false" customHeight="false" outlineLevel="0" collapsed="false">
      <c r="A128" s="37"/>
      <c r="B128" s="4"/>
      <c r="C128" s="4"/>
      <c r="D128" s="4"/>
      <c r="E128" s="4"/>
      <c r="F128" s="4"/>
    </row>
    <row r="129" customFormat="false" ht="15" hidden="false" customHeight="false" outlineLevel="0" collapsed="false">
      <c r="A129" s="37"/>
      <c r="B129" s="4"/>
      <c r="C129" s="4"/>
      <c r="D129" s="4"/>
      <c r="E129" s="4"/>
      <c r="F129" s="4"/>
    </row>
    <row r="130" customFormat="false" ht="15" hidden="false" customHeight="false" outlineLevel="0" collapsed="false">
      <c r="A130" s="37"/>
      <c r="B130" s="4"/>
      <c r="C130" s="4"/>
      <c r="D130" s="4"/>
      <c r="E130" s="4"/>
      <c r="F130" s="4"/>
    </row>
    <row r="131" customFormat="false" ht="15" hidden="false" customHeight="false" outlineLevel="0" collapsed="false">
      <c r="A131" s="37"/>
      <c r="B131" s="4"/>
      <c r="C131" s="4"/>
      <c r="D131" s="4"/>
      <c r="E131" s="4"/>
      <c r="F131" s="4"/>
    </row>
    <row r="132" customFormat="false" ht="15" hidden="false" customHeight="false" outlineLevel="0" collapsed="false">
      <c r="A132" s="37"/>
      <c r="B132" s="4"/>
      <c r="C132" s="4"/>
      <c r="D132" s="4"/>
      <c r="E132" s="4"/>
      <c r="F132" s="4"/>
    </row>
    <row r="133" customFormat="false" ht="15" hidden="false" customHeight="false" outlineLevel="0" collapsed="false">
      <c r="A133" s="37"/>
      <c r="B133" s="4"/>
      <c r="C133" s="4"/>
      <c r="D133" s="4"/>
      <c r="E133" s="4"/>
      <c r="F133" s="4"/>
    </row>
    <row r="134" customFormat="false" ht="15" hidden="false" customHeight="false" outlineLevel="0" collapsed="false">
      <c r="A134" s="37"/>
      <c r="B134" s="4"/>
      <c r="C134" s="4"/>
      <c r="D134" s="4"/>
      <c r="E134" s="4"/>
      <c r="F134" s="4"/>
    </row>
    <row r="135" customFormat="false" ht="15" hidden="false" customHeight="false" outlineLevel="0" collapsed="false">
      <c r="A135" s="37"/>
      <c r="B135" s="4"/>
      <c r="C135" s="4"/>
      <c r="D135" s="4"/>
      <c r="E135" s="4"/>
      <c r="F135" s="4"/>
    </row>
    <row r="136" customFormat="false" ht="15" hidden="false" customHeight="false" outlineLevel="0" collapsed="false">
      <c r="A136" s="37"/>
      <c r="B136" s="4"/>
      <c r="C136" s="4"/>
      <c r="D136" s="4"/>
      <c r="E136" s="4"/>
      <c r="F136" s="4"/>
    </row>
    <row r="137" customFormat="false" ht="15" hidden="false" customHeight="false" outlineLevel="0" collapsed="false">
      <c r="A137" s="37"/>
      <c r="B137" s="4"/>
      <c r="C137" s="4"/>
      <c r="D137" s="4"/>
      <c r="E137" s="4"/>
      <c r="F137" s="4"/>
    </row>
    <row r="138" customFormat="false" ht="15" hidden="false" customHeight="false" outlineLevel="0" collapsed="false">
      <c r="A138" s="37"/>
      <c r="B138" s="4"/>
      <c r="C138" s="4"/>
      <c r="D138" s="4"/>
      <c r="E138" s="4"/>
      <c r="F138" s="4"/>
    </row>
    <row r="139" customFormat="false" ht="15" hidden="false" customHeight="false" outlineLevel="0" collapsed="false">
      <c r="A139" s="37"/>
      <c r="B139" s="4"/>
      <c r="C139" s="4"/>
      <c r="D139" s="4"/>
      <c r="E139" s="4"/>
      <c r="F139" s="4"/>
    </row>
    <row r="140" customFormat="false" ht="15" hidden="false" customHeight="false" outlineLevel="0" collapsed="false">
      <c r="A140" s="37"/>
      <c r="B140" s="4"/>
      <c r="C140" s="4"/>
      <c r="D140" s="4"/>
      <c r="E140" s="4"/>
      <c r="F140" s="4"/>
    </row>
    <row r="141" customFormat="false" ht="15" hidden="false" customHeight="false" outlineLevel="0" collapsed="false">
      <c r="A141" s="37"/>
      <c r="B141" s="4"/>
      <c r="C141" s="4"/>
      <c r="D141" s="4"/>
      <c r="E141" s="4"/>
      <c r="F141" s="4"/>
    </row>
    <row r="142" customFormat="false" ht="15" hidden="false" customHeight="false" outlineLevel="0" collapsed="false">
      <c r="A142" s="37"/>
      <c r="B142" s="4"/>
      <c r="C142" s="4"/>
      <c r="D142" s="4"/>
      <c r="E142" s="4"/>
      <c r="F142" s="4"/>
    </row>
    <row r="143" customFormat="false" ht="15" hidden="false" customHeight="false" outlineLevel="0" collapsed="false">
      <c r="A143" s="37"/>
      <c r="B143" s="4"/>
      <c r="C143" s="4"/>
      <c r="D143" s="4"/>
      <c r="E143" s="4"/>
      <c r="F143" s="4"/>
    </row>
    <row r="144" customFormat="false" ht="15" hidden="false" customHeight="false" outlineLevel="0" collapsed="false">
      <c r="A144" s="37"/>
      <c r="B144" s="4"/>
      <c r="C144" s="4"/>
      <c r="D144" s="4"/>
      <c r="E144" s="4"/>
      <c r="F144" s="4"/>
    </row>
    <row r="145" customFormat="false" ht="15" hidden="false" customHeight="false" outlineLevel="0" collapsed="false">
      <c r="A145" s="37"/>
      <c r="B145" s="4"/>
      <c r="C145" s="4"/>
      <c r="D145" s="4"/>
      <c r="E145" s="4"/>
      <c r="F145" s="4"/>
    </row>
    <row r="146" customFormat="false" ht="15" hidden="false" customHeight="false" outlineLevel="0" collapsed="false">
      <c r="A146" s="37"/>
      <c r="B146" s="4"/>
      <c r="C146" s="4"/>
      <c r="D146" s="4"/>
      <c r="E146" s="4"/>
      <c r="F146" s="4"/>
    </row>
    <row r="147" customFormat="false" ht="15" hidden="false" customHeight="false" outlineLevel="0" collapsed="false">
      <c r="A147" s="37"/>
      <c r="B147" s="4"/>
      <c r="C147" s="4"/>
      <c r="D147" s="4"/>
      <c r="E147" s="4"/>
      <c r="F147" s="4"/>
    </row>
    <row r="148" customFormat="false" ht="15" hidden="false" customHeight="false" outlineLevel="0" collapsed="false">
      <c r="A148" s="37"/>
      <c r="B148" s="4"/>
      <c r="C148" s="4"/>
      <c r="D148" s="4"/>
      <c r="E148" s="4"/>
      <c r="F148" s="4"/>
    </row>
    <row r="149" customFormat="false" ht="15" hidden="false" customHeight="false" outlineLevel="0" collapsed="false">
      <c r="A149" s="37"/>
      <c r="B149" s="4"/>
      <c r="C149" s="4"/>
      <c r="D149" s="4"/>
      <c r="E149" s="4"/>
      <c r="F149" s="4"/>
    </row>
    <row r="150" customFormat="false" ht="15" hidden="false" customHeight="false" outlineLevel="0" collapsed="false">
      <c r="A150" s="37"/>
      <c r="B150" s="4"/>
      <c r="C150" s="4"/>
      <c r="D150" s="4"/>
      <c r="E150" s="4"/>
      <c r="F150" s="4"/>
    </row>
    <row r="151" customFormat="false" ht="15" hidden="false" customHeight="false" outlineLevel="0" collapsed="false">
      <c r="A151" s="37"/>
      <c r="B151" s="4"/>
      <c r="C151" s="4"/>
      <c r="D151" s="4"/>
      <c r="E151" s="4"/>
      <c r="F151" s="4"/>
    </row>
    <row r="152" customFormat="false" ht="15" hidden="false" customHeight="false" outlineLevel="0" collapsed="false">
      <c r="A152" s="37"/>
      <c r="B152" s="4"/>
      <c r="C152" s="4"/>
      <c r="D152" s="4"/>
      <c r="E152" s="4"/>
      <c r="F152" s="4"/>
    </row>
    <row r="153" customFormat="false" ht="15" hidden="false" customHeight="false" outlineLevel="0" collapsed="false">
      <c r="A153" s="37"/>
      <c r="B153" s="4"/>
      <c r="C153" s="4"/>
      <c r="D153" s="4"/>
      <c r="E153" s="4"/>
      <c r="F153" s="4"/>
    </row>
    <row r="154" customFormat="false" ht="15" hidden="false" customHeight="false" outlineLevel="0" collapsed="false">
      <c r="A154" s="37"/>
      <c r="B154" s="4"/>
      <c r="C154" s="4"/>
      <c r="D154" s="4"/>
      <c r="E154" s="4"/>
      <c r="F154" s="4"/>
    </row>
    <row r="155" customFormat="false" ht="15" hidden="false" customHeight="false" outlineLevel="0" collapsed="false">
      <c r="A155" s="37"/>
      <c r="B155" s="4"/>
      <c r="C155" s="4"/>
      <c r="D155" s="4"/>
      <c r="E155" s="4"/>
      <c r="F155" s="4"/>
    </row>
    <row r="156" customFormat="false" ht="15" hidden="false" customHeight="false" outlineLevel="0" collapsed="false">
      <c r="A156" s="37"/>
      <c r="B156" s="4"/>
      <c r="C156" s="4"/>
      <c r="D156" s="4"/>
      <c r="E156" s="4"/>
      <c r="F156" s="4"/>
    </row>
    <row r="157" customFormat="false" ht="15" hidden="false" customHeight="false" outlineLevel="0" collapsed="false">
      <c r="A157" s="37"/>
      <c r="B157" s="4"/>
      <c r="C157" s="4"/>
      <c r="D157" s="4"/>
      <c r="E157" s="4"/>
      <c r="F157" s="4"/>
    </row>
    <row r="158" customFormat="false" ht="15" hidden="false" customHeight="false" outlineLevel="0" collapsed="false">
      <c r="A158" s="37"/>
      <c r="B158" s="4"/>
      <c r="C158" s="4"/>
      <c r="D158" s="4"/>
      <c r="E158" s="4"/>
      <c r="F158" s="4"/>
    </row>
    <row r="159" customFormat="false" ht="15" hidden="false" customHeight="false" outlineLevel="0" collapsed="false">
      <c r="A159" s="37"/>
      <c r="B159" s="4"/>
      <c r="C159" s="4"/>
      <c r="D159" s="4"/>
      <c r="E159" s="4"/>
      <c r="F159" s="4"/>
    </row>
    <row r="160" customFormat="false" ht="15" hidden="false" customHeight="false" outlineLevel="0" collapsed="false">
      <c r="A160" s="37"/>
      <c r="B160" s="4"/>
      <c r="C160" s="4"/>
      <c r="D160" s="4"/>
      <c r="E160" s="4"/>
      <c r="F160" s="4"/>
    </row>
    <row r="161" customFormat="false" ht="15" hidden="false" customHeight="false" outlineLevel="0" collapsed="false">
      <c r="A161" s="37"/>
      <c r="B161" s="4"/>
      <c r="C161" s="4"/>
      <c r="D161" s="4"/>
      <c r="E161" s="4"/>
      <c r="F161" s="4"/>
    </row>
    <row r="162" customFormat="false" ht="15" hidden="false" customHeight="false" outlineLevel="0" collapsed="false">
      <c r="A162" s="37"/>
      <c r="B162" s="4"/>
      <c r="C162" s="4"/>
      <c r="D162" s="4"/>
      <c r="E162" s="4"/>
      <c r="F162" s="4"/>
    </row>
    <row r="163" customFormat="false" ht="15" hidden="false" customHeight="false" outlineLevel="0" collapsed="false">
      <c r="A163" s="37"/>
      <c r="B163" s="4"/>
      <c r="C163" s="4"/>
      <c r="D163" s="4"/>
      <c r="E163" s="4"/>
      <c r="F163" s="4"/>
    </row>
    <row r="164" customFormat="false" ht="15" hidden="false" customHeight="false" outlineLevel="0" collapsed="false">
      <c r="A164" s="37"/>
      <c r="B164" s="4"/>
      <c r="C164" s="4"/>
      <c r="D164" s="4"/>
      <c r="E164" s="4"/>
      <c r="F164" s="4"/>
    </row>
    <row r="165" customFormat="false" ht="15" hidden="false" customHeight="false" outlineLevel="0" collapsed="false">
      <c r="A165" s="37"/>
      <c r="B165" s="4"/>
      <c r="C165" s="4"/>
      <c r="D165" s="4"/>
      <c r="E165" s="4"/>
      <c r="F165" s="4"/>
    </row>
    <row r="166" customFormat="false" ht="15" hidden="false" customHeight="false" outlineLevel="0" collapsed="false">
      <c r="A166" s="37"/>
      <c r="B166" s="4"/>
      <c r="C166" s="4"/>
      <c r="D166" s="4"/>
      <c r="E166" s="4"/>
      <c r="F166" s="4"/>
    </row>
    <row r="167" customFormat="false" ht="15" hidden="false" customHeight="false" outlineLevel="0" collapsed="false">
      <c r="A167" s="37"/>
      <c r="B167" s="4"/>
      <c r="C167" s="4"/>
      <c r="D167" s="4"/>
      <c r="E167" s="4"/>
      <c r="F167" s="4"/>
    </row>
    <row r="168" customFormat="false" ht="15" hidden="false" customHeight="false" outlineLevel="0" collapsed="false">
      <c r="A168" s="37"/>
      <c r="B168" s="4"/>
      <c r="C168" s="4"/>
      <c r="D168" s="4"/>
      <c r="E168" s="4"/>
      <c r="F168" s="4"/>
    </row>
    <row r="169" customFormat="false" ht="15" hidden="false" customHeight="false" outlineLevel="0" collapsed="false">
      <c r="A169" s="37"/>
      <c r="B169" s="4"/>
      <c r="C169" s="4"/>
      <c r="D169" s="4"/>
      <c r="E169" s="4"/>
      <c r="F169" s="4"/>
    </row>
    <row r="170" customFormat="false" ht="15" hidden="false" customHeight="false" outlineLevel="0" collapsed="false">
      <c r="A170" s="37"/>
      <c r="B170" s="4"/>
      <c r="C170" s="4"/>
      <c r="D170" s="4"/>
      <c r="E170" s="4"/>
      <c r="F170" s="4"/>
    </row>
    <row r="171" customFormat="false" ht="15" hidden="false" customHeight="false" outlineLevel="0" collapsed="false">
      <c r="A171" s="37"/>
      <c r="B171" s="4"/>
      <c r="C171" s="4"/>
      <c r="D171" s="4"/>
      <c r="E171" s="4"/>
      <c r="F171" s="4"/>
    </row>
    <row r="172" customFormat="false" ht="15" hidden="false" customHeight="false" outlineLevel="0" collapsed="false">
      <c r="A172" s="37"/>
      <c r="B172" s="4"/>
      <c r="C172" s="4"/>
      <c r="D172" s="4"/>
      <c r="E172" s="4"/>
      <c r="F172" s="4"/>
    </row>
    <row r="173" customFormat="false" ht="15" hidden="false" customHeight="false" outlineLevel="0" collapsed="false">
      <c r="A173" s="37"/>
      <c r="B173" s="4"/>
      <c r="C173" s="4"/>
      <c r="D173" s="4"/>
      <c r="E173" s="4"/>
      <c r="F173" s="4"/>
    </row>
    <row r="174" customFormat="false" ht="15" hidden="false" customHeight="false" outlineLevel="0" collapsed="false">
      <c r="A174" s="37"/>
      <c r="B174" s="4"/>
      <c r="C174" s="4"/>
      <c r="D174" s="4"/>
      <c r="E174" s="4"/>
      <c r="F174" s="4"/>
    </row>
    <row r="175" customFormat="false" ht="15" hidden="false" customHeight="false" outlineLevel="0" collapsed="false">
      <c r="A175" s="37"/>
      <c r="B175" s="4"/>
      <c r="C175" s="4"/>
      <c r="D175" s="4"/>
      <c r="E175" s="4"/>
      <c r="F175" s="4"/>
    </row>
    <row r="176" customFormat="false" ht="15" hidden="false" customHeight="false" outlineLevel="0" collapsed="false">
      <c r="A176" s="37"/>
      <c r="B176" s="4"/>
      <c r="C176" s="4"/>
      <c r="D176" s="4"/>
      <c r="E176" s="4"/>
      <c r="F176" s="4"/>
    </row>
    <row r="177" customFormat="false" ht="15" hidden="false" customHeight="false" outlineLevel="0" collapsed="false">
      <c r="A177" s="37"/>
      <c r="B177" s="4"/>
      <c r="C177" s="4"/>
      <c r="D177" s="4"/>
      <c r="E177" s="4"/>
      <c r="F177" s="4"/>
    </row>
    <row r="178" customFormat="false" ht="15" hidden="false" customHeight="false" outlineLevel="0" collapsed="false">
      <c r="A178" s="37"/>
      <c r="B178" s="4"/>
      <c r="C178" s="4"/>
      <c r="D178" s="4"/>
      <c r="E178" s="4"/>
      <c r="F178" s="4"/>
    </row>
    <row r="179" customFormat="false" ht="15" hidden="false" customHeight="false" outlineLevel="0" collapsed="false">
      <c r="A179" s="37"/>
      <c r="B179" s="4"/>
      <c r="C179" s="4"/>
      <c r="D179" s="4"/>
      <c r="E179" s="4"/>
      <c r="F179" s="4"/>
    </row>
    <row r="180" customFormat="false" ht="15" hidden="false" customHeight="false" outlineLevel="0" collapsed="false">
      <c r="A180" s="37"/>
      <c r="B180" s="4"/>
      <c r="C180" s="4"/>
      <c r="D180" s="4"/>
      <c r="E180" s="4"/>
      <c r="F180" s="4"/>
    </row>
    <row r="181" customFormat="false" ht="15" hidden="false" customHeight="false" outlineLevel="0" collapsed="false">
      <c r="A181" s="37"/>
      <c r="B181" s="4"/>
      <c r="C181" s="4"/>
      <c r="D181" s="4"/>
      <c r="E181" s="4"/>
      <c r="F181" s="4"/>
    </row>
    <row r="182" customFormat="false" ht="15" hidden="false" customHeight="false" outlineLevel="0" collapsed="false">
      <c r="A182" s="37"/>
      <c r="B182" s="4"/>
      <c r="C182" s="4"/>
      <c r="D182" s="4"/>
      <c r="E182" s="4"/>
      <c r="F182" s="4"/>
    </row>
    <row r="183" customFormat="false" ht="15" hidden="false" customHeight="false" outlineLevel="0" collapsed="false">
      <c r="A183" s="37"/>
      <c r="B183" s="4"/>
      <c r="C183" s="4"/>
      <c r="D183" s="4"/>
      <c r="E183" s="4"/>
      <c r="F183" s="4"/>
    </row>
    <row r="184" customFormat="false" ht="15" hidden="false" customHeight="false" outlineLevel="0" collapsed="false">
      <c r="A184" s="37"/>
      <c r="B184" s="4"/>
      <c r="C184" s="4"/>
      <c r="D184" s="4"/>
      <c r="E184" s="4"/>
      <c r="F184" s="4"/>
    </row>
    <row r="185" customFormat="false" ht="15" hidden="false" customHeight="false" outlineLevel="0" collapsed="false">
      <c r="A185" s="37"/>
      <c r="B185" s="4"/>
      <c r="C185" s="4"/>
      <c r="D185" s="4"/>
      <c r="E185" s="4"/>
      <c r="F185" s="4"/>
    </row>
    <row r="186" customFormat="false" ht="15" hidden="false" customHeight="false" outlineLevel="0" collapsed="false">
      <c r="A186" s="37"/>
      <c r="B186" s="4"/>
      <c r="C186" s="4"/>
      <c r="D186" s="4"/>
      <c r="E186" s="4"/>
      <c r="F186" s="4"/>
    </row>
    <row r="187" customFormat="false" ht="15" hidden="false" customHeight="false" outlineLevel="0" collapsed="false">
      <c r="A187" s="37"/>
      <c r="B187" s="4"/>
      <c r="C187" s="4"/>
      <c r="D187" s="4"/>
      <c r="E187" s="4"/>
      <c r="F187" s="4"/>
    </row>
    <row r="188" customFormat="false" ht="15" hidden="false" customHeight="false" outlineLevel="0" collapsed="false">
      <c r="A188" s="37"/>
      <c r="B188" s="4"/>
      <c r="C188" s="4"/>
      <c r="D188" s="4"/>
      <c r="E188" s="4"/>
      <c r="F188" s="4"/>
    </row>
    <row r="189" customFormat="false" ht="15" hidden="false" customHeight="false" outlineLevel="0" collapsed="false">
      <c r="A189" s="37"/>
      <c r="B189" s="4"/>
      <c r="C189" s="4"/>
      <c r="D189" s="4"/>
      <c r="E189" s="4"/>
      <c r="F189" s="4"/>
    </row>
    <row r="190" customFormat="false" ht="15" hidden="false" customHeight="false" outlineLevel="0" collapsed="false">
      <c r="A190" s="37"/>
      <c r="B190" s="4"/>
      <c r="C190" s="4"/>
      <c r="D190" s="4"/>
      <c r="E190" s="4"/>
      <c r="F190" s="4"/>
    </row>
    <row r="191" customFormat="false" ht="15" hidden="false" customHeight="false" outlineLevel="0" collapsed="false">
      <c r="A191" s="37"/>
      <c r="B191" s="4"/>
      <c r="C191" s="4"/>
      <c r="D191" s="4"/>
      <c r="E191" s="4"/>
      <c r="F191" s="4"/>
    </row>
    <row r="192" customFormat="false" ht="15" hidden="false" customHeight="false" outlineLevel="0" collapsed="false">
      <c r="A192" s="37"/>
      <c r="B192" s="4"/>
      <c r="C192" s="4"/>
      <c r="D192" s="4"/>
      <c r="E192" s="4"/>
      <c r="F192" s="4"/>
    </row>
    <row r="193" customFormat="false" ht="15" hidden="false" customHeight="false" outlineLevel="0" collapsed="false">
      <c r="A193" s="37"/>
      <c r="B193" s="4"/>
      <c r="C193" s="4"/>
      <c r="D193" s="4"/>
      <c r="E193" s="4"/>
      <c r="F193" s="4"/>
    </row>
    <row r="194" customFormat="false" ht="15" hidden="false" customHeight="false" outlineLevel="0" collapsed="false">
      <c r="A194" s="37"/>
      <c r="B194" s="4"/>
      <c r="C194" s="4"/>
      <c r="D194" s="4"/>
      <c r="E194" s="4"/>
      <c r="F194" s="4"/>
    </row>
    <row r="195" customFormat="false" ht="15" hidden="false" customHeight="false" outlineLevel="0" collapsed="false">
      <c r="A195" s="37"/>
      <c r="B195" s="4"/>
      <c r="C195" s="4"/>
      <c r="D195" s="4"/>
      <c r="E195" s="4"/>
      <c r="F195" s="4"/>
    </row>
    <row r="196" customFormat="false" ht="15" hidden="false" customHeight="false" outlineLevel="0" collapsed="false">
      <c r="A196" s="37"/>
      <c r="B196" s="4"/>
      <c r="C196" s="4"/>
      <c r="D196" s="4"/>
      <c r="E196" s="4"/>
      <c r="F196" s="4"/>
    </row>
    <row r="197" customFormat="false" ht="15" hidden="false" customHeight="false" outlineLevel="0" collapsed="false">
      <c r="A197" s="37"/>
      <c r="B197" s="4"/>
      <c r="C197" s="4"/>
      <c r="D197" s="4"/>
      <c r="E197" s="4"/>
      <c r="F197" s="4"/>
    </row>
    <row r="198" customFormat="false" ht="15" hidden="false" customHeight="false" outlineLevel="0" collapsed="false">
      <c r="A198" s="37"/>
      <c r="B198" s="4"/>
      <c r="C198" s="4"/>
      <c r="D198" s="4"/>
      <c r="E198" s="4"/>
      <c r="F198" s="4"/>
    </row>
    <row r="199" customFormat="false" ht="15" hidden="false" customHeight="false" outlineLevel="0" collapsed="false">
      <c r="A199" s="37"/>
      <c r="B199" s="4"/>
      <c r="C199" s="4"/>
      <c r="D199" s="4"/>
      <c r="E199" s="4"/>
      <c r="F199" s="4"/>
    </row>
    <row r="200" customFormat="false" ht="15" hidden="false" customHeight="false" outlineLevel="0" collapsed="false">
      <c r="A200" s="37"/>
      <c r="B200" s="4"/>
      <c r="C200" s="4"/>
      <c r="D200" s="4"/>
      <c r="E200" s="4"/>
      <c r="F200" s="4"/>
    </row>
    <row r="201" customFormat="false" ht="15" hidden="false" customHeight="false" outlineLevel="0" collapsed="false">
      <c r="A201" s="37"/>
      <c r="B201" s="4"/>
      <c r="C201" s="4"/>
      <c r="D201" s="4"/>
      <c r="E201" s="4"/>
      <c r="F201" s="4"/>
    </row>
    <row r="202" customFormat="false" ht="15" hidden="false" customHeight="false" outlineLevel="0" collapsed="false">
      <c r="A202" s="37"/>
      <c r="B202" s="4"/>
      <c r="C202" s="4"/>
      <c r="D202" s="4"/>
      <c r="E202" s="4"/>
      <c r="F202" s="4"/>
    </row>
    <row r="203" customFormat="false" ht="15" hidden="false" customHeight="false" outlineLevel="0" collapsed="false">
      <c r="A203" s="37"/>
      <c r="B203" s="4"/>
      <c r="C203" s="4"/>
      <c r="D203" s="4"/>
      <c r="E203" s="4"/>
      <c r="F203" s="4"/>
    </row>
    <row r="204" customFormat="false" ht="15" hidden="false" customHeight="false" outlineLevel="0" collapsed="false">
      <c r="A204" s="37"/>
      <c r="B204" s="4"/>
      <c r="C204" s="4"/>
      <c r="D204" s="4"/>
      <c r="E204" s="4"/>
      <c r="F204" s="4"/>
    </row>
    <row r="205" customFormat="false" ht="15" hidden="false" customHeight="false" outlineLevel="0" collapsed="false">
      <c r="A205" s="37"/>
      <c r="B205" s="4"/>
      <c r="C205" s="4"/>
      <c r="D205" s="4"/>
      <c r="E205" s="4"/>
      <c r="F205" s="4"/>
    </row>
    <row r="206" customFormat="false" ht="15" hidden="false" customHeight="false" outlineLevel="0" collapsed="false">
      <c r="A206" s="37"/>
      <c r="B206" s="4"/>
      <c r="C206" s="4"/>
      <c r="D206" s="4"/>
      <c r="E206" s="4"/>
      <c r="F206" s="4"/>
    </row>
    <row r="207" customFormat="false" ht="15" hidden="false" customHeight="false" outlineLevel="0" collapsed="false">
      <c r="A207" s="37"/>
      <c r="B207" s="4"/>
      <c r="C207" s="4"/>
      <c r="D207" s="4"/>
      <c r="E207" s="4"/>
      <c r="F207" s="4"/>
    </row>
    <row r="208" customFormat="false" ht="15" hidden="false" customHeight="false" outlineLevel="0" collapsed="false">
      <c r="A208" s="37"/>
      <c r="B208" s="4"/>
      <c r="C208" s="4"/>
      <c r="D208" s="4"/>
      <c r="E208" s="4"/>
      <c r="F208" s="4"/>
    </row>
    <row r="209" customFormat="false" ht="15" hidden="false" customHeight="false" outlineLevel="0" collapsed="false">
      <c r="A209" s="37"/>
      <c r="B209" s="4"/>
      <c r="C209" s="4"/>
      <c r="D209" s="4"/>
      <c r="E209" s="4"/>
      <c r="F209" s="4"/>
    </row>
    <row r="210" customFormat="false" ht="15" hidden="false" customHeight="false" outlineLevel="0" collapsed="false">
      <c r="A210" s="37"/>
      <c r="B210" s="4"/>
      <c r="C210" s="4"/>
      <c r="D210" s="4"/>
      <c r="E210" s="4"/>
      <c r="F210" s="4"/>
    </row>
    <row r="211" customFormat="false" ht="15" hidden="false" customHeight="false" outlineLevel="0" collapsed="false">
      <c r="A211" s="37"/>
      <c r="B211" s="4"/>
      <c r="C211" s="4"/>
      <c r="D211" s="4"/>
      <c r="E211" s="4"/>
      <c r="F211" s="4"/>
    </row>
    <row r="212" customFormat="false" ht="15" hidden="false" customHeight="false" outlineLevel="0" collapsed="false">
      <c r="A212" s="37"/>
      <c r="B212" s="4"/>
      <c r="C212" s="4"/>
      <c r="D212" s="4"/>
      <c r="E212" s="4"/>
      <c r="F212" s="4"/>
    </row>
    <row r="213" customFormat="false" ht="15" hidden="false" customHeight="false" outlineLevel="0" collapsed="false">
      <c r="A213" s="37"/>
      <c r="B213" s="4"/>
      <c r="C213" s="4"/>
      <c r="D213" s="4"/>
      <c r="E213" s="4"/>
      <c r="F213" s="4"/>
    </row>
    <row r="214" customFormat="false" ht="15" hidden="false" customHeight="false" outlineLevel="0" collapsed="false">
      <c r="A214" s="37"/>
      <c r="B214" s="4"/>
      <c r="C214" s="4"/>
      <c r="D214" s="4"/>
      <c r="E214" s="4"/>
      <c r="F214" s="4"/>
    </row>
    <row r="215" customFormat="false" ht="15" hidden="false" customHeight="false" outlineLevel="0" collapsed="false">
      <c r="A215" s="37"/>
      <c r="B215" s="4"/>
      <c r="C215" s="4"/>
      <c r="D215" s="4"/>
      <c r="E215" s="4"/>
      <c r="F215" s="4"/>
    </row>
    <row r="216" customFormat="false" ht="15" hidden="false" customHeight="false" outlineLevel="0" collapsed="false">
      <c r="A216" s="37"/>
      <c r="B216" s="4"/>
      <c r="C216" s="4"/>
      <c r="D216" s="4"/>
      <c r="E216" s="4"/>
      <c r="F216" s="4"/>
    </row>
    <row r="217" customFormat="false" ht="15" hidden="false" customHeight="false" outlineLevel="0" collapsed="false">
      <c r="A217" s="37"/>
      <c r="B217" s="4"/>
      <c r="C217" s="4"/>
      <c r="D217" s="4"/>
      <c r="E217" s="4"/>
      <c r="F217" s="4"/>
    </row>
    <row r="218" customFormat="false" ht="15" hidden="false" customHeight="false" outlineLevel="0" collapsed="false">
      <c r="A218" s="37"/>
      <c r="B218" s="4"/>
      <c r="C218" s="4"/>
      <c r="D218" s="4"/>
      <c r="E218" s="4"/>
      <c r="F218" s="4"/>
    </row>
    <row r="219" customFormat="false" ht="15" hidden="false" customHeight="false" outlineLevel="0" collapsed="false">
      <c r="A219" s="37"/>
      <c r="B219" s="4"/>
      <c r="C219" s="4"/>
      <c r="D219" s="4"/>
      <c r="E219" s="4"/>
      <c r="F219" s="4"/>
    </row>
    <row r="220" customFormat="false" ht="15" hidden="false" customHeight="false" outlineLevel="0" collapsed="false">
      <c r="A220" s="37"/>
      <c r="B220" s="4"/>
      <c r="C220" s="4"/>
      <c r="D220" s="4"/>
      <c r="E220" s="4"/>
      <c r="F220" s="4"/>
    </row>
    <row r="221" customFormat="false" ht="15" hidden="false" customHeight="false" outlineLevel="0" collapsed="false">
      <c r="A221" s="37"/>
      <c r="B221" s="4"/>
      <c r="C221" s="4"/>
      <c r="D221" s="4"/>
      <c r="E221" s="4"/>
      <c r="F221" s="4"/>
    </row>
    <row r="222" customFormat="false" ht="15" hidden="false" customHeight="false" outlineLevel="0" collapsed="false">
      <c r="A222" s="37"/>
      <c r="B222" s="4"/>
      <c r="C222" s="4"/>
      <c r="D222" s="4"/>
      <c r="E222" s="4"/>
      <c r="F222" s="4"/>
    </row>
    <row r="223" customFormat="false" ht="15" hidden="false" customHeight="false" outlineLevel="0" collapsed="false">
      <c r="A223" s="37"/>
      <c r="B223" s="4"/>
      <c r="C223" s="4"/>
      <c r="D223" s="4"/>
      <c r="E223" s="4"/>
      <c r="F223" s="4"/>
    </row>
    <row r="224" customFormat="false" ht="15" hidden="false" customHeight="false" outlineLevel="0" collapsed="false">
      <c r="A224" s="37"/>
      <c r="B224" s="4"/>
      <c r="C224" s="4"/>
      <c r="D224" s="4"/>
      <c r="E224" s="4"/>
      <c r="F224" s="4"/>
    </row>
    <row r="225" customFormat="false" ht="15" hidden="false" customHeight="false" outlineLevel="0" collapsed="false">
      <c r="A225" s="37"/>
      <c r="B225" s="4"/>
      <c r="C225" s="4"/>
      <c r="D225" s="4"/>
      <c r="E225" s="4"/>
      <c r="F225" s="4"/>
    </row>
    <row r="226" customFormat="false" ht="15" hidden="false" customHeight="false" outlineLevel="0" collapsed="false">
      <c r="A226" s="37"/>
      <c r="B226" s="4"/>
      <c r="C226" s="4"/>
      <c r="D226" s="4"/>
      <c r="E226" s="4"/>
      <c r="F226" s="4"/>
    </row>
    <row r="227" customFormat="false" ht="15" hidden="false" customHeight="false" outlineLevel="0" collapsed="false">
      <c r="A227" s="37"/>
      <c r="B227" s="4"/>
      <c r="C227" s="4"/>
      <c r="D227" s="4"/>
      <c r="E227" s="4"/>
      <c r="F227" s="4"/>
    </row>
    <row r="228" customFormat="false" ht="15" hidden="false" customHeight="false" outlineLevel="0" collapsed="false">
      <c r="A228" s="37"/>
      <c r="B228" s="4"/>
      <c r="C228" s="4"/>
      <c r="D228" s="4"/>
      <c r="E228" s="4"/>
      <c r="F228" s="4"/>
    </row>
    <row r="229" customFormat="false" ht="15" hidden="false" customHeight="false" outlineLevel="0" collapsed="false">
      <c r="A229" s="37"/>
      <c r="B229" s="4"/>
      <c r="C229" s="4"/>
      <c r="D229" s="4"/>
      <c r="E229" s="4"/>
      <c r="F229" s="4"/>
    </row>
    <row r="230" customFormat="false" ht="15" hidden="false" customHeight="false" outlineLevel="0" collapsed="false">
      <c r="A230" s="37"/>
      <c r="B230" s="4"/>
      <c r="C230" s="4"/>
      <c r="D230" s="4"/>
      <c r="E230" s="4"/>
      <c r="F230" s="4"/>
    </row>
    <row r="231" customFormat="false" ht="15" hidden="false" customHeight="false" outlineLevel="0" collapsed="false">
      <c r="A231" s="37"/>
      <c r="B231" s="4"/>
      <c r="C231" s="4"/>
      <c r="D231" s="4"/>
      <c r="E231" s="4"/>
      <c r="F231" s="4"/>
    </row>
    <row r="232" customFormat="false" ht="15" hidden="false" customHeight="false" outlineLevel="0" collapsed="false">
      <c r="A232" s="37"/>
      <c r="B232" s="4"/>
      <c r="C232" s="4"/>
      <c r="D232" s="4"/>
      <c r="E232" s="4"/>
      <c r="F232" s="4"/>
    </row>
    <row r="233" customFormat="false" ht="15" hidden="false" customHeight="false" outlineLevel="0" collapsed="false">
      <c r="A233" s="37"/>
      <c r="B233" s="4"/>
      <c r="C233" s="4"/>
      <c r="D233" s="4"/>
      <c r="E233" s="4"/>
      <c r="F233" s="4"/>
    </row>
    <row r="234" customFormat="false" ht="15" hidden="false" customHeight="false" outlineLevel="0" collapsed="false">
      <c r="A234" s="37"/>
      <c r="B234" s="4"/>
      <c r="C234" s="4"/>
      <c r="D234" s="4"/>
      <c r="E234" s="4"/>
      <c r="F234" s="4"/>
    </row>
    <row r="235" customFormat="false" ht="15" hidden="false" customHeight="false" outlineLevel="0" collapsed="false">
      <c r="A235" s="37"/>
      <c r="B235" s="4"/>
      <c r="C235" s="4"/>
      <c r="D235" s="4"/>
      <c r="E235" s="4"/>
      <c r="F235" s="4"/>
    </row>
    <row r="236" customFormat="false" ht="15" hidden="false" customHeight="false" outlineLevel="0" collapsed="false">
      <c r="A236" s="37"/>
      <c r="B236" s="4"/>
      <c r="C236" s="4"/>
      <c r="D236" s="4"/>
      <c r="E236" s="4"/>
      <c r="F236" s="4"/>
    </row>
    <row r="237" customFormat="false" ht="15" hidden="false" customHeight="false" outlineLevel="0" collapsed="false">
      <c r="A237" s="37"/>
      <c r="B237" s="4"/>
      <c r="C237" s="4"/>
      <c r="D237" s="4"/>
      <c r="E237" s="4"/>
      <c r="F237" s="4"/>
    </row>
    <row r="238" customFormat="false" ht="15" hidden="false" customHeight="false" outlineLevel="0" collapsed="false">
      <c r="A238" s="37"/>
      <c r="B238" s="4"/>
      <c r="C238" s="4"/>
      <c r="D238" s="4"/>
      <c r="E238" s="4"/>
      <c r="F238" s="4"/>
    </row>
    <row r="239" customFormat="false" ht="15" hidden="false" customHeight="false" outlineLevel="0" collapsed="false">
      <c r="A239" s="37"/>
      <c r="B239" s="4"/>
      <c r="C239" s="4"/>
      <c r="D239" s="4"/>
      <c r="E239" s="4"/>
      <c r="F239" s="4"/>
    </row>
    <row r="240" customFormat="false" ht="15" hidden="false" customHeight="false" outlineLevel="0" collapsed="false">
      <c r="A240" s="37"/>
      <c r="B240" s="4"/>
      <c r="C240" s="4"/>
      <c r="D240" s="4"/>
      <c r="E240" s="4"/>
      <c r="F240" s="4"/>
    </row>
    <row r="241" customFormat="false" ht="15" hidden="false" customHeight="false" outlineLevel="0" collapsed="false">
      <c r="A241" s="37"/>
      <c r="B241" s="4"/>
      <c r="C241" s="4"/>
      <c r="D241" s="4"/>
      <c r="E241" s="4"/>
      <c r="F241" s="4"/>
    </row>
    <row r="242" customFormat="false" ht="15" hidden="false" customHeight="false" outlineLevel="0" collapsed="false">
      <c r="A242" s="37"/>
      <c r="B242" s="4"/>
      <c r="C242" s="4"/>
      <c r="D242" s="4"/>
      <c r="E242" s="4"/>
      <c r="F242" s="4"/>
    </row>
    <row r="243" customFormat="false" ht="15" hidden="false" customHeight="false" outlineLevel="0" collapsed="false">
      <c r="A243" s="37"/>
      <c r="B243" s="4"/>
      <c r="C243" s="4"/>
      <c r="D243" s="4"/>
      <c r="E243" s="4"/>
      <c r="F243" s="4"/>
    </row>
    <row r="244" customFormat="false" ht="15" hidden="false" customHeight="false" outlineLevel="0" collapsed="false">
      <c r="A244" s="37"/>
      <c r="B244" s="4"/>
      <c r="C244" s="4"/>
      <c r="D244" s="4"/>
      <c r="E244" s="4"/>
      <c r="F244" s="4"/>
    </row>
    <row r="245" customFormat="false" ht="15" hidden="false" customHeight="false" outlineLevel="0" collapsed="false">
      <c r="A245" s="37"/>
      <c r="B245" s="4"/>
      <c r="C245" s="4"/>
      <c r="D245" s="4"/>
      <c r="E245" s="4"/>
      <c r="F245" s="4"/>
    </row>
    <row r="246" customFormat="false" ht="15" hidden="false" customHeight="false" outlineLevel="0" collapsed="false">
      <c r="A246" s="37"/>
      <c r="B246" s="4"/>
      <c r="C246" s="4"/>
      <c r="D246" s="4"/>
      <c r="E246" s="4"/>
      <c r="F246" s="4"/>
    </row>
    <row r="247" customFormat="false" ht="15" hidden="false" customHeight="false" outlineLevel="0" collapsed="false">
      <c r="A247" s="37"/>
      <c r="B247" s="4"/>
      <c r="C247" s="4"/>
      <c r="D247" s="4"/>
      <c r="E247" s="4"/>
      <c r="F247" s="4"/>
    </row>
    <row r="248" customFormat="false" ht="15" hidden="false" customHeight="false" outlineLevel="0" collapsed="false">
      <c r="A248" s="37"/>
      <c r="B248" s="4"/>
      <c r="C248" s="4"/>
      <c r="D248" s="4"/>
      <c r="E248" s="4"/>
      <c r="F248" s="4"/>
    </row>
    <row r="249" customFormat="false" ht="15" hidden="false" customHeight="false" outlineLevel="0" collapsed="false">
      <c r="A249" s="37"/>
      <c r="B249" s="4"/>
      <c r="C249" s="4"/>
      <c r="D249" s="4"/>
      <c r="E249" s="4"/>
      <c r="F249" s="4"/>
    </row>
    <row r="250" customFormat="false" ht="15" hidden="false" customHeight="false" outlineLevel="0" collapsed="false">
      <c r="A250" s="37"/>
      <c r="B250" s="4"/>
      <c r="C250" s="4"/>
      <c r="D250" s="4"/>
      <c r="E250" s="4"/>
      <c r="F250" s="4"/>
    </row>
    <row r="251" customFormat="false" ht="15" hidden="false" customHeight="false" outlineLevel="0" collapsed="false">
      <c r="A251" s="37"/>
      <c r="B251" s="4"/>
      <c r="C251" s="4"/>
      <c r="D251" s="4"/>
      <c r="E251" s="4"/>
      <c r="F251" s="4"/>
    </row>
    <row r="252" customFormat="false" ht="15" hidden="false" customHeight="false" outlineLevel="0" collapsed="false">
      <c r="A252" s="37"/>
      <c r="B252" s="4"/>
      <c r="C252" s="4"/>
      <c r="D252" s="4"/>
      <c r="E252" s="4"/>
      <c r="F252" s="4"/>
    </row>
    <row r="253" customFormat="false" ht="15" hidden="false" customHeight="false" outlineLevel="0" collapsed="false">
      <c r="A253" s="37"/>
      <c r="B253" s="4"/>
      <c r="C253" s="4"/>
      <c r="D253" s="4"/>
      <c r="E253" s="4"/>
      <c r="F253" s="4"/>
    </row>
    <row r="254" customFormat="false" ht="15" hidden="false" customHeight="false" outlineLevel="0" collapsed="false">
      <c r="A254" s="37"/>
      <c r="B254" s="4"/>
      <c r="C254" s="4"/>
      <c r="D254" s="4"/>
      <c r="E254" s="4"/>
      <c r="F254" s="4"/>
    </row>
    <row r="255" customFormat="false" ht="15" hidden="false" customHeight="false" outlineLevel="0" collapsed="false">
      <c r="A255" s="37"/>
      <c r="B255" s="4"/>
      <c r="C255" s="4"/>
      <c r="D255" s="4"/>
      <c r="E255" s="4"/>
      <c r="F255" s="4"/>
    </row>
    <row r="256" customFormat="false" ht="15" hidden="false" customHeight="false" outlineLevel="0" collapsed="false">
      <c r="A256" s="37"/>
      <c r="B256" s="4"/>
      <c r="C256" s="4"/>
      <c r="D256" s="4"/>
      <c r="E256" s="4"/>
      <c r="F256" s="4"/>
    </row>
    <row r="257" customFormat="false" ht="15" hidden="false" customHeight="false" outlineLevel="0" collapsed="false">
      <c r="A257" s="37"/>
      <c r="B257" s="4"/>
      <c r="C257" s="4"/>
      <c r="D257" s="4"/>
      <c r="E257" s="4"/>
      <c r="F257" s="4"/>
    </row>
    <row r="258" customFormat="false" ht="15" hidden="false" customHeight="false" outlineLevel="0" collapsed="false">
      <c r="A258" s="37"/>
      <c r="B258" s="4"/>
      <c r="C258" s="4"/>
      <c r="D258" s="4"/>
      <c r="E258" s="4"/>
      <c r="F258" s="4"/>
    </row>
    <row r="259" customFormat="false" ht="15" hidden="false" customHeight="false" outlineLevel="0" collapsed="false">
      <c r="A259" s="37"/>
      <c r="B259" s="4"/>
      <c r="C259" s="4"/>
      <c r="D259" s="4"/>
      <c r="E259" s="4"/>
      <c r="F259" s="4"/>
    </row>
    <row r="260" customFormat="false" ht="15" hidden="false" customHeight="false" outlineLevel="0" collapsed="false">
      <c r="A260" s="37"/>
      <c r="B260" s="4"/>
      <c r="C260" s="4"/>
      <c r="D260" s="4"/>
      <c r="E260" s="4"/>
      <c r="F260" s="4"/>
    </row>
    <row r="261" customFormat="false" ht="15" hidden="false" customHeight="false" outlineLevel="0" collapsed="false">
      <c r="A261" s="37"/>
      <c r="B261" s="4"/>
      <c r="C261" s="4"/>
      <c r="D261" s="4"/>
      <c r="E261" s="4"/>
      <c r="F261" s="4"/>
    </row>
    <row r="262" customFormat="false" ht="15" hidden="false" customHeight="false" outlineLevel="0" collapsed="false">
      <c r="A262" s="37"/>
      <c r="B262" s="4"/>
      <c r="C262" s="4"/>
      <c r="D262" s="4"/>
      <c r="E262" s="4"/>
      <c r="F262" s="4"/>
    </row>
    <row r="263" customFormat="false" ht="15" hidden="false" customHeight="false" outlineLevel="0" collapsed="false">
      <c r="A263" s="37"/>
      <c r="B263" s="4"/>
      <c r="C263" s="4"/>
      <c r="D263" s="4"/>
      <c r="E263" s="4"/>
      <c r="F263" s="4"/>
    </row>
    <row r="264" customFormat="false" ht="15" hidden="false" customHeight="false" outlineLevel="0" collapsed="false">
      <c r="A264" s="37"/>
      <c r="B264" s="4"/>
      <c r="C264" s="4"/>
      <c r="D264" s="4"/>
      <c r="E264" s="4"/>
      <c r="F264" s="4"/>
    </row>
    <row r="265" customFormat="false" ht="15" hidden="false" customHeight="false" outlineLevel="0" collapsed="false">
      <c r="A265" s="37"/>
      <c r="B265" s="4"/>
      <c r="C265" s="4"/>
      <c r="D265" s="4"/>
      <c r="E265" s="4"/>
      <c r="F265" s="4"/>
    </row>
    <row r="266" customFormat="false" ht="15" hidden="false" customHeight="false" outlineLevel="0" collapsed="false">
      <c r="A266" s="37"/>
      <c r="B266" s="4"/>
      <c r="C266" s="4"/>
      <c r="D266" s="4"/>
      <c r="E266" s="4"/>
      <c r="F266" s="4"/>
    </row>
    <row r="267" customFormat="false" ht="15" hidden="false" customHeight="false" outlineLevel="0" collapsed="false">
      <c r="A267" s="37"/>
      <c r="B267" s="4"/>
      <c r="C267" s="4"/>
      <c r="D267" s="4"/>
      <c r="E267" s="4"/>
      <c r="F267" s="4"/>
    </row>
    <row r="268" customFormat="false" ht="15" hidden="false" customHeight="false" outlineLevel="0" collapsed="false">
      <c r="A268" s="37"/>
      <c r="B268" s="4"/>
      <c r="C268" s="4"/>
      <c r="D268" s="4"/>
      <c r="E268" s="4"/>
      <c r="F268" s="4"/>
    </row>
    <row r="269" customFormat="false" ht="15" hidden="false" customHeight="false" outlineLevel="0" collapsed="false">
      <c r="A269" s="37"/>
      <c r="B269" s="4"/>
      <c r="C269" s="4"/>
      <c r="D269" s="4"/>
      <c r="E269" s="4"/>
      <c r="F269" s="4"/>
    </row>
    <row r="270" customFormat="false" ht="15" hidden="false" customHeight="false" outlineLevel="0" collapsed="false">
      <c r="A270" s="37"/>
      <c r="B270" s="4"/>
      <c r="C270" s="4"/>
      <c r="D270" s="4"/>
      <c r="E270" s="4"/>
      <c r="F270" s="4"/>
    </row>
    <row r="271" customFormat="false" ht="15" hidden="false" customHeight="false" outlineLevel="0" collapsed="false">
      <c r="A271" s="37"/>
      <c r="B271" s="4"/>
      <c r="C271" s="4"/>
      <c r="D271" s="4"/>
      <c r="E271" s="4"/>
      <c r="F271" s="4"/>
    </row>
    <row r="272" customFormat="false" ht="15" hidden="false" customHeight="false" outlineLevel="0" collapsed="false">
      <c r="A272" s="37"/>
      <c r="B272" s="4"/>
      <c r="C272" s="4"/>
      <c r="D272" s="4"/>
      <c r="E272" s="4"/>
      <c r="F272" s="4"/>
    </row>
    <row r="273" customFormat="false" ht="15" hidden="false" customHeight="false" outlineLevel="0" collapsed="false">
      <c r="A273" s="37"/>
      <c r="B273" s="4"/>
      <c r="C273" s="4"/>
      <c r="D273" s="4"/>
      <c r="E273" s="4"/>
      <c r="F273" s="4"/>
    </row>
    <row r="274" customFormat="false" ht="15" hidden="false" customHeight="false" outlineLevel="0" collapsed="false">
      <c r="A274" s="37"/>
      <c r="B274" s="4"/>
      <c r="C274" s="4"/>
      <c r="D274" s="4"/>
      <c r="E274" s="4"/>
      <c r="F274" s="4"/>
    </row>
    <row r="275" customFormat="false" ht="15" hidden="false" customHeight="false" outlineLevel="0" collapsed="false">
      <c r="A275" s="37"/>
      <c r="B275" s="4"/>
      <c r="C275" s="4"/>
      <c r="D275" s="4"/>
      <c r="E275" s="4"/>
      <c r="F275" s="4"/>
    </row>
    <row r="276" customFormat="false" ht="15" hidden="false" customHeight="false" outlineLevel="0" collapsed="false">
      <c r="A276" s="37"/>
      <c r="B276" s="4"/>
      <c r="C276" s="4"/>
      <c r="D276" s="4"/>
      <c r="E276" s="4"/>
      <c r="F276" s="4"/>
    </row>
    <row r="277" customFormat="false" ht="15" hidden="false" customHeight="false" outlineLevel="0" collapsed="false">
      <c r="A277" s="37"/>
      <c r="B277" s="4"/>
      <c r="C277" s="4"/>
      <c r="D277" s="4"/>
      <c r="E277" s="4"/>
      <c r="F277" s="4"/>
    </row>
    <row r="278" customFormat="false" ht="15" hidden="false" customHeight="false" outlineLevel="0" collapsed="false">
      <c r="A278" s="37"/>
      <c r="B278" s="4"/>
      <c r="C278" s="4"/>
      <c r="D278" s="4"/>
      <c r="E278" s="4"/>
      <c r="F278" s="4"/>
    </row>
    <row r="279" customFormat="false" ht="15" hidden="false" customHeight="false" outlineLevel="0" collapsed="false">
      <c r="A279" s="37"/>
      <c r="B279" s="4"/>
      <c r="C279" s="4"/>
      <c r="D279" s="4"/>
      <c r="E279" s="4"/>
      <c r="F279" s="4"/>
    </row>
    <row r="280" customFormat="false" ht="15" hidden="false" customHeight="false" outlineLevel="0" collapsed="false">
      <c r="A280" s="37"/>
      <c r="B280" s="4"/>
      <c r="C280" s="4"/>
      <c r="D280" s="4"/>
      <c r="E280" s="4"/>
      <c r="F280" s="4"/>
    </row>
    <row r="281" customFormat="false" ht="15" hidden="false" customHeight="false" outlineLevel="0" collapsed="false">
      <c r="A281" s="37"/>
      <c r="B281" s="4"/>
      <c r="C281" s="4"/>
      <c r="D281" s="4"/>
      <c r="E281" s="4"/>
      <c r="F281" s="4"/>
    </row>
    <row r="282" customFormat="false" ht="15" hidden="false" customHeight="false" outlineLevel="0" collapsed="false">
      <c r="A282" s="37"/>
      <c r="B282" s="4"/>
      <c r="C282" s="4"/>
      <c r="D282" s="4"/>
      <c r="E282" s="4"/>
      <c r="F282" s="4"/>
    </row>
    <row r="283" customFormat="false" ht="15" hidden="false" customHeight="false" outlineLevel="0" collapsed="false">
      <c r="A283" s="37"/>
      <c r="B283" s="4"/>
      <c r="C283" s="4"/>
      <c r="D283" s="4"/>
      <c r="E283" s="4"/>
      <c r="F283" s="4"/>
    </row>
    <row r="284" customFormat="false" ht="15" hidden="false" customHeight="false" outlineLevel="0" collapsed="false">
      <c r="A284" s="37"/>
      <c r="B284" s="4"/>
      <c r="C284" s="4"/>
      <c r="D284" s="4"/>
      <c r="E284" s="4"/>
      <c r="F284" s="4"/>
    </row>
    <row r="285" customFormat="false" ht="15" hidden="false" customHeight="false" outlineLevel="0" collapsed="false">
      <c r="A285" s="37"/>
      <c r="B285" s="4"/>
      <c r="C285" s="4"/>
      <c r="D285" s="4"/>
      <c r="E285" s="4"/>
      <c r="F285" s="4"/>
    </row>
    <row r="286" customFormat="false" ht="15" hidden="false" customHeight="false" outlineLevel="0" collapsed="false">
      <c r="A286" s="37"/>
      <c r="B286" s="4"/>
      <c r="C286" s="4"/>
      <c r="D286" s="4"/>
      <c r="E286" s="4"/>
      <c r="F286" s="4"/>
    </row>
    <row r="287" customFormat="false" ht="15" hidden="false" customHeight="false" outlineLevel="0" collapsed="false">
      <c r="A287" s="37"/>
      <c r="B287" s="4"/>
      <c r="C287" s="4"/>
      <c r="D287" s="4"/>
      <c r="E287" s="4"/>
      <c r="F287" s="4"/>
    </row>
    <row r="288" customFormat="false" ht="15" hidden="false" customHeight="false" outlineLevel="0" collapsed="false">
      <c r="A288" s="37"/>
      <c r="B288" s="4"/>
      <c r="C288" s="4"/>
      <c r="D288" s="4"/>
      <c r="E288" s="4"/>
      <c r="F288" s="4"/>
    </row>
    <row r="289" customFormat="false" ht="15" hidden="false" customHeight="false" outlineLevel="0" collapsed="false">
      <c r="A289" s="37"/>
      <c r="B289" s="4"/>
      <c r="C289" s="4"/>
      <c r="D289" s="4"/>
      <c r="E289" s="4"/>
      <c r="F289" s="4"/>
    </row>
    <row r="290" customFormat="false" ht="15" hidden="false" customHeight="false" outlineLevel="0" collapsed="false">
      <c r="A290" s="37"/>
      <c r="B290" s="4"/>
      <c r="C290" s="4"/>
      <c r="D290" s="4"/>
      <c r="E290" s="4"/>
      <c r="F290" s="4"/>
    </row>
    <row r="291" customFormat="false" ht="15" hidden="false" customHeight="false" outlineLevel="0" collapsed="false">
      <c r="A291" s="37"/>
      <c r="B291" s="4"/>
      <c r="C291" s="4"/>
      <c r="D291" s="4"/>
      <c r="E291" s="4"/>
      <c r="F291" s="4"/>
    </row>
    <row r="292" customFormat="false" ht="15" hidden="false" customHeight="false" outlineLevel="0" collapsed="false">
      <c r="A292" s="37"/>
      <c r="B292" s="4"/>
      <c r="C292" s="4"/>
      <c r="D292" s="4"/>
      <c r="E292" s="4"/>
      <c r="F292" s="4"/>
    </row>
    <row r="293" customFormat="false" ht="15" hidden="false" customHeight="false" outlineLevel="0" collapsed="false">
      <c r="A293" s="37"/>
      <c r="B293" s="4"/>
      <c r="C293" s="4"/>
      <c r="D293" s="4"/>
      <c r="E293" s="4"/>
      <c r="F293" s="4"/>
    </row>
    <row r="294" customFormat="false" ht="15" hidden="false" customHeight="false" outlineLevel="0" collapsed="false">
      <c r="A294" s="37"/>
      <c r="B294" s="4"/>
      <c r="C294" s="4"/>
      <c r="D294" s="4"/>
      <c r="E294" s="4"/>
      <c r="F294" s="4"/>
    </row>
    <row r="295" customFormat="false" ht="15" hidden="false" customHeight="false" outlineLevel="0" collapsed="false">
      <c r="A295" s="37"/>
      <c r="B295" s="4"/>
      <c r="C295" s="4"/>
      <c r="D295" s="4"/>
      <c r="E295" s="4"/>
      <c r="F295" s="4"/>
    </row>
    <row r="296" customFormat="false" ht="15" hidden="false" customHeight="false" outlineLevel="0" collapsed="false">
      <c r="A296" s="37"/>
      <c r="B296" s="4"/>
      <c r="C296" s="4"/>
      <c r="D296" s="4"/>
      <c r="E296" s="4"/>
      <c r="F296" s="4"/>
    </row>
    <row r="297" customFormat="false" ht="15" hidden="false" customHeight="false" outlineLevel="0" collapsed="false">
      <c r="A297" s="37"/>
      <c r="B297" s="4"/>
      <c r="C297" s="4"/>
      <c r="D297" s="4"/>
      <c r="E297" s="4"/>
      <c r="F297" s="4"/>
    </row>
    <row r="298" customFormat="false" ht="15" hidden="false" customHeight="false" outlineLevel="0" collapsed="false">
      <c r="A298" s="37"/>
      <c r="B298" s="4"/>
      <c r="C298" s="4"/>
      <c r="D298" s="4"/>
      <c r="E298" s="4"/>
      <c r="F298" s="4"/>
    </row>
    <row r="299" customFormat="false" ht="15" hidden="false" customHeight="false" outlineLevel="0" collapsed="false">
      <c r="A299" s="37"/>
      <c r="B299" s="4"/>
      <c r="C299" s="4"/>
      <c r="D299" s="4"/>
      <c r="E299" s="4"/>
      <c r="F299" s="4"/>
    </row>
    <row r="300" customFormat="false" ht="15" hidden="false" customHeight="false" outlineLevel="0" collapsed="false">
      <c r="A300" s="37"/>
      <c r="B300" s="4"/>
      <c r="C300" s="4"/>
      <c r="D300" s="4"/>
      <c r="E300" s="4"/>
      <c r="F300" s="4"/>
    </row>
    <row r="301" customFormat="false" ht="15" hidden="false" customHeight="false" outlineLevel="0" collapsed="false">
      <c r="A301" s="37"/>
      <c r="B301" s="4"/>
      <c r="C301" s="4"/>
      <c r="D301" s="4"/>
      <c r="E301" s="4"/>
      <c r="F301" s="4"/>
    </row>
    <row r="302" customFormat="false" ht="15" hidden="false" customHeight="false" outlineLevel="0" collapsed="false">
      <c r="A302" s="37"/>
      <c r="B302" s="4"/>
      <c r="C302" s="4"/>
      <c r="D302" s="4"/>
      <c r="E302" s="4"/>
      <c r="F302" s="4"/>
    </row>
    <row r="303" customFormat="false" ht="15" hidden="false" customHeight="false" outlineLevel="0" collapsed="false">
      <c r="A303" s="37"/>
      <c r="B303" s="4"/>
      <c r="C303" s="4"/>
      <c r="D303" s="4"/>
      <c r="E303" s="4"/>
      <c r="F303" s="4"/>
    </row>
    <row r="304" customFormat="false" ht="15" hidden="false" customHeight="false" outlineLevel="0" collapsed="false">
      <c r="A304" s="37"/>
      <c r="B304" s="4"/>
      <c r="C304" s="4"/>
      <c r="D304" s="4"/>
      <c r="E304" s="4"/>
      <c r="F304" s="4"/>
    </row>
    <row r="305" customFormat="false" ht="15" hidden="false" customHeight="false" outlineLevel="0" collapsed="false">
      <c r="A305" s="37"/>
      <c r="B305" s="4"/>
      <c r="C305" s="4"/>
      <c r="D305" s="4"/>
      <c r="E305" s="4"/>
      <c r="F305" s="4"/>
    </row>
    <row r="306" customFormat="false" ht="15" hidden="false" customHeight="false" outlineLevel="0" collapsed="false">
      <c r="A306" s="37"/>
      <c r="B306" s="4"/>
      <c r="C306" s="4"/>
      <c r="D306" s="4"/>
      <c r="E306" s="4"/>
      <c r="F306" s="4"/>
    </row>
    <row r="307" customFormat="false" ht="15" hidden="false" customHeight="false" outlineLevel="0" collapsed="false">
      <c r="A307" s="37"/>
      <c r="B307" s="4"/>
      <c r="C307" s="4"/>
      <c r="D307" s="4"/>
      <c r="E307" s="4"/>
      <c r="F307" s="4"/>
    </row>
    <row r="308" customFormat="false" ht="15" hidden="false" customHeight="false" outlineLevel="0" collapsed="false">
      <c r="A308" s="37"/>
      <c r="B308" s="4"/>
      <c r="C308" s="4"/>
      <c r="D308" s="4"/>
      <c r="E308" s="4"/>
      <c r="F308" s="4"/>
    </row>
    <row r="309" customFormat="false" ht="15" hidden="false" customHeight="false" outlineLevel="0" collapsed="false">
      <c r="A309" s="37"/>
      <c r="B309" s="4"/>
      <c r="C309" s="4"/>
      <c r="D309" s="4"/>
      <c r="E309" s="4"/>
      <c r="F309" s="4"/>
    </row>
    <row r="310" customFormat="false" ht="15" hidden="false" customHeight="false" outlineLevel="0" collapsed="false">
      <c r="A310" s="37"/>
      <c r="B310" s="4"/>
      <c r="C310" s="4"/>
      <c r="D310" s="4"/>
      <c r="E310" s="4"/>
      <c r="F310" s="4"/>
    </row>
    <row r="311" customFormat="false" ht="15" hidden="false" customHeight="false" outlineLevel="0" collapsed="false">
      <c r="A311" s="37"/>
      <c r="B311" s="4"/>
      <c r="C311" s="4"/>
      <c r="D311" s="4"/>
      <c r="E311" s="4"/>
      <c r="F311" s="4"/>
    </row>
    <row r="312" customFormat="false" ht="15" hidden="false" customHeight="false" outlineLevel="0" collapsed="false">
      <c r="A312" s="37"/>
      <c r="B312" s="4"/>
      <c r="C312" s="4"/>
      <c r="D312" s="4"/>
      <c r="E312" s="4"/>
      <c r="F312" s="4"/>
    </row>
    <row r="313" customFormat="false" ht="15" hidden="false" customHeight="false" outlineLevel="0" collapsed="false">
      <c r="A313" s="37"/>
      <c r="B313" s="4"/>
      <c r="C313" s="4"/>
      <c r="D313" s="4"/>
      <c r="E313" s="4"/>
      <c r="F313" s="4"/>
    </row>
    <row r="314" customFormat="false" ht="15" hidden="false" customHeight="false" outlineLevel="0" collapsed="false">
      <c r="A314" s="37"/>
      <c r="B314" s="4"/>
      <c r="C314" s="4"/>
      <c r="D314" s="4"/>
      <c r="E314" s="4"/>
      <c r="F314" s="4"/>
    </row>
    <row r="315" customFormat="false" ht="15" hidden="false" customHeight="false" outlineLevel="0" collapsed="false">
      <c r="A315" s="37"/>
      <c r="B315" s="4"/>
      <c r="C315" s="4"/>
      <c r="D315" s="4"/>
      <c r="E315" s="4"/>
      <c r="F315" s="4"/>
    </row>
    <row r="316" customFormat="false" ht="15" hidden="false" customHeight="false" outlineLevel="0" collapsed="false">
      <c r="A316" s="37"/>
      <c r="B316" s="4"/>
      <c r="C316" s="4"/>
      <c r="D316" s="4"/>
      <c r="E316" s="4"/>
      <c r="F316" s="4"/>
    </row>
    <row r="317" customFormat="false" ht="15" hidden="false" customHeight="false" outlineLevel="0" collapsed="false">
      <c r="A317" s="37"/>
      <c r="B317" s="4"/>
      <c r="C317" s="4"/>
      <c r="D317" s="4"/>
      <c r="E317" s="4"/>
      <c r="F317" s="4"/>
    </row>
    <row r="318" customFormat="false" ht="15" hidden="false" customHeight="false" outlineLevel="0" collapsed="false">
      <c r="A318" s="37"/>
      <c r="B318" s="4"/>
      <c r="C318" s="4"/>
      <c r="D318" s="4"/>
      <c r="E318" s="4"/>
      <c r="F318" s="4"/>
    </row>
    <row r="319" customFormat="false" ht="15" hidden="false" customHeight="false" outlineLevel="0" collapsed="false">
      <c r="A319" s="37"/>
      <c r="B319" s="4"/>
      <c r="C319" s="4"/>
      <c r="D319" s="4"/>
      <c r="E319" s="4"/>
      <c r="F319" s="4"/>
    </row>
    <row r="320" customFormat="false" ht="15" hidden="false" customHeight="false" outlineLevel="0" collapsed="false">
      <c r="A320" s="37"/>
      <c r="B320" s="4"/>
      <c r="C320" s="4"/>
      <c r="D320" s="4"/>
      <c r="E320" s="4"/>
      <c r="F320" s="4"/>
    </row>
    <row r="321" customFormat="false" ht="15" hidden="false" customHeight="false" outlineLevel="0" collapsed="false">
      <c r="A321" s="37"/>
      <c r="B321" s="4"/>
      <c r="C321" s="4"/>
      <c r="D321" s="4"/>
      <c r="E321" s="4"/>
      <c r="F321" s="4"/>
    </row>
    <row r="322" customFormat="false" ht="15" hidden="false" customHeight="false" outlineLevel="0" collapsed="false">
      <c r="A322" s="37"/>
      <c r="B322" s="4"/>
      <c r="C322" s="4"/>
      <c r="D322" s="4"/>
      <c r="E322" s="4"/>
      <c r="F322" s="4"/>
    </row>
    <row r="323" customFormat="false" ht="15" hidden="false" customHeight="false" outlineLevel="0" collapsed="false">
      <c r="A323" s="37"/>
      <c r="B323" s="4"/>
      <c r="C323" s="4"/>
      <c r="D323" s="4"/>
      <c r="E323" s="4"/>
      <c r="F323" s="4"/>
    </row>
    <row r="324" customFormat="false" ht="15" hidden="false" customHeight="false" outlineLevel="0" collapsed="false">
      <c r="A324" s="37"/>
      <c r="B324" s="4"/>
      <c r="C324" s="4"/>
      <c r="D324" s="4"/>
      <c r="E324" s="4"/>
      <c r="F324" s="4"/>
    </row>
    <row r="325" customFormat="false" ht="15" hidden="false" customHeight="false" outlineLevel="0" collapsed="false">
      <c r="A325" s="37"/>
      <c r="B325" s="4"/>
      <c r="C325" s="4"/>
      <c r="D325" s="4"/>
      <c r="E325" s="4"/>
      <c r="F325" s="4"/>
    </row>
    <row r="326" customFormat="false" ht="15" hidden="false" customHeight="false" outlineLevel="0" collapsed="false">
      <c r="A326" s="37"/>
      <c r="B326" s="4"/>
      <c r="C326" s="4"/>
      <c r="D326" s="4"/>
      <c r="E326" s="4"/>
      <c r="F326" s="4"/>
    </row>
    <row r="327" customFormat="false" ht="15" hidden="false" customHeight="false" outlineLevel="0" collapsed="false">
      <c r="A327" s="37"/>
      <c r="B327" s="4"/>
      <c r="C327" s="4"/>
      <c r="D327" s="4"/>
      <c r="E327" s="4"/>
      <c r="F327" s="4"/>
    </row>
    <row r="328" customFormat="false" ht="15" hidden="false" customHeight="false" outlineLevel="0" collapsed="false">
      <c r="A328" s="37"/>
      <c r="B328" s="4"/>
      <c r="C328" s="4"/>
      <c r="D328" s="4"/>
      <c r="E328" s="4"/>
      <c r="F328" s="4"/>
    </row>
    <row r="329" customFormat="false" ht="15" hidden="false" customHeight="false" outlineLevel="0" collapsed="false">
      <c r="A329" s="37"/>
      <c r="B329" s="4"/>
      <c r="C329" s="4"/>
      <c r="D329" s="4"/>
      <c r="E329" s="4"/>
      <c r="F329" s="4"/>
    </row>
    <row r="330" customFormat="false" ht="15" hidden="false" customHeight="false" outlineLevel="0" collapsed="false">
      <c r="A330" s="37"/>
      <c r="B330" s="4"/>
      <c r="C330" s="4"/>
      <c r="D330" s="4"/>
      <c r="E330" s="4"/>
      <c r="F330" s="4"/>
    </row>
    <row r="331" customFormat="false" ht="15" hidden="false" customHeight="false" outlineLevel="0" collapsed="false">
      <c r="A331" s="37"/>
      <c r="B331" s="4"/>
      <c r="C331" s="4"/>
      <c r="D331" s="4"/>
      <c r="E331" s="4"/>
      <c r="F331" s="4"/>
    </row>
    <row r="332" customFormat="false" ht="15" hidden="false" customHeight="false" outlineLevel="0" collapsed="false">
      <c r="A332" s="37"/>
      <c r="B332" s="4"/>
      <c r="C332" s="4"/>
      <c r="D332" s="4"/>
      <c r="E332" s="4"/>
      <c r="F332" s="4"/>
    </row>
    <row r="333" customFormat="false" ht="15" hidden="false" customHeight="false" outlineLevel="0" collapsed="false">
      <c r="A333" s="37"/>
      <c r="B333" s="4"/>
      <c r="C333" s="4"/>
      <c r="D333" s="4"/>
      <c r="E333" s="4"/>
      <c r="F333" s="4"/>
    </row>
    <row r="334" customFormat="false" ht="15" hidden="false" customHeight="false" outlineLevel="0" collapsed="false">
      <c r="A334" s="37"/>
      <c r="B334" s="4"/>
      <c r="C334" s="4"/>
      <c r="D334" s="4"/>
      <c r="E334" s="4"/>
      <c r="F334" s="4"/>
    </row>
    <row r="335" customFormat="false" ht="15" hidden="false" customHeight="false" outlineLevel="0" collapsed="false">
      <c r="A335" s="37"/>
      <c r="B335" s="4"/>
      <c r="C335" s="4"/>
      <c r="D335" s="4"/>
      <c r="E335" s="4"/>
      <c r="F335" s="4"/>
    </row>
    <row r="336" customFormat="false" ht="15" hidden="false" customHeight="false" outlineLevel="0" collapsed="false">
      <c r="A336" s="37"/>
      <c r="B336" s="4"/>
      <c r="C336" s="4"/>
      <c r="D336" s="4"/>
      <c r="E336" s="4"/>
      <c r="F336" s="4"/>
    </row>
    <row r="337" customFormat="false" ht="15" hidden="false" customHeight="false" outlineLevel="0" collapsed="false">
      <c r="A337" s="37"/>
      <c r="B337" s="4"/>
      <c r="C337" s="4"/>
      <c r="D337" s="4"/>
      <c r="E337" s="4"/>
      <c r="F337" s="4"/>
    </row>
    <row r="338" customFormat="false" ht="15" hidden="false" customHeight="false" outlineLevel="0" collapsed="false">
      <c r="A338" s="37"/>
      <c r="B338" s="4"/>
      <c r="C338" s="4"/>
      <c r="D338" s="4"/>
      <c r="E338" s="4"/>
      <c r="F338" s="4"/>
    </row>
    <row r="339" customFormat="false" ht="15" hidden="false" customHeight="false" outlineLevel="0" collapsed="false">
      <c r="A339" s="37"/>
      <c r="B339" s="4"/>
      <c r="C339" s="4"/>
      <c r="D339" s="4"/>
      <c r="E339" s="4"/>
      <c r="F339" s="4"/>
    </row>
    <row r="340" customFormat="false" ht="15" hidden="false" customHeight="false" outlineLevel="0" collapsed="false">
      <c r="A340" s="37"/>
      <c r="B340" s="4"/>
      <c r="C340" s="4"/>
      <c r="D340" s="4"/>
      <c r="E340" s="4"/>
      <c r="F340" s="4"/>
    </row>
    <row r="341" customFormat="false" ht="15" hidden="false" customHeight="false" outlineLevel="0" collapsed="false">
      <c r="A341" s="37"/>
      <c r="B341" s="4"/>
      <c r="C341" s="4"/>
      <c r="D341" s="4"/>
      <c r="E341" s="4"/>
      <c r="F341" s="4"/>
    </row>
    <row r="342" customFormat="false" ht="15" hidden="false" customHeight="false" outlineLevel="0" collapsed="false">
      <c r="A342" s="37"/>
      <c r="B342" s="4"/>
      <c r="C342" s="4"/>
      <c r="D342" s="4"/>
      <c r="E342" s="4"/>
      <c r="F342" s="4"/>
    </row>
    <row r="343" customFormat="false" ht="15" hidden="false" customHeight="false" outlineLevel="0" collapsed="false">
      <c r="A343" s="37"/>
      <c r="B343" s="4"/>
      <c r="C343" s="4"/>
      <c r="D343" s="4"/>
      <c r="E343" s="4"/>
      <c r="F343" s="4"/>
    </row>
    <row r="344" customFormat="false" ht="15" hidden="false" customHeight="false" outlineLevel="0" collapsed="false">
      <c r="A344" s="37"/>
      <c r="B344" s="4"/>
      <c r="C344" s="4"/>
      <c r="D344" s="4"/>
      <c r="E344" s="4"/>
      <c r="F344" s="4"/>
    </row>
    <row r="345" customFormat="false" ht="15" hidden="false" customHeight="false" outlineLevel="0" collapsed="false">
      <c r="A345" s="37"/>
      <c r="B345" s="4"/>
      <c r="C345" s="4"/>
      <c r="D345" s="4"/>
      <c r="E345" s="4"/>
      <c r="F345" s="4"/>
    </row>
    <row r="346" customFormat="false" ht="15" hidden="false" customHeight="false" outlineLevel="0" collapsed="false">
      <c r="A346" s="37"/>
      <c r="B346" s="4"/>
      <c r="C346" s="4"/>
      <c r="D346" s="4"/>
      <c r="E346" s="4"/>
      <c r="F346" s="4"/>
    </row>
    <row r="347" customFormat="false" ht="15" hidden="false" customHeight="false" outlineLevel="0" collapsed="false">
      <c r="A347" s="37"/>
      <c r="B347" s="4"/>
      <c r="C347" s="4"/>
      <c r="D347" s="4"/>
      <c r="E347" s="4"/>
      <c r="F347" s="4"/>
    </row>
    <row r="348" customFormat="false" ht="15" hidden="false" customHeight="false" outlineLevel="0" collapsed="false">
      <c r="A348" s="37"/>
      <c r="B348" s="4"/>
      <c r="C348" s="4"/>
      <c r="D348" s="4"/>
      <c r="E348" s="4"/>
      <c r="F348" s="4"/>
    </row>
    <row r="349" customFormat="false" ht="15" hidden="false" customHeight="false" outlineLevel="0" collapsed="false">
      <c r="A349" s="37"/>
      <c r="B349" s="4"/>
      <c r="C349" s="4"/>
      <c r="D349" s="4"/>
      <c r="E349" s="4"/>
      <c r="F349" s="4"/>
    </row>
    <row r="350" customFormat="false" ht="15" hidden="false" customHeight="false" outlineLevel="0" collapsed="false">
      <c r="A350" s="37"/>
      <c r="B350" s="4"/>
      <c r="C350" s="4"/>
      <c r="D350" s="4"/>
      <c r="E350" s="4"/>
      <c r="F350" s="4"/>
    </row>
    <row r="351" customFormat="false" ht="15" hidden="false" customHeight="false" outlineLevel="0" collapsed="false">
      <c r="A351" s="37"/>
      <c r="B351" s="4"/>
      <c r="C351" s="4"/>
      <c r="D351" s="4"/>
      <c r="E351" s="4"/>
      <c r="F351" s="4"/>
    </row>
    <row r="352" customFormat="false" ht="15" hidden="false" customHeight="false" outlineLevel="0" collapsed="false">
      <c r="A352" s="37"/>
      <c r="B352" s="4"/>
      <c r="C352" s="4"/>
      <c r="D352" s="4"/>
      <c r="E352" s="4"/>
      <c r="F352" s="4"/>
    </row>
    <row r="353" customFormat="false" ht="15" hidden="false" customHeight="false" outlineLevel="0" collapsed="false">
      <c r="A353" s="37"/>
      <c r="B353" s="4"/>
      <c r="C353" s="4"/>
      <c r="D353" s="4"/>
      <c r="E353" s="4"/>
      <c r="F353" s="4"/>
    </row>
    <row r="354" customFormat="false" ht="15" hidden="false" customHeight="false" outlineLevel="0" collapsed="false">
      <c r="A354" s="37"/>
      <c r="B354" s="4"/>
      <c r="C354" s="4"/>
      <c r="D354" s="4"/>
      <c r="E354" s="4"/>
      <c r="F354" s="4"/>
    </row>
    <row r="355" customFormat="false" ht="15" hidden="false" customHeight="false" outlineLevel="0" collapsed="false">
      <c r="A355" s="37"/>
      <c r="B355" s="4"/>
      <c r="C355" s="4"/>
      <c r="D355" s="4"/>
      <c r="E355" s="4"/>
      <c r="F355" s="4"/>
    </row>
    <row r="356" customFormat="false" ht="15" hidden="false" customHeight="false" outlineLevel="0" collapsed="false">
      <c r="A356" s="37"/>
      <c r="B356" s="4"/>
      <c r="C356" s="4"/>
      <c r="D356" s="4"/>
      <c r="E356" s="4"/>
      <c r="F356" s="4"/>
    </row>
    <row r="357" customFormat="false" ht="15" hidden="false" customHeight="false" outlineLevel="0" collapsed="false">
      <c r="A357" s="37"/>
      <c r="B357" s="4"/>
      <c r="C357" s="4"/>
      <c r="D357" s="4"/>
      <c r="E357" s="4"/>
      <c r="F357" s="4"/>
    </row>
    <row r="358" customFormat="false" ht="15" hidden="false" customHeight="false" outlineLevel="0" collapsed="false">
      <c r="A358" s="37"/>
      <c r="B358" s="4"/>
      <c r="C358" s="4"/>
      <c r="D358" s="4"/>
      <c r="E358" s="4"/>
      <c r="F358" s="4"/>
    </row>
    <row r="359" customFormat="false" ht="15" hidden="false" customHeight="false" outlineLevel="0" collapsed="false">
      <c r="A359" s="37"/>
      <c r="B359" s="4"/>
      <c r="C359" s="4"/>
      <c r="D359" s="4"/>
      <c r="E359" s="4"/>
      <c r="F359" s="4"/>
    </row>
    <row r="360" customFormat="false" ht="15" hidden="false" customHeight="false" outlineLevel="0" collapsed="false">
      <c r="A360" s="37"/>
      <c r="B360" s="4"/>
      <c r="C360" s="4"/>
      <c r="D360" s="4"/>
      <c r="E360" s="4"/>
      <c r="F360" s="4"/>
    </row>
    <row r="361" customFormat="false" ht="15" hidden="false" customHeight="false" outlineLevel="0" collapsed="false">
      <c r="A361" s="37"/>
      <c r="B361" s="4"/>
      <c r="C361" s="4"/>
      <c r="D361" s="4"/>
      <c r="E361" s="4"/>
      <c r="F361" s="4"/>
    </row>
    <row r="362" customFormat="false" ht="15" hidden="false" customHeight="false" outlineLevel="0" collapsed="false">
      <c r="A362" s="37"/>
      <c r="B362" s="4"/>
      <c r="C362" s="4"/>
      <c r="D362" s="4"/>
      <c r="E362" s="4"/>
      <c r="F362" s="4"/>
    </row>
    <row r="363" customFormat="false" ht="15" hidden="false" customHeight="false" outlineLevel="0" collapsed="false">
      <c r="A363" s="37"/>
      <c r="B363" s="4"/>
      <c r="C363" s="4"/>
      <c r="D363" s="4"/>
      <c r="E363" s="4"/>
      <c r="F363" s="4"/>
    </row>
    <row r="364" customFormat="false" ht="15" hidden="false" customHeight="false" outlineLevel="0" collapsed="false">
      <c r="A364" s="37"/>
      <c r="B364" s="4"/>
      <c r="C364" s="4"/>
      <c r="D364" s="4"/>
      <c r="E364" s="4"/>
      <c r="F364" s="4"/>
    </row>
    <row r="365" customFormat="false" ht="15" hidden="false" customHeight="false" outlineLevel="0" collapsed="false">
      <c r="A365" s="37"/>
      <c r="B365" s="4"/>
      <c r="C365" s="4"/>
      <c r="D365" s="4"/>
      <c r="E365" s="4"/>
      <c r="F365" s="4"/>
    </row>
    <row r="366" customFormat="false" ht="15" hidden="false" customHeight="false" outlineLevel="0" collapsed="false">
      <c r="A366" s="37"/>
      <c r="B366" s="4"/>
      <c r="C366" s="4"/>
      <c r="D366" s="4"/>
      <c r="E366" s="4"/>
      <c r="F366" s="4"/>
    </row>
    <row r="367" customFormat="false" ht="15" hidden="false" customHeight="false" outlineLevel="0" collapsed="false">
      <c r="A367" s="37"/>
      <c r="B367" s="4"/>
      <c r="C367" s="4"/>
      <c r="D367" s="4"/>
      <c r="E367" s="4"/>
      <c r="F367" s="4"/>
    </row>
    <row r="368" customFormat="false" ht="15" hidden="false" customHeight="false" outlineLevel="0" collapsed="false">
      <c r="A368" s="37"/>
      <c r="B368" s="4"/>
      <c r="C368" s="4"/>
      <c r="D368" s="4"/>
      <c r="E368" s="4"/>
      <c r="F368" s="4"/>
    </row>
    <row r="369" customFormat="false" ht="15" hidden="false" customHeight="false" outlineLevel="0" collapsed="false">
      <c r="A369" s="37"/>
      <c r="B369" s="4"/>
      <c r="C369" s="4"/>
      <c r="D369" s="4"/>
      <c r="E369" s="4"/>
      <c r="F369" s="4"/>
    </row>
    <row r="370" customFormat="false" ht="15" hidden="false" customHeight="false" outlineLevel="0" collapsed="false">
      <c r="A370" s="37"/>
      <c r="B370" s="4"/>
      <c r="C370" s="4"/>
      <c r="D370" s="4"/>
      <c r="E370" s="4"/>
      <c r="F370" s="4"/>
    </row>
    <row r="371" customFormat="false" ht="15" hidden="false" customHeight="false" outlineLevel="0" collapsed="false">
      <c r="A371" s="37"/>
      <c r="B371" s="4"/>
      <c r="C371" s="4"/>
      <c r="D371" s="4"/>
      <c r="E371" s="4"/>
      <c r="F371" s="4"/>
    </row>
    <row r="372" customFormat="false" ht="15" hidden="false" customHeight="false" outlineLevel="0" collapsed="false">
      <c r="A372" s="37"/>
      <c r="B372" s="4"/>
      <c r="C372" s="4"/>
      <c r="D372" s="4"/>
      <c r="E372" s="4"/>
      <c r="F372" s="4"/>
    </row>
    <row r="373" customFormat="false" ht="15" hidden="false" customHeight="false" outlineLevel="0" collapsed="false">
      <c r="A373" s="37"/>
      <c r="B373" s="4"/>
      <c r="C373" s="4"/>
      <c r="D373" s="4"/>
      <c r="E373" s="4"/>
      <c r="F373" s="4"/>
    </row>
    <row r="374" customFormat="false" ht="15" hidden="false" customHeight="false" outlineLevel="0" collapsed="false">
      <c r="A374" s="37"/>
      <c r="B374" s="4"/>
      <c r="C374" s="4"/>
      <c r="D374" s="4"/>
      <c r="E374" s="4"/>
      <c r="F374" s="4"/>
    </row>
    <row r="375" customFormat="false" ht="15" hidden="false" customHeight="false" outlineLevel="0" collapsed="false">
      <c r="A375" s="37"/>
      <c r="B375" s="4"/>
      <c r="C375" s="4"/>
      <c r="D375" s="4"/>
      <c r="E375" s="4"/>
      <c r="F375" s="4"/>
    </row>
    <row r="376" customFormat="false" ht="15" hidden="false" customHeight="false" outlineLevel="0" collapsed="false">
      <c r="A376" s="37"/>
      <c r="B376" s="4"/>
      <c r="C376" s="4"/>
      <c r="D376" s="4"/>
      <c r="E376" s="4"/>
      <c r="F376" s="4"/>
    </row>
    <row r="377" customFormat="false" ht="15" hidden="false" customHeight="false" outlineLevel="0" collapsed="false">
      <c r="A377" s="37"/>
      <c r="B377" s="4"/>
      <c r="C377" s="4"/>
      <c r="D377" s="4"/>
      <c r="E377" s="4"/>
      <c r="F377" s="4"/>
    </row>
    <row r="378" customFormat="false" ht="15" hidden="false" customHeight="false" outlineLevel="0" collapsed="false">
      <c r="A378" s="37"/>
      <c r="B378" s="4"/>
      <c r="C378" s="4"/>
      <c r="D378" s="4"/>
      <c r="E378" s="4"/>
      <c r="F378" s="4"/>
    </row>
    <row r="379" customFormat="false" ht="15" hidden="false" customHeight="false" outlineLevel="0" collapsed="false">
      <c r="A379" s="37"/>
      <c r="B379" s="4"/>
      <c r="C379" s="4"/>
      <c r="D379" s="4"/>
      <c r="E379" s="4"/>
      <c r="F379" s="4"/>
    </row>
    <row r="380" customFormat="false" ht="15" hidden="false" customHeight="false" outlineLevel="0" collapsed="false">
      <c r="A380" s="37"/>
      <c r="B380" s="4"/>
      <c r="C380" s="4"/>
      <c r="D380" s="4"/>
      <c r="E380" s="4"/>
      <c r="F380" s="4"/>
    </row>
    <row r="381" customFormat="false" ht="15" hidden="false" customHeight="false" outlineLevel="0" collapsed="false">
      <c r="A381" s="37"/>
      <c r="B381" s="4"/>
      <c r="C381" s="4"/>
      <c r="D381" s="4"/>
      <c r="E381" s="4"/>
      <c r="F381" s="4"/>
    </row>
    <row r="382" customFormat="false" ht="15" hidden="false" customHeight="false" outlineLevel="0" collapsed="false">
      <c r="A382" s="37"/>
      <c r="B382" s="4"/>
      <c r="C382" s="4"/>
      <c r="D382" s="4"/>
      <c r="E382" s="4"/>
      <c r="F382" s="4"/>
    </row>
    <row r="383" customFormat="false" ht="15" hidden="false" customHeight="false" outlineLevel="0" collapsed="false">
      <c r="A383" s="37"/>
      <c r="B383" s="4"/>
      <c r="C383" s="4"/>
      <c r="D383" s="4"/>
      <c r="E383" s="4"/>
      <c r="F383" s="4"/>
    </row>
    <row r="384" customFormat="false" ht="15" hidden="false" customHeight="false" outlineLevel="0" collapsed="false">
      <c r="A384" s="37"/>
      <c r="B384" s="4"/>
      <c r="C384" s="4"/>
      <c r="D384" s="4"/>
      <c r="E384" s="4"/>
      <c r="F384" s="4"/>
    </row>
    <row r="385" customFormat="false" ht="15" hidden="false" customHeight="false" outlineLevel="0" collapsed="false">
      <c r="A385" s="37"/>
      <c r="B385" s="4"/>
      <c r="C385" s="4"/>
      <c r="D385" s="4"/>
      <c r="E385" s="4"/>
      <c r="F385" s="4"/>
    </row>
    <row r="386" customFormat="false" ht="15" hidden="false" customHeight="false" outlineLevel="0" collapsed="false">
      <c r="A386" s="37"/>
      <c r="B386" s="4"/>
      <c r="C386" s="4"/>
      <c r="D386" s="4"/>
      <c r="E386" s="4"/>
      <c r="F386" s="4"/>
    </row>
    <row r="387" customFormat="false" ht="15" hidden="false" customHeight="false" outlineLevel="0" collapsed="false">
      <c r="A387" s="37"/>
      <c r="B387" s="4"/>
      <c r="C387" s="4"/>
      <c r="D387" s="4"/>
      <c r="E387" s="4"/>
      <c r="F387" s="4"/>
    </row>
    <row r="388" customFormat="false" ht="15" hidden="false" customHeight="false" outlineLevel="0" collapsed="false">
      <c r="A388" s="37"/>
      <c r="B388" s="4"/>
      <c r="C388" s="4"/>
      <c r="D388" s="4"/>
      <c r="E388" s="4"/>
      <c r="F388" s="4"/>
    </row>
    <row r="389" customFormat="false" ht="15" hidden="false" customHeight="false" outlineLevel="0" collapsed="false">
      <c r="A389" s="37"/>
      <c r="B389" s="4"/>
      <c r="C389" s="4"/>
      <c r="D389" s="4"/>
      <c r="E389" s="4"/>
      <c r="F389" s="4"/>
    </row>
    <row r="390" customFormat="false" ht="15" hidden="false" customHeight="false" outlineLevel="0" collapsed="false">
      <c r="A390" s="37"/>
      <c r="B390" s="4"/>
      <c r="C390" s="4"/>
      <c r="D390" s="4"/>
      <c r="E390" s="4"/>
      <c r="F390" s="4"/>
    </row>
    <row r="391" customFormat="false" ht="15" hidden="false" customHeight="false" outlineLevel="0" collapsed="false">
      <c r="A391" s="37"/>
      <c r="B391" s="4"/>
      <c r="C391" s="4"/>
      <c r="D391" s="4"/>
      <c r="E391" s="4"/>
      <c r="F391" s="4"/>
    </row>
    <row r="392" customFormat="false" ht="15" hidden="false" customHeight="false" outlineLevel="0" collapsed="false">
      <c r="A392" s="37"/>
      <c r="B392" s="4"/>
      <c r="C392" s="4"/>
      <c r="D392" s="4"/>
      <c r="E392" s="4"/>
      <c r="F392" s="4"/>
    </row>
    <row r="393" customFormat="false" ht="15" hidden="false" customHeight="false" outlineLevel="0" collapsed="false">
      <c r="A393" s="37"/>
      <c r="B393" s="4"/>
      <c r="C393" s="4"/>
      <c r="D393" s="4"/>
      <c r="E393" s="4"/>
      <c r="F393" s="4"/>
    </row>
    <row r="394" customFormat="false" ht="15" hidden="false" customHeight="false" outlineLevel="0" collapsed="false">
      <c r="A394" s="37"/>
      <c r="B394" s="4"/>
      <c r="C394" s="4"/>
      <c r="D394" s="4"/>
      <c r="E394" s="4"/>
      <c r="F394" s="4"/>
    </row>
    <row r="395" customFormat="false" ht="15" hidden="false" customHeight="false" outlineLevel="0" collapsed="false">
      <c r="A395" s="37"/>
      <c r="B395" s="4"/>
      <c r="C395" s="4"/>
      <c r="D395" s="4"/>
      <c r="E395" s="4"/>
      <c r="F395" s="4"/>
    </row>
    <row r="396" customFormat="false" ht="15" hidden="false" customHeight="false" outlineLevel="0" collapsed="false">
      <c r="A396" s="37"/>
      <c r="B396" s="4"/>
      <c r="C396" s="4"/>
      <c r="D396" s="4"/>
      <c r="E396" s="4"/>
      <c r="F396" s="4"/>
    </row>
    <row r="397" customFormat="false" ht="15" hidden="false" customHeight="false" outlineLevel="0" collapsed="false">
      <c r="A397" s="37"/>
      <c r="B397" s="4"/>
      <c r="C397" s="4"/>
      <c r="D397" s="4"/>
      <c r="E397" s="4"/>
      <c r="F397" s="4"/>
    </row>
    <row r="398" customFormat="false" ht="15" hidden="false" customHeight="false" outlineLevel="0" collapsed="false">
      <c r="A398" s="37"/>
      <c r="B398" s="4"/>
      <c r="C398" s="4"/>
      <c r="D398" s="4"/>
      <c r="E398" s="4"/>
      <c r="F398" s="4"/>
    </row>
    <row r="399" customFormat="false" ht="15" hidden="false" customHeight="false" outlineLevel="0" collapsed="false">
      <c r="A399" s="37"/>
      <c r="B399" s="4"/>
      <c r="C399" s="4"/>
      <c r="D399" s="4"/>
      <c r="E399" s="4"/>
      <c r="F399" s="4"/>
    </row>
    <row r="400" customFormat="false" ht="15" hidden="false" customHeight="false" outlineLevel="0" collapsed="false">
      <c r="A400" s="37"/>
      <c r="B400" s="4"/>
      <c r="C400" s="4"/>
      <c r="D400" s="4"/>
      <c r="E400" s="4"/>
      <c r="F400" s="4"/>
    </row>
    <row r="401" customFormat="false" ht="15" hidden="false" customHeight="false" outlineLevel="0" collapsed="false">
      <c r="A401" s="37"/>
      <c r="B401" s="4"/>
      <c r="C401" s="4"/>
      <c r="D401" s="4"/>
      <c r="E401" s="4"/>
      <c r="F401" s="4"/>
    </row>
    <row r="402" customFormat="false" ht="15" hidden="false" customHeight="false" outlineLevel="0" collapsed="false">
      <c r="A402" s="37"/>
      <c r="B402" s="4"/>
      <c r="C402" s="4"/>
      <c r="D402" s="4"/>
      <c r="E402" s="4"/>
      <c r="F402" s="4"/>
    </row>
    <row r="403" customFormat="false" ht="15" hidden="false" customHeight="false" outlineLevel="0" collapsed="false">
      <c r="A403" s="37"/>
      <c r="B403" s="4"/>
      <c r="C403" s="4"/>
      <c r="D403" s="4"/>
      <c r="E403" s="4"/>
      <c r="F403" s="4"/>
    </row>
    <row r="404" customFormat="false" ht="15" hidden="false" customHeight="false" outlineLevel="0" collapsed="false">
      <c r="A404" s="37"/>
      <c r="B404" s="4"/>
      <c r="C404" s="4"/>
      <c r="D404" s="4"/>
      <c r="E404" s="4"/>
      <c r="F404" s="4"/>
    </row>
    <row r="405" customFormat="false" ht="15" hidden="false" customHeight="false" outlineLevel="0" collapsed="false">
      <c r="A405" s="37"/>
      <c r="B405" s="4"/>
      <c r="C405" s="4"/>
      <c r="D405" s="4"/>
      <c r="E405" s="4"/>
      <c r="F405" s="4"/>
    </row>
    <row r="406" customFormat="false" ht="15" hidden="false" customHeight="false" outlineLevel="0" collapsed="false">
      <c r="A406" s="37"/>
      <c r="B406" s="4"/>
      <c r="C406" s="4"/>
      <c r="D406" s="4"/>
      <c r="E406" s="4"/>
      <c r="F406" s="4"/>
    </row>
    <row r="407" customFormat="false" ht="15" hidden="false" customHeight="false" outlineLevel="0" collapsed="false">
      <c r="A407" s="37"/>
      <c r="B407" s="4"/>
      <c r="C407" s="4"/>
      <c r="D407" s="4"/>
      <c r="E407" s="4"/>
      <c r="F407" s="4"/>
    </row>
    <row r="408" customFormat="false" ht="15" hidden="false" customHeight="false" outlineLevel="0" collapsed="false">
      <c r="A408" s="37"/>
      <c r="B408" s="4"/>
      <c r="C408" s="4"/>
      <c r="D408" s="4"/>
      <c r="E408" s="4"/>
      <c r="F408" s="4"/>
    </row>
    <row r="409" customFormat="false" ht="15" hidden="false" customHeight="false" outlineLevel="0" collapsed="false">
      <c r="A409" s="37"/>
      <c r="B409" s="4"/>
      <c r="C409" s="4"/>
      <c r="D409" s="4"/>
      <c r="E409" s="4"/>
      <c r="F409" s="4"/>
    </row>
    <row r="410" customFormat="false" ht="15" hidden="false" customHeight="false" outlineLevel="0" collapsed="false">
      <c r="A410" s="37"/>
      <c r="B410" s="4"/>
      <c r="C410" s="4"/>
      <c r="D410" s="4"/>
      <c r="E410" s="4"/>
      <c r="F410" s="4"/>
    </row>
    <row r="411" customFormat="false" ht="15" hidden="false" customHeight="false" outlineLevel="0" collapsed="false">
      <c r="A411" s="37"/>
      <c r="B411" s="4"/>
      <c r="C411" s="4"/>
      <c r="D411" s="4"/>
      <c r="E411" s="4"/>
      <c r="F411" s="4"/>
    </row>
    <row r="412" customFormat="false" ht="15" hidden="false" customHeight="false" outlineLevel="0" collapsed="false">
      <c r="A412" s="37"/>
      <c r="B412" s="4"/>
      <c r="C412" s="4"/>
      <c r="D412" s="4"/>
      <c r="E412" s="4"/>
      <c r="F412" s="4"/>
    </row>
    <row r="413" customFormat="false" ht="15" hidden="false" customHeight="false" outlineLevel="0" collapsed="false">
      <c r="A413" s="37"/>
      <c r="B413" s="4"/>
      <c r="C413" s="4"/>
      <c r="D413" s="4"/>
      <c r="E413" s="4"/>
      <c r="F413" s="4"/>
    </row>
    <row r="414" customFormat="false" ht="15" hidden="false" customHeight="false" outlineLevel="0" collapsed="false">
      <c r="A414" s="37"/>
      <c r="B414" s="4"/>
      <c r="C414" s="4"/>
      <c r="D414" s="4"/>
      <c r="E414" s="4"/>
      <c r="F414" s="4"/>
    </row>
    <row r="415" customFormat="false" ht="15" hidden="false" customHeight="false" outlineLevel="0" collapsed="false">
      <c r="A415" s="37"/>
      <c r="B415" s="4"/>
      <c r="C415" s="4"/>
      <c r="D415" s="4"/>
      <c r="E415" s="4"/>
      <c r="F415" s="4"/>
    </row>
    <row r="416" customFormat="false" ht="15" hidden="false" customHeight="false" outlineLevel="0" collapsed="false">
      <c r="A416" s="37"/>
      <c r="B416" s="4"/>
      <c r="C416" s="4"/>
      <c r="D416" s="4"/>
      <c r="E416" s="4"/>
      <c r="F416" s="4"/>
    </row>
    <row r="417" customFormat="false" ht="15" hidden="false" customHeight="false" outlineLevel="0" collapsed="false">
      <c r="A417" s="37"/>
      <c r="B417" s="4"/>
      <c r="C417" s="4"/>
      <c r="D417" s="4"/>
      <c r="E417" s="4"/>
      <c r="F417" s="4"/>
    </row>
    <row r="418" customFormat="false" ht="15" hidden="false" customHeight="false" outlineLevel="0" collapsed="false">
      <c r="A418" s="37"/>
      <c r="B418" s="4"/>
      <c r="C418" s="4"/>
      <c r="D418" s="4"/>
      <c r="E418" s="4"/>
      <c r="F418" s="4"/>
    </row>
    <row r="419" customFormat="false" ht="15" hidden="false" customHeight="false" outlineLevel="0" collapsed="false">
      <c r="A419" s="37"/>
      <c r="B419" s="4"/>
      <c r="C419" s="4"/>
      <c r="D419" s="4"/>
      <c r="E419" s="4"/>
      <c r="F419" s="4"/>
    </row>
    <row r="420" customFormat="false" ht="15" hidden="false" customHeight="false" outlineLevel="0" collapsed="false">
      <c r="A420" s="37"/>
      <c r="B420" s="4"/>
      <c r="C420" s="4"/>
      <c r="D420" s="4"/>
      <c r="E420" s="4"/>
      <c r="F420" s="4"/>
    </row>
    <row r="421" customFormat="false" ht="15" hidden="false" customHeight="false" outlineLevel="0" collapsed="false">
      <c r="A421" s="37"/>
      <c r="B421" s="4"/>
      <c r="C421" s="4"/>
      <c r="D421" s="4"/>
      <c r="E421" s="4"/>
      <c r="F421" s="4"/>
    </row>
    <row r="422" customFormat="false" ht="15" hidden="false" customHeight="false" outlineLevel="0" collapsed="false">
      <c r="A422" s="37"/>
      <c r="B422" s="4"/>
      <c r="C422" s="4"/>
      <c r="D422" s="4"/>
      <c r="E422" s="4"/>
      <c r="F422" s="4"/>
    </row>
    <row r="423" customFormat="false" ht="15" hidden="false" customHeight="false" outlineLevel="0" collapsed="false">
      <c r="A423" s="37"/>
      <c r="B423" s="4"/>
      <c r="C423" s="4"/>
      <c r="D423" s="4"/>
      <c r="E423" s="4"/>
      <c r="F423" s="4"/>
    </row>
    <row r="424" customFormat="false" ht="15" hidden="false" customHeight="false" outlineLevel="0" collapsed="false">
      <c r="A424" s="37"/>
      <c r="B424" s="4"/>
      <c r="C424" s="4"/>
      <c r="D424" s="4"/>
      <c r="E424" s="4"/>
      <c r="F424" s="4"/>
    </row>
    <row r="425" customFormat="false" ht="15" hidden="false" customHeight="false" outlineLevel="0" collapsed="false">
      <c r="A425" s="37"/>
      <c r="B425" s="4"/>
      <c r="C425" s="4"/>
      <c r="D425" s="4"/>
      <c r="E425" s="4"/>
      <c r="F425" s="4"/>
    </row>
    <row r="426" customFormat="false" ht="15" hidden="false" customHeight="false" outlineLevel="0" collapsed="false">
      <c r="A426" s="37"/>
      <c r="B426" s="4"/>
      <c r="C426" s="4"/>
      <c r="D426" s="4"/>
      <c r="E426" s="4"/>
      <c r="F426" s="4"/>
    </row>
    <row r="427" customFormat="false" ht="15" hidden="false" customHeight="false" outlineLevel="0" collapsed="false">
      <c r="A427" s="37"/>
      <c r="B427" s="4"/>
      <c r="C427" s="4"/>
      <c r="D427" s="4"/>
      <c r="E427" s="4"/>
      <c r="F427" s="4"/>
    </row>
    <row r="428" customFormat="false" ht="15" hidden="false" customHeight="false" outlineLevel="0" collapsed="false">
      <c r="A428" s="37"/>
      <c r="B428" s="4"/>
      <c r="C428" s="4"/>
      <c r="D428" s="4"/>
      <c r="E428" s="4"/>
      <c r="F428" s="4"/>
    </row>
    <row r="429" customFormat="false" ht="15" hidden="false" customHeight="false" outlineLevel="0" collapsed="false">
      <c r="A429" s="37"/>
      <c r="B429" s="4"/>
      <c r="C429" s="4"/>
      <c r="D429" s="4"/>
      <c r="E429" s="4"/>
      <c r="F429" s="4"/>
    </row>
    <row r="430" customFormat="false" ht="15" hidden="false" customHeight="false" outlineLevel="0" collapsed="false">
      <c r="A430" s="37"/>
      <c r="B430" s="4"/>
      <c r="C430" s="4"/>
      <c r="D430" s="4"/>
      <c r="E430" s="4"/>
      <c r="F430" s="4"/>
    </row>
    <row r="431" customFormat="false" ht="15" hidden="false" customHeight="false" outlineLevel="0" collapsed="false">
      <c r="A431" s="37"/>
      <c r="B431" s="4"/>
      <c r="C431" s="4"/>
      <c r="D431" s="4"/>
      <c r="E431" s="4"/>
      <c r="F431" s="4"/>
    </row>
    <row r="432" customFormat="false" ht="15" hidden="false" customHeight="false" outlineLevel="0" collapsed="false">
      <c r="A432" s="37"/>
      <c r="B432" s="4"/>
      <c r="C432" s="4"/>
      <c r="D432" s="4"/>
      <c r="E432" s="4"/>
      <c r="F432" s="4"/>
    </row>
    <row r="433" customFormat="false" ht="15" hidden="false" customHeight="false" outlineLevel="0" collapsed="false">
      <c r="A433" s="37"/>
      <c r="B433" s="4"/>
      <c r="C433" s="4"/>
      <c r="D433" s="4"/>
      <c r="E433" s="4"/>
      <c r="F433" s="4"/>
    </row>
    <row r="434" customFormat="false" ht="15" hidden="false" customHeight="false" outlineLevel="0" collapsed="false">
      <c r="A434" s="37"/>
      <c r="B434" s="4"/>
      <c r="C434" s="4"/>
      <c r="D434" s="4"/>
      <c r="E434" s="4"/>
      <c r="F434" s="4"/>
    </row>
    <row r="435" customFormat="false" ht="15" hidden="false" customHeight="false" outlineLevel="0" collapsed="false">
      <c r="A435" s="37"/>
      <c r="B435" s="4"/>
      <c r="C435" s="4"/>
      <c r="D435" s="4"/>
      <c r="E435" s="4"/>
      <c r="F435" s="4"/>
    </row>
    <row r="436" customFormat="false" ht="15" hidden="false" customHeight="false" outlineLevel="0" collapsed="false">
      <c r="A436" s="37"/>
      <c r="B436" s="4"/>
      <c r="C436" s="4"/>
      <c r="D436" s="4"/>
      <c r="E436" s="4"/>
      <c r="F436" s="4"/>
    </row>
    <row r="437" customFormat="false" ht="15" hidden="false" customHeight="false" outlineLevel="0" collapsed="false">
      <c r="A437" s="37"/>
      <c r="B437" s="4"/>
      <c r="C437" s="4"/>
      <c r="D437" s="4"/>
      <c r="E437" s="4"/>
      <c r="F437" s="4"/>
    </row>
    <row r="438" customFormat="false" ht="15" hidden="false" customHeight="false" outlineLevel="0" collapsed="false">
      <c r="A438" s="37"/>
      <c r="B438" s="4"/>
      <c r="C438" s="4"/>
      <c r="D438" s="4"/>
      <c r="E438" s="4"/>
      <c r="F438" s="4"/>
    </row>
    <row r="439" customFormat="false" ht="15" hidden="false" customHeight="false" outlineLevel="0" collapsed="false">
      <c r="A439" s="37"/>
      <c r="B439" s="4"/>
      <c r="C439" s="4"/>
      <c r="D439" s="4"/>
      <c r="E439" s="4"/>
      <c r="F439" s="4"/>
    </row>
    <row r="440" customFormat="false" ht="15" hidden="false" customHeight="false" outlineLevel="0" collapsed="false">
      <c r="A440" s="37"/>
      <c r="B440" s="4"/>
      <c r="C440" s="4"/>
      <c r="D440" s="4"/>
      <c r="E440" s="4"/>
      <c r="F440" s="4"/>
    </row>
    <row r="441" customFormat="false" ht="15" hidden="false" customHeight="false" outlineLevel="0" collapsed="false">
      <c r="A441" s="37"/>
      <c r="B441" s="4"/>
      <c r="C441" s="4"/>
      <c r="D441" s="4"/>
      <c r="E441" s="4"/>
      <c r="F441" s="4"/>
    </row>
    <row r="442" customFormat="false" ht="15" hidden="false" customHeight="false" outlineLevel="0" collapsed="false">
      <c r="A442" s="37"/>
      <c r="B442" s="4"/>
      <c r="C442" s="4"/>
      <c r="D442" s="4"/>
      <c r="E442" s="4"/>
      <c r="F442" s="4"/>
    </row>
    <row r="443" customFormat="false" ht="15" hidden="false" customHeight="false" outlineLevel="0" collapsed="false">
      <c r="A443" s="37"/>
      <c r="B443" s="4"/>
      <c r="C443" s="4"/>
      <c r="D443" s="4"/>
      <c r="E443" s="4"/>
      <c r="F443" s="4"/>
    </row>
    <row r="444" customFormat="false" ht="15" hidden="false" customHeight="false" outlineLevel="0" collapsed="false">
      <c r="A444" s="37"/>
      <c r="B444" s="4"/>
      <c r="C444" s="4"/>
      <c r="D444" s="4"/>
      <c r="E444" s="4"/>
      <c r="F444" s="4"/>
    </row>
    <row r="445" customFormat="false" ht="15" hidden="false" customHeight="false" outlineLevel="0" collapsed="false">
      <c r="A445" s="37"/>
      <c r="B445" s="4"/>
      <c r="C445" s="4"/>
      <c r="D445" s="4"/>
      <c r="E445" s="4"/>
      <c r="F445" s="4"/>
    </row>
    <row r="446" customFormat="false" ht="15" hidden="false" customHeight="false" outlineLevel="0" collapsed="false">
      <c r="A446" s="37"/>
      <c r="B446" s="4"/>
      <c r="C446" s="4"/>
      <c r="D446" s="4"/>
      <c r="E446" s="4"/>
      <c r="F446" s="4"/>
    </row>
    <row r="447" customFormat="false" ht="15" hidden="false" customHeight="false" outlineLevel="0" collapsed="false">
      <c r="A447" s="37"/>
      <c r="B447" s="4"/>
      <c r="C447" s="4"/>
      <c r="D447" s="4"/>
      <c r="E447" s="4"/>
      <c r="F447" s="4"/>
    </row>
    <row r="448" customFormat="false" ht="15" hidden="false" customHeight="false" outlineLevel="0" collapsed="false">
      <c r="A448" s="37"/>
      <c r="B448" s="4"/>
      <c r="C448" s="4"/>
      <c r="D448" s="4"/>
      <c r="E448" s="4"/>
      <c r="F448" s="4"/>
    </row>
    <row r="449" customFormat="false" ht="15" hidden="false" customHeight="false" outlineLevel="0" collapsed="false">
      <c r="A449" s="37"/>
      <c r="B449" s="4"/>
      <c r="C449" s="4"/>
      <c r="D449" s="4"/>
      <c r="E449" s="4"/>
      <c r="F449" s="4"/>
    </row>
    <row r="450" customFormat="false" ht="15" hidden="false" customHeight="false" outlineLevel="0" collapsed="false">
      <c r="A450" s="37"/>
      <c r="B450" s="4"/>
      <c r="C450" s="4"/>
      <c r="D450" s="4"/>
      <c r="E450" s="4"/>
      <c r="F450" s="4"/>
    </row>
    <row r="451" customFormat="false" ht="15" hidden="false" customHeight="false" outlineLevel="0" collapsed="false">
      <c r="A451" s="37"/>
      <c r="B451" s="4"/>
      <c r="C451" s="4"/>
      <c r="D451" s="4"/>
      <c r="E451" s="4"/>
      <c r="F451" s="4"/>
    </row>
    <row r="452" customFormat="false" ht="15" hidden="false" customHeight="false" outlineLevel="0" collapsed="false">
      <c r="A452" s="37"/>
      <c r="B452" s="4"/>
      <c r="C452" s="4"/>
      <c r="D452" s="4"/>
      <c r="E452" s="4"/>
      <c r="F452" s="4"/>
    </row>
    <row r="453" customFormat="false" ht="15" hidden="false" customHeight="false" outlineLevel="0" collapsed="false">
      <c r="A453" s="37"/>
      <c r="B453" s="4"/>
      <c r="C453" s="4"/>
      <c r="D453" s="4"/>
      <c r="E453" s="4"/>
      <c r="F453" s="4"/>
    </row>
    <row r="454" customFormat="false" ht="15" hidden="false" customHeight="false" outlineLevel="0" collapsed="false">
      <c r="A454" s="37"/>
      <c r="B454" s="4"/>
      <c r="C454" s="4"/>
      <c r="D454" s="4"/>
      <c r="E454" s="4"/>
      <c r="F454" s="4"/>
    </row>
    <row r="455" customFormat="false" ht="15" hidden="false" customHeight="false" outlineLevel="0" collapsed="false">
      <c r="A455" s="37"/>
      <c r="B455" s="4"/>
      <c r="C455" s="4"/>
      <c r="D455" s="4"/>
      <c r="E455" s="4"/>
      <c r="F455" s="4"/>
    </row>
    <row r="456" customFormat="false" ht="15" hidden="false" customHeight="false" outlineLevel="0" collapsed="false">
      <c r="A456" s="37"/>
      <c r="B456" s="4"/>
      <c r="C456" s="4"/>
      <c r="D456" s="4"/>
      <c r="E456" s="4"/>
      <c r="F456" s="4"/>
    </row>
    <row r="457" customFormat="false" ht="15" hidden="false" customHeight="false" outlineLevel="0" collapsed="false">
      <c r="A457" s="37"/>
      <c r="B457" s="4"/>
      <c r="C457" s="4"/>
      <c r="D457" s="4"/>
      <c r="E457" s="4"/>
      <c r="F457" s="4"/>
    </row>
    <row r="458" customFormat="false" ht="15" hidden="false" customHeight="false" outlineLevel="0" collapsed="false">
      <c r="A458" s="37"/>
      <c r="B458" s="4"/>
      <c r="C458" s="4"/>
      <c r="D458" s="4"/>
      <c r="E458" s="4"/>
      <c r="F458" s="4"/>
    </row>
    <row r="459" customFormat="false" ht="15" hidden="false" customHeight="false" outlineLevel="0" collapsed="false">
      <c r="A459" s="37"/>
      <c r="B459" s="4"/>
      <c r="C459" s="4"/>
      <c r="D459" s="4"/>
      <c r="E459" s="4"/>
      <c r="F459" s="4"/>
    </row>
    <row r="460" customFormat="false" ht="15" hidden="false" customHeight="false" outlineLevel="0" collapsed="false">
      <c r="A460" s="37"/>
      <c r="B460" s="4"/>
      <c r="C460" s="4"/>
      <c r="D460" s="4"/>
      <c r="E460" s="4"/>
      <c r="F460" s="4"/>
    </row>
    <row r="461" customFormat="false" ht="15" hidden="false" customHeight="false" outlineLevel="0" collapsed="false">
      <c r="A461" s="37"/>
      <c r="B461" s="4"/>
      <c r="C461" s="4"/>
      <c r="D461" s="4"/>
      <c r="E461" s="4"/>
      <c r="F461" s="4"/>
    </row>
    <row r="462" customFormat="false" ht="15" hidden="false" customHeight="false" outlineLevel="0" collapsed="false">
      <c r="A462" s="37"/>
      <c r="B462" s="4"/>
      <c r="C462" s="4"/>
      <c r="D462" s="4"/>
      <c r="E462" s="4"/>
      <c r="F462" s="4"/>
    </row>
    <row r="463" customFormat="false" ht="15" hidden="false" customHeight="false" outlineLevel="0" collapsed="false">
      <c r="A463" s="37"/>
      <c r="B463" s="4"/>
      <c r="C463" s="4"/>
      <c r="D463" s="4"/>
      <c r="E463" s="4"/>
      <c r="F463" s="4"/>
    </row>
    <row r="464" customFormat="false" ht="15" hidden="false" customHeight="false" outlineLevel="0" collapsed="false">
      <c r="A464" s="37"/>
      <c r="B464" s="4"/>
      <c r="C464" s="4"/>
      <c r="D464" s="4"/>
      <c r="E464" s="4"/>
      <c r="F464" s="4"/>
    </row>
    <row r="465" customFormat="false" ht="15" hidden="false" customHeight="false" outlineLevel="0" collapsed="false">
      <c r="A465" s="37"/>
      <c r="B465" s="4"/>
      <c r="C465" s="4"/>
      <c r="D465" s="4"/>
      <c r="E465" s="4"/>
      <c r="F465" s="4"/>
    </row>
    <row r="466" customFormat="false" ht="15" hidden="false" customHeight="false" outlineLevel="0" collapsed="false">
      <c r="A466" s="37"/>
      <c r="B466" s="4"/>
      <c r="C466" s="4"/>
      <c r="D466" s="4"/>
      <c r="E466" s="4"/>
      <c r="F466" s="4"/>
    </row>
    <row r="467" customFormat="false" ht="15" hidden="false" customHeight="false" outlineLevel="0" collapsed="false">
      <c r="A467" s="37"/>
      <c r="B467" s="4"/>
      <c r="C467" s="4"/>
      <c r="D467" s="4"/>
      <c r="E467" s="4"/>
      <c r="F467" s="4"/>
    </row>
    <row r="468" customFormat="false" ht="15" hidden="false" customHeight="false" outlineLevel="0" collapsed="false">
      <c r="A468" s="37"/>
      <c r="B468" s="4"/>
      <c r="C468" s="4"/>
      <c r="D468" s="4"/>
      <c r="E468" s="4"/>
      <c r="F468" s="4"/>
    </row>
    <row r="469" customFormat="false" ht="15" hidden="false" customHeight="false" outlineLevel="0" collapsed="false">
      <c r="A469" s="37"/>
      <c r="B469" s="4"/>
      <c r="C469" s="4"/>
      <c r="D469" s="4"/>
      <c r="E469" s="4"/>
      <c r="F469" s="4"/>
    </row>
    <row r="470" customFormat="false" ht="15" hidden="false" customHeight="false" outlineLevel="0" collapsed="false">
      <c r="A470" s="37"/>
      <c r="B470" s="4"/>
      <c r="C470" s="4"/>
      <c r="D470" s="4"/>
      <c r="E470" s="4"/>
      <c r="F470" s="4"/>
    </row>
    <row r="471" customFormat="false" ht="15" hidden="false" customHeight="false" outlineLevel="0" collapsed="false">
      <c r="A471" s="37"/>
      <c r="B471" s="4"/>
      <c r="C471" s="4"/>
      <c r="D471" s="4"/>
      <c r="E471" s="4"/>
      <c r="F471" s="4"/>
    </row>
    <row r="472" customFormat="false" ht="15" hidden="false" customHeight="false" outlineLevel="0" collapsed="false">
      <c r="A472" s="37"/>
      <c r="B472" s="4"/>
      <c r="C472" s="4"/>
      <c r="D472" s="4"/>
      <c r="E472" s="4"/>
      <c r="F472" s="4"/>
    </row>
    <row r="473" customFormat="false" ht="15" hidden="false" customHeight="false" outlineLevel="0" collapsed="false">
      <c r="A473" s="37"/>
      <c r="B473" s="4"/>
      <c r="C473" s="4"/>
      <c r="D473" s="4"/>
      <c r="E473" s="4"/>
      <c r="F473" s="4"/>
    </row>
    <row r="474" customFormat="false" ht="15" hidden="false" customHeight="false" outlineLevel="0" collapsed="false">
      <c r="A474" s="37"/>
      <c r="B474" s="4"/>
      <c r="C474" s="4"/>
      <c r="D474" s="4"/>
      <c r="E474" s="4"/>
      <c r="F474" s="4"/>
    </row>
    <row r="475" customFormat="false" ht="15" hidden="false" customHeight="false" outlineLevel="0" collapsed="false">
      <c r="A475" s="37"/>
      <c r="B475" s="4"/>
      <c r="C475" s="4"/>
      <c r="D475" s="4"/>
      <c r="E475" s="4"/>
      <c r="F475" s="4"/>
    </row>
    <row r="476" customFormat="false" ht="15" hidden="false" customHeight="false" outlineLevel="0" collapsed="false">
      <c r="A476" s="37"/>
      <c r="B476" s="4"/>
      <c r="C476" s="4"/>
      <c r="D476" s="4"/>
      <c r="E476" s="4"/>
      <c r="F476" s="4"/>
    </row>
    <row r="477" customFormat="false" ht="15" hidden="false" customHeight="false" outlineLevel="0" collapsed="false">
      <c r="A477" s="37"/>
      <c r="B477" s="4"/>
      <c r="C477" s="4"/>
      <c r="D477" s="4"/>
      <c r="E477" s="4"/>
      <c r="F477" s="4"/>
    </row>
    <row r="478" customFormat="false" ht="15" hidden="false" customHeight="false" outlineLevel="0" collapsed="false">
      <c r="A478" s="37"/>
      <c r="B478" s="4"/>
      <c r="C478" s="4"/>
      <c r="D478" s="4"/>
      <c r="E478" s="4"/>
      <c r="F478" s="4"/>
    </row>
    <row r="479" customFormat="false" ht="15" hidden="false" customHeight="false" outlineLevel="0" collapsed="false">
      <c r="A479" s="37"/>
      <c r="B479" s="4"/>
      <c r="C479" s="4"/>
      <c r="D479" s="4"/>
      <c r="E479" s="4"/>
      <c r="F479" s="4"/>
    </row>
    <row r="480" customFormat="false" ht="15" hidden="false" customHeight="false" outlineLevel="0" collapsed="false">
      <c r="A480" s="37"/>
      <c r="B480" s="4"/>
      <c r="C480" s="4"/>
      <c r="D480" s="4"/>
      <c r="E480" s="4"/>
      <c r="F480" s="4"/>
    </row>
    <row r="481" customFormat="false" ht="15" hidden="false" customHeight="false" outlineLevel="0" collapsed="false">
      <c r="A481" s="37"/>
      <c r="B481" s="4"/>
      <c r="C481" s="4"/>
      <c r="D481" s="4"/>
      <c r="E481" s="4"/>
      <c r="F481" s="4"/>
    </row>
    <row r="482" customFormat="false" ht="15" hidden="false" customHeight="false" outlineLevel="0" collapsed="false">
      <c r="A482" s="37"/>
      <c r="B482" s="4"/>
      <c r="C482" s="4"/>
      <c r="D482" s="4"/>
      <c r="E482" s="4"/>
      <c r="F482" s="4"/>
    </row>
    <row r="483" customFormat="false" ht="15" hidden="false" customHeight="false" outlineLevel="0" collapsed="false">
      <c r="A483" s="37"/>
      <c r="B483" s="4"/>
      <c r="C483" s="4"/>
      <c r="D483" s="4"/>
      <c r="E483" s="4"/>
      <c r="F483" s="4"/>
    </row>
    <row r="484" customFormat="false" ht="15" hidden="false" customHeight="false" outlineLevel="0" collapsed="false">
      <c r="A484" s="37"/>
      <c r="B484" s="4"/>
      <c r="C484" s="4"/>
      <c r="D484" s="4"/>
      <c r="E484" s="4"/>
      <c r="F484" s="4"/>
    </row>
    <row r="485" customFormat="false" ht="15" hidden="false" customHeight="false" outlineLevel="0" collapsed="false">
      <c r="A485" s="37"/>
      <c r="B485" s="4"/>
      <c r="C485" s="4"/>
      <c r="D485" s="4"/>
      <c r="E485" s="4"/>
      <c r="F485" s="4"/>
    </row>
    <row r="486" customFormat="false" ht="15" hidden="false" customHeight="false" outlineLevel="0" collapsed="false">
      <c r="A486" s="37"/>
      <c r="B486" s="4"/>
      <c r="C486" s="4"/>
      <c r="D486" s="4"/>
      <c r="E486" s="4"/>
      <c r="F486" s="4"/>
    </row>
    <row r="487" customFormat="false" ht="15" hidden="false" customHeight="false" outlineLevel="0" collapsed="false">
      <c r="A487" s="37"/>
      <c r="B487" s="4"/>
      <c r="C487" s="4"/>
      <c r="D487" s="4"/>
      <c r="E487" s="4"/>
      <c r="F487" s="4"/>
    </row>
    <row r="488" customFormat="false" ht="15" hidden="false" customHeight="false" outlineLevel="0" collapsed="false">
      <c r="A488" s="37"/>
      <c r="B488" s="4"/>
      <c r="C488" s="4"/>
      <c r="D488" s="4"/>
      <c r="E488" s="4"/>
      <c r="F488" s="4"/>
    </row>
    <row r="489" customFormat="false" ht="15" hidden="false" customHeight="false" outlineLevel="0" collapsed="false">
      <c r="A489" s="37"/>
      <c r="B489" s="4"/>
      <c r="C489" s="4"/>
      <c r="D489" s="4"/>
      <c r="E489" s="4"/>
      <c r="F489" s="4"/>
    </row>
    <row r="490" customFormat="false" ht="15" hidden="false" customHeight="false" outlineLevel="0" collapsed="false">
      <c r="A490" s="37"/>
      <c r="B490" s="4"/>
      <c r="C490" s="4"/>
      <c r="D490" s="4"/>
      <c r="E490" s="4"/>
      <c r="F490" s="4"/>
    </row>
    <row r="491" customFormat="false" ht="15" hidden="false" customHeight="false" outlineLevel="0" collapsed="false">
      <c r="A491" s="37"/>
      <c r="B491" s="4"/>
      <c r="C491" s="4"/>
      <c r="D491" s="4"/>
      <c r="E491" s="4"/>
      <c r="F491" s="4"/>
    </row>
    <row r="492" customFormat="false" ht="15" hidden="false" customHeight="false" outlineLevel="0" collapsed="false">
      <c r="A492" s="37"/>
      <c r="B492" s="4"/>
      <c r="C492" s="4"/>
      <c r="D492" s="4"/>
      <c r="E492" s="4"/>
      <c r="F492" s="4"/>
    </row>
    <row r="493" customFormat="false" ht="15" hidden="false" customHeight="false" outlineLevel="0" collapsed="false">
      <c r="A493" s="37"/>
      <c r="B493" s="4"/>
      <c r="C493" s="4"/>
      <c r="D493" s="4"/>
      <c r="E493" s="4"/>
      <c r="F493" s="4"/>
    </row>
    <row r="494" customFormat="false" ht="15" hidden="false" customHeight="false" outlineLevel="0" collapsed="false">
      <c r="A494" s="37"/>
      <c r="B494" s="4"/>
      <c r="C494" s="4"/>
      <c r="D494" s="4"/>
      <c r="E494" s="4"/>
      <c r="F494" s="4"/>
    </row>
    <row r="495" customFormat="false" ht="15" hidden="false" customHeight="false" outlineLevel="0" collapsed="false">
      <c r="A495" s="37"/>
      <c r="B495" s="4"/>
      <c r="C495" s="4"/>
      <c r="D495" s="4"/>
      <c r="E495" s="4"/>
      <c r="F495" s="4"/>
    </row>
    <row r="496" customFormat="false" ht="15" hidden="false" customHeight="false" outlineLevel="0" collapsed="false">
      <c r="A496" s="37"/>
      <c r="B496" s="4"/>
      <c r="C496" s="4"/>
      <c r="D496" s="4"/>
      <c r="E496" s="4"/>
      <c r="F496" s="4"/>
    </row>
    <row r="497" customFormat="false" ht="15" hidden="false" customHeight="false" outlineLevel="0" collapsed="false">
      <c r="A497" s="37"/>
      <c r="B497" s="4"/>
      <c r="C497" s="4"/>
      <c r="D497" s="4"/>
      <c r="E497" s="4"/>
      <c r="F497" s="4"/>
    </row>
    <row r="498" customFormat="false" ht="15" hidden="false" customHeight="false" outlineLevel="0" collapsed="false">
      <c r="A498" s="37"/>
      <c r="B498" s="4"/>
      <c r="C498" s="4"/>
      <c r="D498" s="4"/>
      <c r="E498" s="4"/>
      <c r="F498" s="4"/>
    </row>
    <row r="499" customFormat="false" ht="15" hidden="false" customHeight="false" outlineLevel="0" collapsed="false">
      <c r="A499" s="37"/>
      <c r="B499" s="4"/>
      <c r="C499" s="4"/>
      <c r="D499" s="4"/>
      <c r="E499" s="4"/>
      <c r="F499" s="4"/>
    </row>
    <row r="500" customFormat="false" ht="15" hidden="false" customHeight="false" outlineLevel="0" collapsed="false">
      <c r="A500" s="37"/>
      <c r="B500" s="4"/>
      <c r="C500" s="4"/>
      <c r="D500" s="4"/>
      <c r="E500" s="4"/>
      <c r="F500" s="4"/>
    </row>
    <row r="501" customFormat="false" ht="15" hidden="false" customHeight="false" outlineLevel="0" collapsed="false">
      <c r="A501" s="37"/>
      <c r="B501" s="4"/>
      <c r="C501" s="4"/>
      <c r="D501" s="4"/>
      <c r="E501" s="4"/>
      <c r="F501" s="4"/>
    </row>
    <row r="502" customFormat="false" ht="15" hidden="false" customHeight="false" outlineLevel="0" collapsed="false">
      <c r="A502" s="37"/>
      <c r="B502" s="4"/>
      <c r="C502" s="4"/>
      <c r="D502" s="4"/>
      <c r="E502" s="4"/>
      <c r="F502" s="4"/>
    </row>
    <row r="503" customFormat="false" ht="15" hidden="false" customHeight="false" outlineLevel="0" collapsed="false">
      <c r="A503" s="37"/>
      <c r="B503" s="4"/>
      <c r="C503" s="4"/>
      <c r="D503" s="4"/>
      <c r="E503" s="4"/>
      <c r="F503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20"/>
    <col collapsed="false" customWidth="true" hidden="false" outlineLevel="0" max="4" min="4" style="0" width="11"/>
    <col collapsed="false" customWidth="true" hidden="false" outlineLevel="0" max="5" min="5" style="0" width="22"/>
    <col collapsed="false" customWidth="true" hidden="false" outlineLevel="0" max="6" min="6" style="0" width="12"/>
    <col collapsed="false" customWidth="true" hidden="false" outlineLevel="0" max="7" min="7" style="0" width="22"/>
    <col collapsed="false" customWidth="true" hidden="false" outlineLevel="0" max="10" min="8" style="0" width="34"/>
  </cols>
  <sheetData>
    <row r="1" customFormat="false" ht="17.35" hidden="false" customHeight="false" outlineLevel="0" collapsed="false">
      <c r="A1" s="1" t="s">
        <v>15</v>
      </c>
    </row>
    <row r="2" customFormat="false" ht="15" hidden="false" customHeight="false" outlineLevel="0" collapsed="false">
      <c r="A2" s="2" t="s">
        <v>702</v>
      </c>
    </row>
    <row r="3" customFormat="false" ht="30" hidden="false" customHeight="true" outlineLevel="0" collapsed="false">
      <c r="A3" s="19" t="s">
        <v>703</v>
      </c>
      <c r="B3" s="19" t="s">
        <v>704</v>
      </c>
      <c r="C3" s="19" t="s">
        <v>45</v>
      </c>
      <c r="D3" s="19" t="s">
        <v>582</v>
      </c>
      <c r="E3" s="19" t="s">
        <v>705</v>
      </c>
      <c r="F3" s="19" t="s">
        <v>706</v>
      </c>
      <c r="G3" s="19" t="s">
        <v>707</v>
      </c>
      <c r="H3" s="19" t="s">
        <v>708</v>
      </c>
      <c r="I3" s="19" t="s">
        <v>709</v>
      </c>
      <c r="J3" s="19" t="s">
        <v>710</v>
      </c>
    </row>
    <row r="4" customFormat="false" ht="23.85" hidden="false" customHeight="false" outlineLevel="0" collapsed="false">
      <c r="A4" s="39" t="s">
        <v>711</v>
      </c>
      <c r="B4" s="38" t="n">
        <v>46301</v>
      </c>
      <c r="C4" s="39" t="s">
        <v>56</v>
      </c>
      <c r="D4" s="39" t="s">
        <v>203</v>
      </c>
      <c r="E4" s="39" t="s">
        <v>712</v>
      </c>
      <c r="F4" s="39" t="s">
        <v>713</v>
      </c>
      <c r="G4" s="39" t="s">
        <v>714</v>
      </c>
      <c r="H4" s="39" t="s">
        <v>715</v>
      </c>
      <c r="I4" s="39" t="s">
        <v>716</v>
      </c>
      <c r="J4" s="39" t="s">
        <v>717</v>
      </c>
    </row>
    <row r="5" customFormat="false" ht="15" hidden="false" customHeight="false" outlineLevel="0" collapsed="false">
      <c r="A5" s="8"/>
      <c r="B5" s="27"/>
      <c r="C5" s="8"/>
      <c r="D5" s="8"/>
      <c r="E5" s="8"/>
      <c r="F5" s="8"/>
      <c r="G5" s="8"/>
      <c r="H5" s="8"/>
      <c r="I5" s="8"/>
      <c r="J5" s="8"/>
    </row>
    <row r="6" customFormat="false" ht="15" hidden="false" customHeight="false" outlineLevel="0" collapsed="false">
      <c r="A6" s="8"/>
      <c r="B6" s="27"/>
      <c r="C6" s="8"/>
      <c r="D6" s="8"/>
      <c r="E6" s="8"/>
      <c r="F6" s="8"/>
      <c r="G6" s="8"/>
      <c r="H6" s="8"/>
      <c r="I6" s="8"/>
      <c r="J6" s="8"/>
    </row>
    <row r="7" customFormat="false" ht="15" hidden="false" customHeight="false" outlineLevel="0" collapsed="false">
      <c r="A7" s="8"/>
      <c r="B7" s="27"/>
      <c r="C7" s="8"/>
      <c r="D7" s="8"/>
      <c r="E7" s="8"/>
      <c r="F7" s="8"/>
      <c r="G7" s="8"/>
      <c r="H7" s="8"/>
      <c r="I7" s="8"/>
      <c r="J7" s="8"/>
    </row>
    <row r="8" customFormat="false" ht="15" hidden="false" customHeight="false" outlineLevel="0" collapsed="false">
      <c r="A8" s="8"/>
      <c r="B8" s="27"/>
      <c r="C8" s="8"/>
      <c r="D8" s="8"/>
      <c r="E8" s="8"/>
      <c r="F8" s="8"/>
      <c r="G8" s="8"/>
      <c r="H8" s="8"/>
      <c r="I8" s="8"/>
      <c r="J8" s="8"/>
    </row>
    <row r="9" customFormat="false" ht="15" hidden="false" customHeight="false" outlineLevel="0" collapsed="false">
      <c r="A9" s="8"/>
      <c r="B9" s="27"/>
      <c r="C9" s="8"/>
      <c r="D9" s="8"/>
      <c r="E9" s="8"/>
      <c r="F9" s="8"/>
      <c r="G9" s="8"/>
      <c r="H9" s="8"/>
      <c r="I9" s="8"/>
      <c r="J9" s="8"/>
    </row>
    <row r="10" customFormat="false" ht="15" hidden="false" customHeight="false" outlineLevel="0" collapsed="false">
      <c r="A10" s="8"/>
      <c r="B10" s="27"/>
      <c r="C10" s="8"/>
      <c r="D10" s="8"/>
      <c r="E10" s="8"/>
      <c r="F10" s="8"/>
      <c r="G10" s="8"/>
      <c r="H10" s="8"/>
      <c r="I10" s="8"/>
      <c r="J10" s="8"/>
    </row>
    <row r="11" customFormat="false" ht="15" hidden="false" customHeight="false" outlineLevel="0" collapsed="false">
      <c r="A11" s="8"/>
      <c r="B11" s="27"/>
      <c r="C11" s="8"/>
      <c r="D11" s="8"/>
      <c r="E11" s="8"/>
      <c r="F11" s="8"/>
      <c r="G11" s="8"/>
      <c r="H11" s="8"/>
      <c r="I11" s="8"/>
      <c r="J11" s="8"/>
    </row>
    <row r="12" customFormat="false" ht="15" hidden="false" customHeight="false" outlineLevel="0" collapsed="false">
      <c r="A12" s="8"/>
      <c r="B12" s="27"/>
      <c r="C12" s="8"/>
      <c r="D12" s="8"/>
      <c r="E12" s="8"/>
      <c r="F12" s="8"/>
      <c r="G12" s="8"/>
      <c r="H12" s="8"/>
      <c r="I12" s="8"/>
      <c r="J12" s="8"/>
    </row>
    <row r="13" customFormat="false" ht="15" hidden="false" customHeight="false" outlineLevel="0" collapsed="false">
      <c r="A13" s="8"/>
      <c r="B13" s="27"/>
      <c r="C13" s="8"/>
      <c r="D13" s="8"/>
      <c r="E13" s="8"/>
      <c r="F13" s="8"/>
      <c r="G13" s="8"/>
      <c r="H13" s="8"/>
      <c r="I13" s="8"/>
      <c r="J13" s="8"/>
    </row>
    <row r="14" customFormat="false" ht="15" hidden="false" customHeight="false" outlineLevel="0" collapsed="false">
      <c r="A14" s="8"/>
      <c r="B14" s="27"/>
      <c r="C14" s="8"/>
      <c r="D14" s="8"/>
      <c r="E14" s="8"/>
      <c r="F14" s="8"/>
      <c r="G14" s="8"/>
      <c r="H14" s="8"/>
      <c r="I14" s="8"/>
      <c r="J14" s="8"/>
    </row>
    <row r="15" customFormat="false" ht="15" hidden="false" customHeight="false" outlineLevel="0" collapsed="false">
      <c r="A15" s="8"/>
      <c r="B15" s="27"/>
      <c r="C15" s="8"/>
      <c r="D15" s="8"/>
      <c r="E15" s="8"/>
      <c r="F15" s="8"/>
      <c r="G15" s="8"/>
      <c r="H15" s="8"/>
      <c r="I15" s="8"/>
      <c r="J15" s="8"/>
    </row>
    <row r="16" customFormat="false" ht="15" hidden="false" customHeight="false" outlineLevel="0" collapsed="false">
      <c r="A16" s="8"/>
      <c r="B16" s="27"/>
      <c r="C16" s="8"/>
      <c r="D16" s="8"/>
      <c r="E16" s="8"/>
      <c r="F16" s="8"/>
      <c r="G16" s="8"/>
      <c r="H16" s="8"/>
      <c r="I16" s="8"/>
      <c r="J16" s="8"/>
    </row>
    <row r="17" customFormat="false" ht="15" hidden="false" customHeight="false" outlineLevel="0" collapsed="false">
      <c r="A17" s="8"/>
      <c r="B17" s="27"/>
      <c r="C17" s="8"/>
      <c r="D17" s="8"/>
      <c r="E17" s="8"/>
      <c r="F17" s="8"/>
      <c r="G17" s="8"/>
      <c r="H17" s="8"/>
      <c r="I17" s="8"/>
      <c r="J17" s="8"/>
    </row>
    <row r="18" customFormat="false" ht="15" hidden="false" customHeight="false" outlineLevel="0" collapsed="false">
      <c r="A18" s="8"/>
      <c r="B18" s="27"/>
      <c r="C18" s="8"/>
      <c r="D18" s="8"/>
      <c r="E18" s="8"/>
      <c r="F18" s="8"/>
      <c r="G18" s="8"/>
      <c r="H18" s="8"/>
      <c r="I18" s="8"/>
      <c r="J18" s="8"/>
    </row>
    <row r="19" customFormat="false" ht="15" hidden="false" customHeight="false" outlineLevel="0" collapsed="false">
      <c r="A19" s="8"/>
      <c r="B19" s="27"/>
      <c r="C19" s="8"/>
      <c r="D19" s="8"/>
      <c r="E19" s="8"/>
      <c r="F19" s="8"/>
      <c r="G19" s="8"/>
      <c r="H19" s="8"/>
      <c r="I19" s="8"/>
      <c r="J19" s="8"/>
    </row>
    <row r="20" customFormat="false" ht="15" hidden="false" customHeight="false" outlineLevel="0" collapsed="false">
      <c r="A20" s="8"/>
      <c r="B20" s="27"/>
      <c r="C20" s="8"/>
      <c r="D20" s="8"/>
      <c r="E20" s="8"/>
      <c r="F20" s="8"/>
      <c r="G20" s="8"/>
      <c r="H20" s="8"/>
      <c r="I20" s="8"/>
      <c r="J20" s="8"/>
    </row>
    <row r="21" customFormat="false" ht="15" hidden="false" customHeight="false" outlineLevel="0" collapsed="false">
      <c r="A21" s="8"/>
      <c r="B21" s="27"/>
      <c r="C21" s="8"/>
      <c r="D21" s="8"/>
      <c r="E21" s="8"/>
      <c r="F21" s="8"/>
      <c r="G21" s="8"/>
      <c r="H21" s="8"/>
      <c r="I21" s="8"/>
      <c r="J21" s="8"/>
    </row>
    <row r="22" customFormat="false" ht="15" hidden="false" customHeight="false" outlineLevel="0" collapsed="false">
      <c r="A22" s="8"/>
      <c r="B22" s="27"/>
      <c r="C22" s="8"/>
      <c r="D22" s="8"/>
      <c r="E22" s="8"/>
      <c r="F22" s="8"/>
      <c r="G22" s="8"/>
      <c r="H22" s="8"/>
      <c r="I22" s="8"/>
      <c r="J22" s="8"/>
    </row>
    <row r="23" customFormat="false" ht="15" hidden="false" customHeight="false" outlineLevel="0" collapsed="false">
      <c r="A23" s="8"/>
      <c r="B23" s="27"/>
      <c r="C23" s="8"/>
      <c r="D23" s="8"/>
      <c r="E23" s="8"/>
      <c r="F23" s="8"/>
      <c r="G23" s="8"/>
      <c r="H23" s="8"/>
      <c r="I23" s="8"/>
      <c r="J23" s="8"/>
    </row>
    <row r="24" customFormat="false" ht="15" hidden="false" customHeight="false" outlineLevel="0" collapsed="false">
      <c r="A24" s="8"/>
      <c r="B24" s="27"/>
      <c r="C24" s="8"/>
      <c r="D24" s="8"/>
      <c r="E24" s="8"/>
      <c r="F24" s="8"/>
      <c r="G24" s="8"/>
      <c r="H24" s="8"/>
      <c r="I24" s="8"/>
      <c r="J24" s="8"/>
    </row>
    <row r="25" customFormat="false" ht="15" hidden="false" customHeight="false" outlineLevel="0" collapsed="false">
      <c r="A25" s="8"/>
      <c r="B25" s="27"/>
      <c r="C25" s="8"/>
      <c r="D25" s="8"/>
      <c r="E25" s="8"/>
      <c r="F25" s="8"/>
      <c r="G25" s="8"/>
      <c r="H25" s="8"/>
      <c r="I25" s="8"/>
      <c r="J25" s="8"/>
    </row>
    <row r="26" customFormat="false" ht="15" hidden="false" customHeight="false" outlineLevel="0" collapsed="false">
      <c r="A26" s="8"/>
      <c r="B26" s="27"/>
      <c r="C26" s="8"/>
      <c r="D26" s="8"/>
      <c r="E26" s="8"/>
      <c r="F26" s="8"/>
      <c r="G26" s="8"/>
      <c r="H26" s="8"/>
      <c r="I26" s="8"/>
      <c r="J26" s="8"/>
    </row>
    <row r="27" customFormat="false" ht="15" hidden="false" customHeight="false" outlineLevel="0" collapsed="false">
      <c r="A27" s="8"/>
      <c r="B27" s="27"/>
      <c r="C27" s="8"/>
      <c r="D27" s="8"/>
      <c r="E27" s="8"/>
      <c r="F27" s="8"/>
      <c r="G27" s="8"/>
      <c r="H27" s="8"/>
      <c r="I27" s="8"/>
      <c r="J27" s="8"/>
    </row>
    <row r="28" customFormat="false" ht="15" hidden="false" customHeight="false" outlineLevel="0" collapsed="false">
      <c r="A28" s="8"/>
      <c r="B28" s="27"/>
      <c r="C28" s="8"/>
      <c r="D28" s="8"/>
      <c r="E28" s="8"/>
      <c r="F28" s="8"/>
      <c r="G28" s="8"/>
      <c r="H28" s="8"/>
      <c r="I28" s="8"/>
      <c r="J28" s="8"/>
    </row>
    <row r="29" customFormat="false" ht="15" hidden="false" customHeight="false" outlineLevel="0" collapsed="false">
      <c r="A29" s="8"/>
      <c r="B29" s="27"/>
      <c r="C29" s="8"/>
      <c r="D29" s="8"/>
      <c r="E29" s="8"/>
      <c r="F29" s="8"/>
      <c r="G29" s="8"/>
      <c r="H29" s="8"/>
      <c r="I29" s="8"/>
      <c r="J29" s="8"/>
    </row>
    <row r="30" customFormat="false" ht="15" hidden="false" customHeight="false" outlineLevel="0" collapsed="false">
      <c r="A30" s="8"/>
      <c r="B30" s="27"/>
      <c r="C30" s="8"/>
      <c r="D30" s="8"/>
      <c r="E30" s="8"/>
      <c r="F30" s="8"/>
      <c r="G30" s="8"/>
      <c r="H30" s="8"/>
      <c r="I30" s="8"/>
      <c r="J30" s="8"/>
    </row>
    <row r="31" customFormat="false" ht="15" hidden="false" customHeight="false" outlineLevel="0" collapsed="false">
      <c r="A31" s="8"/>
      <c r="B31" s="27"/>
      <c r="C31" s="8"/>
      <c r="D31" s="8"/>
      <c r="E31" s="8"/>
      <c r="F31" s="8"/>
      <c r="G31" s="8"/>
      <c r="H31" s="8"/>
      <c r="I31" s="8"/>
      <c r="J31" s="8"/>
    </row>
    <row r="32" customFormat="false" ht="15" hidden="false" customHeight="false" outlineLevel="0" collapsed="false">
      <c r="A32" s="8"/>
      <c r="B32" s="27"/>
      <c r="C32" s="8"/>
      <c r="D32" s="8"/>
      <c r="E32" s="8"/>
      <c r="F32" s="8"/>
      <c r="G32" s="8"/>
      <c r="H32" s="8"/>
      <c r="I32" s="8"/>
      <c r="J32" s="8"/>
    </row>
    <row r="33" customFormat="false" ht="15" hidden="false" customHeight="false" outlineLevel="0" collapsed="false">
      <c r="A33" s="8"/>
      <c r="B33" s="27"/>
      <c r="C33" s="8"/>
      <c r="D33" s="8"/>
      <c r="E33" s="8"/>
      <c r="F33" s="8"/>
      <c r="G33" s="8"/>
      <c r="H33" s="8"/>
      <c r="I33" s="8"/>
      <c r="J33" s="8"/>
    </row>
    <row r="34" customFormat="false" ht="15" hidden="false" customHeight="false" outlineLevel="0" collapsed="false">
      <c r="A34" s="8"/>
      <c r="B34" s="27"/>
      <c r="C34" s="8"/>
      <c r="D34" s="8"/>
      <c r="E34" s="8"/>
      <c r="F34" s="8"/>
      <c r="G34" s="8"/>
      <c r="H34" s="8"/>
      <c r="I34" s="8"/>
      <c r="J34" s="8"/>
    </row>
    <row r="35" customFormat="false" ht="15" hidden="false" customHeight="false" outlineLevel="0" collapsed="false">
      <c r="A35" s="8"/>
      <c r="B35" s="27"/>
      <c r="C35" s="8"/>
      <c r="D35" s="8"/>
      <c r="E35" s="8"/>
      <c r="F35" s="8"/>
      <c r="G35" s="8"/>
      <c r="H35" s="8"/>
      <c r="I35" s="8"/>
      <c r="J35" s="8"/>
    </row>
    <row r="36" customFormat="false" ht="15" hidden="false" customHeight="false" outlineLevel="0" collapsed="false">
      <c r="A36" s="8"/>
      <c r="B36" s="27"/>
      <c r="C36" s="8"/>
      <c r="D36" s="8"/>
      <c r="E36" s="8"/>
      <c r="F36" s="8"/>
      <c r="G36" s="8"/>
      <c r="H36" s="8"/>
      <c r="I36" s="8"/>
      <c r="J36" s="8"/>
    </row>
    <row r="37" customFormat="false" ht="15" hidden="false" customHeight="false" outlineLevel="0" collapsed="false">
      <c r="A37" s="8"/>
      <c r="B37" s="27"/>
      <c r="C37" s="8"/>
      <c r="D37" s="8"/>
      <c r="E37" s="8"/>
      <c r="F37" s="8"/>
      <c r="G37" s="8"/>
      <c r="H37" s="8"/>
      <c r="I37" s="8"/>
      <c r="J37" s="8"/>
    </row>
    <row r="38" customFormat="false" ht="15" hidden="false" customHeight="false" outlineLevel="0" collapsed="false">
      <c r="A38" s="8"/>
      <c r="B38" s="27"/>
      <c r="C38" s="8"/>
      <c r="D38" s="8"/>
      <c r="E38" s="8"/>
      <c r="F38" s="8"/>
      <c r="G38" s="8"/>
      <c r="H38" s="8"/>
      <c r="I38" s="8"/>
      <c r="J38" s="8"/>
    </row>
    <row r="39" customFormat="false" ht="15" hidden="false" customHeight="false" outlineLevel="0" collapsed="false">
      <c r="A39" s="8"/>
      <c r="B39" s="27"/>
      <c r="C39" s="8"/>
      <c r="D39" s="8"/>
      <c r="E39" s="8"/>
      <c r="F39" s="8"/>
      <c r="G39" s="8"/>
      <c r="H39" s="8"/>
      <c r="I39" s="8"/>
      <c r="J39" s="8"/>
    </row>
    <row r="40" customFormat="false" ht="15" hidden="false" customHeight="false" outlineLevel="0" collapsed="false">
      <c r="A40" s="8"/>
      <c r="B40" s="27"/>
      <c r="C40" s="8"/>
      <c r="D40" s="8"/>
      <c r="E40" s="8"/>
      <c r="F40" s="8"/>
      <c r="G40" s="8"/>
      <c r="H40" s="8"/>
      <c r="I40" s="8"/>
      <c r="J40" s="8"/>
    </row>
    <row r="41" customFormat="false" ht="15" hidden="false" customHeight="false" outlineLevel="0" collapsed="false">
      <c r="A41" s="8"/>
      <c r="B41" s="27"/>
      <c r="C41" s="8"/>
      <c r="D41" s="8"/>
      <c r="E41" s="8"/>
      <c r="F41" s="8"/>
      <c r="G41" s="8"/>
      <c r="H41" s="8"/>
      <c r="I41" s="8"/>
      <c r="J41" s="8"/>
    </row>
    <row r="42" customFormat="false" ht="15" hidden="false" customHeight="false" outlineLevel="0" collapsed="false">
      <c r="A42" s="8"/>
      <c r="B42" s="27"/>
      <c r="C42" s="8"/>
      <c r="D42" s="8"/>
      <c r="E42" s="8"/>
      <c r="F42" s="8"/>
      <c r="G42" s="8"/>
      <c r="H42" s="8"/>
      <c r="I42" s="8"/>
      <c r="J42" s="8"/>
    </row>
    <row r="43" customFormat="false" ht="15" hidden="false" customHeight="false" outlineLevel="0" collapsed="false">
      <c r="A43" s="8"/>
      <c r="B43" s="27"/>
      <c r="C43" s="8"/>
      <c r="D43" s="8"/>
      <c r="E43" s="8"/>
      <c r="F43" s="8"/>
      <c r="G43" s="8"/>
      <c r="H43" s="8"/>
      <c r="I43" s="8"/>
      <c r="J43" s="8"/>
    </row>
    <row r="44" customFormat="false" ht="15" hidden="false" customHeight="false" outlineLevel="0" collapsed="false">
      <c r="A44" s="8"/>
      <c r="B44" s="27"/>
      <c r="C44" s="8"/>
      <c r="D44" s="8"/>
      <c r="E44" s="8"/>
      <c r="F44" s="8"/>
      <c r="G44" s="8"/>
      <c r="H44" s="8"/>
      <c r="I44" s="8"/>
      <c r="J44" s="8"/>
    </row>
    <row r="45" customFormat="false" ht="15" hidden="false" customHeight="false" outlineLevel="0" collapsed="false">
      <c r="A45" s="8"/>
      <c r="B45" s="27"/>
      <c r="C45" s="8"/>
      <c r="D45" s="8"/>
      <c r="E45" s="8"/>
      <c r="F45" s="8"/>
      <c r="G45" s="8"/>
      <c r="H45" s="8"/>
      <c r="I45" s="8"/>
      <c r="J45" s="8"/>
    </row>
    <row r="46" customFormat="false" ht="15" hidden="false" customHeight="false" outlineLevel="0" collapsed="false">
      <c r="A46" s="8"/>
      <c r="B46" s="27"/>
      <c r="C46" s="8"/>
      <c r="D46" s="8"/>
      <c r="E46" s="8"/>
      <c r="F46" s="8"/>
      <c r="G46" s="8"/>
      <c r="H46" s="8"/>
      <c r="I46" s="8"/>
      <c r="J46" s="8"/>
    </row>
    <row r="47" customFormat="false" ht="15" hidden="false" customHeight="false" outlineLevel="0" collapsed="false">
      <c r="A47" s="8"/>
      <c r="B47" s="27"/>
      <c r="C47" s="8"/>
      <c r="D47" s="8"/>
      <c r="E47" s="8"/>
      <c r="F47" s="8"/>
      <c r="G47" s="8"/>
      <c r="H47" s="8"/>
      <c r="I47" s="8"/>
      <c r="J47" s="8"/>
    </row>
    <row r="48" customFormat="false" ht="15" hidden="false" customHeight="false" outlineLevel="0" collapsed="false">
      <c r="A48" s="8"/>
      <c r="B48" s="27"/>
      <c r="C48" s="8"/>
      <c r="D48" s="8"/>
      <c r="E48" s="8"/>
      <c r="F48" s="8"/>
      <c r="G48" s="8"/>
      <c r="H48" s="8"/>
      <c r="I48" s="8"/>
      <c r="J48" s="8"/>
    </row>
    <row r="49" customFormat="false" ht="15" hidden="false" customHeight="false" outlineLevel="0" collapsed="false">
      <c r="A49" s="8"/>
      <c r="B49" s="27"/>
      <c r="C49" s="8"/>
      <c r="D49" s="8"/>
      <c r="E49" s="8"/>
      <c r="F49" s="8"/>
      <c r="G49" s="8"/>
      <c r="H49" s="8"/>
      <c r="I49" s="8"/>
      <c r="J49" s="8"/>
    </row>
    <row r="50" customFormat="false" ht="15" hidden="false" customHeight="false" outlineLevel="0" collapsed="false">
      <c r="A50" s="8"/>
      <c r="B50" s="27"/>
      <c r="C50" s="8"/>
      <c r="D50" s="8"/>
      <c r="E50" s="8"/>
      <c r="F50" s="8"/>
      <c r="G50" s="8"/>
      <c r="H50" s="8"/>
      <c r="I50" s="8"/>
      <c r="J50" s="8"/>
    </row>
    <row r="51" customFormat="false" ht="15" hidden="false" customHeight="false" outlineLevel="0" collapsed="false">
      <c r="A51" s="8"/>
      <c r="B51" s="27"/>
      <c r="C51" s="8"/>
      <c r="D51" s="8"/>
      <c r="E51" s="8"/>
      <c r="F51" s="8"/>
      <c r="G51" s="8"/>
      <c r="H51" s="8"/>
      <c r="I51" s="8"/>
      <c r="J51" s="8"/>
    </row>
    <row r="52" customFormat="false" ht="15" hidden="false" customHeight="false" outlineLevel="0" collapsed="false">
      <c r="A52" s="8"/>
      <c r="B52" s="27"/>
      <c r="C52" s="8"/>
      <c r="D52" s="8"/>
      <c r="E52" s="8"/>
      <c r="F52" s="8"/>
      <c r="G52" s="8"/>
      <c r="H52" s="8"/>
      <c r="I52" s="8"/>
      <c r="J52" s="8"/>
    </row>
    <row r="53" customFormat="false" ht="15" hidden="false" customHeight="false" outlineLevel="0" collapsed="false">
      <c r="A53" s="8"/>
      <c r="B53" s="27"/>
      <c r="C53" s="8"/>
      <c r="D53" s="8"/>
      <c r="E53" s="8"/>
      <c r="F53" s="8"/>
      <c r="G53" s="8"/>
      <c r="H53" s="8"/>
      <c r="I53" s="8"/>
      <c r="J53" s="8"/>
    </row>
    <row r="54" customFormat="false" ht="15" hidden="false" customHeight="false" outlineLevel="0" collapsed="false">
      <c r="A54" s="8"/>
      <c r="B54" s="27"/>
      <c r="C54" s="8"/>
      <c r="D54" s="8"/>
      <c r="E54" s="8"/>
      <c r="F54" s="8"/>
      <c r="G54" s="8"/>
      <c r="H54" s="8"/>
      <c r="I54" s="8"/>
      <c r="J54" s="8"/>
    </row>
    <row r="55" customFormat="false" ht="15" hidden="false" customHeight="false" outlineLevel="0" collapsed="false">
      <c r="A55" s="8"/>
      <c r="B55" s="27"/>
      <c r="C55" s="8"/>
      <c r="D55" s="8"/>
      <c r="E55" s="8"/>
      <c r="F55" s="8"/>
      <c r="G55" s="8"/>
      <c r="H55" s="8"/>
      <c r="I55" s="8"/>
      <c r="J55" s="8"/>
    </row>
    <row r="56" customFormat="false" ht="15" hidden="false" customHeight="false" outlineLevel="0" collapsed="false">
      <c r="A56" s="8"/>
      <c r="B56" s="27"/>
      <c r="C56" s="8"/>
      <c r="D56" s="8"/>
      <c r="E56" s="8"/>
      <c r="F56" s="8"/>
      <c r="G56" s="8"/>
      <c r="H56" s="8"/>
      <c r="I56" s="8"/>
      <c r="J56" s="8"/>
    </row>
    <row r="57" customFormat="false" ht="15" hidden="false" customHeight="false" outlineLevel="0" collapsed="false">
      <c r="A57" s="8"/>
      <c r="B57" s="27"/>
      <c r="C57" s="8"/>
      <c r="D57" s="8"/>
      <c r="E57" s="8"/>
      <c r="F57" s="8"/>
      <c r="G57" s="8"/>
      <c r="H57" s="8"/>
      <c r="I57" s="8"/>
      <c r="J57" s="8"/>
    </row>
    <row r="58" customFormat="false" ht="15" hidden="false" customHeight="false" outlineLevel="0" collapsed="false">
      <c r="A58" s="8"/>
      <c r="B58" s="27"/>
      <c r="C58" s="8"/>
      <c r="D58" s="8"/>
      <c r="E58" s="8"/>
      <c r="F58" s="8"/>
      <c r="G58" s="8"/>
      <c r="H58" s="8"/>
      <c r="I58" s="8"/>
      <c r="J58" s="8"/>
    </row>
    <row r="59" customFormat="false" ht="15" hidden="false" customHeight="false" outlineLevel="0" collapsed="false">
      <c r="A59" s="8"/>
      <c r="B59" s="27"/>
      <c r="C59" s="8"/>
      <c r="D59" s="8"/>
      <c r="E59" s="8"/>
      <c r="F59" s="8"/>
      <c r="G59" s="8"/>
      <c r="H59" s="8"/>
      <c r="I59" s="8"/>
      <c r="J59" s="8"/>
    </row>
    <row r="60" customFormat="false" ht="15" hidden="false" customHeight="false" outlineLevel="0" collapsed="false">
      <c r="A60" s="8"/>
      <c r="B60" s="27"/>
      <c r="C60" s="8"/>
      <c r="D60" s="8"/>
      <c r="E60" s="8"/>
      <c r="F60" s="8"/>
      <c r="G60" s="8"/>
      <c r="H60" s="8"/>
      <c r="I60" s="8"/>
      <c r="J60" s="8"/>
    </row>
    <row r="61" customFormat="false" ht="15" hidden="false" customHeight="false" outlineLevel="0" collapsed="false">
      <c r="A61" s="8"/>
      <c r="B61" s="27"/>
      <c r="C61" s="8"/>
      <c r="D61" s="8"/>
      <c r="E61" s="8"/>
      <c r="F61" s="8"/>
      <c r="G61" s="8"/>
      <c r="H61" s="8"/>
      <c r="I61" s="8"/>
      <c r="J61" s="8"/>
    </row>
    <row r="62" customFormat="false" ht="15" hidden="false" customHeight="false" outlineLevel="0" collapsed="false">
      <c r="A62" s="8"/>
      <c r="B62" s="27"/>
      <c r="C62" s="8"/>
      <c r="D62" s="8"/>
      <c r="E62" s="8"/>
      <c r="F62" s="8"/>
      <c r="G62" s="8"/>
      <c r="H62" s="8"/>
      <c r="I62" s="8"/>
      <c r="J62" s="8"/>
    </row>
    <row r="63" customFormat="false" ht="15" hidden="false" customHeight="false" outlineLevel="0" collapsed="false">
      <c r="A63" s="8"/>
      <c r="B63" s="27"/>
      <c r="C63" s="8"/>
      <c r="D63" s="8"/>
      <c r="E63" s="8"/>
      <c r="F63" s="8"/>
      <c r="G63" s="8"/>
      <c r="H63" s="8"/>
      <c r="I63" s="8"/>
      <c r="J63" s="8"/>
    </row>
    <row r="64" customFormat="false" ht="15" hidden="false" customHeight="false" outlineLevel="0" collapsed="false">
      <c r="A64" s="8"/>
      <c r="B64" s="27"/>
      <c r="C64" s="8"/>
      <c r="D64" s="8"/>
      <c r="E64" s="8"/>
      <c r="F64" s="8"/>
      <c r="G64" s="8"/>
      <c r="H64" s="8"/>
      <c r="I64" s="8"/>
      <c r="J64" s="8"/>
    </row>
    <row r="65" customFormat="false" ht="15" hidden="false" customHeight="false" outlineLevel="0" collapsed="false">
      <c r="A65" s="8"/>
      <c r="B65" s="27"/>
      <c r="C65" s="8"/>
      <c r="D65" s="8"/>
      <c r="E65" s="8"/>
      <c r="F65" s="8"/>
      <c r="G65" s="8"/>
      <c r="H65" s="8"/>
      <c r="I65" s="8"/>
      <c r="J65" s="8"/>
    </row>
    <row r="66" customFormat="false" ht="15" hidden="false" customHeight="false" outlineLevel="0" collapsed="false">
      <c r="A66" s="8"/>
      <c r="B66" s="27"/>
      <c r="C66" s="8"/>
      <c r="D66" s="8"/>
      <c r="E66" s="8"/>
      <c r="F66" s="8"/>
      <c r="G66" s="8"/>
      <c r="H66" s="8"/>
      <c r="I66" s="8"/>
      <c r="J66" s="8"/>
    </row>
    <row r="67" customFormat="false" ht="15" hidden="false" customHeight="false" outlineLevel="0" collapsed="false">
      <c r="A67" s="8"/>
      <c r="B67" s="27"/>
      <c r="C67" s="8"/>
      <c r="D67" s="8"/>
      <c r="E67" s="8"/>
      <c r="F67" s="8"/>
      <c r="G67" s="8"/>
      <c r="H67" s="8"/>
      <c r="I67" s="8"/>
      <c r="J67" s="8"/>
    </row>
    <row r="68" customFormat="false" ht="15" hidden="false" customHeight="false" outlineLevel="0" collapsed="false">
      <c r="A68" s="8"/>
      <c r="B68" s="27"/>
      <c r="C68" s="8"/>
      <c r="D68" s="8"/>
      <c r="E68" s="8"/>
      <c r="F68" s="8"/>
      <c r="G68" s="8"/>
      <c r="H68" s="8"/>
      <c r="I68" s="8"/>
      <c r="J68" s="8"/>
    </row>
    <row r="69" customFormat="false" ht="15" hidden="false" customHeight="false" outlineLevel="0" collapsed="false">
      <c r="A69" s="8"/>
      <c r="B69" s="27"/>
      <c r="C69" s="8"/>
      <c r="D69" s="8"/>
      <c r="E69" s="8"/>
      <c r="F69" s="8"/>
      <c r="G69" s="8"/>
      <c r="H69" s="8"/>
      <c r="I69" s="8"/>
      <c r="J69" s="8"/>
    </row>
    <row r="70" customFormat="false" ht="15" hidden="false" customHeight="false" outlineLevel="0" collapsed="false">
      <c r="A70" s="8"/>
      <c r="B70" s="27"/>
      <c r="C70" s="8"/>
      <c r="D70" s="8"/>
      <c r="E70" s="8"/>
      <c r="F70" s="8"/>
      <c r="G70" s="8"/>
      <c r="H70" s="8"/>
      <c r="I70" s="8"/>
      <c r="J70" s="8"/>
    </row>
    <row r="71" customFormat="false" ht="15" hidden="false" customHeight="false" outlineLevel="0" collapsed="false">
      <c r="A71" s="8"/>
      <c r="B71" s="27"/>
      <c r="C71" s="8"/>
      <c r="D71" s="8"/>
      <c r="E71" s="8"/>
      <c r="F71" s="8"/>
      <c r="G71" s="8"/>
      <c r="H71" s="8"/>
      <c r="I71" s="8"/>
      <c r="J71" s="8"/>
    </row>
    <row r="72" customFormat="false" ht="15" hidden="false" customHeight="false" outlineLevel="0" collapsed="false">
      <c r="A72" s="8"/>
      <c r="B72" s="27"/>
      <c r="C72" s="8"/>
      <c r="D72" s="8"/>
      <c r="E72" s="8"/>
      <c r="F72" s="8"/>
      <c r="G72" s="8"/>
      <c r="H72" s="8"/>
      <c r="I72" s="8"/>
      <c r="J72" s="8"/>
    </row>
    <row r="73" customFormat="false" ht="15" hidden="false" customHeight="false" outlineLevel="0" collapsed="false">
      <c r="A73" s="8"/>
      <c r="B73" s="27"/>
      <c r="C73" s="8"/>
      <c r="D73" s="8"/>
      <c r="E73" s="8"/>
      <c r="F73" s="8"/>
      <c r="G73" s="8"/>
      <c r="H73" s="8"/>
      <c r="I73" s="8"/>
      <c r="J73" s="8"/>
    </row>
    <row r="74" customFormat="false" ht="15" hidden="false" customHeight="false" outlineLevel="0" collapsed="false">
      <c r="A74" s="8"/>
      <c r="B74" s="27"/>
      <c r="C74" s="8"/>
      <c r="D74" s="8"/>
      <c r="E74" s="8"/>
      <c r="F74" s="8"/>
      <c r="G74" s="8"/>
      <c r="H74" s="8"/>
      <c r="I74" s="8"/>
      <c r="J74" s="8"/>
    </row>
    <row r="75" customFormat="false" ht="15" hidden="false" customHeight="false" outlineLevel="0" collapsed="false">
      <c r="A75" s="8"/>
      <c r="B75" s="27"/>
      <c r="C75" s="8"/>
      <c r="D75" s="8"/>
      <c r="E75" s="8"/>
      <c r="F75" s="8"/>
      <c r="G75" s="8"/>
      <c r="H75" s="8"/>
      <c r="I75" s="8"/>
      <c r="J75" s="8"/>
    </row>
    <row r="76" customFormat="false" ht="15" hidden="false" customHeight="false" outlineLevel="0" collapsed="false">
      <c r="A76" s="8"/>
      <c r="B76" s="27"/>
      <c r="C76" s="8"/>
      <c r="D76" s="8"/>
      <c r="E76" s="8"/>
      <c r="F76" s="8"/>
      <c r="G76" s="8"/>
      <c r="H76" s="8"/>
      <c r="I76" s="8"/>
      <c r="J76" s="8"/>
    </row>
    <row r="77" customFormat="false" ht="15" hidden="false" customHeight="false" outlineLevel="0" collapsed="false">
      <c r="A77" s="8"/>
      <c r="B77" s="27"/>
      <c r="C77" s="8"/>
      <c r="D77" s="8"/>
      <c r="E77" s="8"/>
      <c r="F77" s="8"/>
      <c r="G77" s="8"/>
      <c r="H77" s="8"/>
      <c r="I77" s="8"/>
      <c r="J77" s="8"/>
    </row>
    <row r="78" customFormat="false" ht="15" hidden="false" customHeight="false" outlineLevel="0" collapsed="false">
      <c r="A78" s="8"/>
      <c r="B78" s="27"/>
      <c r="C78" s="8"/>
      <c r="D78" s="8"/>
      <c r="E78" s="8"/>
      <c r="F78" s="8"/>
      <c r="G78" s="8"/>
      <c r="H78" s="8"/>
      <c r="I78" s="8"/>
      <c r="J78" s="8"/>
    </row>
    <row r="79" customFormat="false" ht="15" hidden="false" customHeight="false" outlineLevel="0" collapsed="false">
      <c r="A79" s="8"/>
      <c r="B79" s="27"/>
      <c r="C79" s="8"/>
      <c r="D79" s="8"/>
      <c r="E79" s="8"/>
      <c r="F79" s="8"/>
      <c r="G79" s="8"/>
      <c r="H79" s="8"/>
      <c r="I79" s="8"/>
      <c r="J79" s="8"/>
    </row>
    <row r="80" customFormat="false" ht="15" hidden="false" customHeight="false" outlineLevel="0" collapsed="false">
      <c r="A80" s="8"/>
      <c r="B80" s="27"/>
      <c r="C80" s="8"/>
      <c r="D80" s="8"/>
      <c r="E80" s="8"/>
      <c r="F80" s="8"/>
      <c r="G80" s="8"/>
      <c r="H80" s="8"/>
      <c r="I80" s="8"/>
      <c r="J80" s="8"/>
    </row>
    <row r="81" customFormat="false" ht="15" hidden="false" customHeight="false" outlineLevel="0" collapsed="false">
      <c r="A81" s="8"/>
      <c r="B81" s="27"/>
      <c r="C81" s="8"/>
      <c r="D81" s="8"/>
      <c r="E81" s="8"/>
      <c r="F81" s="8"/>
      <c r="G81" s="8"/>
      <c r="H81" s="8"/>
      <c r="I81" s="8"/>
      <c r="J81" s="8"/>
    </row>
    <row r="82" customFormat="false" ht="15" hidden="false" customHeight="false" outlineLevel="0" collapsed="false">
      <c r="A82" s="8"/>
      <c r="B82" s="27"/>
      <c r="C82" s="8"/>
      <c r="D82" s="8"/>
      <c r="E82" s="8"/>
      <c r="F82" s="8"/>
      <c r="G82" s="8"/>
      <c r="H82" s="8"/>
      <c r="I82" s="8"/>
      <c r="J82" s="8"/>
    </row>
    <row r="83" customFormat="false" ht="15" hidden="false" customHeight="false" outlineLevel="0" collapsed="false">
      <c r="A83" s="8"/>
      <c r="B83" s="27"/>
      <c r="C83" s="8"/>
      <c r="D83" s="8"/>
      <c r="E83" s="8"/>
      <c r="F83" s="8"/>
      <c r="G83" s="8"/>
      <c r="H83" s="8"/>
      <c r="I83" s="8"/>
      <c r="J83" s="8"/>
    </row>
    <row r="84" customFormat="false" ht="15" hidden="false" customHeight="false" outlineLevel="0" collapsed="false">
      <c r="A84" s="8"/>
      <c r="B84" s="27"/>
      <c r="C84" s="8"/>
      <c r="D84" s="8"/>
      <c r="E84" s="8"/>
      <c r="F84" s="8"/>
      <c r="G84" s="8"/>
      <c r="H84" s="8"/>
      <c r="I84" s="8"/>
      <c r="J84" s="8"/>
    </row>
    <row r="85" customFormat="false" ht="15" hidden="false" customHeight="false" outlineLevel="0" collapsed="false">
      <c r="A85" s="8"/>
      <c r="B85" s="27"/>
      <c r="C85" s="8"/>
      <c r="D85" s="8"/>
      <c r="E85" s="8"/>
      <c r="F85" s="8"/>
      <c r="G85" s="8"/>
      <c r="H85" s="8"/>
      <c r="I85" s="8"/>
      <c r="J85" s="8"/>
    </row>
    <row r="86" customFormat="false" ht="15" hidden="false" customHeight="false" outlineLevel="0" collapsed="false">
      <c r="A86" s="8"/>
      <c r="B86" s="27"/>
      <c r="C86" s="8"/>
      <c r="D86" s="8"/>
      <c r="E86" s="8"/>
      <c r="F86" s="8"/>
      <c r="G86" s="8"/>
      <c r="H86" s="8"/>
      <c r="I86" s="8"/>
      <c r="J86" s="8"/>
    </row>
    <row r="87" customFormat="false" ht="15" hidden="false" customHeight="false" outlineLevel="0" collapsed="false">
      <c r="A87" s="8"/>
      <c r="B87" s="27"/>
      <c r="C87" s="8"/>
      <c r="D87" s="8"/>
      <c r="E87" s="8"/>
      <c r="F87" s="8"/>
      <c r="G87" s="8"/>
      <c r="H87" s="8"/>
      <c r="I87" s="8"/>
      <c r="J87" s="8"/>
    </row>
    <row r="88" customFormat="false" ht="15" hidden="false" customHeight="false" outlineLevel="0" collapsed="false">
      <c r="A88" s="8"/>
      <c r="B88" s="27"/>
      <c r="C88" s="8"/>
      <c r="D88" s="8"/>
      <c r="E88" s="8"/>
      <c r="F88" s="8"/>
      <c r="G88" s="8"/>
      <c r="H88" s="8"/>
      <c r="I88" s="8"/>
      <c r="J88" s="8"/>
    </row>
    <row r="89" customFormat="false" ht="15" hidden="false" customHeight="false" outlineLevel="0" collapsed="false">
      <c r="A89" s="8"/>
      <c r="B89" s="27"/>
      <c r="C89" s="8"/>
      <c r="D89" s="8"/>
      <c r="E89" s="8"/>
      <c r="F89" s="8"/>
      <c r="G89" s="8"/>
      <c r="H89" s="8"/>
      <c r="I89" s="8"/>
      <c r="J89" s="8"/>
    </row>
    <row r="90" customFormat="false" ht="15" hidden="false" customHeight="false" outlineLevel="0" collapsed="false">
      <c r="A90" s="8"/>
      <c r="B90" s="27"/>
      <c r="C90" s="8"/>
      <c r="D90" s="8"/>
      <c r="E90" s="8"/>
      <c r="F90" s="8"/>
      <c r="G90" s="8"/>
      <c r="H90" s="8"/>
      <c r="I90" s="8"/>
      <c r="J90" s="8"/>
    </row>
    <row r="91" customFormat="false" ht="15" hidden="false" customHeight="false" outlineLevel="0" collapsed="false">
      <c r="A91" s="8"/>
      <c r="B91" s="27"/>
      <c r="C91" s="8"/>
      <c r="D91" s="8"/>
      <c r="E91" s="8"/>
      <c r="F91" s="8"/>
      <c r="G91" s="8"/>
      <c r="H91" s="8"/>
      <c r="I91" s="8"/>
      <c r="J91" s="8"/>
    </row>
    <row r="92" customFormat="false" ht="15" hidden="false" customHeight="false" outlineLevel="0" collapsed="false">
      <c r="A92" s="8"/>
      <c r="B92" s="27"/>
      <c r="C92" s="8"/>
      <c r="D92" s="8"/>
      <c r="E92" s="8"/>
      <c r="F92" s="8"/>
      <c r="G92" s="8"/>
      <c r="H92" s="8"/>
      <c r="I92" s="8"/>
      <c r="J92" s="8"/>
    </row>
    <row r="93" customFormat="false" ht="15" hidden="false" customHeight="false" outlineLevel="0" collapsed="false">
      <c r="A93" s="8"/>
      <c r="B93" s="27"/>
      <c r="C93" s="8"/>
      <c r="D93" s="8"/>
      <c r="E93" s="8"/>
      <c r="F93" s="8"/>
      <c r="G93" s="8"/>
      <c r="H93" s="8"/>
      <c r="I93" s="8"/>
      <c r="J93" s="8"/>
    </row>
    <row r="94" customFormat="false" ht="15" hidden="false" customHeight="false" outlineLevel="0" collapsed="false">
      <c r="A94" s="8"/>
      <c r="B94" s="27"/>
      <c r="C94" s="8"/>
      <c r="D94" s="8"/>
      <c r="E94" s="8"/>
      <c r="F94" s="8"/>
      <c r="G94" s="8"/>
      <c r="H94" s="8"/>
      <c r="I94" s="8"/>
      <c r="J94" s="8"/>
    </row>
    <row r="95" customFormat="false" ht="15" hidden="false" customHeight="false" outlineLevel="0" collapsed="false">
      <c r="A95" s="8"/>
      <c r="B95" s="27"/>
      <c r="C95" s="8"/>
      <c r="D95" s="8"/>
      <c r="E95" s="8"/>
      <c r="F95" s="8"/>
      <c r="G95" s="8"/>
      <c r="H95" s="8"/>
      <c r="I95" s="8"/>
      <c r="J95" s="8"/>
    </row>
    <row r="96" customFormat="false" ht="15" hidden="false" customHeight="false" outlineLevel="0" collapsed="false">
      <c r="A96" s="8"/>
      <c r="B96" s="27"/>
      <c r="C96" s="8"/>
      <c r="D96" s="8"/>
      <c r="E96" s="8"/>
      <c r="F96" s="8"/>
      <c r="G96" s="8"/>
      <c r="H96" s="8"/>
      <c r="I96" s="8"/>
      <c r="J96" s="8"/>
    </row>
    <row r="97" customFormat="false" ht="15" hidden="false" customHeight="false" outlineLevel="0" collapsed="false">
      <c r="A97" s="8"/>
      <c r="B97" s="27"/>
      <c r="C97" s="8"/>
      <c r="D97" s="8"/>
      <c r="E97" s="8"/>
      <c r="F97" s="8"/>
      <c r="G97" s="8"/>
      <c r="H97" s="8"/>
      <c r="I97" s="8"/>
      <c r="J97" s="8"/>
    </row>
    <row r="98" customFormat="false" ht="15" hidden="false" customHeight="false" outlineLevel="0" collapsed="false">
      <c r="A98" s="8"/>
      <c r="B98" s="27"/>
      <c r="C98" s="8"/>
      <c r="D98" s="8"/>
      <c r="E98" s="8"/>
      <c r="F98" s="8"/>
      <c r="G98" s="8"/>
      <c r="H98" s="8"/>
      <c r="I98" s="8"/>
      <c r="J98" s="8"/>
    </row>
    <row r="99" customFormat="false" ht="15" hidden="false" customHeight="false" outlineLevel="0" collapsed="false">
      <c r="A99" s="8"/>
      <c r="B99" s="27"/>
      <c r="C99" s="8"/>
      <c r="D99" s="8"/>
      <c r="E99" s="8"/>
      <c r="F99" s="8"/>
      <c r="G99" s="8"/>
      <c r="H99" s="8"/>
      <c r="I99" s="8"/>
      <c r="J99" s="8"/>
    </row>
    <row r="100" customFormat="false" ht="15" hidden="false" customHeight="false" outlineLevel="0" collapsed="false">
      <c r="A100" s="8"/>
      <c r="B100" s="27"/>
      <c r="C100" s="8"/>
      <c r="D100" s="8"/>
      <c r="E100" s="8"/>
      <c r="F100" s="8"/>
      <c r="G100" s="8"/>
      <c r="H100" s="8"/>
      <c r="I100" s="8"/>
      <c r="J100" s="8"/>
    </row>
    <row r="101" customFormat="false" ht="15" hidden="false" customHeight="false" outlineLevel="0" collapsed="false">
      <c r="A101" s="8"/>
      <c r="B101" s="27"/>
      <c r="C101" s="8"/>
      <c r="D101" s="8"/>
      <c r="E101" s="8"/>
      <c r="F101" s="8"/>
      <c r="G101" s="8"/>
      <c r="H101" s="8"/>
      <c r="I101" s="8"/>
      <c r="J101" s="8"/>
    </row>
    <row r="102" customFormat="false" ht="15" hidden="false" customHeight="false" outlineLevel="0" collapsed="false">
      <c r="A102" s="8"/>
      <c r="B102" s="27"/>
      <c r="C102" s="8"/>
      <c r="D102" s="8"/>
      <c r="E102" s="8"/>
      <c r="F102" s="8"/>
      <c r="G102" s="8"/>
      <c r="H102" s="8"/>
      <c r="I102" s="8"/>
      <c r="J102" s="8"/>
    </row>
    <row r="103" customFormat="false" ht="15" hidden="false" customHeight="false" outlineLevel="0" collapsed="false">
      <c r="A103" s="8"/>
      <c r="B103" s="27"/>
      <c r="C103" s="8"/>
      <c r="D103" s="8"/>
      <c r="E103" s="8"/>
      <c r="F103" s="8"/>
      <c r="G103" s="8"/>
      <c r="H103" s="8"/>
      <c r="I103" s="8"/>
      <c r="J103" s="8"/>
    </row>
    <row r="104" customFormat="false" ht="15" hidden="false" customHeight="false" outlineLevel="0" collapsed="false">
      <c r="A104" s="8"/>
      <c r="B104" s="27"/>
      <c r="C104" s="8"/>
      <c r="D104" s="8"/>
      <c r="E104" s="8"/>
      <c r="F104" s="8"/>
      <c r="G104" s="8"/>
      <c r="H104" s="8"/>
      <c r="I104" s="8"/>
      <c r="J104" s="8"/>
    </row>
    <row r="105" customFormat="false" ht="15" hidden="false" customHeight="false" outlineLevel="0" collapsed="false">
      <c r="A105" s="8"/>
      <c r="B105" s="27"/>
      <c r="C105" s="8"/>
      <c r="D105" s="8"/>
      <c r="E105" s="8"/>
      <c r="F105" s="8"/>
      <c r="G105" s="8"/>
      <c r="H105" s="8"/>
      <c r="I105" s="8"/>
      <c r="J105" s="8"/>
    </row>
    <row r="106" customFormat="false" ht="15" hidden="false" customHeight="false" outlineLevel="0" collapsed="false">
      <c r="A106" s="8"/>
      <c r="B106" s="27"/>
      <c r="C106" s="8"/>
      <c r="D106" s="8"/>
      <c r="E106" s="8"/>
      <c r="F106" s="8"/>
      <c r="G106" s="8"/>
      <c r="H106" s="8"/>
      <c r="I106" s="8"/>
      <c r="J106" s="8"/>
    </row>
    <row r="107" customFormat="false" ht="15" hidden="false" customHeight="false" outlineLevel="0" collapsed="false">
      <c r="A107" s="8"/>
      <c r="B107" s="27"/>
      <c r="C107" s="8"/>
      <c r="D107" s="8"/>
      <c r="E107" s="8"/>
      <c r="F107" s="8"/>
      <c r="G107" s="8"/>
      <c r="H107" s="8"/>
      <c r="I107" s="8"/>
      <c r="J107" s="8"/>
    </row>
    <row r="108" customFormat="false" ht="15" hidden="false" customHeight="false" outlineLevel="0" collapsed="false">
      <c r="A108" s="8"/>
      <c r="B108" s="27"/>
      <c r="C108" s="8"/>
      <c r="D108" s="8"/>
      <c r="E108" s="8"/>
      <c r="F108" s="8"/>
      <c r="G108" s="8"/>
      <c r="H108" s="8"/>
      <c r="I108" s="8"/>
      <c r="J108" s="8"/>
    </row>
    <row r="109" customFormat="false" ht="15" hidden="false" customHeight="false" outlineLevel="0" collapsed="false">
      <c r="A109" s="8"/>
      <c r="B109" s="27"/>
      <c r="C109" s="8"/>
      <c r="D109" s="8"/>
      <c r="E109" s="8"/>
      <c r="F109" s="8"/>
      <c r="G109" s="8"/>
      <c r="H109" s="8"/>
      <c r="I109" s="8"/>
      <c r="J109" s="8"/>
    </row>
    <row r="110" customFormat="false" ht="15" hidden="false" customHeight="false" outlineLevel="0" collapsed="false">
      <c r="A110" s="8"/>
      <c r="B110" s="27"/>
      <c r="C110" s="8"/>
      <c r="D110" s="8"/>
      <c r="E110" s="8"/>
      <c r="F110" s="8"/>
      <c r="G110" s="8"/>
      <c r="H110" s="8"/>
      <c r="I110" s="8"/>
      <c r="J110" s="8"/>
    </row>
    <row r="111" customFormat="false" ht="15" hidden="false" customHeight="false" outlineLevel="0" collapsed="false">
      <c r="A111" s="8"/>
      <c r="B111" s="27"/>
      <c r="C111" s="8"/>
      <c r="D111" s="8"/>
      <c r="E111" s="8"/>
      <c r="F111" s="8"/>
      <c r="G111" s="8"/>
      <c r="H111" s="8"/>
      <c r="I111" s="8"/>
      <c r="J111" s="8"/>
    </row>
    <row r="112" customFormat="false" ht="15" hidden="false" customHeight="false" outlineLevel="0" collapsed="false">
      <c r="A112" s="8"/>
      <c r="B112" s="27"/>
      <c r="C112" s="8"/>
      <c r="D112" s="8"/>
      <c r="E112" s="8"/>
      <c r="F112" s="8"/>
      <c r="G112" s="8"/>
      <c r="H112" s="8"/>
      <c r="I112" s="8"/>
      <c r="J112" s="8"/>
    </row>
    <row r="113" customFormat="false" ht="15" hidden="false" customHeight="false" outlineLevel="0" collapsed="false">
      <c r="A113" s="8"/>
      <c r="B113" s="27"/>
      <c r="C113" s="8"/>
      <c r="D113" s="8"/>
      <c r="E113" s="8"/>
      <c r="F113" s="8"/>
      <c r="G113" s="8"/>
      <c r="H113" s="8"/>
      <c r="I113" s="8"/>
      <c r="J113" s="8"/>
    </row>
    <row r="114" customFormat="false" ht="15" hidden="false" customHeight="false" outlineLevel="0" collapsed="false">
      <c r="A114" s="8"/>
      <c r="B114" s="27"/>
      <c r="C114" s="8"/>
      <c r="D114" s="8"/>
      <c r="E114" s="8"/>
      <c r="F114" s="8"/>
      <c r="G114" s="8"/>
      <c r="H114" s="8"/>
      <c r="I114" s="8"/>
      <c r="J114" s="8"/>
    </row>
    <row r="115" customFormat="false" ht="15" hidden="false" customHeight="false" outlineLevel="0" collapsed="false">
      <c r="A115" s="8"/>
      <c r="B115" s="27"/>
      <c r="C115" s="8"/>
      <c r="D115" s="8"/>
      <c r="E115" s="8"/>
      <c r="F115" s="8"/>
      <c r="G115" s="8"/>
      <c r="H115" s="8"/>
      <c r="I115" s="8"/>
      <c r="J115" s="8"/>
    </row>
    <row r="116" customFormat="false" ht="15" hidden="false" customHeight="false" outlineLevel="0" collapsed="false">
      <c r="A116" s="8"/>
      <c r="B116" s="27"/>
      <c r="C116" s="8"/>
      <c r="D116" s="8"/>
      <c r="E116" s="8"/>
      <c r="F116" s="8"/>
      <c r="G116" s="8"/>
      <c r="H116" s="8"/>
      <c r="I116" s="8"/>
      <c r="J116" s="8"/>
    </row>
    <row r="117" customFormat="false" ht="15" hidden="false" customHeight="false" outlineLevel="0" collapsed="false">
      <c r="A117" s="8"/>
      <c r="B117" s="27"/>
      <c r="C117" s="8"/>
      <c r="D117" s="8"/>
      <c r="E117" s="8"/>
      <c r="F117" s="8"/>
      <c r="G117" s="8"/>
      <c r="H117" s="8"/>
      <c r="I117" s="8"/>
      <c r="J117" s="8"/>
    </row>
    <row r="118" customFormat="false" ht="15" hidden="false" customHeight="false" outlineLevel="0" collapsed="false">
      <c r="A118" s="8"/>
      <c r="B118" s="27"/>
      <c r="C118" s="8"/>
      <c r="D118" s="8"/>
      <c r="E118" s="8"/>
      <c r="F118" s="8"/>
      <c r="G118" s="8"/>
      <c r="H118" s="8"/>
      <c r="I118" s="8"/>
      <c r="J118" s="8"/>
    </row>
    <row r="119" customFormat="false" ht="15" hidden="false" customHeight="false" outlineLevel="0" collapsed="false">
      <c r="A119" s="8"/>
      <c r="B119" s="27"/>
      <c r="C119" s="8"/>
      <c r="D119" s="8"/>
      <c r="E119" s="8"/>
      <c r="F119" s="8"/>
      <c r="G119" s="8"/>
      <c r="H119" s="8"/>
      <c r="I119" s="8"/>
      <c r="J119" s="8"/>
    </row>
    <row r="120" customFormat="false" ht="15" hidden="false" customHeight="false" outlineLevel="0" collapsed="false">
      <c r="A120" s="8"/>
      <c r="B120" s="27"/>
      <c r="C120" s="8"/>
      <c r="D120" s="8"/>
      <c r="E120" s="8"/>
      <c r="F120" s="8"/>
      <c r="G120" s="8"/>
      <c r="H120" s="8"/>
      <c r="I120" s="8"/>
      <c r="J120" s="8"/>
    </row>
    <row r="121" customFormat="false" ht="15" hidden="false" customHeight="false" outlineLevel="0" collapsed="false">
      <c r="A121" s="8"/>
      <c r="B121" s="27"/>
      <c r="C121" s="8"/>
      <c r="D121" s="8"/>
      <c r="E121" s="8"/>
      <c r="F121" s="8"/>
      <c r="G121" s="8"/>
      <c r="H121" s="8"/>
      <c r="I121" s="8"/>
      <c r="J121" s="8"/>
    </row>
    <row r="122" customFormat="false" ht="15" hidden="false" customHeight="false" outlineLevel="0" collapsed="false">
      <c r="A122" s="8"/>
      <c r="B122" s="27"/>
      <c r="C122" s="8"/>
      <c r="D122" s="8"/>
      <c r="E122" s="8"/>
      <c r="F122" s="8"/>
      <c r="G122" s="8"/>
      <c r="H122" s="8"/>
      <c r="I122" s="8"/>
      <c r="J122" s="8"/>
    </row>
    <row r="123" customFormat="false" ht="15" hidden="false" customHeight="false" outlineLevel="0" collapsed="false">
      <c r="A123" s="8"/>
      <c r="B123" s="27"/>
      <c r="C123" s="8"/>
      <c r="D123" s="8"/>
      <c r="E123" s="8"/>
      <c r="F123" s="8"/>
      <c r="G123" s="8"/>
      <c r="H123" s="8"/>
      <c r="I123" s="8"/>
      <c r="J123" s="8"/>
    </row>
    <row r="124" customFormat="false" ht="15" hidden="false" customHeight="false" outlineLevel="0" collapsed="false">
      <c r="A124" s="8"/>
      <c r="B124" s="27"/>
      <c r="C124" s="8"/>
      <c r="D124" s="8"/>
      <c r="E124" s="8"/>
      <c r="F124" s="8"/>
      <c r="G124" s="8"/>
      <c r="H124" s="8"/>
      <c r="I124" s="8"/>
      <c r="J124" s="8"/>
    </row>
    <row r="125" customFormat="false" ht="15" hidden="false" customHeight="false" outlineLevel="0" collapsed="false">
      <c r="A125" s="8"/>
      <c r="B125" s="27"/>
      <c r="C125" s="8"/>
      <c r="D125" s="8"/>
      <c r="E125" s="8"/>
      <c r="F125" s="8"/>
      <c r="G125" s="8"/>
      <c r="H125" s="8"/>
      <c r="I125" s="8"/>
      <c r="J125" s="8"/>
    </row>
    <row r="126" customFormat="false" ht="15" hidden="false" customHeight="false" outlineLevel="0" collapsed="false">
      <c r="A126" s="8"/>
      <c r="B126" s="27"/>
      <c r="C126" s="8"/>
      <c r="D126" s="8"/>
      <c r="E126" s="8"/>
      <c r="F126" s="8"/>
      <c r="G126" s="8"/>
      <c r="H126" s="8"/>
      <c r="I126" s="8"/>
      <c r="J126" s="8"/>
    </row>
    <row r="127" customFormat="false" ht="15" hidden="false" customHeight="false" outlineLevel="0" collapsed="false">
      <c r="A127" s="8"/>
      <c r="B127" s="27"/>
      <c r="C127" s="8"/>
      <c r="D127" s="8"/>
      <c r="E127" s="8"/>
      <c r="F127" s="8"/>
      <c r="G127" s="8"/>
      <c r="H127" s="8"/>
      <c r="I127" s="8"/>
      <c r="J127" s="8"/>
    </row>
    <row r="128" customFormat="false" ht="15" hidden="false" customHeight="false" outlineLevel="0" collapsed="false">
      <c r="A128" s="8"/>
      <c r="B128" s="27"/>
      <c r="C128" s="8"/>
      <c r="D128" s="8"/>
      <c r="E128" s="8"/>
      <c r="F128" s="8"/>
      <c r="G128" s="8"/>
      <c r="H128" s="8"/>
      <c r="I128" s="8"/>
      <c r="J128" s="8"/>
    </row>
    <row r="129" customFormat="false" ht="15" hidden="false" customHeight="false" outlineLevel="0" collapsed="false">
      <c r="A129" s="8"/>
      <c r="B129" s="27"/>
      <c r="C129" s="8"/>
      <c r="D129" s="8"/>
      <c r="E129" s="8"/>
      <c r="F129" s="8"/>
      <c r="G129" s="8"/>
      <c r="H129" s="8"/>
      <c r="I129" s="8"/>
      <c r="J129" s="8"/>
    </row>
    <row r="130" customFormat="false" ht="15" hidden="false" customHeight="false" outlineLevel="0" collapsed="false">
      <c r="A130" s="8"/>
      <c r="B130" s="27"/>
      <c r="C130" s="8"/>
      <c r="D130" s="8"/>
      <c r="E130" s="8"/>
      <c r="F130" s="8"/>
      <c r="G130" s="8"/>
      <c r="H130" s="8"/>
      <c r="I130" s="8"/>
      <c r="J130" s="8"/>
    </row>
    <row r="131" customFormat="false" ht="15" hidden="false" customHeight="false" outlineLevel="0" collapsed="false">
      <c r="A131" s="8"/>
      <c r="B131" s="27"/>
      <c r="C131" s="8"/>
      <c r="D131" s="8"/>
      <c r="E131" s="8"/>
      <c r="F131" s="8"/>
      <c r="G131" s="8"/>
      <c r="H131" s="8"/>
      <c r="I131" s="8"/>
      <c r="J131" s="8"/>
    </row>
    <row r="132" customFormat="false" ht="15" hidden="false" customHeight="false" outlineLevel="0" collapsed="false">
      <c r="A132" s="8"/>
      <c r="B132" s="27"/>
      <c r="C132" s="8"/>
      <c r="D132" s="8"/>
      <c r="E132" s="8"/>
      <c r="F132" s="8"/>
      <c r="G132" s="8"/>
      <c r="H132" s="8"/>
      <c r="I132" s="8"/>
      <c r="J132" s="8"/>
    </row>
    <row r="133" customFormat="false" ht="15" hidden="false" customHeight="false" outlineLevel="0" collapsed="false">
      <c r="A133" s="8"/>
      <c r="B133" s="27"/>
      <c r="C133" s="8"/>
      <c r="D133" s="8"/>
      <c r="E133" s="8"/>
      <c r="F133" s="8"/>
      <c r="G133" s="8"/>
      <c r="H133" s="8"/>
      <c r="I133" s="8"/>
      <c r="J133" s="8"/>
    </row>
    <row r="134" customFormat="false" ht="15" hidden="false" customHeight="false" outlineLevel="0" collapsed="false">
      <c r="A134" s="8"/>
      <c r="B134" s="27"/>
      <c r="C134" s="8"/>
      <c r="D134" s="8"/>
      <c r="E134" s="8"/>
      <c r="F134" s="8"/>
      <c r="G134" s="8"/>
      <c r="H134" s="8"/>
      <c r="I134" s="8"/>
      <c r="J134" s="8"/>
    </row>
    <row r="135" customFormat="false" ht="15" hidden="false" customHeight="false" outlineLevel="0" collapsed="false">
      <c r="A135" s="8"/>
      <c r="B135" s="27"/>
      <c r="C135" s="8"/>
      <c r="D135" s="8"/>
      <c r="E135" s="8"/>
      <c r="F135" s="8"/>
      <c r="G135" s="8"/>
      <c r="H135" s="8"/>
      <c r="I135" s="8"/>
      <c r="J135" s="8"/>
    </row>
    <row r="136" customFormat="false" ht="15" hidden="false" customHeight="false" outlineLevel="0" collapsed="false">
      <c r="A136" s="8"/>
      <c r="B136" s="27"/>
      <c r="C136" s="8"/>
      <c r="D136" s="8"/>
      <c r="E136" s="8"/>
      <c r="F136" s="8"/>
      <c r="G136" s="8"/>
      <c r="H136" s="8"/>
      <c r="I136" s="8"/>
      <c r="J136" s="8"/>
    </row>
    <row r="137" customFormat="false" ht="15" hidden="false" customHeight="false" outlineLevel="0" collapsed="false">
      <c r="A137" s="8"/>
      <c r="B137" s="27"/>
      <c r="C137" s="8"/>
      <c r="D137" s="8"/>
      <c r="E137" s="8"/>
      <c r="F137" s="8"/>
      <c r="G137" s="8"/>
      <c r="H137" s="8"/>
      <c r="I137" s="8"/>
      <c r="J137" s="8"/>
    </row>
    <row r="138" customFormat="false" ht="15" hidden="false" customHeight="false" outlineLevel="0" collapsed="false">
      <c r="A138" s="8"/>
      <c r="B138" s="27"/>
      <c r="C138" s="8"/>
      <c r="D138" s="8"/>
      <c r="E138" s="8"/>
      <c r="F138" s="8"/>
      <c r="G138" s="8"/>
      <c r="H138" s="8"/>
      <c r="I138" s="8"/>
      <c r="J138" s="8"/>
    </row>
    <row r="139" customFormat="false" ht="15" hidden="false" customHeight="false" outlineLevel="0" collapsed="false">
      <c r="A139" s="8"/>
      <c r="B139" s="27"/>
      <c r="C139" s="8"/>
      <c r="D139" s="8"/>
      <c r="E139" s="8"/>
      <c r="F139" s="8"/>
      <c r="G139" s="8"/>
      <c r="H139" s="8"/>
      <c r="I139" s="8"/>
      <c r="J139" s="8"/>
    </row>
    <row r="140" customFormat="false" ht="15" hidden="false" customHeight="false" outlineLevel="0" collapsed="false">
      <c r="A140" s="8"/>
      <c r="B140" s="27"/>
      <c r="C140" s="8"/>
      <c r="D140" s="8"/>
      <c r="E140" s="8"/>
      <c r="F140" s="8"/>
      <c r="G140" s="8"/>
      <c r="H140" s="8"/>
      <c r="I140" s="8"/>
      <c r="J140" s="8"/>
    </row>
    <row r="141" customFormat="false" ht="15" hidden="false" customHeight="false" outlineLevel="0" collapsed="false">
      <c r="A141" s="8"/>
      <c r="B141" s="27"/>
      <c r="C141" s="8"/>
      <c r="D141" s="8"/>
      <c r="E141" s="8"/>
      <c r="F141" s="8"/>
      <c r="G141" s="8"/>
      <c r="H141" s="8"/>
      <c r="I141" s="8"/>
      <c r="J141" s="8"/>
    </row>
    <row r="142" customFormat="false" ht="15" hidden="false" customHeight="false" outlineLevel="0" collapsed="false">
      <c r="A142" s="8"/>
      <c r="B142" s="27"/>
      <c r="C142" s="8"/>
      <c r="D142" s="8"/>
      <c r="E142" s="8"/>
      <c r="F142" s="8"/>
      <c r="G142" s="8"/>
      <c r="H142" s="8"/>
      <c r="I142" s="8"/>
      <c r="J142" s="8"/>
    </row>
    <row r="143" customFormat="false" ht="15" hidden="false" customHeight="false" outlineLevel="0" collapsed="false">
      <c r="A143" s="8"/>
      <c r="B143" s="27"/>
      <c r="C143" s="8"/>
      <c r="D143" s="8"/>
      <c r="E143" s="8"/>
      <c r="F143" s="8"/>
      <c r="G143" s="8"/>
      <c r="H143" s="8"/>
      <c r="I143" s="8"/>
      <c r="J143" s="8"/>
    </row>
    <row r="144" customFormat="false" ht="15" hidden="false" customHeight="false" outlineLevel="0" collapsed="false">
      <c r="A144" s="8"/>
      <c r="B144" s="27"/>
      <c r="C144" s="8"/>
      <c r="D144" s="8"/>
      <c r="E144" s="8"/>
      <c r="F144" s="8"/>
      <c r="G144" s="8"/>
      <c r="H144" s="8"/>
      <c r="I144" s="8"/>
      <c r="J144" s="8"/>
    </row>
    <row r="145" customFormat="false" ht="15" hidden="false" customHeight="false" outlineLevel="0" collapsed="false">
      <c r="A145" s="8"/>
      <c r="B145" s="27"/>
      <c r="C145" s="8"/>
      <c r="D145" s="8"/>
      <c r="E145" s="8"/>
      <c r="F145" s="8"/>
      <c r="G145" s="8"/>
      <c r="H145" s="8"/>
      <c r="I145" s="8"/>
      <c r="J145" s="8"/>
    </row>
    <row r="146" customFormat="false" ht="15" hidden="false" customHeight="false" outlineLevel="0" collapsed="false">
      <c r="A146" s="8"/>
      <c r="B146" s="27"/>
      <c r="C146" s="8"/>
      <c r="D146" s="8"/>
      <c r="E146" s="8"/>
      <c r="F146" s="8"/>
      <c r="G146" s="8"/>
      <c r="H146" s="8"/>
      <c r="I146" s="8"/>
      <c r="J146" s="8"/>
    </row>
    <row r="147" customFormat="false" ht="15" hidden="false" customHeight="false" outlineLevel="0" collapsed="false">
      <c r="A147" s="8"/>
      <c r="B147" s="27"/>
      <c r="C147" s="8"/>
      <c r="D147" s="8"/>
      <c r="E147" s="8"/>
      <c r="F147" s="8"/>
      <c r="G147" s="8"/>
      <c r="H147" s="8"/>
      <c r="I147" s="8"/>
      <c r="J147" s="8"/>
    </row>
    <row r="148" customFormat="false" ht="15" hidden="false" customHeight="false" outlineLevel="0" collapsed="false">
      <c r="A148" s="8"/>
      <c r="B148" s="27"/>
      <c r="C148" s="8"/>
      <c r="D148" s="8"/>
      <c r="E148" s="8"/>
      <c r="F148" s="8"/>
      <c r="G148" s="8"/>
      <c r="H148" s="8"/>
      <c r="I148" s="8"/>
      <c r="J148" s="8"/>
    </row>
    <row r="149" customFormat="false" ht="15" hidden="false" customHeight="false" outlineLevel="0" collapsed="false">
      <c r="A149" s="8"/>
      <c r="B149" s="27"/>
      <c r="C149" s="8"/>
      <c r="D149" s="8"/>
      <c r="E149" s="8"/>
      <c r="F149" s="8"/>
      <c r="G149" s="8"/>
      <c r="H149" s="8"/>
      <c r="I149" s="8"/>
      <c r="J149" s="8"/>
    </row>
    <row r="150" customFormat="false" ht="15" hidden="false" customHeight="false" outlineLevel="0" collapsed="false">
      <c r="A150" s="8"/>
      <c r="B150" s="27"/>
      <c r="C150" s="8"/>
      <c r="D150" s="8"/>
      <c r="E150" s="8"/>
      <c r="F150" s="8"/>
      <c r="G150" s="8"/>
      <c r="H150" s="8"/>
      <c r="I150" s="8"/>
      <c r="J150" s="8"/>
    </row>
    <row r="151" customFormat="false" ht="15" hidden="false" customHeight="false" outlineLevel="0" collapsed="false">
      <c r="A151" s="8"/>
      <c r="B151" s="27"/>
      <c r="C151" s="8"/>
      <c r="D151" s="8"/>
      <c r="E151" s="8"/>
      <c r="F151" s="8"/>
      <c r="G151" s="8"/>
      <c r="H151" s="8"/>
      <c r="I151" s="8"/>
      <c r="J151" s="8"/>
    </row>
    <row r="152" customFormat="false" ht="15" hidden="false" customHeight="false" outlineLevel="0" collapsed="false">
      <c r="A152" s="8"/>
      <c r="B152" s="27"/>
      <c r="C152" s="8"/>
      <c r="D152" s="8"/>
      <c r="E152" s="8"/>
      <c r="F152" s="8"/>
      <c r="G152" s="8"/>
      <c r="H152" s="8"/>
      <c r="I152" s="8"/>
      <c r="J152" s="8"/>
    </row>
    <row r="153" customFormat="false" ht="15" hidden="false" customHeight="false" outlineLevel="0" collapsed="false">
      <c r="A153" s="8"/>
      <c r="B153" s="27"/>
      <c r="C153" s="8"/>
      <c r="D153" s="8"/>
      <c r="E153" s="8"/>
      <c r="F153" s="8"/>
      <c r="G153" s="8"/>
      <c r="H153" s="8"/>
      <c r="I153" s="8"/>
      <c r="J153" s="8"/>
    </row>
    <row r="154" customFormat="false" ht="15" hidden="false" customHeight="false" outlineLevel="0" collapsed="false">
      <c r="A154" s="8"/>
      <c r="B154" s="27"/>
      <c r="C154" s="8"/>
      <c r="D154" s="8"/>
      <c r="E154" s="8"/>
      <c r="F154" s="8"/>
      <c r="G154" s="8"/>
      <c r="H154" s="8"/>
      <c r="I154" s="8"/>
      <c r="J154" s="8"/>
    </row>
    <row r="155" customFormat="false" ht="15" hidden="false" customHeight="false" outlineLevel="0" collapsed="false">
      <c r="A155" s="8"/>
      <c r="B155" s="27"/>
      <c r="C155" s="8"/>
      <c r="D155" s="8"/>
      <c r="E155" s="8"/>
      <c r="F155" s="8"/>
      <c r="G155" s="8"/>
      <c r="H155" s="8"/>
      <c r="I155" s="8"/>
      <c r="J155" s="8"/>
    </row>
    <row r="156" customFormat="false" ht="15" hidden="false" customHeight="false" outlineLevel="0" collapsed="false">
      <c r="A156" s="8"/>
      <c r="B156" s="27"/>
      <c r="C156" s="8"/>
      <c r="D156" s="8"/>
      <c r="E156" s="8"/>
      <c r="F156" s="8"/>
      <c r="G156" s="8"/>
      <c r="H156" s="8"/>
      <c r="I156" s="8"/>
      <c r="J156" s="8"/>
    </row>
    <row r="157" customFormat="false" ht="15" hidden="false" customHeight="false" outlineLevel="0" collapsed="false">
      <c r="A157" s="8"/>
      <c r="B157" s="27"/>
      <c r="C157" s="8"/>
      <c r="D157" s="8"/>
      <c r="E157" s="8"/>
      <c r="F157" s="8"/>
      <c r="G157" s="8"/>
      <c r="H157" s="8"/>
      <c r="I157" s="8"/>
      <c r="J157" s="8"/>
    </row>
    <row r="158" customFormat="false" ht="15" hidden="false" customHeight="false" outlineLevel="0" collapsed="false">
      <c r="A158" s="8"/>
      <c r="B158" s="27"/>
      <c r="C158" s="8"/>
      <c r="D158" s="8"/>
      <c r="E158" s="8"/>
      <c r="F158" s="8"/>
      <c r="G158" s="8"/>
      <c r="H158" s="8"/>
      <c r="I158" s="8"/>
      <c r="J158" s="8"/>
    </row>
    <row r="159" customFormat="false" ht="15" hidden="false" customHeight="false" outlineLevel="0" collapsed="false">
      <c r="A159" s="8"/>
      <c r="B159" s="27"/>
      <c r="C159" s="8"/>
      <c r="D159" s="8"/>
      <c r="E159" s="8"/>
      <c r="F159" s="8"/>
      <c r="G159" s="8"/>
      <c r="H159" s="8"/>
      <c r="I159" s="8"/>
      <c r="J159" s="8"/>
    </row>
    <row r="160" customFormat="false" ht="15" hidden="false" customHeight="false" outlineLevel="0" collapsed="false">
      <c r="A160" s="8"/>
      <c r="B160" s="27"/>
      <c r="C160" s="8"/>
      <c r="D160" s="8"/>
      <c r="E160" s="8"/>
      <c r="F160" s="8"/>
      <c r="G160" s="8"/>
      <c r="H160" s="8"/>
      <c r="I160" s="8"/>
      <c r="J160" s="8"/>
    </row>
    <row r="161" customFormat="false" ht="15" hidden="false" customHeight="false" outlineLevel="0" collapsed="false">
      <c r="A161" s="8"/>
      <c r="B161" s="27"/>
      <c r="C161" s="8"/>
      <c r="D161" s="8"/>
      <c r="E161" s="8"/>
      <c r="F161" s="8"/>
      <c r="G161" s="8"/>
      <c r="H161" s="8"/>
      <c r="I161" s="8"/>
      <c r="J161" s="8"/>
    </row>
    <row r="162" customFormat="false" ht="15" hidden="false" customHeight="false" outlineLevel="0" collapsed="false">
      <c r="A162" s="8"/>
      <c r="B162" s="27"/>
      <c r="C162" s="8"/>
      <c r="D162" s="8"/>
      <c r="E162" s="8"/>
      <c r="F162" s="8"/>
      <c r="G162" s="8"/>
      <c r="H162" s="8"/>
      <c r="I162" s="8"/>
      <c r="J162" s="8"/>
    </row>
    <row r="163" customFormat="false" ht="15" hidden="false" customHeight="false" outlineLevel="0" collapsed="false">
      <c r="A163" s="8"/>
      <c r="B163" s="27"/>
      <c r="C163" s="8"/>
      <c r="D163" s="8"/>
      <c r="E163" s="8"/>
      <c r="F163" s="8"/>
      <c r="G163" s="8"/>
      <c r="H163" s="8"/>
      <c r="I163" s="8"/>
      <c r="J163" s="8"/>
    </row>
    <row r="164" customFormat="false" ht="15" hidden="false" customHeight="false" outlineLevel="0" collapsed="false">
      <c r="A164" s="8"/>
      <c r="B164" s="27"/>
      <c r="C164" s="8"/>
      <c r="D164" s="8"/>
      <c r="E164" s="8"/>
      <c r="F164" s="8"/>
      <c r="G164" s="8"/>
      <c r="H164" s="8"/>
      <c r="I164" s="8"/>
      <c r="J164" s="8"/>
    </row>
    <row r="165" customFormat="false" ht="15" hidden="false" customHeight="false" outlineLevel="0" collapsed="false">
      <c r="A165" s="8"/>
      <c r="B165" s="27"/>
      <c r="C165" s="8"/>
      <c r="D165" s="8"/>
      <c r="E165" s="8"/>
      <c r="F165" s="8"/>
      <c r="G165" s="8"/>
      <c r="H165" s="8"/>
      <c r="I165" s="8"/>
      <c r="J165" s="8"/>
    </row>
    <row r="166" customFormat="false" ht="15" hidden="false" customHeight="false" outlineLevel="0" collapsed="false">
      <c r="A166" s="8"/>
      <c r="B166" s="27"/>
      <c r="C166" s="8"/>
      <c r="D166" s="8"/>
      <c r="E166" s="8"/>
      <c r="F166" s="8"/>
      <c r="G166" s="8"/>
      <c r="H166" s="8"/>
      <c r="I166" s="8"/>
      <c r="J166" s="8"/>
    </row>
    <row r="167" customFormat="false" ht="15" hidden="false" customHeight="false" outlineLevel="0" collapsed="false">
      <c r="A167" s="8"/>
      <c r="B167" s="27"/>
      <c r="C167" s="8"/>
      <c r="D167" s="8"/>
      <c r="E167" s="8"/>
      <c r="F167" s="8"/>
      <c r="G167" s="8"/>
      <c r="H167" s="8"/>
      <c r="I167" s="8"/>
      <c r="J167" s="8"/>
    </row>
    <row r="168" customFormat="false" ht="15" hidden="false" customHeight="false" outlineLevel="0" collapsed="false">
      <c r="A168" s="8"/>
      <c r="B168" s="27"/>
      <c r="C168" s="8"/>
      <c r="D168" s="8"/>
      <c r="E168" s="8"/>
      <c r="F168" s="8"/>
      <c r="G168" s="8"/>
      <c r="H168" s="8"/>
      <c r="I168" s="8"/>
      <c r="J168" s="8"/>
    </row>
    <row r="169" customFormat="false" ht="15" hidden="false" customHeight="false" outlineLevel="0" collapsed="false">
      <c r="A169" s="8"/>
      <c r="B169" s="27"/>
      <c r="C169" s="8"/>
      <c r="D169" s="8"/>
      <c r="E169" s="8"/>
      <c r="F169" s="8"/>
      <c r="G169" s="8"/>
      <c r="H169" s="8"/>
      <c r="I169" s="8"/>
      <c r="J169" s="8"/>
    </row>
    <row r="170" customFormat="false" ht="15" hidden="false" customHeight="false" outlineLevel="0" collapsed="false">
      <c r="A170" s="8"/>
      <c r="B170" s="27"/>
      <c r="C170" s="8"/>
      <c r="D170" s="8"/>
      <c r="E170" s="8"/>
      <c r="F170" s="8"/>
      <c r="G170" s="8"/>
      <c r="H170" s="8"/>
      <c r="I170" s="8"/>
      <c r="J170" s="8"/>
    </row>
    <row r="171" customFormat="false" ht="15" hidden="false" customHeight="false" outlineLevel="0" collapsed="false">
      <c r="A171" s="8"/>
      <c r="B171" s="27"/>
      <c r="C171" s="8"/>
      <c r="D171" s="8"/>
      <c r="E171" s="8"/>
      <c r="F171" s="8"/>
      <c r="G171" s="8"/>
      <c r="H171" s="8"/>
      <c r="I171" s="8"/>
      <c r="J171" s="8"/>
    </row>
    <row r="172" customFormat="false" ht="15" hidden="false" customHeight="false" outlineLevel="0" collapsed="false">
      <c r="A172" s="8"/>
      <c r="B172" s="27"/>
      <c r="C172" s="8"/>
      <c r="D172" s="8"/>
      <c r="E172" s="8"/>
      <c r="F172" s="8"/>
      <c r="G172" s="8"/>
      <c r="H172" s="8"/>
      <c r="I172" s="8"/>
      <c r="J172" s="8"/>
    </row>
    <row r="173" customFormat="false" ht="15" hidden="false" customHeight="false" outlineLevel="0" collapsed="false">
      <c r="A173" s="8"/>
      <c r="B173" s="27"/>
      <c r="C173" s="8"/>
      <c r="D173" s="8"/>
      <c r="E173" s="8"/>
      <c r="F173" s="8"/>
      <c r="G173" s="8"/>
      <c r="H173" s="8"/>
      <c r="I173" s="8"/>
      <c r="J173" s="8"/>
    </row>
    <row r="174" customFormat="false" ht="15" hidden="false" customHeight="false" outlineLevel="0" collapsed="false">
      <c r="A174" s="8"/>
      <c r="B174" s="27"/>
      <c r="C174" s="8"/>
      <c r="D174" s="8"/>
      <c r="E174" s="8"/>
      <c r="F174" s="8"/>
      <c r="G174" s="8"/>
      <c r="H174" s="8"/>
      <c r="I174" s="8"/>
      <c r="J174" s="8"/>
    </row>
    <row r="175" customFormat="false" ht="15" hidden="false" customHeight="false" outlineLevel="0" collapsed="false">
      <c r="A175" s="8"/>
      <c r="B175" s="27"/>
      <c r="C175" s="8"/>
      <c r="D175" s="8"/>
      <c r="E175" s="8"/>
      <c r="F175" s="8"/>
      <c r="G175" s="8"/>
      <c r="H175" s="8"/>
      <c r="I175" s="8"/>
      <c r="J175" s="8"/>
    </row>
    <row r="176" customFormat="false" ht="15" hidden="false" customHeight="false" outlineLevel="0" collapsed="false">
      <c r="A176" s="8"/>
      <c r="B176" s="27"/>
      <c r="C176" s="8"/>
      <c r="D176" s="8"/>
      <c r="E176" s="8"/>
      <c r="F176" s="8"/>
      <c r="G176" s="8"/>
      <c r="H176" s="8"/>
      <c r="I176" s="8"/>
      <c r="J176" s="8"/>
    </row>
    <row r="177" customFormat="false" ht="15" hidden="false" customHeight="false" outlineLevel="0" collapsed="false">
      <c r="A177" s="8"/>
      <c r="B177" s="27"/>
      <c r="C177" s="8"/>
      <c r="D177" s="8"/>
      <c r="E177" s="8"/>
      <c r="F177" s="8"/>
      <c r="G177" s="8"/>
      <c r="H177" s="8"/>
      <c r="I177" s="8"/>
      <c r="J177" s="8"/>
    </row>
    <row r="178" customFormat="false" ht="15" hidden="false" customHeight="false" outlineLevel="0" collapsed="false">
      <c r="A178" s="8"/>
      <c r="B178" s="27"/>
      <c r="C178" s="8"/>
      <c r="D178" s="8"/>
      <c r="E178" s="8"/>
      <c r="F178" s="8"/>
      <c r="G178" s="8"/>
      <c r="H178" s="8"/>
      <c r="I178" s="8"/>
      <c r="J178" s="8"/>
    </row>
    <row r="179" customFormat="false" ht="15" hidden="false" customHeight="false" outlineLevel="0" collapsed="false">
      <c r="A179" s="8"/>
      <c r="B179" s="27"/>
      <c r="C179" s="8"/>
      <c r="D179" s="8"/>
      <c r="E179" s="8"/>
      <c r="F179" s="8"/>
      <c r="G179" s="8"/>
      <c r="H179" s="8"/>
      <c r="I179" s="8"/>
      <c r="J179" s="8"/>
    </row>
    <row r="180" customFormat="false" ht="15" hidden="false" customHeight="false" outlineLevel="0" collapsed="false">
      <c r="A180" s="8"/>
      <c r="B180" s="27"/>
      <c r="C180" s="8"/>
      <c r="D180" s="8"/>
      <c r="E180" s="8"/>
      <c r="F180" s="8"/>
      <c r="G180" s="8"/>
      <c r="H180" s="8"/>
      <c r="I180" s="8"/>
      <c r="J180" s="8"/>
    </row>
    <row r="181" customFormat="false" ht="15" hidden="false" customHeight="false" outlineLevel="0" collapsed="false">
      <c r="A181" s="8"/>
      <c r="B181" s="27"/>
      <c r="C181" s="8"/>
      <c r="D181" s="8"/>
      <c r="E181" s="8"/>
      <c r="F181" s="8"/>
      <c r="G181" s="8"/>
      <c r="H181" s="8"/>
      <c r="I181" s="8"/>
      <c r="J181" s="8"/>
    </row>
    <row r="182" customFormat="false" ht="15" hidden="false" customHeight="false" outlineLevel="0" collapsed="false">
      <c r="A182" s="8"/>
      <c r="B182" s="27"/>
      <c r="C182" s="8"/>
      <c r="D182" s="8"/>
      <c r="E182" s="8"/>
      <c r="F182" s="8"/>
      <c r="G182" s="8"/>
      <c r="H182" s="8"/>
      <c r="I182" s="8"/>
      <c r="J182" s="8"/>
    </row>
    <row r="183" customFormat="false" ht="15" hidden="false" customHeight="false" outlineLevel="0" collapsed="false">
      <c r="A183" s="8"/>
      <c r="B183" s="27"/>
      <c r="C183" s="8"/>
      <c r="D183" s="8"/>
      <c r="E183" s="8"/>
      <c r="F183" s="8"/>
      <c r="G183" s="8"/>
      <c r="H183" s="8"/>
      <c r="I183" s="8"/>
      <c r="J183" s="8"/>
    </row>
    <row r="184" customFormat="false" ht="15" hidden="false" customHeight="false" outlineLevel="0" collapsed="false">
      <c r="A184" s="8"/>
      <c r="B184" s="27"/>
      <c r="C184" s="8"/>
      <c r="D184" s="8"/>
      <c r="E184" s="8"/>
      <c r="F184" s="8"/>
      <c r="G184" s="8"/>
      <c r="H184" s="8"/>
      <c r="I184" s="8"/>
      <c r="J184" s="8"/>
    </row>
    <row r="185" customFormat="false" ht="15" hidden="false" customHeight="false" outlineLevel="0" collapsed="false">
      <c r="A185" s="8"/>
      <c r="B185" s="27"/>
      <c r="C185" s="8"/>
      <c r="D185" s="8"/>
      <c r="E185" s="8"/>
      <c r="F185" s="8"/>
      <c r="G185" s="8"/>
      <c r="H185" s="8"/>
      <c r="I185" s="8"/>
      <c r="J185" s="8"/>
    </row>
    <row r="186" customFormat="false" ht="15" hidden="false" customHeight="false" outlineLevel="0" collapsed="false">
      <c r="A186" s="8"/>
      <c r="B186" s="27"/>
      <c r="C186" s="8"/>
      <c r="D186" s="8"/>
      <c r="E186" s="8"/>
      <c r="F186" s="8"/>
      <c r="G186" s="8"/>
      <c r="H186" s="8"/>
      <c r="I186" s="8"/>
      <c r="J186" s="8"/>
    </row>
    <row r="187" customFormat="false" ht="15" hidden="false" customHeight="false" outlineLevel="0" collapsed="false">
      <c r="A187" s="8"/>
      <c r="B187" s="27"/>
      <c r="C187" s="8"/>
      <c r="D187" s="8"/>
      <c r="E187" s="8"/>
      <c r="F187" s="8"/>
      <c r="G187" s="8"/>
      <c r="H187" s="8"/>
      <c r="I187" s="8"/>
      <c r="J187" s="8"/>
    </row>
    <row r="188" customFormat="false" ht="15" hidden="false" customHeight="false" outlineLevel="0" collapsed="false">
      <c r="A188" s="8"/>
      <c r="B188" s="27"/>
      <c r="C188" s="8"/>
      <c r="D188" s="8"/>
      <c r="E188" s="8"/>
      <c r="F188" s="8"/>
      <c r="G188" s="8"/>
      <c r="H188" s="8"/>
      <c r="I188" s="8"/>
      <c r="J188" s="8"/>
    </row>
    <row r="189" customFormat="false" ht="15" hidden="false" customHeight="false" outlineLevel="0" collapsed="false">
      <c r="A189" s="8"/>
      <c r="B189" s="27"/>
      <c r="C189" s="8"/>
      <c r="D189" s="8"/>
      <c r="E189" s="8"/>
      <c r="F189" s="8"/>
      <c r="G189" s="8"/>
      <c r="H189" s="8"/>
      <c r="I189" s="8"/>
      <c r="J189" s="8"/>
    </row>
    <row r="190" customFormat="false" ht="15" hidden="false" customHeight="false" outlineLevel="0" collapsed="false">
      <c r="A190" s="8"/>
      <c r="B190" s="27"/>
      <c r="C190" s="8"/>
      <c r="D190" s="8"/>
      <c r="E190" s="8"/>
      <c r="F190" s="8"/>
      <c r="G190" s="8"/>
      <c r="H190" s="8"/>
      <c r="I190" s="8"/>
      <c r="J190" s="8"/>
    </row>
    <row r="191" customFormat="false" ht="15" hidden="false" customHeight="false" outlineLevel="0" collapsed="false">
      <c r="A191" s="8"/>
      <c r="B191" s="27"/>
      <c r="C191" s="8"/>
      <c r="D191" s="8"/>
      <c r="E191" s="8"/>
      <c r="F191" s="8"/>
      <c r="G191" s="8"/>
      <c r="H191" s="8"/>
      <c r="I191" s="8"/>
      <c r="J191" s="8"/>
    </row>
    <row r="192" customFormat="false" ht="15" hidden="false" customHeight="false" outlineLevel="0" collapsed="false">
      <c r="A192" s="8"/>
      <c r="B192" s="27"/>
      <c r="C192" s="8"/>
      <c r="D192" s="8"/>
      <c r="E192" s="8"/>
      <c r="F192" s="8"/>
      <c r="G192" s="8"/>
      <c r="H192" s="8"/>
      <c r="I192" s="8"/>
      <c r="J192" s="8"/>
    </row>
    <row r="193" customFormat="false" ht="15" hidden="false" customHeight="false" outlineLevel="0" collapsed="false">
      <c r="A193" s="8"/>
      <c r="B193" s="27"/>
      <c r="C193" s="8"/>
      <c r="D193" s="8"/>
      <c r="E193" s="8"/>
      <c r="F193" s="8"/>
      <c r="G193" s="8"/>
      <c r="H193" s="8"/>
      <c r="I193" s="8"/>
      <c r="J193" s="8"/>
    </row>
    <row r="194" customFormat="false" ht="15" hidden="false" customHeight="false" outlineLevel="0" collapsed="false">
      <c r="A194" s="8"/>
      <c r="B194" s="27"/>
      <c r="C194" s="8"/>
      <c r="D194" s="8"/>
      <c r="E194" s="8"/>
      <c r="F194" s="8"/>
      <c r="G194" s="8"/>
      <c r="H194" s="8"/>
      <c r="I194" s="8"/>
      <c r="J194" s="8"/>
    </row>
    <row r="195" customFormat="false" ht="15" hidden="false" customHeight="false" outlineLevel="0" collapsed="false">
      <c r="A195" s="8"/>
      <c r="B195" s="27"/>
      <c r="C195" s="8"/>
      <c r="D195" s="8"/>
      <c r="E195" s="8"/>
      <c r="F195" s="8"/>
      <c r="G195" s="8"/>
      <c r="H195" s="8"/>
      <c r="I195" s="8"/>
      <c r="J195" s="8"/>
    </row>
    <row r="196" customFormat="false" ht="15" hidden="false" customHeight="false" outlineLevel="0" collapsed="false">
      <c r="A196" s="8"/>
      <c r="B196" s="27"/>
      <c r="C196" s="8"/>
      <c r="D196" s="8"/>
      <c r="E196" s="8"/>
      <c r="F196" s="8"/>
      <c r="G196" s="8"/>
      <c r="H196" s="8"/>
      <c r="I196" s="8"/>
      <c r="J196" s="8"/>
    </row>
    <row r="197" customFormat="false" ht="15" hidden="false" customHeight="false" outlineLevel="0" collapsed="false">
      <c r="A197" s="8"/>
      <c r="B197" s="27"/>
      <c r="C197" s="8"/>
      <c r="D197" s="8"/>
      <c r="E197" s="8"/>
      <c r="F197" s="8"/>
      <c r="G197" s="8"/>
      <c r="H197" s="8"/>
      <c r="I197" s="8"/>
      <c r="J197" s="8"/>
    </row>
    <row r="198" customFormat="false" ht="15" hidden="false" customHeight="false" outlineLevel="0" collapsed="false">
      <c r="A198" s="8"/>
      <c r="B198" s="27"/>
      <c r="C198" s="8"/>
      <c r="D198" s="8"/>
      <c r="E198" s="8"/>
      <c r="F198" s="8"/>
      <c r="G198" s="8"/>
      <c r="H198" s="8"/>
      <c r="I198" s="8"/>
      <c r="J198" s="8"/>
    </row>
    <row r="199" customFormat="false" ht="15" hidden="false" customHeight="false" outlineLevel="0" collapsed="false">
      <c r="A199" s="8"/>
      <c r="B199" s="27"/>
      <c r="C199" s="8"/>
      <c r="D199" s="8"/>
      <c r="E199" s="8"/>
      <c r="F199" s="8"/>
      <c r="G199" s="8"/>
      <c r="H199" s="8"/>
      <c r="I199" s="8"/>
      <c r="J199" s="8"/>
    </row>
    <row r="200" customFormat="false" ht="15" hidden="false" customHeight="false" outlineLevel="0" collapsed="false">
      <c r="A200" s="8"/>
      <c r="B200" s="27"/>
      <c r="C200" s="8"/>
      <c r="D200" s="8"/>
      <c r="E200" s="8"/>
      <c r="F200" s="8"/>
      <c r="G200" s="8"/>
      <c r="H200" s="8"/>
      <c r="I200" s="8"/>
      <c r="J200" s="8"/>
    </row>
    <row r="201" customFormat="false" ht="15" hidden="false" customHeight="false" outlineLevel="0" collapsed="false">
      <c r="A201" s="8"/>
      <c r="B201" s="27"/>
      <c r="C201" s="8"/>
      <c r="D201" s="8"/>
      <c r="E201" s="8"/>
      <c r="F201" s="8"/>
      <c r="G201" s="8"/>
      <c r="H201" s="8"/>
      <c r="I201" s="8"/>
      <c r="J201" s="8"/>
    </row>
    <row r="202" customFormat="false" ht="15" hidden="false" customHeight="false" outlineLevel="0" collapsed="false">
      <c r="A202" s="8"/>
      <c r="B202" s="27"/>
      <c r="C202" s="8"/>
      <c r="D202" s="8"/>
      <c r="E202" s="8"/>
      <c r="F202" s="8"/>
      <c r="G202" s="8"/>
      <c r="H202" s="8"/>
      <c r="I202" s="8"/>
      <c r="J202" s="8"/>
    </row>
    <row r="203" customFormat="false" ht="15" hidden="false" customHeight="false" outlineLevel="0" collapsed="false">
      <c r="A203" s="8"/>
      <c r="B203" s="27"/>
      <c r="C203" s="8"/>
      <c r="D203" s="8"/>
      <c r="E203" s="8"/>
      <c r="F203" s="8"/>
      <c r="G203" s="8"/>
      <c r="H203" s="8"/>
      <c r="I203" s="8"/>
      <c r="J203" s="8"/>
    </row>
    <row r="204" customFormat="false" ht="15" hidden="false" customHeight="false" outlineLevel="0" collapsed="false">
      <c r="A204" s="8"/>
      <c r="B204" s="27"/>
      <c r="C204" s="8"/>
      <c r="D204" s="8"/>
      <c r="E204" s="8"/>
      <c r="F204" s="8"/>
      <c r="G204" s="8"/>
      <c r="H204" s="8"/>
      <c r="I204" s="8"/>
      <c r="J204" s="8"/>
    </row>
    <row r="205" customFormat="false" ht="15" hidden="false" customHeight="false" outlineLevel="0" collapsed="false">
      <c r="A205" s="8"/>
      <c r="B205" s="27"/>
      <c r="C205" s="8"/>
      <c r="D205" s="8"/>
      <c r="E205" s="8"/>
      <c r="F205" s="8"/>
      <c r="G205" s="8"/>
      <c r="H205" s="8"/>
      <c r="I205" s="8"/>
      <c r="J205" s="8"/>
    </row>
    <row r="206" customFormat="false" ht="15" hidden="false" customHeight="false" outlineLevel="0" collapsed="false">
      <c r="A206" s="8"/>
      <c r="B206" s="27"/>
      <c r="C206" s="8"/>
      <c r="D206" s="8"/>
      <c r="E206" s="8"/>
      <c r="F206" s="8"/>
      <c r="G206" s="8"/>
      <c r="H206" s="8"/>
      <c r="I206" s="8"/>
      <c r="J206" s="8"/>
    </row>
    <row r="207" customFormat="false" ht="15" hidden="false" customHeight="false" outlineLevel="0" collapsed="false">
      <c r="A207" s="8"/>
      <c r="B207" s="27"/>
      <c r="C207" s="8"/>
      <c r="D207" s="8"/>
      <c r="E207" s="8"/>
      <c r="F207" s="8"/>
      <c r="G207" s="8"/>
      <c r="H207" s="8"/>
      <c r="I207" s="8"/>
      <c r="J207" s="8"/>
    </row>
    <row r="208" customFormat="false" ht="15" hidden="false" customHeight="false" outlineLevel="0" collapsed="false">
      <c r="A208" s="8"/>
      <c r="B208" s="27"/>
      <c r="C208" s="8"/>
      <c r="D208" s="8"/>
      <c r="E208" s="8"/>
      <c r="F208" s="8"/>
      <c r="G208" s="8"/>
      <c r="H208" s="8"/>
      <c r="I208" s="8"/>
      <c r="J208" s="8"/>
    </row>
    <row r="209" customFormat="false" ht="15" hidden="false" customHeight="false" outlineLevel="0" collapsed="false">
      <c r="A209" s="8"/>
      <c r="B209" s="27"/>
      <c r="C209" s="8"/>
      <c r="D209" s="8"/>
      <c r="E209" s="8"/>
      <c r="F209" s="8"/>
      <c r="G209" s="8"/>
      <c r="H209" s="8"/>
      <c r="I209" s="8"/>
      <c r="J209" s="8"/>
    </row>
    <row r="210" customFormat="false" ht="15" hidden="false" customHeight="false" outlineLevel="0" collapsed="false">
      <c r="A210" s="8"/>
      <c r="B210" s="27"/>
      <c r="C210" s="8"/>
      <c r="D210" s="8"/>
      <c r="E210" s="8"/>
      <c r="F210" s="8"/>
      <c r="G210" s="8"/>
      <c r="H210" s="8"/>
      <c r="I210" s="8"/>
      <c r="J210" s="8"/>
    </row>
    <row r="211" customFormat="false" ht="15" hidden="false" customHeight="false" outlineLevel="0" collapsed="false">
      <c r="A211" s="8"/>
      <c r="B211" s="27"/>
      <c r="C211" s="8"/>
      <c r="D211" s="8"/>
      <c r="E211" s="8"/>
      <c r="F211" s="8"/>
      <c r="G211" s="8"/>
      <c r="H211" s="8"/>
      <c r="I211" s="8"/>
      <c r="J211" s="8"/>
    </row>
    <row r="212" customFormat="false" ht="15" hidden="false" customHeight="false" outlineLevel="0" collapsed="false">
      <c r="A212" s="8"/>
      <c r="B212" s="27"/>
      <c r="C212" s="8"/>
      <c r="D212" s="8"/>
      <c r="E212" s="8"/>
      <c r="F212" s="8"/>
      <c r="G212" s="8"/>
      <c r="H212" s="8"/>
      <c r="I212" s="8"/>
      <c r="J212" s="8"/>
    </row>
    <row r="213" customFormat="false" ht="15" hidden="false" customHeight="false" outlineLevel="0" collapsed="false">
      <c r="A213" s="8"/>
      <c r="B213" s="27"/>
      <c r="C213" s="8"/>
      <c r="D213" s="8"/>
      <c r="E213" s="8"/>
      <c r="F213" s="8"/>
      <c r="G213" s="8"/>
      <c r="H213" s="8"/>
      <c r="I213" s="8"/>
      <c r="J213" s="8"/>
    </row>
    <row r="214" customFormat="false" ht="15" hidden="false" customHeight="false" outlineLevel="0" collapsed="false">
      <c r="A214" s="8"/>
      <c r="B214" s="27"/>
      <c r="C214" s="8"/>
      <c r="D214" s="8"/>
      <c r="E214" s="8"/>
      <c r="F214" s="8"/>
      <c r="G214" s="8"/>
      <c r="H214" s="8"/>
      <c r="I214" s="8"/>
      <c r="J214" s="8"/>
    </row>
    <row r="215" customFormat="false" ht="15" hidden="false" customHeight="false" outlineLevel="0" collapsed="false">
      <c r="A215" s="8"/>
      <c r="B215" s="27"/>
      <c r="C215" s="8"/>
      <c r="D215" s="8"/>
      <c r="E215" s="8"/>
      <c r="F215" s="8"/>
      <c r="G215" s="8"/>
      <c r="H215" s="8"/>
      <c r="I215" s="8"/>
      <c r="J215" s="8"/>
    </row>
    <row r="216" customFormat="false" ht="15" hidden="false" customHeight="false" outlineLevel="0" collapsed="false">
      <c r="A216" s="8"/>
      <c r="B216" s="27"/>
      <c r="C216" s="8"/>
      <c r="D216" s="8"/>
      <c r="E216" s="8"/>
      <c r="F216" s="8"/>
      <c r="G216" s="8"/>
      <c r="H216" s="8"/>
      <c r="I216" s="8"/>
      <c r="J216" s="8"/>
    </row>
    <row r="217" customFormat="false" ht="15" hidden="false" customHeight="false" outlineLevel="0" collapsed="false">
      <c r="A217" s="8"/>
      <c r="B217" s="27"/>
      <c r="C217" s="8"/>
      <c r="D217" s="8"/>
      <c r="E217" s="8"/>
      <c r="F217" s="8"/>
      <c r="G217" s="8"/>
      <c r="H217" s="8"/>
      <c r="I217" s="8"/>
      <c r="J217" s="8"/>
    </row>
    <row r="218" customFormat="false" ht="15" hidden="false" customHeight="false" outlineLevel="0" collapsed="false">
      <c r="A218" s="8"/>
      <c r="B218" s="27"/>
      <c r="C218" s="8"/>
      <c r="D218" s="8"/>
      <c r="E218" s="8"/>
      <c r="F218" s="8"/>
      <c r="G218" s="8"/>
      <c r="H218" s="8"/>
      <c r="I218" s="8"/>
      <c r="J218" s="8"/>
    </row>
    <row r="219" customFormat="false" ht="15" hidden="false" customHeight="false" outlineLevel="0" collapsed="false">
      <c r="A219" s="8"/>
      <c r="B219" s="27"/>
      <c r="C219" s="8"/>
      <c r="D219" s="8"/>
      <c r="E219" s="8"/>
      <c r="F219" s="8"/>
      <c r="G219" s="8"/>
      <c r="H219" s="8"/>
      <c r="I219" s="8"/>
      <c r="J219" s="8"/>
    </row>
    <row r="220" customFormat="false" ht="15" hidden="false" customHeight="false" outlineLevel="0" collapsed="false">
      <c r="A220" s="8"/>
      <c r="B220" s="27"/>
      <c r="C220" s="8"/>
      <c r="D220" s="8"/>
      <c r="E220" s="8"/>
      <c r="F220" s="8"/>
      <c r="G220" s="8"/>
      <c r="H220" s="8"/>
      <c r="I220" s="8"/>
      <c r="J220" s="8"/>
    </row>
    <row r="221" customFormat="false" ht="15" hidden="false" customHeight="false" outlineLevel="0" collapsed="false">
      <c r="A221" s="8"/>
      <c r="B221" s="27"/>
      <c r="C221" s="8"/>
      <c r="D221" s="8"/>
      <c r="E221" s="8"/>
      <c r="F221" s="8"/>
      <c r="G221" s="8"/>
      <c r="H221" s="8"/>
      <c r="I221" s="8"/>
      <c r="J221" s="8"/>
    </row>
    <row r="222" customFormat="false" ht="15" hidden="false" customHeight="false" outlineLevel="0" collapsed="false">
      <c r="A222" s="8"/>
      <c r="B222" s="27"/>
      <c r="C222" s="8"/>
      <c r="D222" s="8"/>
      <c r="E222" s="8"/>
      <c r="F222" s="8"/>
      <c r="G222" s="8"/>
      <c r="H222" s="8"/>
      <c r="I222" s="8"/>
      <c r="J222" s="8"/>
    </row>
    <row r="223" customFormat="false" ht="15" hidden="false" customHeight="false" outlineLevel="0" collapsed="false">
      <c r="A223" s="8"/>
      <c r="B223" s="27"/>
      <c r="C223" s="8"/>
      <c r="D223" s="8"/>
      <c r="E223" s="8"/>
      <c r="F223" s="8"/>
      <c r="G223" s="8"/>
      <c r="H223" s="8"/>
      <c r="I223" s="8"/>
      <c r="J223" s="8"/>
    </row>
    <row r="224" customFormat="false" ht="15" hidden="false" customHeight="false" outlineLevel="0" collapsed="false">
      <c r="A224" s="8"/>
      <c r="B224" s="27"/>
      <c r="C224" s="8"/>
      <c r="D224" s="8"/>
      <c r="E224" s="8"/>
      <c r="F224" s="8"/>
      <c r="G224" s="8"/>
      <c r="H224" s="8"/>
      <c r="I224" s="8"/>
      <c r="J224" s="8"/>
    </row>
    <row r="225" customFormat="false" ht="15" hidden="false" customHeight="false" outlineLevel="0" collapsed="false">
      <c r="A225" s="8"/>
      <c r="B225" s="27"/>
      <c r="C225" s="8"/>
      <c r="D225" s="8"/>
      <c r="E225" s="8"/>
      <c r="F225" s="8"/>
      <c r="G225" s="8"/>
      <c r="H225" s="8"/>
      <c r="I225" s="8"/>
      <c r="J225" s="8"/>
    </row>
    <row r="226" customFormat="false" ht="15" hidden="false" customHeight="false" outlineLevel="0" collapsed="false">
      <c r="A226" s="8"/>
      <c r="B226" s="27"/>
      <c r="C226" s="8"/>
      <c r="D226" s="8"/>
      <c r="E226" s="8"/>
      <c r="F226" s="8"/>
      <c r="G226" s="8"/>
      <c r="H226" s="8"/>
      <c r="I226" s="8"/>
      <c r="J226" s="8"/>
    </row>
    <row r="227" customFormat="false" ht="15" hidden="false" customHeight="false" outlineLevel="0" collapsed="false">
      <c r="A227" s="8"/>
      <c r="B227" s="27"/>
      <c r="C227" s="8"/>
      <c r="D227" s="8"/>
      <c r="E227" s="8"/>
      <c r="F227" s="8"/>
      <c r="G227" s="8"/>
      <c r="H227" s="8"/>
      <c r="I227" s="8"/>
      <c r="J227" s="8"/>
    </row>
    <row r="228" customFormat="false" ht="15" hidden="false" customHeight="false" outlineLevel="0" collapsed="false">
      <c r="A228" s="8"/>
      <c r="B228" s="27"/>
      <c r="C228" s="8"/>
      <c r="D228" s="8"/>
      <c r="E228" s="8"/>
      <c r="F228" s="8"/>
      <c r="G228" s="8"/>
      <c r="H228" s="8"/>
      <c r="I228" s="8"/>
      <c r="J228" s="8"/>
    </row>
    <row r="229" customFormat="false" ht="15" hidden="false" customHeight="false" outlineLevel="0" collapsed="false">
      <c r="A229" s="8"/>
      <c r="B229" s="27"/>
      <c r="C229" s="8"/>
      <c r="D229" s="8"/>
      <c r="E229" s="8"/>
      <c r="F229" s="8"/>
      <c r="G229" s="8"/>
      <c r="H229" s="8"/>
      <c r="I229" s="8"/>
      <c r="J229" s="8"/>
    </row>
    <row r="230" customFormat="false" ht="15" hidden="false" customHeight="false" outlineLevel="0" collapsed="false">
      <c r="A230" s="8"/>
      <c r="B230" s="27"/>
      <c r="C230" s="8"/>
      <c r="D230" s="8"/>
      <c r="E230" s="8"/>
      <c r="F230" s="8"/>
      <c r="G230" s="8"/>
      <c r="H230" s="8"/>
      <c r="I230" s="8"/>
      <c r="J230" s="8"/>
    </row>
    <row r="231" customFormat="false" ht="15" hidden="false" customHeight="false" outlineLevel="0" collapsed="false">
      <c r="A231" s="8"/>
      <c r="B231" s="27"/>
      <c r="C231" s="8"/>
      <c r="D231" s="8"/>
      <c r="E231" s="8"/>
      <c r="F231" s="8"/>
      <c r="G231" s="8"/>
      <c r="H231" s="8"/>
      <c r="I231" s="8"/>
      <c r="J231" s="8"/>
    </row>
    <row r="232" customFormat="false" ht="15" hidden="false" customHeight="false" outlineLevel="0" collapsed="false">
      <c r="A232" s="8"/>
      <c r="B232" s="27"/>
      <c r="C232" s="8"/>
      <c r="D232" s="8"/>
      <c r="E232" s="8"/>
      <c r="F232" s="8"/>
      <c r="G232" s="8"/>
      <c r="H232" s="8"/>
      <c r="I232" s="8"/>
      <c r="J232" s="8"/>
    </row>
    <row r="233" customFormat="false" ht="15" hidden="false" customHeight="false" outlineLevel="0" collapsed="false">
      <c r="A233" s="8"/>
      <c r="B233" s="27"/>
      <c r="C233" s="8"/>
      <c r="D233" s="8"/>
      <c r="E233" s="8"/>
      <c r="F233" s="8"/>
      <c r="G233" s="8"/>
      <c r="H233" s="8"/>
      <c r="I233" s="8"/>
      <c r="J233" s="8"/>
    </row>
    <row r="234" customFormat="false" ht="15" hidden="false" customHeight="false" outlineLevel="0" collapsed="false">
      <c r="A234" s="8"/>
      <c r="B234" s="27"/>
      <c r="C234" s="8"/>
      <c r="D234" s="8"/>
      <c r="E234" s="8"/>
      <c r="F234" s="8"/>
      <c r="G234" s="8"/>
      <c r="H234" s="8"/>
      <c r="I234" s="8"/>
      <c r="J234" s="8"/>
    </row>
    <row r="235" customFormat="false" ht="15" hidden="false" customHeight="false" outlineLevel="0" collapsed="false">
      <c r="A235" s="8"/>
      <c r="B235" s="27"/>
      <c r="C235" s="8"/>
      <c r="D235" s="8"/>
      <c r="E235" s="8"/>
      <c r="F235" s="8"/>
      <c r="G235" s="8"/>
      <c r="H235" s="8"/>
      <c r="I235" s="8"/>
      <c r="J235" s="8"/>
    </row>
    <row r="236" customFormat="false" ht="15" hidden="false" customHeight="false" outlineLevel="0" collapsed="false">
      <c r="A236" s="8"/>
      <c r="B236" s="27"/>
      <c r="C236" s="8"/>
      <c r="D236" s="8"/>
      <c r="E236" s="8"/>
      <c r="F236" s="8"/>
      <c r="G236" s="8"/>
      <c r="H236" s="8"/>
      <c r="I236" s="8"/>
      <c r="J236" s="8"/>
    </row>
    <row r="237" customFormat="false" ht="15" hidden="false" customHeight="false" outlineLevel="0" collapsed="false">
      <c r="A237" s="8"/>
      <c r="B237" s="27"/>
      <c r="C237" s="8"/>
      <c r="D237" s="8"/>
      <c r="E237" s="8"/>
      <c r="F237" s="8"/>
      <c r="G237" s="8"/>
      <c r="H237" s="8"/>
      <c r="I237" s="8"/>
      <c r="J237" s="8"/>
    </row>
    <row r="238" customFormat="false" ht="15" hidden="false" customHeight="false" outlineLevel="0" collapsed="false">
      <c r="A238" s="8"/>
      <c r="B238" s="27"/>
      <c r="C238" s="8"/>
      <c r="D238" s="8"/>
      <c r="E238" s="8"/>
      <c r="F238" s="8"/>
      <c r="G238" s="8"/>
      <c r="H238" s="8"/>
      <c r="I238" s="8"/>
      <c r="J238" s="8"/>
    </row>
    <row r="239" customFormat="false" ht="15" hidden="false" customHeight="false" outlineLevel="0" collapsed="false">
      <c r="A239" s="8"/>
      <c r="B239" s="27"/>
      <c r="C239" s="8"/>
      <c r="D239" s="8"/>
      <c r="E239" s="8"/>
      <c r="F239" s="8"/>
      <c r="G239" s="8"/>
      <c r="H239" s="8"/>
      <c r="I239" s="8"/>
      <c r="J239" s="8"/>
    </row>
    <row r="240" customFormat="false" ht="15" hidden="false" customHeight="false" outlineLevel="0" collapsed="false">
      <c r="A240" s="8"/>
      <c r="B240" s="27"/>
      <c r="C240" s="8"/>
      <c r="D240" s="8"/>
      <c r="E240" s="8"/>
      <c r="F240" s="8"/>
      <c r="G240" s="8"/>
      <c r="H240" s="8"/>
      <c r="I240" s="8"/>
      <c r="J240" s="8"/>
    </row>
    <row r="241" customFormat="false" ht="15" hidden="false" customHeight="false" outlineLevel="0" collapsed="false">
      <c r="A241" s="8"/>
      <c r="B241" s="27"/>
      <c r="C241" s="8"/>
      <c r="D241" s="8"/>
      <c r="E241" s="8"/>
      <c r="F241" s="8"/>
      <c r="G241" s="8"/>
      <c r="H241" s="8"/>
      <c r="I241" s="8"/>
      <c r="J241" s="8"/>
    </row>
    <row r="242" customFormat="false" ht="15" hidden="false" customHeight="false" outlineLevel="0" collapsed="false">
      <c r="A242" s="8"/>
      <c r="B242" s="27"/>
      <c r="C242" s="8"/>
      <c r="D242" s="8"/>
      <c r="E242" s="8"/>
      <c r="F242" s="8"/>
      <c r="G242" s="8"/>
      <c r="H242" s="8"/>
      <c r="I242" s="8"/>
      <c r="J242" s="8"/>
    </row>
    <row r="243" customFormat="false" ht="15" hidden="false" customHeight="false" outlineLevel="0" collapsed="false">
      <c r="A243" s="8"/>
      <c r="B243" s="27"/>
      <c r="C243" s="8"/>
      <c r="D243" s="8"/>
      <c r="E243" s="8"/>
      <c r="F243" s="8"/>
      <c r="G243" s="8"/>
      <c r="H243" s="8"/>
      <c r="I243" s="8"/>
      <c r="J243" s="8"/>
    </row>
    <row r="244" customFormat="false" ht="15" hidden="false" customHeight="false" outlineLevel="0" collapsed="false">
      <c r="A244" s="8"/>
      <c r="B244" s="27"/>
      <c r="C244" s="8"/>
      <c r="D244" s="8"/>
      <c r="E244" s="8"/>
      <c r="F244" s="8"/>
      <c r="G244" s="8"/>
      <c r="H244" s="8"/>
      <c r="I244" s="8"/>
      <c r="J244" s="8"/>
    </row>
    <row r="245" customFormat="false" ht="15" hidden="false" customHeight="false" outlineLevel="0" collapsed="false">
      <c r="A245" s="8"/>
      <c r="B245" s="27"/>
      <c r="C245" s="8"/>
      <c r="D245" s="8"/>
      <c r="E245" s="8"/>
      <c r="F245" s="8"/>
      <c r="G245" s="8"/>
      <c r="H245" s="8"/>
      <c r="I245" s="8"/>
      <c r="J245" s="8"/>
    </row>
    <row r="246" customFormat="false" ht="15" hidden="false" customHeight="false" outlineLevel="0" collapsed="false">
      <c r="A246" s="8"/>
      <c r="B246" s="27"/>
      <c r="C246" s="8"/>
      <c r="D246" s="8"/>
      <c r="E246" s="8"/>
      <c r="F246" s="8"/>
      <c r="G246" s="8"/>
      <c r="H246" s="8"/>
      <c r="I246" s="8"/>
      <c r="J246" s="8"/>
    </row>
    <row r="247" customFormat="false" ht="15" hidden="false" customHeight="false" outlineLevel="0" collapsed="false">
      <c r="A247" s="8"/>
      <c r="B247" s="27"/>
      <c r="C247" s="8"/>
      <c r="D247" s="8"/>
      <c r="E247" s="8"/>
      <c r="F247" s="8"/>
      <c r="G247" s="8"/>
      <c r="H247" s="8"/>
      <c r="I247" s="8"/>
      <c r="J247" s="8"/>
    </row>
    <row r="248" customFormat="false" ht="15" hidden="false" customHeight="false" outlineLevel="0" collapsed="false">
      <c r="A248" s="8"/>
      <c r="B248" s="27"/>
      <c r="C248" s="8"/>
      <c r="D248" s="8"/>
      <c r="E248" s="8"/>
      <c r="F248" s="8"/>
      <c r="G248" s="8"/>
      <c r="H248" s="8"/>
      <c r="I248" s="8"/>
      <c r="J248" s="8"/>
    </row>
    <row r="249" customFormat="false" ht="15" hidden="false" customHeight="false" outlineLevel="0" collapsed="false">
      <c r="A249" s="8"/>
      <c r="B249" s="27"/>
      <c r="C249" s="8"/>
      <c r="D249" s="8"/>
      <c r="E249" s="8"/>
      <c r="F249" s="8"/>
      <c r="G249" s="8"/>
      <c r="H249" s="8"/>
      <c r="I249" s="8"/>
      <c r="J249" s="8"/>
    </row>
    <row r="250" customFormat="false" ht="15" hidden="false" customHeight="false" outlineLevel="0" collapsed="false">
      <c r="A250" s="8"/>
      <c r="B250" s="27"/>
      <c r="C250" s="8"/>
      <c r="D250" s="8"/>
      <c r="E250" s="8"/>
      <c r="F250" s="8"/>
      <c r="G250" s="8"/>
      <c r="H250" s="8"/>
      <c r="I250" s="8"/>
      <c r="J250" s="8"/>
    </row>
    <row r="251" customFormat="false" ht="15" hidden="false" customHeight="false" outlineLevel="0" collapsed="false">
      <c r="A251" s="8"/>
      <c r="B251" s="27"/>
      <c r="C251" s="8"/>
      <c r="D251" s="8"/>
      <c r="E251" s="8"/>
      <c r="F251" s="8"/>
      <c r="G251" s="8"/>
      <c r="H251" s="8"/>
      <c r="I251" s="8"/>
      <c r="J251" s="8"/>
    </row>
    <row r="252" customFormat="false" ht="15" hidden="false" customHeight="false" outlineLevel="0" collapsed="false">
      <c r="A252" s="8"/>
      <c r="B252" s="27"/>
      <c r="C252" s="8"/>
      <c r="D252" s="8"/>
      <c r="E252" s="8"/>
      <c r="F252" s="8"/>
      <c r="G252" s="8"/>
      <c r="H252" s="8"/>
      <c r="I252" s="8"/>
      <c r="J252" s="8"/>
    </row>
    <row r="253" customFormat="false" ht="15" hidden="false" customHeight="false" outlineLevel="0" collapsed="false">
      <c r="A253" s="8"/>
      <c r="B253" s="27"/>
      <c r="C253" s="8"/>
      <c r="D253" s="8"/>
      <c r="E253" s="8"/>
      <c r="F253" s="8"/>
      <c r="G253" s="8"/>
      <c r="H253" s="8"/>
      <c r="I253" s="8"/>
      <c r="J253" s="8"/>
    </row>
    <row r="254" customFormat="false" ht="15" hidden="false" customHeight="false" outlineLevel="0" collapsed="false">
      <c r="A254" s="8"/>
      <c r="B254" s="27"/>
      <c r="C254" s="8"/>
      <c r="D254" s="8"/>
      <c r="E254" s="8"/>
      <c r="F254" s="8"/>
      <c r="G254" s="8"/>
      <c r="H254" s="8"/>
      <c r="I254" s="8"/>
      <c r="J254" s="8"/>
    </row>
    <row r="255" customFormat="false" ht="15" hidden="false" customHeight="false" outlineLevel="0" collapsed="false">
      <c r="A255" s="8"/>
      <c r="B255" s="27"/>
      <c r="C255" s="8"/>
      <c r="D255" s="8"/>
      <c r="E255" s="8"/>
      <c r="F255" s="8"/>
      <c r="G255" s="8"/>
      <c r="H255" s="8"/>
      <c r="I255" s="8"/>
      <c r="J255" s="8"/>
    </row>
    <row r="256" customFormat="false" ht="15" hidden="false" customHeight="false" outlineLevel="0" collapsed="false">
      <c r="A256" s="8"/>
      <c r="B256" s="27"/>
      <c r="C256" s="8"/>
      <c r="D256" s="8"/>
      <c r="E256" s="8"/>
      <c r="F256" s="8"/>
      <c r="G256" s="8"/>
      <c r="H256" s="8"/>
      <c r="I256" s="8"/>
      <c r="J256" s="8"/>
    </row>
    <row r="257" customFormat="false" ht="15" hidden="false" customHeight="false" outlineLevel="0" collapsed="false">
      <c r="A257" s="8"/>
      <c r="B257" s="27"/>
      <c r="C257" s="8"/>
      <c r="D257" s="8"/>
      <c r="E257" s="8"/>
      <c r="F257" s="8"/>
      <c r="G257" s="8"/>
      <c r="H257" s="8"/>
      <c r="I257" s="8"/>
      <c r="J257" s="8"/>
    </row>
    <row r="258" customFormat="false" ht="15" hidden="false" customHeight="false" outlineLevel="0" collapsed="false">
      <c r="A258" s="8"/>
      <c r="B258" s="27"/>
      <c r="C258" s="8"/>
      <c r="D258" s="8"/>
      <c r="E258" s="8"/>
      <c r="F258" s="8"/>
      <c r="G258" s="8"/>
      <c r="H258" s="8"/>
      <c r="I258" s="8"/>
      <c r="J258" s="8"/>
    </row>
    <row r="259" customFormat="false" ht="15" hidden="false" customHeight="false" outlineLevel="0" collapsed="false">
      <c r="A259" s="8"/>
      <c r="B259" s="27"/>
      <c r="C259" s="8"/>
      <c r="D259" s="8"/>
      <c r="E259" s="8"/>
      <c r="F259" s="8"/>
      <c r="G259" s="8"/>
      <c r="H259" s="8"/>
      <c r="I259" s="8"/>
      <c r="J259" s="8"/>
    </row>
    <row r="260" customFormat="false" ht="15" hidden="false" customHeight="false" outlineLevel="0" collapsed="false">
      <c r="A260" s="8"/>
      <c r="B260" s="27"/>
      <c r="C260" s="8"/>
      <c r="D260" s="8"/>
      <c r="E260" s="8"/>
      <c r="F260" s="8"/>
      <c r="G260" s="8"/>
      <c r="H260" s="8"/>
      <c r="I260" s="8"/>
      <c r="J260" s="8"/>
    </row>
    <row r="261" customFormat="false" ht="15" hidden="false" customHeight="false" outlineLevel="0" collapsed="false">
      <c r="A261" s="8"/>
      <c r="B261" s="27"/>
      <c r="C261" s="8"/>
      <c r="D261" s="8"/>
      <c r="E261" s="8"/>
      <c r="F261" s="8"/>
      <c r="G261" s="8"/>
      <c r="H261" s="8"/>
      <c r="I261" s="8"/>
      <c r="J261" s="8"/>
    </row>
    <row r="262" customFormat="false" ht="15" hidden="false" customHeight="false" outlineLevel="0" collapsed="false">
      <c r="A262" s="8"/>
      <c r="B262" s="27"/>
      <c r="C262" s="8"/>
      <c r="D262" s="8"/>
      <c r="E262" s="8"/>
      <c r="F262" s="8"/>
      <c r="G262" s="8"/>
      <c r="H262" s="8"/>
      <c r="I262" s="8"/>
      <c r="J262" s="8"/>
    </row>
    <row r="263" customFormat="false" ht="15" hidden="false" customHeight="false" outlineLevel="0" collapsed="false">
      <c r="A263" s="8"/>
      <c r="B263" s="27"/>
      <c r="C263" s="8"/>
      <c r="D263" s="8"/>
      <c r="E263" s="8"/>
      <c r="F263" s="8"/>
      <c r="G263" s="8"/>
      <c r="H263" s="8"/>
      <c r="I263" s="8"/>
      <c r="J263" s="8"/>
    </row>
    <row r="264" customFormat="false" ht="15" hidden="false" customHeight="false" outlineLevel="0" collapsed="false">
      <c r="A264" s="8"/>
      <c r="B264" s="27"/>
      <c r="C264" s="8"/>
      <c r="D264" s="8"/>
      <c r="E264" s="8"/>
      <c r="F264" s="8"/>
      <c r="G264" s="8"/>
      <c r="H264" s="8"/>
      <c r="I264" s="8"/>
      <c r="J264" s="8"/>
    </row>
    <row r="265" customFormat="false" ht="15" hidden="false" customHeight="false" outlineLevel="0" collapsed="false">
      <c r="A265" s="8"/>
      <c r="B265" s="27"/>
      <c r="C265" s="8"/>
      <c r="D265" s="8"/>
      <c r="E265" s="8"/>
      <c r="F265" s="8"/>
      <c r="G265" s="8"/>
      <c r="H265" s="8"/>
      <c r="I265" s="8"/>
      <c r="J265" s="8"/>
    </row>
    <row r="266" customFormat="false" ht="15" hidden="false" customHeight="false" outlineLevel="0" collapsed="false">
      <c r="A266" s="8"/>
      <c r="B266" s="27"/>
      <c r="C266" s="8"/>
      <c r="D266" s="8"/>
      <c r="E266" s="8"/>
      <c r="F266" s="8"/>
      <c r="G266" s="8"/>
      <c r="H266" s="8"/>
      <c r="I266" s="8"/>
      <c r="J266" s="8"/>
    </row>
    <row r="267" customFormat="false" ht="15" hidden="false" customHeight="false" outlineLevel="0" collapsed="false">
      <c r="A267" s="8"/>
      <c r="B267" s="27"/>
      <c r="C267" s="8"/>
      <c r="D267" s="8"/>
      <c r="E267" s="8"/>
      <c r="F267" s="8"/>
      <c r="G267" s="8"/>
      <c r="H267" s="8"/>
      <c r="I267" s="8"/>
      <c r="J267" s="8"/>
    </row>
    <row r="268" customFormat="false" ht="15" hidden="false" customHeight="false" outlineLevel="0" collapsed="false">
      <c r="A268" s="8"/>
      <c r="B268" s="27"/>
      <c r="C268" s="8"/>
      <c r="D268" s="8"/>
      <c r="E268" s="8"/>
      <c r="F268" s="8"/>
      <c r="G268" s="8"/>
      <c r="H268" s="8"/>
      <c r="I268" s="8"/>
      <c r="J268" s="8"/>
    </row>
    <row r="269" customFormat="false" ht="15" hidden="false" customHeight="false" outlineLevel="0" collapsed="false">
      <c r="A269" s="8"/>
      <c r="B269" s="27"/>
      <c r="C269" s="8"/>
      <c r="D269" s="8"/>
      <c r="E269" s="8"/>
      <c r="F269" s="8"/>
      <c r="G269" s="8"/>
      <c r="H269" s="8"/>
      <c r="I269" s="8"/>
      <c r="J269" s="8"/>
    </row>
    <row r="270" customFormat="false" ht="15" hidden="false" customHeight="false" outlineLevel="0" collapsed="false">
      <c r="A270" s="8"/>
      <c r="B270" s="27"/>
      <c r="C270" s="8"/>
      <c r="D270" s="8"/>
      <c r="E270" s="8"/>
      <c r="F270" s="8"/>
      <c r="G270" s="8"/>
      <c r="H270" s="8"/>
      <c r="I270" s="8"/>
      <c r="J270" s="8"/>
    </row>
    <row r="271" customFormat="false" ht="15" hidden="false" customHeight="false" outlineLevel="0" collapsed="false">
      <c r="A271" s="8"/>
      <c r="B271" s="27"/>
      <c r="C271" s="8"/>
      <c r="D271" s="8"/>
      <c r="E271" s="8"/>
      <c r="F271" s="8"/>
      <c r="G271" s="8"/>
      <c r="H271" s="8"/>
      <c r="I271" s="8"/>
      <c r="J271" s="8"/>
    </row>
    <row r="272" customFormat="false" ht="15" hidden="false" customHeight="false" outlineLevel="0" collapsed="false">
      <c r="A272" s="8"/>
      <c r="B272" s="27"/>
      <c r="C272" s="8"/>
      <c r="D272" s="8"/>
      <c r="E272" s="8"/>
      <c r="F272" s="8"/>
      <c r="G272" s="8"/>
      <c r="H272" s="8"/>
      <c r="I272" s="8"/>
      <c r="J272" s="8"/>
    </row>
    <row r="273" customFormat="false" ht="15" hidden="false" customHeight="false" outlineLevel="0" collapsed="false">
      <c r="A273" s="8"/>
      <c r="B273" s="27"/>
      <c r="C273" s="8"/>
      <c r="D273" s="8"/>
      <c r="E273" s="8"/>
      <c r="F273" s="8"/>
      <c r="G273" s="8"/>
      <c r="H273" s="8"/>
      <c r="I273" s="8"/>
      <c r="J273" s="8"/>
    </row>
    <row r="274" customFormat="false" ht="15" hidden="false" customHeight="false" outlineLevel="0" collapsed="false">
      <c r="A274" s="8"/>
      <c r="B274" s="27"/>
      <c r="C274" s="8"/>
      <c r="D274" s="8"/>
      <c r="E274" s="8"/>
      <c r="F274" s="8"/>
      <c r="G274" s="8"/>
      <c r="H274" s="8"/>
      <c r="I274" s="8"/>
      <c r="J274" s="8"/>
    </row>
    <row r="275" customFormat="false" ht="15" hidden="false" customHeight="false" outlineLevel="0" collapsed="false">
      <c r="A275" s="8"/>
      <c r="B275" s="27"/>
      <c r="C275" s="8"/>
      <c r="D275" s="8"/>
      <c r="E275" s="8"/>
      <c r="F275" s="8"/>
      <c r="G275" s="8"/>
      <c r="H275" s="8"/>
      <c r="I275" s="8"/>
      <c r="J275" s="8"/>
    </row>
    <row r="276" customFormat="false" ht="15" hidden="false" customHeight="false" outlineLevel="0" collapsed="false">
      <c r="A276" s="8"/>
      <c r="B276" s="27"/>
      <c r="C276" s="8"/>
      <c r="D276" s="8"/>
      <c r="E276" s="8"/>
      <c r="F276" s="8"/>
      <c r="G276" s="8"/>
      <c r="H276" s="8"/>
      <c r="I276" s="8"/>
      <c r="J276" s="8"/>
    </row>
    <row r="277" customFormat="false" ht="15" hidden="false" customHeight="false" outlineLevel="0" collapsed="false">
      <c r="A277" s="8"/>
      <c r="B277" s="27"/>
      <c r="C277" s="8"/>
      <c r="D277" s="8"/>
      <c r="E277" s="8"/>
      <c r="F277" s="8"/>
      <c r="G277" s="8"/>
      <c r="H277" s="8"/>
      <c r="I277" s="8"/>
      <c r="J277" s="8"/>
    </row>
    <row r="278" customFormat="false" ht="15" hidden="false" customHeight="false" outlineLevel="0" collapsed="false">
      <c r="A278" s="8"/>
      <c r="B278" s="27"/>
      <c r="C278" s="8"/>
      <c r="D278" s="8"/>
      <c r="E278" s="8"/>
      <c r="F278" s="8"/>
      <c r="G278" s="8"/>
      <c r="H278" s="8"/>
      <c r="I278" s="8"/>
      <c r="J278" s="8"/>
    </row>
    <row r="279" customFormat="false" ht="15" hidden="false" customHeight="false" outlineLevel="0" collapsed="false">
      <c r="A279" s="8"/>
      <c r="B279" s="27"/>
      <c r="C279" s="8"/>
      <c r="D279" s="8"/>
      <c r="E279" s="8"/>
      <c r="F279" s="8"/>
      <c r="G279" s="8"/>
      <c r="H279" s="8"/>
      <c r="I279" s="8"/>
      <c r="J279" s="8"/>
    </row>
    <row r="280" customFormat="false" ht="15" hidden="false" customHeight="false" outlineLevel="0" collapsed="false">
      <c r="A280" s="8"/>
      <c r="B280" s="27"/>
      <c r="C280" s="8"/>
      <c r="D280" s="8"/>
      <c r="E280" s="8"/>
      <c r="F280" s="8"/>
      <c r="G280" s="8"/>
      <c r="H280" s="8"/>
      <c r="I280" s="8"/>
      <c r="J280" s="8"/>
    </row>
    <row r="281" customFormat="false" ht="15" hidden="false" customHeight="false" outlineLevel="0" collapsed="false">
      <c r="A281" s="8"/>
      <c r="B281" s="27"/>
      <c r="C281" s="8"/>
      <c r="D281" s="8"/>
      <c r="E281" s="8"/>
      <c r="F281" s="8"/>
      <c r="G281" s="8"/>
      <c r="H281" s="8"/>
      <c r="I281" s="8"/>
      <c r="J281" s="8"/>
    </row>
    <row r="282" customFormat="false" ht="15" hidden="false" customHeight="false" outlineLevel="0" collapsed="false">
      <c r="A282" s="8"/>
      <c r="B282" s="27"/>
      <c r="C282" s="8"/>
      <c r="D282" s="8"/>
      <c r="E282" s="8"/>
      <c r="F282" s="8"/>
      <c r="G282" s="8"/>
      <c r="H282" s="8"/>
      <c r="I282" s="8"/>
      <c r="J282" s="8"/>
    </row>
    <row r="283" customFormat="false" ht="15" hidden="false" customHeight="false" outlineLevel="0" collapsed="false">
      <c r="A283" s="8"/>
      <c r="B283" s="27"/>
      <c r="C283" s="8"/>
      <c r="D283" s="8"/>
      <c r="E283" s="8"/>
      <c r="F283" s="8"/>
      <c r="G283" s="8"/>
      <c r="H283" s="8"/>
      <c r="I283" s="8"/>
      <c r="J283" s="8"/>
    </row>
    <row r="284" customFormat="false" ht="15" hidden="false" customHeight="false" outlineLevel="0" collapsed="false">
      <c r="A284" s="8"/>
      <c r="B284" s="27"/>
      <c r="C284" s="8"/>
      <c r="D284" s="8"/>
      <c r="E284" s="8"/>
      <c r="F284" s="8"/>
      <c r="G284" s="8"/>
      <c r="H284" s="8"/>
      <c r="I284" s="8"/>
      <c r="J284" s="8"/>
    </row>
    <row r="285" customFormat="false" ht="15" hidden="false" customHeight="false" outlineLevel="0" collapsed="false">
      <c r="A285" s="8"/>
      <c r="B285" s="27"/>
      <c r="C285" s="8"/>
      <c r="D285" s="8"/>
      <c r="E285" s="8"/>
      <c r="F285" s="8"/>
      <c r="G285" s="8"/>
      <c r="H285" s="8"/>
      <c r="I285" s="8"/>
      <c r="J285" s="8"/>
    </row>
    <row r="286" customFormat="false" ht="15" hidden="false" customHeight="false" outlineLevel="0" collapsed="false">
      <c r="A286" s="8"/>
      <c r="B286" s="27"/>
      <c r="C286" s="8"/>
      <c r="D286" s="8"/>
      <c r="E286" s="8"/>
      <c r="F286" s="8"/>
      <c r="G286" s="8"/>
      <c r="H286" s="8"/>
      <c r="I286" s="8"/>
      <c r="J286" s="8"/>
    </row>
    <row r="287" customFormat="false" ht="15" hidden="false" customHeight="false" outlineLevel="0" collapsed="false">
      <c r="A287" s="8"/>
      <c r="B287" s="27"/>
      <c r="C287" s="8"/>
      <c r="D287" s="8"/>
      <c r="E287" s="8"/>
      <c r="F287" s="8"/>
      <c r="G287" s="8"/>
      <c r="H287" s="8"/>
      <c r="I287" s="8"/>
      <c r="J287" s="8"/>
    </row>
    <row r="288" customFormat="false" ht="15" hidden="false" customHeight="false" outlineLevel="0" collapsed="false">
      <c r="A288" s="8"/>
      <c r="B288" s="27"/>
      <c r="C288" s="8"/>
      <c r="D288" s="8"/>
      <c r="E288" s="8"/>
      <c r="F288" s="8"/>
      <c r="G288" s="8"/>
      <c r="H288" s="8"/>
      <c r="I288" s="8"/>
      <c r="J288" s="8"/>
    </row>
    <row r="289" customFormat="false" ht="15" hidden="false" customHeight="false" outlineLevel="0" collapsed="false">
      <c r="A289" s="8"/>
      <c r="B289" s="27"/>
      <c r="C289" s="8"/>
      <c r="D289" s="8"/>
      <c r="E289" s="8"/>
      <c r="F289" s="8"/>
      <c r="G289" s="8"/>
      <c r="H289" s="8"/>
      <c r="I289" s="8"/>
      <c r="J289" s="8"/>
    </row>
    <row r="290" customFormat="false" ht="15" hidden="false" customHeight="false" outlineLevel="0" collapsed="false">
      <c r="A290" s="8"/>
      <c r="B290" s="27"/>
      <c r="C290" s="8"/>
      <c r="D290" s="8"/>
      <c r="E290" s="8"/>
      <c r="F290" s="8"/>
      <c r="G290" s="8"/>
      <c r="H290" s="8"/>
      <c r="I290" s="8"/>
      <c r="J290" s="8"/>
    </row>
    <row r="291" customFormat="false" ht="15" hidden="false" customHeight="false" outlineLevel="0" collapsed="false">
      <c r="A291" s="8"/>
      <c r="B291" s="27"/>
      <c r="C291" s="8"/>
      <c r="D291" s="8"/>
      <c r="E291" s="8"/>
      <c r="F291" s="8"/>
      <c r="G291" s="8"/>
      <c r="H291" s="8"/>
      <c r="I291" s="8"/>
      <c r="J291" s="8"/>
    </row>
    <row r="292" customFormat="false" ht="15" hidden="false" customHeight="false" outlineLevel="0" collapsed="false">
      <c r="A292" s="8"/>
      <c r="B292" s="27"/>
      <c r="C292" s="8"/>
      <c r="D292" s="8"/>
      <c r="E292" s="8"/>
      <c r="F292" s="8"/>
      <c r="G292" s="8"/>
      <c r="H292" s="8"/>
      <c r="I292" s="8"/>
      <c r="J292" s="8"/>
    </row>
    <row r="293" customFormat="false" ht="15" hidden="false" customHeight="false" outlineLevel="0" collapsed="false">
      <c r="A293" s="8"/>
      <c r="B293" s="27"/>
      <c r="C293" s="8"/>
      <c r="D293" s="8"/>
      <c r="E293" s="8"/>
      <c r="F293" s="8"/>
      <c r="G293" s="8"/>
      <c r="H293" s="8"/>
      <c r="I293" s="8"/>
      <c r="J293" s="8"/>
    </row>
    <row r="294" customFormat="false" ht="15" hidden="false" customHeight="false" outlineLevel="0" collapsed="false">
      <c r="A294" s="8"/>
      <c r="B294" s="27"/>
      <c r="C294" s="8"/>
      <c r="D294" s="8"/>
      <c r="E294" s="8"/>
      <c r="F294" s="8"/>
      <c r="G294" s="8"/>
      <c r="H294" s="8"/>
      <c r="I294" s="8"/>
      <c r="J294" s="8"/>
    </row>
    <row r="295" customFormat="false" ht="15" hidden="false" customHeight="false" outlineLevel="0" collapsed="false">
      <c r="A295" s="8"/>
      <c r="B295" s="27"/>
      <c r="C295" s="8"/>
      <c r="D295" s="8"/>
      <c r="E295" s="8"/>
      <c r="F295" s="8"/>
      <c r="G295" s="8"/>
      <c r="H295" s="8"/>
      <c r="I295" s="8"/>
      <c r="J295" s="8"/>
    </row>
    <row r="296" customFormat="false" ht="15" hidden="false" customHeight="false" outlineLevel="0" collapsed="false">
      <c r="A296" s="8"/>
      <c r="B296" s="27"/>
      <c r="C296" s="8"/>
      <c r="D296" s="8"/>
      <c r="E296" s="8"/>
      <c r="F296" s="8"/>
      <c r="G296" s="8"/>
      <c r="H296" s="8"/>
      <c r="I296" s="8"/>
      <c r="J296" s="8"/>
    </row>
    <row r="297" customFormat="false" ht="15" hidden="false" customHeight="false" outlineLevel="0" collapsed="false">
      <c r="A297" s="8"/>
      <c r="B297" s="27"/>
      <c r="C297" s="8"/>
      <c r="D297" s="8"/>
      <c r="E297" s="8"/>
      <c r="F297" s="8"/>
      <c r="G297" s="8"/>
      <c r="H297" s="8"/>
      <c r="I297" s="8"/>
      <c r="J297" s="8"/>
    </row>
    <row r="298" customFormat="false" ht="15" hidden="false" customHeight="false" outlineLevel="0" collapsed="false">
      <c r="A298" s="8"/>
      <c r="B298" s="27"/>
      <c r="C298" s="8"/>
      <c r="D298" s="8"/>
      <c r="E298" s="8"/>
      <c r="F298" s="8"/>
      <c r="G298" s="8"/>
      <c r="H298" s="8"/>
      <c r="I298" s="8"/>
      <c r="J298" s="8"/>
    </row>
    <row r="299" customFormat="false" ht="15" hidden="false" customHeight="false" outlineLevel="0" collapsed="false">
      <c r="A299" s="8"/>
      <c r="B299" s="27"/>
      <c r="C299" s="8"/>
      <c r="D299" s="8"/>
      <c r="E299" s="8"/>
      <c r="F299" s="8"/>
      <c r="G299" s="8"/>
      <c r="H299" s="8"/>
      <c r="I299" s="8"/>
      <c r="J299" s="8"/>
    </row>
    <row r="300" customFormat="false" ht="15" hidden="false" customHeight="false" outlineLevel="0" collapsed="false">
      <c r="A300" s="8"/>
      <c r="B300" s="27"/>
      <c r="C300" s="8"/>
      <c r="D300" s="8"/>
      <c r="E300" s="8"/>
      <c r="F300" s="8"/>
      <c r="G300" s="8"/>
      <c r="H300" s="8"/>
      <c r="I300" s="8"/>
      <c r="J300" s="8"/>
    </row>
    <row r="301" customFormat="false" ht="15" hidden="false" customHeight="false" outlineLevel="0" collapsed="false">
      <c r="A301" s="8"/>
      <c r="B301" s="27"/>
      <c r="C301" s="8"/>
      <c r="D301" s="8"/>
      <c r="E301" s="8"/>
      <c r="F301" s="8"/>
      <c r="G301" s="8"/>
      <c r="H301" s="8"/>
      <c r="I301" s="8"/>
      <c r="J301" s="8"/>
    </row>
    <row r="302" customFormat="false" ht="15" hidden="false" customHeight="false" outlineLevel="0" collapsed="false">
      <c r="A302" s="8"/>
      <c r="B302" s="27"/>
      <c r="C302" s="8"/>
      <c r="D302" s="8"/>
      <c r="E302" s="8"/>
      <c r="F302" s="8"/>
      <c r="G302" s="8"/>
      <c r="H302" s="8"/>
      <c r="I302" s="8"/>
      <c r="J302" s="8"/>
    </row>
    <row r="303" customFormat="false" ht="15" hidden="false" customHeight="false" outlineLevel="0" collapsed="false">
      <c r="A303" s="8"/>
      <c r="B303" s="27"/>
      <c r="C303" s="8"/>
      <c r="D303" s="8"/>
      <c r="E303" s="8"/>
      <c r="F303" s="8"/>
      <c r="G303" s="8"/>
      <c r="H303" s="8"/>
      <c r="I303" s="8"/>
      <c r="J303" s="8"/>
    </row>
    <row r="304" customFormat="false" ht="15" hidden="false" customHeight="false" outlineLevel="0" collapsed="false">
      <c r="A304" s="8"/>
      <c r="B304" s="27"/>
      <c r="C304" s="8"/>
      <c r="D304" s="8"/>
      <c r="E304" s="8"/>
      <c r="F304" s="8"/>
      <c r="G304" s="8"/>
      <c r="H304" s="8"/>
      <c r="I304" s="8"/>
      <c r="J304" s="8"/>
    </row>
    <row r="305" customFormat="false" ht="15" hidden="false" customHeight="false" outlineLevel="0" collapsed="false">
      <c r="A305" s="8"/>
      <c r="B305" s="27"/>
      <c r="C305" s="8"/>
      <c r="D305" s="8"/>
      <c r="E305" s="8"/>
      <c r="F305" s="8"/>
      <c r="G305" s="8"/>
      <c r="H305" s="8"/>
      <c r="I305" s="8"/>
      <c r="J305" s="8"/>
    </row>
    <row r="306" customFormat="false" ht="15" hidden="false" customHeight="false" outlineLevel="0" collapsed="false">
      <c r="A306" s="8"/>
      <c r="B306" s="27"/>
      <c r="C306" s="8"/>
      <c r="D306" s="8"/>
      <c r="E306" s="8"/>
      <c r="F306" s="8"/>
      <c r="G306" s="8"/>
      <c r="H306" s="8"/>
      <c r="I306" s="8"/>
      <c r="J306" s="8"/>
    </row>
    <row r="307" customFormat="false" ht="15" hidden="false" customHeight="false" outlineLevel="0" collapsed="false">
      <c r="A307" s="8"/>
      <c r="B307" s="27"/>
      <c r="C307" s="8"/>
      <c r="D307" s="8"/>
      <c r="E307" s="8"/>
      <c r="F307" s="8"/>
      <c r="G307" s="8"/>
      <c r="H307" s="8"/>
      <c r="I307" s="8"/>
      <c r="J307" s="8"/>
    </row>
    <row r="308" customFormat="false" ht="15" hidden="false" customHeight="false" outlineLevel="0" collapsed="false">
      <c r="A308" s="8"/>
      <c r="B308" s="27"/>
      <c r="C308" s="8"/>
      <c r="D308" s="8"/>
      <c r="E308" s="8"/>
      <c r="F308" s="8"/>
      <c r="G308" s="8"/>
      <c r="H308" s="8"/>
      <c r="I308" s="8"/>
      <c r="J308" s="8"/>
    </row>
    <row r="309" customFormat="false" ht="15" hidden="false" customHeight="false" outlineLevel="0" collapsed="false">
      <c r="A309" s="8"/>
      <c r="B309" s="27"/>
      <c r="C309" s="8"/>
      <c r="D309" s="8"/>
      <c r="E309" s="8"/>
      <c r="F309" s="8"/>
      <c r="G309" s="8"/>
      <c r="H309" s="8"/>
      <c r="I309" s="8"/>
      <c r="J309" s="8"/>
    </row>
    <row r="310" customFormat="false" ht="15" hidden="false" customHeight="false" outlineLevel="0" collapsed="false">
      <c r="A310" s="8"/>
      <c r="B310" s="27"/>
      <c r="C310" s="8"/>
      <c r="D310" s="8"/>
      <c r="E310" s="8"/>
      <c r="F310" s="8"/>
      <c r="G310" s="8"/>
      <c r="H310" s="8"/>
      <c r="I310" s="8"/>
      <c r="J310" s="8"/>
    </row>
    <row r="311" customFormat="false" ht="15" hidden="false" customHeight="false" outlineLevel="0" collapsed="false">
      <c r="A311" s="8"/>
      <c r="B311" s="27"/>
      <c r="C311" s="8"/>
      <c r="D311" s="8"/>
      <c r="E311" s="8"/>
      <c r="F311" s="8"/>
      <c r="G311" s="8"/>
      <c r="H311" s="8"/>
      <c r="I311" s="8"/>
      <c r="J311" s="8"/>
    </row>
    <row r="312" customFormat="false" ht="15" hidden="false" customHeight="false" outlineLevel="0" collapsed="false">
      <c r="A312" s="8"/>
      <c r="B312" s="27"/>
      <c r="C312" s="8"/>
      <c r="D312" s="8"/>
      <c r="E312" s="8"/>
      <c r="F312" s="8"/>
      <c r="G312" s="8"/>
      <c r="H312" s="8"/>
      <c r="I312" s="8"/>
      <c r="J312" s="8"/>
    </row>
    <row r="313" customFormat="false" ht="15" hidden="false" customHeight="false" outlineLevel="0" collapsed="false">
      <c r="A313" s="8"/>
      <c r="B313" s="27"/>
      <c r="C313" s="8"/>
      <c r="D313" s="8"/>
      <c r="E313" s="8"/>
      <c r="F313" s="8"/>
      <c r="G313" s="8"/>
      <c r="H313" s="8"/>
      <c r="I313" s="8"/>
      <c r="J313" s="8"/>
    </row>
    <row r="314" customFormat="false" ht="15" hidden="false" customHeight="false" outlineLevel="0" collapsed="false">
      <c r="A314" s="8"/>
      <c r="B314" s="27"/>
      <c r="C314" s="8"/>
      <c r="D314" s="8"/>
      <c r="E314" s="8"/>
      <c r="F314" s="8"/>
      <c r="G314" s="8"/>
      <c r="H314" s="8"/>
      <c r="I314" s="8"/>
      <c r="J314" s="8"/>
    </row>
    <row r="315" customFormat="false" ht="15" hidden="false" customHeight="false" outlineLevel="0" collapsed="false">
      <c r="A315" s="8"/>
      <c r="B315" s="27"/>
      <c r="C315" s="8"/>
      <c r="D315" s="8"/>
      <c r="E315" s="8"/>
      <c r="F315" s="8"/>
      <c r="G315" s="8"/>
      <c r="H315" s="8"/>
      <c r="I315" s="8"/>
      <c r="J315" s="8"/>
    </row>
    <row r="316" customFormat="false" ht="15" hidden="false" customHeight="false" outlineLevel="0" collapsed="false">
      <c r="A316" s="8"/>
      <c r="B316" s="27"/>
      <c r="C316" s="8"/>
      <c r="D316" s="8"/>
      <c r="E316" s="8"/>
      <c r="F316" s="8"/>
      <c r="G316" s="8"/>
      <c r="H316" s="8"/>
      <c r="I316" s="8"/>
      <c r="J316" s="8"/>
    </row>
    <row r="317" customFormat="false" ht="15" hidden="false" customHeight="false" outlineLevel="0" collapsed="false">
      <c r="A317" s="8"/>
      <c r="B317" s="27"/>
      <c r="C317" s="8"/>
      <c r="D317" s="8"/>
      <c r="E317" s="8"/>
      <c r="F317" s="8"/>
      <c r="G317" s="8"/>
      <c r="H317" s="8"/>
      <c r="I317" s="8"/>
      <c r="J317" s="8"/>
    </row>
    <row r="318" customFormat="false" ht="15" hidden="false" customHeight="false" outlineLevel="0" collapsed="false">
      <c r="A318" s="8"/>
      <c r="B318" s="27"/>
      <c r="C318" s="8"/>
      <c r="D318" s="8"/>
      <c r="E318" s="8"/>
      <c r="F318" s="8"/>
      <c r="G318" s="8"/>
      <c r="H318" s="8"/>
      <c r="I318" s="8"/>
      <c r="J318" s="8"/>
    </row>
    <row r="319" customFormat="false" ht="15" hidden="false" customHeight="false" outlineLevel="0" collapsed="false">
      <c r="A319" s="8"/>
      <c r="B319" s="27"/>
      <c r="C319" s="8"/>
      <c r="D319" s="8"/>
      <c r="E319" s="8"/>
      <c r="F319" s="8"/>
      <c r="G319" s="8"/>
      <c r="H319" s="8"/>
      <c r="I319" s="8"/>
      <c r="J319" s="8"/>
    </row>
    <row r="320" customFormat="false" ht="15" hidden="false" customHeight="false" outlineLevel="0" collapsed="false">
      <c r="A320" s="8"/>
      <c r="B320" s="27"/>
      <c r="C320" s="8"/>
      <c r="D320" s="8"/>
      <c r="E320" s="8"/>
      <c r="F320" s="8"/>
      <c r="G320" s="8"/>
      <c r="H320" s="8"/>
      <c r="I320" s="8"/>
      <c r="J320" s="8"/>
    </row>
    <row r="321" customFormat="false" ht="15" hidden="false" customHeight="false" outlineLevel="0" collapsed="false">
      <c r="A321" s="8"/>
      <c r="B321" s="27"/>
      <c r="C321" s="8"/>
      <c r="D321" s="8"/>
      <c r="E321" s="8"/>
      <c r="F321" s="8"/>
      <c r="G321" s="8"/>
      <c r="H321" s="8"/>
      <c r="I321" s="8"/>
      <c r="J321" s="8"/>
    </row>
    <row r="322" customFormat="false" ht="15" hidden="false" customHeight="false" outlineLevel="0" collapsed="false">
      <c r="A322" s="8"/>
      <c r="B322" s="27"/>
      <c r="C322" s="8"/>
      <c r="D322" s="8"/>
      <c r="E322" s="8"/>
      <c r="F322" s="8"/>
      <c r="G322" s="8"/>
      <c r="H322" s="8"/>
      <c r="I322" s="8"/>
      <c r="J322" s="8"/>
    </row>
    <row r="323" customFormat="false" ht="15" hidden="false" customHeight="false" outlineLevel="0" collapsed="false">
      <c r="A323" s="8"/>
      <c r="B323" s="27"/>
      <c r="C323" s="8"/>
      <c r="D323" s="8"/>
      <c r="E323" s="8"/>
      <c r="F323" s="8"/>
      <c r="G323" s="8"/>
      <c r="H323" s="8"/>
      <c r="I323" s="8"/>
      <c r="J323" s="8"/>
    </row>
    <row r="324" customFormat="false" ht="15" hidden="false" customHeight="false" outlineLevel="0" collapsed="false">
      <c r="A324" s="8"/>
      <c r="B324" s="27"/>
      <c r="C324" s="8"/>
      <c r="D324" s="8"/>
      <c r="E324" s="8"/>
      <c r="F324" s="8"/>
      <c r="G324" s="8"/>
      <c r="H324" s="8"/>
      <c r="I324" s="8"/>
      <c r="J324" s="8"/>
    </row>
    <row r="325" customFormat="false" ht="15" hidden="false" customHeight="false" outlineLevel="0" collapsed="false">
      <c r="A325" s="8"/>
      <c r="B325" s="27"/>
      <c r="C325" s="8"/>
      <c r="D325" s="8"/>
      <c r="E325" s="8"/>
      <c r="F325" s="8"/>
      <c r="G325" s="8"/>
      <c r="H325" s="8"/>
      <c r="I325" s="8"/>
      <c r="J325" s="8"/>
    </row>
    <row r="326" customFormat="false" ht="15" hidden="false" customHeight="false" outlineLevel="0" collapsed="false">
      <c r="A326" s="8"/>
      <c r="B326" s="27"/>
      <c r="C326" s="8"/>
      <c r="D326" s="8"/>
      <c r="E326" s="8"/>
      <c r="F326" s="8"/>
      <c r="G326" s="8"/>
      <c r="H326" s="8"/>
      <c r="I326" s="8"/>
      <c r="J326" s="8"/>
    </row>
    <row r="327" customFormat="false" ht="15" hidden="false" customHeight="false" outlineLevel="0" collapsed="false">
      <c r="A327" s="8"/>
      <c r="B327" s="27"/>
      <c r="C327" s="8"/>
      <c r="D327" s="8"/>
      <c r="E327" s="8"/>
      <c r="F327" s="8"/>
      <c r="G327" s="8"/>
      <c r="H327" s="8"/>
      <c r="I327" s="8"/>
      <c r="J327" s="8"/>
    </row>
    <row r="328" customFormat="false" ht="15" hidden="false" customHeight="false" outlineLevel="0" collapsed="false">
      <c r="A328" s="8"/>
      <c r="B328" s="27"/>
      <c r="C328" s="8"/>
      <c r="D328" s="8"/>
      <c r="E328" s="8"/>
      <c r="F328" s="8"/>
      <c r="G328" s="8"/>
      <c r="H328" s="8"/>
      <c r="I328" s="8"/>
      <c r="J328" s="8"/>
    </row>
    <row r="329" customFormat="false" ht="15" hidden="false" customHeight="false" outlineLevel="0" collapsed="false">
      <c r="A329" s="8"/>
      <c r="B329" s="27"/>
      <c r="C329" s="8"/>
      <c r="D329" s="8"/>
      <c r="E329" s="8"/>
      <c r="F329" s="8"/>
      <c r="G329" s="8"/>
      <c r="H329" s="8"/>
      <c r="I329" s="8"/>
      <c r="J329" s="8"/>
    </row>
    <row r="330" customFormat="false" ht="15" hidden="false" customHeight="false" outlineLevel="0" collapsed="false">
      <c r="A330" s="8"/>
      <c r="B330" s="27"/>
      <c r="C330" s="8"/>
      <c r="D330" s="8"/>
      <c r="E330" s="8"/>
      <c r="F330" s="8"/>
      <c r="G330" s="8"/>
      <c r="H330" s="8"/>
      <c r="I330" s="8"/>
      <c r="J330" s="8"/>
    </row>
    <row r="331" customFormat="false" ht="15" hidden="false" customHeight="false" outlineLevel="0" collapsed="false">
      <c r="A331" s="8"/>
      <c r="B331" s="27"/>
      <c r="C331" s="8"/>
      <c r="D331" s="8"/>
      <c r="E331" s="8"/>
      <c r="F331" s="8"/>
      <c r="G331" s="8"/>
      <c r="H331" s="8"/>
      <c r="I331" s="8"/>
      <c r="J331" s="8"/>
    </row>
    <row r="332" customFormat="false" ht="15" hidden="false" customHeight="false" outlineLevel="0" collapsed="false">
      <c r="A332" s="8"/>
      <c r="B332" s="27"/>
      <c r="C332" s="8"/>
      <c r="D332" s="8"/>
      <c r="E332" s="8"/>
      <c r="F332" s="8"/>
      <c r="G332" s="8"/>
      <c r="H332" s="8"/>
      <c r="I332" s="8"/>
      <c r="J332" s="8"/>
    </row>
    <row r="333" customFormat="false" ht="15" hidden="false" customHeight="false" outlineLevel="0" collapsed="false">
      <c r="A333" s="8"/>
      <c r="B333" s="27"/>
      <c r="C333" s="8"/>
      <c r="D333" s="8"/>
      <c r="E333" s="8"/>
      <c r="F333" s="8"/>
      <c r="G333" s="8"/>
      <c r="H333" s="8"/>
      <c r="I333" s="8"/>
      <c r="J333" s="8"/>
    </row>
    <row r="334" customFormat="false" ht="15" hidden="false" customHeight="false" outlineLevel="0" collapsed="false">
      <c r="A334" s="8"/>
      <c r="B334" s="27"/>
      <c r="C334" s="8"/>
      <c r="D334" s="8"/>
      <c r="E334" s="8"/>
      <c r="F334" s="8"/>
      <c r="G334" s="8"/>
      <c r="H334" s="8"/>
      <c r="I334" s="8"/>
      <c r="J334" s="8"/>
    </row>
    <row r="335" customFormat="false" ht="15" hidden="false" customHeight="false" outlineLevel="0" collapsed="false">
      <c r="A335" s="8"/>
      <c r="B335" s="27"/>
      <c r="C335" s="8"/>
      <c r="D335" s="8"/>
      <c r="E335" s="8"/>
      <c r="F335" s="8"/>
      <c r="G335" s="8"/>
      <c r="H335" s="8"/>
      <c r="I335" s="8"/>
      <c r="J335" s="8"/>
    </row>
    <row r="336" customFormat="false" ht="15" hidden="false" customHeight="false" outlineLevel="0" collapsed="false">
      <c r="A336" s="8"/>
      <c r="B336" s="27"/>
      <c r="C336" s="8"/>
      <c r="D336" s="8"/>
      <c r="E336" s="8"/>
      <c r="F336" s="8"/>
      <c r="G336" s="8"/>
      <c r="H336" s="8"/>
      <c r="I336" s="8"/>
      <c r="J336" s="8"/>
    </row>
    <row r="337" customFormat="false" ht="15" hidden="false" customHeight="false" outlineLevel="0" collapsed="false">
      <c r="A337" s="8"/>
      <c r="B337" s="27"/>
      <c r="C337" s="8"/>
      <c r="D337" s="8"/>
      <c r="E337" s="8"/>
      <c r="F337" s="8"/>
      <c r="G337" s="8"/>
      <c r="H337" s="8"/>
      <c r="I337" s="8"/>
      <c r="J337" s="8"/>
    </row>
    <row r="338" customFormat="false" ht="15" hidden="false" customHeight="false" outlineLevel="0" collapsed="false">
      <c r="A338" s="8"/>
      <c r="B338" s="27"/>
      <c r="C338" s="8"/>
      <c r="D338" s="8"/>
      <c r="E338" s="8"/>
      <c r="F338" s="8"/>
      <c r="G338" s="8"/>
      <c r="H338" s="8"/>
      <c r="I338" s="8"/>
      <c r="J338" s="8"/>
    </row>
    <row r="339" customFormat="false" ht="15" hidden="false" customHeight="false" outlineLevel="0" collapsed="false">
      <c r="A339" s="8"/>
      <c r="B339" s="27"/>
      <c r="C339" s="8"/>
      <c r="D339" s="8"/>
      <c r="E339" s="8"/>
      <c r="F339" s="8"/>
      <c r="G339" s="8"/>
      <c r="H339" s="8"/>
      <c r="I339" s="8"/>
      <c r="J339" s="8"/>
    </row>
    <row r="340" customFormat="false" ht="15" hidden="false" customHeight="false" outlineLevel="0" collapsed="false">
      <c r="A340" s="8"/>
      <c r="B340" s="27"/>
      <c r="C340" s="8"/>
      <c r="D340" s="8"/>
      <c r="E340" s="8"/>
      <c r="F340" s="8"/>
      <c r="G340" s="8"/>
      <c r="H340" s="8"/>
      <c r="I340" s="8"/>
      <c r="J340" s="8"/>
    </row>
    <row r="341" customFormat="false" ht="15" hidden="false" customHeight="false" outlineLevel="0" collapsed="false">
      <c r="A341" s="8"/>
      <c r="B341" s="27"/>
      <c r="C341" s="8"/>
      <c r="D341" s="8"/>
      <c r="E341" s="8"/>
      <c r="F341" s="8"/>
      <c r="G341" s="8"/>
      <c r="H341" s="8"/>
      <c r="I341" s="8"/>
      <c r="J341" s="8"/>
    </row>
    <row r="342" customFormat="false" ht="15" hidden="false" customHeight="false" outlineLevel="0" collapsed="false">
      <c r="A342" s="8"/>
      <c r="B342" s="27"/>
      <c r="C342" s="8"/>
      <c r="D342" s="8"/>
      <c r="E342" s="8"/>
      <c r="F342" s="8"/>
      <c r="G342" s="8"/>
      <c r="H342" s="8"/>
      <c r="I342" s="8"/>
      <c r="J342" s="8"/>
    </row>
    <row r="343" customFormat="false" ht="15" hidden="false" customHeight="false" outlineLevel="0" collapsed="false">
      <c r="A343" s="8"/>
      <c r="B343" s="27"/>
      <c r="C343" s="8"/>
      <c r="D343" s="8"/>
      <c r="E343" s="8"/>
      <c r="F343" s="8"/>
      <c r="G343" s="8"/>
      <c r="H343" s="8"/>
      <c r="I343" s="8"/>
      <c r="J343" s="8"/>
    </row>
    <row r="344" customFormat="false" ht="15" hidden="false" customHeight="false" outlineLevel="0" collapsed="false">
      <c r="A344" s="8"/>
      <c r="B344" s="27"/>
      <c r="C344" s="8"/>
      <c r="D344" s="8"/>
      <c r="E344" s="8"/>
      <c r="F344" s="8"/>
      <c r="G344" s="8"/>
      <c r="H344" s="8"/>
      <c r="I344" s="8"/>
      <c r="J344" s="8"/>
    </row>
    <row r="345" customFormat="false" ht="15" hidden="false" customHeight="false" outlineLevel="0" collapsed="false">
      <c r="A345" s="8"/>
      <c r="B345" s="27"/>
      <c r="C345" s="8"/>
      <c r="D345" s="8"/>
      <c r="E345" s="8"/>
      <c r="F345" s="8"/>
      <c r="G345" s="8"/>
      <c r="H345" s="8"/>
      <c r="I345" s="8"/>
      <c r="J345" s="8"/>
    </row>
    <row r="346" customFormat="false" ht="15" hidden="false" customHeight="false" outlineLevel="0" collapsed="false">
      <c r="A346" s="8"/>
      <c r="B346" s="27"/>
      <c r="C346" s="8"/>
      <c r="D346" s="8"/>
      <c r="E346" s="8"/>
      <c r="F346" s="8"/>
      <c r="G346" s="8"/>
      <c r="H346" s="8"/>
      <c r="I346" s="8"/>
      <c r="J346" s="8"/>
    </row>
    <row r="347" customFormat="false" ht="15" hidden="false" customHeight="false" outlineLevel="0" collapsed="false">
      <c r="A347" s="8"/>
      <c r="B347" s="27"/>
      <c r="C347" s="8"/>
      <c r="D347" s="8"/>
      <c r="E347" s="8"/>
      <c r="F347" s="8"/>
      <c r="G347" s="8"/>
      <c r="H347" s="8"/>
      <c r="I347" s="8"/>
      <c r="J347" s="8"/>
    </row>
    <row r="348" customFormat="false" ht="15" hidden="false" customHeight="false" outlineLevel="0" collapsed="false">
      <c r="A348" s="8"/>
      <c r="B348" s="27"/>
      <c r="C348" s="8"/>
      <c r="D348" s="8"/>
      <c r="E348" s="8"/>
      <c r="F348" s="8"/>
      <c r="G348" s="8"/>
      <c r="H348" s="8"/>
      <c r="I348" s="8"/>
      <c r="J348" s="8"/>
    </row>
    <row r="349" customFormat="false" ht="15" hidden="false" customHeight="false" outlineLevel="0" collapsed="false">
      <c r="A349" s="8"/>
      <c r="B349" s="27"/>
      <c r="C349" s="8"/>
      <c r="D349" s="8"/>
      <c r="E349" s="8"/>
      <c r="F349" s="8"/>
      <c r="G349" s="8"/>
      <c r="H349" s="8"/>
      <c r="I349" s="8"/>
      <c r="J349" s="8"/>
    </row>
    <row r="350" customFormat="false" ht="15" hidden="false" customHeight="false" outlineLevel="0" collapsed="false">
      <c r="A350" s="8"/>
      <c r="B350" s="27"/>
      <c r="C350" s="8"/>
      <c r="D350" s="8"/>
      <c r="E350" s="8"/>
      <c r="F350" s="8"/>
      <c r="G350" s="8"/>
      <c r="H350" s="8"/>
      <c r="I350" s="8"/>
      <c r="J350" s="8"/>
    </row>
    <row r="351" customFormat="false" ht="15" hidden="false" customHeight="false" outlineLevel="0" collapsed="false">
      <c r="A351" s="8"/>
      <c r="B351" s="27"/>
      <c r="C351" s="8"/>
      <c r="D351" s="8"/>
      <c r="E351" s="8"/>
      <c r="F351" s="8"/>
      <c r="G351" s="8"/>
      <c r="H351" s="8"/>
      <c r="I351" s="8"/>
      <c r="J351" s="8"/>
    </row>
    <row r="352" customFormat="false" ht="15" hidden="false" customHeight="false" outlineLevel="0" collapsed="false">
      <c r="A352" s="8"/>
      <c r="B352" s="27"/>
      <c r="C352" s="8"/>
      <c r="D352" s="8"/>
      <c r="E352" s="8"/>
      <c r="F352" s="8"/>
      <c r="G352" s="8"/>
      <c r="H352" s="8"/>
      <c r="I352" s="8"/>
      <c r="J352" s="8"/>
    </row>
    <row r="353" customFormat="false" ht="15" hidden="false" customHeight="false" outlineLevel="0" collapsed="false">
      <c r="A353" s="8"/>
      <c r="B353" s="27"/>
      <c r="C353" s="8"/>
      <c r="D353" s="8"/>
      <c r="E353" s="8"/>
      <c r="F353" s="8"/>
      <c r="G353" s="8"/>
      <c r="H353" s="8"/>
      <c r="I353" s="8"/>
      <c r="J353" s="8"/>
    </row>
    <row r="354" customFormat="false" ht="15" hidden="false" customHeight="false" outlineLevel="0" collapsed="false">
      <c r="A354" s="8"/>
      <c r="B354" s="27"/>
      <c r="C354" s="8"/>
      <c r="D354" s="8"/>
      <c r="E354" s="8"/>
      <c r="F354" s="8"/>
      <c r="G354" s="8"/>
      <c r="H354" s="8"/>
      <c r="I354" s="8"/>
      <c r="J354" s="8"/>
    </row>
    <row r="355" customFormat="false" ht="15" hidden="false" customHeight="false" outlineLevel="0" collapsed="false">
      <c r="A355" s="8"/>
      <c r="B355" s="27"/>
      <c r="C355" s="8"/>
      <c r="D355" s="8"/>
      <c r="E355" s="8"/>
      <c r="F355" s="8"/>
      <c r="G355" s="8"/>
      <c r="H355" s="8"/>
      <c r="I355" s="8"/>
      <c r="J355" s="8"/>
    </row>
    <row r="356" customFormat="false" ht="15" hidden="false" customHeight="false" outlineLevel="0" collapsed="false">
      <c r="A356" s="8"/>
      <c r="B356" s="27"/>
      <c r="C356" s="8"/>
      <c r="D356" s="8"/>
      <c r="E356" s="8"/>
      <c r="F356" s="8"/>
      <c r="G356" s="8"/>
      <c r="H356" s="8"/>
      <c r="I356" s="8"/>
      <c r="J356" s="8"/>
    </row>
    <row r="357" customFormat="false" ht="15" hidden="false" customHeight="false" outlineLevel="0" collapsed="false">
      <c r="A357" s="8"/>
      <c r="B357" s="27"/>
      <c r="C357" s="8"/>
      <c r="D357" s="8"/>
      <c r="E357" s="8"/>
      <c r="F357" s="8"/>
      <c r="G357" s="8"/>
      <c r="H357" s="8"/>
      <c r="I357" s="8"/>
      <c r="J357" s="8"/>
    </row>
    <row r="358" customFormat="false" ht="15" hidden="false" customHeight="false" outlineLevel="0" collapsed="false">
      <c r="A358" s="8"/>
      <c r="B358" s="27"/>
      <c r="C358" s="8"/>
      <c r="D358" s="8"/>
      <c r="E358" s="8"/>
      <c r="F358" s="8"/>
      <c r="G358" s="8"/>
      <c r="H358" s="8"/>
      <c r="I358" s="8"/>
      <c r="J358" s="8"/>
    </row>
    <row r="359" customFormat="false" ht="15" hidden="false" customHeight="false" outlineLevel="0" collapsed="false">
      <c r="A359" s="8"/>
      <c r="B359" s="27"/>
      <c r="C359" s="8"/>
      <c r="D359" s="8"/>
      <c r="E359" s="8"/>
      <c r="F359" s="8"/>
      <c r="G359" s="8"/>
      <c r="H359" s="8"/>
      <c r="I359" s="8"/>
      <c r="J359" s="8"/>
    </row>
    <row r="360" customFormat="false" ht="15" hidden="false" customHeight="false" outlineLevel="0" collapsed="false">
      <c r="A360" s="8"/>
      <c r="B360" s="27"/>
      <c r="C360" s="8"/>
      <c r="D360" s="8"/>
      <c r="E360" s="8"/>
      <c r="F360" s="8"/>
      <c r="G360" s="8"/>
      <c r="H360" s="8"/>
      <c r="I360" s="8"/>
      <c r="J360" s="8"/>
    </row>
    <row r="361" customFormat="false" ht="15" hidden="false" customHeight="false" outlineLevel="0" collapsed="false">
      <c r="A361" s="8"/>
      <c r="B361" s="27"/>
      <c r="C361" s="8"/>
      <c r="D361" s="8"/>
      <c r="E361" s="8"/>
      <c r="F361" s="8"/>
      <c r="G361" s="8"/>
      <c r="H361" s="8"/>
      <c r="I361" s="8"/>
      <c r="J361" s="8"/>
    </row>
    <row r="362" customFormat="false" ht="15" hidden="false" customHeight="false" outlineLevel="0" collapsed="false">
      <c r="A362" s="8"/>
      <c r="B362" s="27"/>
      <c r="C362" s="8"/>
      <c r="D362" s="8"/>
      <c r="E362" s="8"/>
      <c r="F362" s="8"/>
      <c r="G362" s="8"/>
      <c r="H362" s="8"/>
      <c r="I362" s="8"/>
      <c r="J362" s="8"/>
    </row>
    <row r="363" customFormat="false" ht="15" hidden="false" customHeight="false" outlineLevel="0" collapsed="false">
      <c r="A363" s="8"/>
      <c r="B363" s="27"/>
      <c r="C363" s="8"/>
      <c r="D363" s="8"/>
      <c r="E363" s="8"/>
      <c r="F363" s="8"/>
      <c r="G363" s="8"/>
      <c r="H363" s="8"/>
      <c r="I363" s="8"/>
      <c r="J363" s="8"/>
    </row>
    <row r="364" customFormat="false" ht="15" hidden="false" customHeight="false" outlineLevel="0" collapsed="false">
      <c r="A364" s="8"/>
      <c r="B364" s="27"/>
      <c r="C364" s="8"/>
      <c r="D364" s="8"/>
      <c r="E364" s="8"/>
      <c r="F364" s="8"/>
      <c r="G364" s="8"/>
      <c r="H364" s="8"/>
      <c r="I364" s="8"/>
      <c r="J364" s="8"/>
    </row>
    <row r="365" customFormat="false" ht="15" hidden="false" customHeight="false" outlineLevel="0" collapsed="false">
      <c r="A365" s="8"/>
      <c r="B365" s="27"/>
      <c r="C365" s="8"/>
      <c r="D365" s="8"/>
      <c r="E365" s="8"/>
      <c r="F365" s="8"/>
      <c r="G365" s="8"/>
      <c r="H365" s="8"/>
      <c r="I365" s="8"/>
      <c r="J365" s="8"/>
    </row>
    <row r="366" customFormat="false" ht="15" hidden="false" customHeight="false" outlineLevel="0" collapsed="false">
      <c r="A366" s="8"/>
      <c r="B366" s="27"/>
      <c r="C366" s="8"/>
      <c r="D366" s="8"/>
      <c r="E366" s="8"/>
      <c r="F366" s="8"/>
      <c r="G366" s="8"/>
      <c r="H366" s="8"/>
      <c r="I366" s="8"/>
      <c r="J366" s="8"/>
    </row>
    <row r="367" customFormat="false" ht="15" hidden="false" customHeight="false" outlineLevel="0" collapsed="false">
      <c r="A367" s="8"/>
      <c r="B367" s="27"/>
      <c r="C367" s="8"/>
      <c r="D367" s="8"/>
      <c r="E367" s="8"/>
      <c r="F367" s="8"/>
      <c r="G367" s="8"/>
      <c r="H367" s="8"/>
      <c r="I367" s="8"/>
      <c r="J367" s="8"/>
    </row>
    <row r="368" customFormat="false" ht="15" hidden="false" customHeight="false" outlineLevel="0" collapsed="false">
      <c r="A368" s="8"/>
      <c r="B368" s="27"/>
      <c r="C368" s="8"/>
      <c r="D368" s="8"/>
      <c r="E368" s="8"/>
      <c r="F368" s="8"/>
      <c r="G368" s="8"/>
      <c r="H368" s="8"/>
      <c r="I368" s="8"/>
      <c r="J368" s="8"/>
    </row>
    <row r="369" customFormat="false" ht="15" hidden="false" customHeight="false" outlineLevel="0" collapsed="false">
      <c r="A369" s="8"/>
      <c r="B369" s="27"/>
      <c r="C369" s="8"/>
      <c r="D369" s="8"/>
      <c r="E369" s="8"/>
      <c r="F369" s="8"/>
      <c r="G369" s="8"/>
      <c r="H369" s="8"/>
      <c r="I369" s="8"/>
      <c r="J369" s="8"/>
    </row>
    <row r="370" customFormat="false" ht="15" hidden="false" customHeight="false" outlineLevel="0" collapsed="false">
      <c r="A370" s="8"/>
      <c r="B370" s="27"/>
      <c r="C370" s="8"/>
      <c r="D370" s="8"/>
      <c r="E370" s="8"/>
      <c r="F370" s="8"/>
      <c r="G370" s="8"/>
      <c r="H370" s="8"/>
      <c r="I370" s="8"/>
      <c r="J370" s="8"/>
    </row>
    <row r="371" customFormat="false" ht="15" hidden="false" customHeight="false" outlineLevel="0" collapsed="false">
      <c r="A371" s="8"/>
      <c r="B371" s="27"/>
      <c r="C371" s="8"/>
      <c r="D371" s="8"/>
      <c r="E371" s="8"/>
      <c r="F371" s="8"/>
      <c r="G371" s="8"/>
      <c r="H371" s="8"/>
      <c r="I371" s="8"/>
      <c r="J371" s="8"/>
    </row>
    <row r="372" customFormat="false" ht="15" hidden="false" customHeight="false" outlineLevel="0" collapsed="false">
      <c r="A372" s="8"/>
      <c r="B372" s="27"/>
      <c r="C372" s="8"/>
      <c r="D372" s="8"/>
      <c r="E372" s="8"/>
      <c r="F372" s="8"/>
      <c r="G372" s="8"/>
      <c r="H372" s="8"/>
      <c r="I372" s="8"/>
      <c r="J372" s="8"/>
    </row>
    <row r="373" customFormat="false" ht="15" hidden="false" customHeight="false" outlineLevel="0" collapsed="false">
      <c r="A373" s="8"/>
      <c r="B373" s="27"/>
      <c r="C373" s="8"/>
      <c r="D373" s="8"/>
      <c r="E373" s="8"/>
      <c r="F373" s="8"/>
      <c r="G373" s="8"/>
      <c r="H373" s="8"/>
      <c r="I373" s="8"/>
      <c r="J373" s="8"/>
    </row>
    <row r="374" customFormat="false" ht="15" hidden="false" customHeight="false" outlineLevel="0" collapsed="false">
      <c r="A374" s="8"/>
      <c r="B374" s="27"/>
      <c r="C374" s="8"/>
      <c r="D374" s="8"/>
      <c r="E374" s="8"/>
      <c r="F374" s="8"/>
      <c r="G374" s="8"/>
      <c r="H374" s="8"/>
      <c r="I374" s="8"/>
      <c r="J374" s="8"/>
    </row>
    <row r="375" customFormat="false" ht="15" hidden="false" customHeight="false" outlineLevel="0" collapsed="false">
      <c r="A375" s="8"/>
      <c r="B375" s="27"/>
      <c r="C375" s="8"/>
      <c r="D375" s="8"/>
      <c r="E375" s="8"/>
      <c r="F375" s="8"/>
      <c r="G375" s="8"/>
      <c r="H375" s="8"/>
      <c r="I375" s="8"/>
      <c r="J375" s="8"/>
    </row>
    <row r="376" customFormat="false" ht="15" hidden="false" customHeight="false" outlineLevel="0" collapsed="false">
      <c r="A376" s="8"/>
      <c r="B376" s="27"/>
      <c r="C376" s="8"/>
      <c r="D376" s="8"/>
      <c r="E376" s="8"/>
      <c r="F376" s="8"/>
      <c r="G376" s="8"/>
      <c r="H376" s="8"/>
      <c r="I376" s="8"/>
      <c r="J376" s="8"/>
    </row>
    <row r="377" customFormat="false" ht="15" hidden="false" customHeight="false" outlineLevel="0" collapsed="false">
      <c r="A377" s="8"/>
      <c r="B377" s="27"/>
      <c r="C377" s="8"/>
      <c r="D377" s="8"/>
      <c r="E377" s="8"/>
      <c r="F377" s="8"/>
      <c r="G377" s="8"/>
      <c r="H377" s="8"/>
      <c r="I377" s="8"/>
      <c r="J377" s="8"/>
    </row>
    <row r="378" customFormat="false" ht="15" hidden="false" customHeight="false" outlineLevel="0" collapsed="false">
      <c r="A378" s="8"/>
      <c r="B378" s="27"/>
      <c r="C378" s="8"/>
      <c r="D378" s="8"/>
      <c r="E378" s="8"/>
      <c r="F378" s="8"/>
      <c r="G378" s="8"/>
      <c r="H378" s="8"/>
      <c r="I378" s="8"/>
      <c r="J378" s="8"/>
    </row>
    <row r="379" customFormat="false" ht="15" hidden="false" customHeight="false" outlineLevel="0" collapsed="false">
      <c r="A379" s="8"/>
      <c r="B379" s="27"/>
      <c r="C379" s="8"/>
      <c r="D379" s="8"/>
      <c r="E379" s="8"/>
      <c r="F379" s="8"/>
      <c r="G379" s="8"/>
      <c r="H379" s="8"/>
      <c r="I379" s="8"/>
      <c r="J379" s="8"/>
    </row>
    <row r="380" customFormat="false" ht="15" hidden="false" customHeight="false" outlineLevel="0" collapsed="false">
      <c r="A380" s="8"/>
      <c r="B380" s="27"/>
      <c r="C380" s="8"/>
      <c r="D380" s="8"/>
      <c r="E380" s="8"/>
      <c r="F380" s="8"/>
      <c r="G380" s="8"/>
      <c r="H380" s="8"/>
      <c r="I380" s="8"/>
      <c r="J380" s="8"/>
    </row>
    <row r="381" customFormat="false" ht="15" hidden="false" customHeight="false" outlineLevel="0" collapsed="false">
      <c r="A381" s="8"/>
      <c r="B381" s="27"/>
      <c r="C381" s="8"/>
      <c r="D381" s="8"/>
      <c r="E381" s="8"/>
      <c r="F381" s="8"/>
      <c r="G381" s="8"/>
      <c r="H381" s="8"/>
      <c r="I381" s="8"/>
      <c r="J381" s="8"/>
    </row>
    <row r="382" customFormat="false" ht="15" hidden="false" customHeight="false" outlineLevel="0" collapsed="false">
      <c r="A382" s="8"/>
      <c r="B382" s="27"/>
      <c r="C382" s="8"/>
      <c r="D382" s="8"/>
      <c r="E382" s="8"/>
      <c r="F382" s="8"/>
      <c r="G382" s="8"/>
      <c r="H382" s="8"/>
      <c r="I382" s="8"/>
      <c r="J382" s="8"/>
    </row>
    <row r="383" customFormat="false" ht="15" hidden="false" customHeight="false" outlineLevel="0" collapsed="false">
      <c r="A383" s="8"/>
      <c r="B383" s="27"/>
      <c r="C383" s="8"/>
      <c r="D383" s="8"/>
      <c r="E383" s="8"/>
      <c r="F383" s="8"/>
      <c r="G383" s="8"/>
      <c r="H383" s="8"/>
      <c r="I383" s="8"/>
      <c r="J383" s="8"/>
    </row>
    <row r="384" customFormat="false" ht="15" hidden="false" customHeight="false" outlineLevel="0" collapsed="false">
      <c r="A384" s="8"/>
      <c r="B384" s="27"/>
      <c r="C384" s="8"/>
      <c r="D384" s="8"/>
      <c r="E384" s="8"/>
      <c r="F384" s="8"/>
      <c r="G384" s="8"/>
      <c r="H384" s="8"/>
      <c r="I384" s="8"/>
      <c r="J384" s="8"/>
    </row>
    <row r="385" customFormat="false" ht="15" hidden="false" customHeight="false" outlineLevel="0" collapsed="false">
      <c r="A385" s="8"/>
      <c r="B385" s="27"/>
      <c r="C385" s="8"/>
      <c r="D385" s="8"/>
      <c r="E385" s="8"/>
      <c r="F385" s="8"/>
      <c r="G385" s="8"/>
      <c r="H385" s="8"/>
      <c r="I385" s="8"/>
      <c r="J385" s="8"/>
    </row>
    <row r="386" customFormat="false" ht="15" hidden="false" customHeight="false" outlineLevel="0" collapsed="false">
      <c r="A386" s="8"/>
      <c r="B386" s="27"/>
      <c r="C386" s="8"/>
      <c r="D386" s="8"/>
      <c r="E386" s="8"/>
      <c r="F386" s="8"/>
      <c r="G386" s="8"/>
      <c r="H386" s="8"/>
      <c r="I386" s="8"/>
      <c r="J386" s="8"/>
    </row>
    <row r="387" customFormat="false" ht="15" hidden="false" customHeight="false" outlineLevel="0" collapsed="false">
      <c r="A387" s="8"/>
      <c r="B387" s="27"/>
      <c r="C387" s="8"/>
      <c r="D387" s="8"/>
      <c r="E387" s="8"/>
      <c r="F387" s="8"/>
      <c r="G387" s="8"/>
      <c r="H387" s="8"/>
      <c r="I387" s="8"/>
      <c r="J387" s="8"/>
    </row>
    <row r="388" customFormat="false" ht="15" hidden="false" customHeight="false" outlineLevel="0" collapsed="false">
      <c r="A388" s="8"/>
      <c r="B388" s="27"/>
      <c r="C388" s="8"/>
      <c r="D388" s="8"/>
      <c r="E388" s="8"/>
      <c r="F388" s="8"/>
      <c r="G388" s="8"/>
      <c r="H388" s="8"/>
      <c r="I388" s="8"/>
      <c r="J388" s="8"/>
    </row>
    <row r="389" customFormat="false" ht="15" hidden="false" customHeight="false" outlineLevel="0" collapsed="false">
      <c r="A389" s="8"/>
      <c r="B389" s="27"/>
      <c r="C389" s="8"/>
      <c r="D389" s="8"/>
      <c r="E389" s="8"/>
      <c r="F389" s="8"/>
      <c r="G389" s="8"/>
      <c r="H389" s="8"/>
      <c r="I389" s="8"/>
      <c r="J389" s="8"/>
    </row>
    <row r="390" customFormat="false" ht="15" hidden="false" customHeight="false" outlineLevel="0" collapsed="false">
      <c r="A390" s="8"/>
      <c r="B390" s="27"/>
      <c r="C390" s="8"/>
      <c r="D390" s="8"/>
      <c r="E390" s="8"/>
      <c r="F390" s="8"/>
      <c r="G390" s="8"/>
      <c r="H390" s="8"/>
      <c r="I390" s="8"/>
      <c r="J390" s="8"/>
    </row>
    <row r="391" customFormat="false" ht="15" hidden="false" customHeight="false" outlineLevel="0" collapsed="false">
      <c r="A391" s="8"/>
      <c r="B391" s="27"/>
      <c r="C391" s="8"/>
      <c r="D391" s="8"/>
      <c r="E391" s="8"/>
      <c r="F391" s="8"/>
      <c r="G391" s="8"/>
      <c r="H391" s="8"/>
      <c r="I391" s="8"/>
      <c r="J391" s="8"/>
    </row>
    <row r="392" customFormat="false" ht="15" hidden="false" customHeight="false" outlineLevel="0" collapsed="false">
      <c r="A392" s="8"/>
      <c r="B392" s="27"/>
      <c r="C392" s="8"/>
      <c r="D392" s="8"/>
      <c r="E392" s="8"/>
      <c r="F392" s="8"/>
      <c r="G392" s="8"/>
      <c r="H392" s="8"/>
      <c r="I392" s="8"/>
      <c r="J392" s="8"/>
    </row>
    <row r="393" customFormat="false" ht="15" hidden="false" customHeight="false" outlineLevel="0" collapsed="false">
      <c r="A393" s="8"/>
      <c r="B393" s="27"/>
      <c r="C393" s="8"/>
      <c r="D393" s="8"/>
      <c r="E393" s="8"/>
      <c r="F393" s="8"/>
      <c r="G393" s="8"/>
      <c r="H393" s="8"/>
      <c r="I393" s="8"/>
      <c r="J393" s="8"/>
    </row>
    <row r="394" customFormat="false" ht="15" hidden="false" customHeight="false" outlineLevel="0" collapsed="false">
      <c r="A394" s="8"/>
      <c r="B394" s="27"/>
      <c r="C394" s="8"/>
      <c r="D394" s="8"/>
      <c r="E394" s="8"/>
      <c r="F394" s="8"/>
      <c r="G394" s="8"/>
      <c r="H394" s="8"/>
      <c r="I394" s="8"/>
      <c r="J394" s="8"/>
    </row>
    <row r="395" customFormat="false" ht="15" hidden="false" customHeight="false" outlineLevel="0" collapsed="false">
      <c r="A395" s="8"/>
      <c r="B395" s="27"/>
      <c r="C395" s="8"/>
      <c r="D395" s="8"/>
      <c r="E395" s="8"/>
      <c r="F395" s="8"/>
      <c r="G395" s="8"/>
      <c r="H395" s="8"/>
      <c r="I395" s="8"/>
      <c r="J395" s="8"/>
    </row>
    <row r="396" customFormat="false" ht="15" hidden="false" customHeight="false" outlineLevel="0" collapsed="false">
      <c r="A396" s="8"/>
      <c r="B396" s="27"/>
      <c r="C396" s="8"/>
      <c r="D396" s="8"/>
      <c r="E396" s="8"/>
      <c r="F396" s="8"/>
      <c r="G396" s="8"/>
      <c r="H396" s="8"/>
      <c r="I396" s="8"/>
      <c r="J396" s="8"/>
    </row>
    <row r="397" customFormat="false" ht="15" hidden="false" customHeight="false" outlineLevel="0" collapsed="false">
      <c r="A397" s="8"/>
      <c r="B397" s="27"/>
      <c r="C397" s="8"/>
      <c r="D397" s="8"/>
      <c r="E397" s="8"/>
      <c r="F397" s="8"/>
      <c r="G397" s="8"/>
      <c r="H397" s="8"/>
      <c r="I397" s="8"/>
      <c r="J397" s="8"/>
    </row>
    <row r="398" customFormat="false" ht="15" hidden="false" customHeight="false" outlineLevel="0" collapsed="false">
      <c r="A398" s="8"/>
      <c r="B398" s="27"/>
      <c r="C398" s="8"/>
      <c r="D398" s="8"/>
      <c r="E398" s="8"/>
      <c r="F398" s="8"/>
      <c r="G398" s="8"/>
      <c r="H398" s="8"/>
      <c r="I398" s="8"/>
      <c r="J398" s="8"/>
    </row>
    <row r="399" customFormat="false" ht="15" hidden="false" customHeight="false" outlineLevel="0" collapsed="false">
      <c r="A399" s="8"/>
      <c r="B399" s="27"/>
      <c r="C399" s="8"/>
      <c r="D399" s="8"/>
      <c r="E399" s="8"/>
      <c r="F399" s="8"/>
      <c r="G399" s="8"/>
      <c r="H399" s="8"/>
      <c r="I399" s="8"/>
      <c r="J399" s="8"/>
    </row>
    <row r="400" customFormat="false" ht="15" hidden="false" customHeight="false" outlineLevel="0" collapsed="false">
      <c r="A400" s="8"/>
      <c r="B400" s="27"/>
      <c r="C400" s="8"/>
      <c r="D400" s="8"/>
      <c r="E400" s="8"/>
      <c r="F400" s="8"/>
      <c r="G400" s="8"/>
      <c r="H400" s="8"/>
      <c r="I400" s="8"/>
      <c r="J400" s="8"/>
    </row>
    <row r="401" customFormat="false" ht="15" hidden="false" customHeight="false" outlineLevel="0" collapsed="false">
      <c r="A401" s="8"/>
      <c r="B401" s="27"/>
      <c r="C401" s="8"/>
      <c r="D401" s="8"/>
      <c r="E401" s="8"/>
      <c r="F401" s="8"/>
      <c r="G401" s="8"/>
      <c r="H401" s="8"/>
      <c r="I401" s="8"/>
      <c r="J401" s="8"/>
    </row>
    <row r="402" customFormat="false" ht="15" hidden="false" customHeight="false" outlineLevel="0" collapsed="false">
      <c r="A402" s="8"/>
      <c r="B402" s="27"/>
      <c r="C402" s="8"/>
      <c r="D402" s="8"/>
      <c r="E402" s="8"/>
      <c r="F402" s="8"/>
      <c r="G402" s="8"/>
      <c r="H402" s="8"/>
      <c r="I402" s="8"/>
      <c r="J402" s="8"/>
    </row>
    <row r="403" customFormat="false" ht="15" hidden="false" customHeight="false" outlineLevel="0" collapsed="false">
      <c r="A403" s="8"/>
      <c r="B403" s="27"/>
      <c r="C403" s="8"/>
      <c r="D403" s="8"/>
      <c r="E403" s="8"/>
      <c r="F403" s="8"/>
      <c r="G403" s="8"/>
      <c r="H403" s="8"/>
      <c r="I403" s="8"/>
      <c r="J403" s="8"/>
    </row>
    <row r="404" customFormat="false" ht="15" hidden="false" customHeight="false" outlineLevel="0" collapsed="false">
      <c r="A404" s="8"/>
      <c r="B404" s="27"/>
      <c r="C404" s="8"/>
      <c r="D404" s="8"/>
      <c r="E404" s="8"/>
      <c r="F404" s="8"/>
      <c r="G404" s="8"/>
      <c r="H404" s="8"/>
      <c r="I404" s="8"/>
      <c r="J404" s="8"/>
    </row>
    <row r="405" customFormat="false" ht="15" hidden="false" customHeight="false" outlineLevel="0" collapsed="false">
      <c r="A405" s="8"/>
      <c r="B405" s="27"/>
      <c r="C405" s="8"/>
      <c r="D405" s="8"/>
      <c r="E405" s="8"/>
      <c r="F405" s="8"/>
      <c r="G405" s="8"/>
      <c r="H405" s="8"/>
      <c r="I405" s="8"/>
      <c r="J405" s="8"/>
    </row>
    <row r="406" customFormat="false" ht="15" hidden="false" customHeight="false" outlineLevel="0" collapsed="false">
      <c r="A406" s="8"/>
      <c r="B406" s="27"/>
      <c r="C406" s="8"/>
      <c r="D406" s="8"/>
      <c r="E406" s="8"/>
      <c r="F406" s="8"/>
      <c r="G406" s="8"/>
      <c r="H406" s="8"/>
      <c r="I406" s="8"/>
      <c r="J406" s="8"/>
    </row>
    <row r="407" customFormat="false" ht="15" hidden="false" customHeight="false" outlineLevel="0" collapsed="false">
      <c r="A407" s="8"/>
      <c r="B407" s="27"/>
      <c r="C407" s="8"/>
      <c r="D407" s="8"/>
      <c r="E407" s="8"/>
      <c r="F407" s="8"/>
      <c r="G407" s="8"/>
      <c r="H407" s="8"/>
      <c r="I407" s="8"/>
      <c r="J407" s="8"/>
    </row>
    <row r="408" customFormat="false" ht="15" hidden="false" customHeight="false" outlineLevel="0" collapsed="false">
      <c r="A408" s="8"/>
      <c r="B408" s="27"/>
      <c r="C408" s="8"/>
      <c r="D408" s="8"/>
      <c r="E408" s="8"/>
      <c r="F408" s="8"/>
      <c r="G408" s="8"/>
      <c r="H408" s="8"/>
      <c r="I408" s="8"/>
      <c r="J408" s="8"/>
    </row>
    <row r="409" customFormat="false" ht="15" hidden="false" customHeight="false" outlineLevel="0" collapsed="false">
      <c r="A409" s="8"/>
      <c r="B409" s="27"/>
      <c r="C409" s="8"/>
      <c r="D409" s="8"/>
      <c r="E409" s="8"/>
      <c r="F409" s="8"/>
      <c r="G409" s="8"/>
      <c r="H409" s="8"/>
      <c r="I409" s="8"/>
      <c r="J409" s="8"/>
    </row>
    <row r="410" customFormat="false" ht="15" hidden="false" customHeight="false" outlineLevel="0" collapsed="false">
      <c r="A410" s="8"/>
      <c r="B410" s="27"/>
      <c r="C410" s="8"/>
      <c r="D410" s="8"/>
      <c r="E410" s="8"/>
      <c r="F410" s="8"/>
      <c r="G410" s="8"/>
      <c r="H410" s="8"/>
      <c r="I410" s="8"/>
      <c r="J410" s="8"/>
    </row>
    <row r="411" customFormat="false" ht="15" hidden="false" customHeight="false" outlineLevel="0" collapsed="false">
      <c r="A411" s="8"/>
      <c r="B411" s="27"/>
      <c r="C411" s="8"/>
      <c r="D411" s="8"/>
      <c r="E411" s="8"/>
      <c r="F411" s="8"/>
      <c r="G411" s="8"/>
      <c r="H411" s="8"/>
      <c r="I411" s="8"/>
      <c r="J411" s="8"/>
    </row>
    <row r="412" customFormat="false" ht="15" hidden="false" customHeight="false" outlineLevel="0" collapsed="false">
      <c r="A412" s="8"/>
      <c r="B412" s="27"/>
      <c r="C412" s="8"/>
      <c r="D412" s="8"/>
      <c r="E412" s="8"/>
      <c r="F412" s="8"/>
      <c r="G412" s="8"/>
      <c r="H412" s="8"/>
      <c r="I412" s="8"/>
      <c r="J412" s="8"/>
    </row>
    <row r="413" customFormat="false" ht="15" hidden="false" customHeight="false" outlineLevel="0" collapsed="false">
      <c r="A413" s="8"/>
      <c r="B413" s="27"/>
      <c r="C413" s="8"/>
      <c r="D413" s="8"/>
      <c r="E413" s="8"/>
      <c r="F413" s="8"/>
      <c r="G413" s="8"/>
      <c r="H413" s="8"/>
      <c r="I413" s="8"/>
      <c r="J413" s="8"/>
    </row>
    <row r="414" customFormat="false" ht="15" hidden="false" customHeight="false" outlineLevel="0" collapsed="false">
      <c r="A414" s="8"/>
      <c r="B414" s="27"/>
      <c r="C414" s="8"/>
      <c r="D414" s="8"/>
      <c r="E414" s="8"/>
      <c r="F414" s="8"/>
      <c r="G414" s="8"/>
      <c r="H414" s="8"/>
      <c r="I414" s="8"/>
      <c r="J414" s="8"/>
    </row>
    <row r="415" customFormat="false" ht="15" hidden="false" customHeight="false" outlineLevel="0" collapsed="false">
      <c r="A415" s="8"/>
      <c r="B415" s="27"/>
      <c r="C415" s="8"/>
      <c r="D415" s="8"/>
      <c r="E415" s="8"/>
      <c r="F415" s="8"/>
      <c r="G415" s="8"/>
      <c r="H415" s="8"/>
      <c r="I415" s="8"/>
      <c r="J415" s="8"/>
    </row>
    <row r="416" customFormat="false" ht="15" hidden="false" customHeight="false" outlineLevel="0" collapsed="false">
      <c r="A416" s="8"/>
      <c r="B416" s="27"/>
      <c r="C416" s="8"/>
      <c r="D416" s="8"/>
      <c r="E416" s="8"/>
      <c r="F416" s="8"/>
      <c r="G416" s="8"/>
      <c r="H416" s="8"/>
      <c r="I416" s="8"/>
      <c r="J416" s="8"/>
    </row>
    <row r="417" customFormat="false" ht="15" hidden="false" customHeight="false" outlineLevel="0" collapsed="false">
      <c r="A417" s="8"/>
      <c r="B417" s="27"/>
      <c r="C417" s="8"/>
      <c r="D417" s="8"/>
      <c r="E417" s="8"/>
      <c r="F417" s="8"/>
      <c r="G417" s="8"/>
      <c r="H417" s="8"/>
      <c r="I417" s="8"/>
      <c r="J417" s="8"/>
    </row>
    <row r="418" customFormat="false" ht="15" hidden="false" customHeight="false" outlineLevel="0" collapsed="false">
      <c r="A418" s="8"/>
      <c r="B418" s="27"/>
      <c r="C418" s="8"/>
      <c r="D418" s="8"/>
      <c r="E418" s="8"/>
      <c r="F418" s="8"/>
      <c r="G418" s="8"/>
      <c r="H418" s="8"/>
      <c r="I418" s="8"/>
      <c r="J418" s="8"/>
    </row>
    <row r="419" customFormat="false" ht="15" hidden="false" customHeight="false" outlineLevel="0" collapsed="false">
      <c r="A419" s="8"/>
      <c r="B419" s="27"/>
      <c r="C419" s="8"/>
      <c r="D419" s="8"/>
      <c r="E419" s="8"/>
      <c r="F419" s="8"/>
      <c r="G419" s="8"/>
      <c r="H419" s="8"/>
      <c r="I419" s="8"/>
      <c r="J419" s="8"/>
    </row>
    <row r="420" customFormat="false" ht="15" hidden="false" customHeight="false" outlineLevel="0" collapsed="false">
      <c r="A420" s="8"/>
      <c r="B420" s="27"/>
      <c r="C420" s="8"/>
      <c r="D420" s="8"/>
      <c r="E420" s="8"/>
      <c r="F420" s="8"/>
      <c r="G420" s="8"/>
      <c r="H420" s="8"/>
      <c r="I420" s="8"/>
      <c r="J420" s="8"/>
    </row>
    <row r="421" customFormat="false" ht="15" hidden="false" customHeight="false" outlineLevel="0" collapsed="false">
      <c r="A421" s="8"/>
      <c r="B421" s="27"/>
      <c r="C421" s="8"/>
      <c r="D421" s="8"/>
      <c r="E421" s="8"/>
      <c r="F421" s="8"/>
      <c r="G421" s="8"/>
      <c r="H421" s="8"/>
      <c r="I421" s="8"/>
      <c r="J421" s="8"/>
    </row>
    <row r="422" customFormat="false" ht="15" hidden="false" customHeight="false" outlineLevel="0" collapsed="false">
      <c r="A422" s="8"/>
      <c r="B422" s="27"/>
      <c r="C422" s="8"/>
      <c r="D422" s="8"/>
      <c r="E422" s="8"/>
      <c r="F422" s="8"/>
      <c r="G422" s="8"/>
      <c r="H422" s="8"/>
      <c r="I422" s="8"/>
      <c r="J422" s="8"/>
    </row>
    <row r="423" customFormat="false" ht="15" hidden="false" customHeight="false" outlineLevel="0" collapsed="false">
      <c r="A423" s="8"/>
      <c r="B423" s="27"/>
      <c r="C423" s="8"/>
      <c r="D423" s="8"/>
      <c r="E423" s="8"/>
      <c r="F423" s="8"/>
      <c r="G423" s="8"/>
      <c r="H423" s="8"/>
      <c r="I423" s="8"/>
      <c r="J423" s="8"/>
    </row>
    <row r="424" customFormat="false" ht="15" hidden="false" customHeight="false" outlineLevel="0" collapsed="false">
      <c r="A424" s="8"/>
      <c r="B424" s="27"/>
      <c r="C424" s="8"/>
      <c r="D424" s="8"/>
      <c r="E424" s="8"/>
      <c r="F424" s="8"/>
      <c r="G424" s="8"/>
      <c r="H424" s="8"/>
      <c r="I424" s="8"/>
      <c r="J424" s="8"/>
    </row>
    <row r="425" customFormat="false" ht="15" hidden="false" customHeight="false" outlineLevel="0" collapsed="false">
      <c r="A425" s="8"/>
      <c r="B425" s="27"/>
      <c r="C425" s="8"/>
      <c r="D425" s="8"/>
      <c r="E425" s="8"/>
      <c r="F425" s="8"/>
      <c r="G425" s="8"/>
      <c r="H425" s="8"/>
      <c r="I425" s="8"/>
      <c r="J425" s="8"/>
    </row>
    <row r="426" customFormat="false" ht="15" hidden="false" customHeight="false" outlineLevel="0" collapsed="false">
      <c r="A426" s="8"/>
      <c r="B426" s="27"/>
      <c r="C426" s="8"/>
      <c r="D426" s="8"/>
      <c r="E426" s="8"/>
      <c r="F426" s="8"/>
      <c r="G426" s="8"/>
      <c r="H426" s="8"/>
      <c r="I426" s="8"/>
      <c r="J426" s="8"/>
    </row>
    <row r="427" customFormat="false" ht="15" hidden="false" customHeight="false" outlineLevel="0" collapsed="false">
      <c r="A427" s="8"/>
      <c r="B427" s="27"/>
      <c r="C427" s="8"/>
      <c r="D427" s="8"/>
      <c r="E427" s="8"/>
      <c r="F427" s="8"/>
      <c r="G427" s="8"/>
      <c r="H427" s="8"/>
      <c r="I427" s="8"/>
      <c r="J427" s="8"/>
    </row>
    <row r="428" customFormat="false" ht="15" hidden="false" customHeight="false" outlineLevel="0" collapsed="false">
      <c r="A428" s="8"/>
      <c r="B428" s="27"/>
      <c r="C428" s="8"/>
      <c r="D428" s="8"/>
      <c r="E428" s="8"/>
      <c r="F428" s="8"/>
      <c r="G428" s="8"/>
      <c r="H428" s="8"/>
      <c r="I428" s="8"/>
      <c r="J428" s="8"/>
    </row>
    <row r="429" customFormat="false" ht="15" hidden="false" customHeight="false" outlineLevel="0" collapsed="false">
      <c r="A429" s="8"/>
      <c r="B429" s="27"/>
      <c r="C429" s="8"/>
      <c r="D429" s="8"/>
      <c r="E429" s="8"/>
      <c r="F429" s="8"/>
      <c r="G429" s="8"/>
      <c r="H429" s="8"/>
      <c r="I429" s="8"/>
      <c r="J429" s="8"/>
    </row>
    <row r="430" customFormat="false" ht="15" hidden="false" customHeight="false" outlineLevel="0" collapsed="false">
      <c r="A430" s="8"/>
      <c r="B430" s="27"/>
      <c r="C430" s="8"/>
      <c r="D430" s="8"/>
      <c r="E430" s="8"/>
      <c r="F430" s="8"/>
      <c r="G430" s="8"/>
      <c r="H430" s="8"/>
      <c r="I430" s="8"/>
      <c r="J430" s="8"/>
    </row>
    <row r="431" customFormat="false" ht="15" hidden="false" customHeight="false" outlineLevel="0" collapsed="false">
      <c r="A431" s="8"/>
      <c r="B431" s="27"/>
      <c r="C431" s="8"/>
      <c r="D431" s="8"/>
      <c r="E431" s="8"/>
      <c r="F431" s="8"/>
      <c r="G431" s="8"/>
      <c r="H431" s="8"/>
      <c r="I431" s="8"/>
      <c r="J431" s="8"/>
    </row>
    <row r="432" customFormat="false" ht="15" hidden="false" customHeight="false" outlineLevel="0" collapsed="false">
      <c r="A432" s="8"/>
      <c r="B432" s="27"/>
      <c r="C432" s="8"/>
      <c r="D432" s="8"/>
      <c r="E432" s="8"/>
      <c r="F432" s="8"/>
      <c r="G432" s="8"/>
      <c r="H432" s="8"/>
      <c r="I432" s="8"/>
      <c r="J432" s="8"/>
    </row>
    <row r="433" customFormat="false" ht="15" hidden="false" customHeight="false" outlineLevel="0" collapsed="false">
      <c r="A433" s="8"/>
      <c r="B433" s="27"/>
      <c r="C433" s="8"/>
      <c r="D433" s="8"/>
      <c r="E433" s="8"/>
      <c r="F433" s="8"/>
      <c r="G433" s="8"/>
      <c r="H433" s="8"/>
      <c r="I433" s="8"/>
      <c r="J433" s="8"/>
    </row>
    <row r="434" customFormat="false" ht="15" hidden="false" customHeight="false" outlineLevel="0" collapsed="false">
      <c r="A434" s="8"/>
      <c r="B434" s="27"/>
      <c r="C434" s="8"/>
      <c r="D434" s="8"/>
      <c r="E434" s="8"/>
      <c r="F434" s="8"/>
      <c r="G434" s="8"/>
      <c r="H434" s="8"/>
      <c r="I434" s="8"/>
      <c r="J434" s="8"/>
    </row>
    <row r="435" customFormat="false" ht="15" hidden="false" customHeight="false" outlineLevel="0" collapsed="false">
      <c r="A435" s="8"/>
      <c r="B435" s="27"/>
      <c r="C435" s="8"/>
      <c r="D435" s="8"/>
      <c r="E435" s="8"/>
      <c r="F435" s="8"/>
      <c r="G435" s="8"/>
      <c r="H435" s="8"/>
      <c r="I435" s="8"/>
      <c r="J435" s="8"/>
    </row>
    <row r="436" customFormat="false" ht="15" hidden="false" customHeight="false" outlineLevel="0" collapsed="false">
      <c r="A436" s="8"/>
      <c r="B436" s="27"/>
      <c r="C436" s="8"/>
      <c r="D436" s="8"/>
      <c r="E436" s="8"/>
      <c r="F436" s="8"/>
      <c r="G436" s="8"/>
      <c r="H436" s="8"/>
      <c r="I436" s="8"/>
      <c r="J436" s="8"/>
    </row>
    <row r="437" customFormat="false" ht="15" hidden="false" customHeight="false" outlineLevel="0" collapsed="false">
      <c r="A437" s="8"/>
      <c r="B437" s="27"/>
      <c r="C437" s="8"/>
      <c r="D437" s="8"/>
      <c r="E437" s="8"/>
      <c r="F437" s="8"/>
      <c r="G437" s="8"/>
      <c r="H437" s="8"/>
      <c r="I437" s="8"/>
      <c r="J437" s="8"/>
    </row>
    <row r="438" customFormat="false" ht="15" hidden="false" customHeight="false" outlineLevel="0" collapsed="false">
      <c r="A438" s="8"/>
      <c r="B438" s="27"/>
      <c r="C438" s="8"/>
      <c r="D438" s="8"/>
      <c r="E438" s="8"/>
      <c r="F438" s="8"/>
      <c r="G438" s="8"/>
      <c r="H438" s="8"/>
      <c r="I438" s="8"/>
      <c r="J438" s="8"/>
    </row>
    <row r="439" customFormat="false" ht="15" hidden="false" customHeight="false" outlineLevel="0" collapsed="false">
      <c r="A439" s="8"/>
      <c r="B439" s="27"/>
      <c r="C439" s="8"/>
      <c r="D439" s="8"/>
      <c r="E439" s="8"/>
      <c r="F439" s="8"/>
      <c r="G439" s="8"/>
      <c r="H439" s="8"/>
      <c r="I439" s="8"/>
      <c r="J439" s="8"/>
    </row>
    <row r="440" customFormat="false" ht="15" hidden="false" customHeight="false" outlineLevel="0" collapsed="false">
      <c r="A440" s="8"/>
      <c r="B440" s="27"/>
      <c r="C440" s="8"/>
      <c r="D440" s="8"/>
      <c r="E440" s="8"/>
      <c r="F440" s="8"/>
      <c r="G440" s="8"/>
      <c r="H440" s="8"/>
      <c r="I440" s="8"/>
      <c r="J440" s="8"/>
    </row>
    <row r="441" customFormat="false" ht="15" hidden="false" customHeight="false" outlineLevel="0" collapsed="false">
      <c r="A441" s="8"/>
      <c r="B441" s="27"/>
      <c r="C441" s="8"/>
      <c r="D441" s="8"/>
      <c r="E441" s="8"/>
      <c r="F441" s="8"/>
      <c r="G441" s="8"/>
      <c r="H441" s="8"/>
      <c r="I441" s="8"/>
      <c r="J441" s="8"/>
    </row>
    <row r="442" customFormat="false" ht="15" hidden="false" customHeight="false" outlineLevel="0" collapsed="false">
      <c r="A442" s="8"/>
      <c r="B442" s="27"/>
      <c r="C442" s="8"/>
      <c r="D442" s="8"/>
      <c r="E442" s="8"/>
      <c r="F442" s="8"/>
      <c r="G442" s="8"/>
      <c r="H442" s="8"/>
      <c r="I442" s="8"/>
      <c r="J442" s="8"/>
    </row>
    <row r="443" customFormat="false" ht="15" hidden="false" customHeight="false" outlineLevel="0" collapsed="false">
      <c r="A443" s="8"/>
      <c r="B443" s="27"/>
      <c r="C443" s="8"/>
      <c r="D443" s="8"/>
      <c r="E443" s="8"/>
      <c r="F443" s="8"/>
      <c r="G443" s="8"/>
      <c r="H443" s="8"/>
      <c r="I443" s="8"/>
      <c r="J443" s="8"/>
    </row>
    <row r="444" customFormat="false" ht="15" hidden="false" customHeight="false" outlineLevel="0" collapsed="false">
      <c r="A444" s="8"/>
      <c r="B444" s="27"/>
      <c r="C444" s="8"/>
      <c r="D444" s="8"/>
      <c r="E444" s="8"/>
      <c r="F444" s="8"/>
      <c r="G444" s="8"/>
      <c r="H444" s="8"/>
      <c r="I444" s="8"/>
      <c r="J444" s="8"/>
    </row>
    <row r="445" customFormat="false" ht="15" hidden="false" customHeight="false" outlineLevel="0" collapsed="false">
      <c r="A445" s="8"/>
      <c r="B445" s="27"/>
      <c r="C445" s="8"/>
      <c r="D445" s="8"/>
      <c r="E445" s="8"/>
      <c r="F445" s="8"/>
      <c r="G445" s="8"/>
      <c r="H445" s="8"/>
      <c r="I445" s="8"/>
      <c r="J445" s="8"/>
    </row>
    <row r="446" customFormat="false" ht="15" hidden="false" customHeight="false" outlineLevel="0" collapsed="false">
      <c r="A446" s="8"/>
      <c r="B446" s="27"/>
      <c r="C446" s="8"/>
      <c r="D446" s="8"/>
      <c r="E446" s="8"/>
      <c r="F446" s="8"/>
      <c r="G446" s="8"/>
      <c r="H446" s="8"/>
      <c r="I446" s="8"/>
      <c r="J446" s="8"/>
    </row>
    <row r="447" customFormat="false" ht="15" hidden="false" customHeight="false" outlineLevel="0" collapsed="false">
      <c r="A447" s="8"/>
      <c r="B447" s="27"/>
      <c r="C447" s="8"/>
      <c r="D447" s="8"/>
      <c r="E447" s="8"/>
      <c r="F447" s="8"/>
      <c r="G447" s="8"/>
      <c r="H447" s="8"/>
      <c r="I447" s="8"/>
      <c r="J447" s="8"/>
    </row>
    <row r="448" customFormat="false" ht="15" hidden="false" customHeight="false" outlineLevel="0" collapsed="false">
      <c r="A448" s="8"/>
      <c r="B448" s="27"/>
      <c r="C448" s="8"/>
      <c r="D448" s="8"/>
      <c r="E448" s="8"/>
      <c r="F448" s="8"/>
      <c r="G448" s="8"/>
      <c r="H448" s="8"/>
      <c r="I448" s="8"/>
      <c r="J448" s="8"/>
    </row>
    <row r="449" customFormat="false" ht="15" hidden="false" customHeight="false" outlineLevel="0" collapsed="false">
      <c r="A449" s="8"/>
      <c r="B449" s="27"/>
      <c r="C449" s="8"/>
      <c r="D449" s="8"/>
      <c r="E449" s="8"/>
      <c r="F449" s="8"/>
      <c r="G449" s="8"/>
      <c r="H449" s="8"/>
      <c r="I449" s="8"/>
      <c r="J449" s="8"/>
    </row>
    <row r="450" customFormat="false" ht="15" hidden="false" customHeight="false" outlineLevel="0" collapsed="false">
      <c r="A450" s="8"/>
      <c r="B450" s="27"/>
      <c r="C450" s="8"/>
      <c r="D450" s="8"/>
      <c r="E450" s="8"/>
      <c r="F450" s="8"/>
      <c r="G450" s="8"/>
      <c r="H450" s="8"/>
      <c r="I450" s="8"/>
      <c r="J450" s="8"/>
    </row>
    <row r="451" customFormat="false" ht="15" hidden="false" customHeight="false" outlineLevel="0" collapsed="false">
      <c r="A451" s="8"/>
      <c r="B451" s="27"/>
      <c r="C451" s="8"/>
      <c r="D451" s="8"/>
      <c r="E451" s="8"/>
      <c r="F451" s="8"/>
      <c r="G451" s="8"/>
      <c r="H451" s="8"/>
      <c r="I451" s="8"/>
      <c r="J451" s="8"/>
    </row>
    <row r="452" customFormat="false" ht="15" hidden="false" customHeight="false" outlineLevel="0" collapsed="false">
      <c r="A452" s="8"/>
      <c r="B452" s="27"/>
      <c r="C452" s="8"/>
      <c r="D452" s="8"/>
      <c r="E452" s="8"/>
      <c r="F452" s="8"/>
      <c r="G452" s="8"/>
      <c r="H452" s="8"/>
      <c r="I452" s="8"/>
      <c r="J452" s="8"/>
    </row>
    <row r="453" customFormat="false" ht="15" hidden="false" customHeight="false" outlineLevel="0" collapsed="false">
      <c r="A453" s="8"/>
      <c r="B453" s="27"/>
      <c r="C453" s="8"/>
      <c r="D453" s="8"/>
      <c r="E453" s="8"/>
      <c r="F453" s="8"/>
      <c r="G453" s="8"/>
      <c r="H453" s="8"/>
      <c r="I453" s="8"/>
      <c r="J453" s="8"/>
    </row>
    <row r="454" customFormat="false" ht="15" hidden="false" customHeight="false" outlineLevel="0" collapsed="false">
      <c r="A454" s="8"/>
      <c r="B454" s="27"/>
      <c r="C454" s="8"/>
      <c r="D454" s="8"/>
      <c r="E454" s="8"/>
      <c r="F454" s="8"/>
      <c r="G454" s="8"/>
      <c r="H454" s="8"/>
      <c r="I454" s="8"/>
      <c r="J454" s="8"/>
    </row>
    <row r="455" customFormat="false" ht="15" hidden="false" customHeight="false" outlineLevel="0" collapsed="false">
      <c r="A455" s="8"/>
      <c r="B455" s="27"/>
      <c r="C455" s="8"/>
      <c r="D455" s="8"/>
      <c r="E455" s="8"/>
      <c r="F455" s="8"/>
      <c r="G455" s="8"/>
      <c r="H455" s="8"/>
      <c r="I455" s="8"/>
      <c r="J455" s="8"/>
    </row>
    <row r="456" customFormat="false" ht="15" hidden="false" customHeight="false" outlineLevel="0" collapsed="false">
      <c r="A456" s="8"/>
      <c r="B456" s="27"/>
      <c r="C456" s="8"/>
      <c r="D456" s="8"/>
      <c r="E456" s="8"/>
      <c r="F456" s="8"/>
      <c r="G456" s="8"/>
      <c r="H456" s="8"/>
      <c r="I456" s="8"/>
      <c r="J456" s="8"/>
    </row>
    <row r="457" customFormat="false" ht="15" hidden="false" customHeight="false" outlineLevel="0" collapsed="false">
      <c r="A457" s="8"/>
      <c r="B457" s="27"/>
      <c r="C457" s="8"/>
      <c r="D457" s="8"/>
      <c r="E457" s="8"/>
      <c r="F457" s="8"/>
      <c r="G457" s="8"/>
      <c r="H457" s="8"/>
      <c r="I457" s="8"/>
      <c r="J457" s="8"/>
    </row>
    <row r="458" customFormat="false" ht="15" hidden="false" customHeight="false" outlineLevel="0" collapsed="false">
      <c r="A458" s="8"/>
      <c r="B458" s="27"/>
      <c r="C458" s="8"/>
      <c r="D458" s="8"/>
      <c r="E458" s="8"/>
      <c r="F458" s="8"/>
      <c r="G458" s="8"/>
      <c r="H458" s="8"/>
      <c r="I458" s="8"/>
      <c r="J458" s="8"/>
    </row>
    <row r="459" customFormat="false" ht="15" hidden="false" customHeight="false" outlineLevel="0" collapsed="false">
      <c r="A459" s="8"/>
      <c r="B459" s="27"/>
      <c r="C459" s="8"/>
      <c r="D459" s="8"/>
      <c r="E459" s="8"/>
      <c r="F459" s="8"/>
      <c r="G459" s="8"/>
      <c r="H459" s="8"/>
      <c r="I459" s="8"/>
      <c r="J459" s="8"/>
    </row>
    <row r="460" customFormat="false" ht="15" hidden="false" customHeight="false" outlineLevel="0" collapsed="false">
      <c r="A460" s="8"/>
      <c r="B460" s="27"/>
      <c r="C460" s="8"/>
      <c r="D460" s="8"/>
      <c r="E460" s="8"/>
      <c r="F460" s="8"/>
      <c r="G460" s="8"/>
      <c r="H460" s="8"/>
      <c r="I460" s="8"/>
      <c r="J460" s="8"/>
    </row>
    <row r="461" customFormat="false" ht="15" hidden="false" customHeight="false" outlineLevel="0" collapsed="false">
      <c r="A461" s="8"/>
      <c r="B461" s="27"/>
      <c r="C461" s="8"/>
      <c r="D461" s="8"/>
      <c r="E461" s="8"/>
      <c r="F461" s="8"/>
      <c r="G461" s="8"/>
      <c r="H461" s="8"/>
      <c r="I461" s="8"/>
      <c r="J461" s="8"/>
    </row>
    <row r="462" customFormat="false" ht="15" hidden="false" customHeight="false" outlineLevel="0" collapsed="false">
      <c r="A462" s="8"/>
      <c r="B462" s="27"/>
      <c r="C462" s="8"/>
      <c r="D462" s="8"/>
      <c r="E462" s="8"/>
      <c r="F462" s="8"/>
      <c r="G462" s="8"/>
      <c r="H462" s="8"/>
      <c r="I462" s="8"/>
      <c r="J462" s="8"/>
    </row>
    <row r="463" customFormat="false" ht="15" hidden="false" customHeight="false" outlineLevel="0" collapsed="false">
      <c r="A463" s="8"/>
      <c r="B463" s="27"/>
      <c r="C463" s="8"/>
      <c r="D463" s="8"/>
      <c r="E463" s="8"/>
      <c r="F463" s="8"/>
      <c r="G463" s="8"/>
      <c r="H463" s="8"/>
      <c r="I463" s="8"/>
      <c r="J463" s="8"/>
    </row>
    <row r="464" customFormat="false" ht="15" hidden="false" customHeight="false" outlineLevel="0" collapsed="false">
      <c r="A464" s="8"/>
      <c r="B464" s="27"/>
      <c r="C464" s="8"/>
      <c r="D464" s="8"/>
      <c r="E464" s="8"/>
      <c r="F464" s="8"/>
      <c r="G464" s="8"/>
      <c r="H464" s="8"/>
      <c r="I464" s="8"/>
      <c r="J464" s="8"/>
    </row>
    <row r="465" customFormat="false" ht="15" hidden="false" customHeight="false" outlineLevel="0" collapsed="false">
      <c r="A465" s="8"/>
      <c r="B465" s="27"/>
      <c r="C465" s="8"/>
      <c r="D465" s="8"/>
      <c r="E465" s="8"/>
      <c r="F465" s="8"/>
      <c r="G465" s="8"/>
      <c r="H465" s="8"/>
      <c r="I465" s="8"/>
      <c r="J465" s="8"/>
    </row>
    <row r="466" customFormat="false" ht="15" hidden="false" customHeight="false" outlineLevel="0" collapsed="false">
      <c r="A466" s="8"/>
      <c r="B466" s="27"/>
      <c r="C466" s="8"/>
      <c r="D466" s="8"/>
      <c r="E466" s="8"/>
      <c r="F466" s="8"/>
      <c r="G466" s="8"/>
      <c r="H466" s="8"/>
      <c r="I466" s="8"/>
      <c r="J466" s="8"/>
    </row>
    <row r="467" customFormat="false" ht="15" hidden="false" customHeight="false" outlineLevel="0" collapsed="false">
      <c r="A467" s="8"/>
      <c r="B467" s="27"/>
      <c r="C467" s="8"/>
      <c r="D467" s="8"/>
      <c r="E467" s="8"/>
      <c r="F467" s="8"/>
      <c r="G467" s="8"/>
      <c r="H467" s="8"/>
      <c r="I467" s="8"/>
      <c r="J467" s="8"/>
    </row>
    <row r="468" customFormat="false" ht="15" hidden="false" customHeight="false" outlineLevel="0" collapsed="false">
      <c r="A468" s="8"/>
      <c r="B468" s="27"/>
      <c r="C468" s="8"/>
      <c r="D468" s="8"/>
      <c r="E468" s="8"/>
      <c r="F468" s="8"/>
      <c r="G468" s="8"/>
      <c r="H468" s="8"/>
      <c r="I468" s="8"/>
      <c r="J468" s="8"/>
    </row>
    <row r="469" customFormat="false" ht="15" hidden="false" customHeight="false" outlineLevel="0" collapsed="false">
      <c r="A469" s="8"/>
      <c r="B469" s="27"/>
      <c r="C469" s="8"/>
      <c r="D469" s="8"/>
      <c r="E469" s="8"/>
      <c r="F469" s="8"/>
      <c r="G469" s="8"/>
      <c r="H469" s="8"/>
      <c r="I469" s="8"/>
      <c r="J469" s="8"/>
    </row>
    <row r="470" customFormat="false" ht="15" hidden="false" customHeight="false" outlineLevel="0" collapsed="false">
      <c r="A470" s="8"/>
      <c r="B470" s="27"/>
      <c r="C470" s="8"/>
      <c r="D470" s="8"/>
      <c r="E470" s="8"/>
      <c r="F470" s="8"/>
      <c r="G470" s="8"/>
      <c r="H470" s="8"/>
      <c r="I470" s="8"/>
      <c r="J470" s="8"/>
    </row>
    <row r="471" customFormat="false" ht="15" hidden="false" customHeight="false" outlineLevel="0" collapsed="false">
      <c r="A471" s="8"/>
      <c r="B471" s="27"/>
      <c r="C471" s="8"/>
      <c r="D471" s="8"/>
      <c r="E471" s="8"/>
      <c r="F471" s="8"/>
      <c r="G471" s="8"/>
      <c r="H471" s="8"/>
      <c r="I471" s="8"/>
      <c r="J471" s="8"/>
    </row>
    <row r="472" customFormat="false" ht="15" hidden="false" customHeight="false" outlineLevel="0" collapsed="false">
      <c r="A472" s="8"/>
      <c r="B472" s="27"/>
      <c r="C472" s="8"/>
      <c r="D472" s="8"/>
      <c r="E472" s="8"/>
      <c r="F472" s="8"/>
      <c r="G472" s="8"/>
      <c r="H472" s="8"/>
      <c r="I472" s="8"/>
      <c r="J472" s="8"/>
    </row>
    <row r="473" customFormat="false" ht="15" hidden="false" customHeight="false" outlineLevel="0" collapsed="false">
      <c r="A473" s="8"/>
      <c r="B473" s="27"/>
      <c r="C473" s="8"/>
      <c r="D473" s="8"/>
      <c r="E473" s="8"/>
      <c r="F473" s="8"/>
      <c r="G473" s="8"/>
      <c r="H473" s="8"/>
      <c r="I473" s="8"/>
      <c r="J473" s="8"/>
    </row>
    <row r="474" customFormat="false" ht="15" hidden="false" customHeight="false" outlineLevel="0" collapsed="false">
      <c r="A474" s="8"/>
      <c r="B474" s="27"/>
      <c r="C474" s="8"/>
      <c r="D474" s="8"/>
      <c r="E474" s="8"/>
      <c r="F474" s="8"/>
      <c r="G474" s="8"/>
      <c r="H474" s="8"/>
      <c r="I474" s="8"/>
      <c r="J474" s="8"/>
    </row>
    <row r="475" customFormat="false" ht="15" hidden="false" customHeight="false" outlineLevel="0" collapsed="false">
      <c r="A475" s="8"/>
      <c r="B475" s="27"/>
      <c r="C475" s="8"/>
      <c r="D475" s="8"/>
      <c r="E475" s="8"/>
      <c r="F475" s="8"/>
      <c r="G475" s="8"/>
      <c r="H475" s="8"/>
      <c r="I475" s="8"/>
      <c r="J475" s="8"/>
    </row>
    <row r="476" customFormat="false" ht="15" hidden="false" customHeight="false" outlineLevel="0" collapsed="false">
      <c r="A476" s="8"/>
      <c r="B476" s="27"/>
      <c r="C476" s="8"/>
      <c r="D476" s="8"/>
      <c r="E476" s="8"/>
      <c r="F476" s="8"/>
      <c r="G476" s="8"/>
      <c r="H476" s="8"/>
      <c r="I476" s="8"/>
      <c r="J476" s="8"/>
    </row>
    <row r="477" customFormat="false" ht="15" hidden="false" customHeight="false" outlineLevel="0" collapsed="false">
      <c r="A477" s="8"/>
      <c r="B477" s="27"/>
      <c r="C477" s="8"/>
      <c r="D477" s="8"/>
      <c r="E477" s="8"/>
      <c r="F477" s="8"/>
      <c r="G477" s="8"/>
      <c r="H477" s="8"/>
      <c r="I477" s="8"/>
      <c r="J477" s="8"/>
    </row>
    <row r="478" customFormat="false" ht="15" hidden="false" customHeight="false" outlineLevel="0" collapsed="false">
      <c r="A478" s="8"/>
      <c r="B478" s="27"/>
      <c r="C478" s="8"/>
      <c r="D478" s="8"/>
      <c r="E478" s="8"/>
      <c r="F478" s="8"/>
      <c r="G478" s="8"/>
      <c r="H478" s="8"/>
      <c r="I478" s="8"/>
      <c r="J478" s="8"/>
    </row>
    <row r="479" customFormat="false" ht="15" hidden="false" customHeight="false" outlineLevel="0" collapsed="false">
      <c r="A479" s="8"/>
      <c r="B479" s="27"/>
      <c r="C479" s="8"/>
      <c r="D479" s="8"/>
      <c r="E479" s="8"/>
      <c r="F479" s="8"/>
      <c r="G479" s="8"/>
      <c r="H479" s="8"/>
      <c r="I479" s="8"/>
      <c r="J479" s="8"/>
    </row>
    <row r="480" customFormat="false" ht="15" hidden="false" customHeight="false" outlineLevel="0" collapsed="false">
      <c r="A480" s="8"/>
      <c r="B480" s="27"/>
      <c r="C480" s="8"/>
      <c r="D480" s="8"/>
      <c r="E480" s="8"/>
      <c r="F480" s="8"/>
      <c r="G480" s="8"/>
      <c r="H480" s="8"/>
      <c r="I480" s="8"/>
      <c r="J480" s="8"/>
    </row>
    <row r="481" customFormat="false" ht="15" hidden="false" customHeight="false" outlineLevel="0" collapsed="false">
      <c r="A481" s="8"/>
      <c r="B481" s="27"/>
      <c r="C481" s="8"/>
      <c r="D481" s="8"/>
      <c r="E481" s="8"/>
      <c r="F481" s="8"/>
      <c r="G481" s="8"/>
      <c r="H481" s="8"/>
      <c r="I481" s="8"/>
      <c r="J481" s="8"/>
    </row>
    <row r="482" customFormat="false" ht="15" hidden="false" customHeight="false" outlineLevel="0" collapsed="false">
      <c r="A482" s="8"/>
      <c r="B482" s="27"/>
      <c r="C482" s="8"/>
      <c r="D482" s="8"/>
      <c r="E482" s="8"/>
      <c r="F482" s="8"/>
      <c r="G482" s="8"/>
      <c r="H482" s="8"/>
      <c r="I482" s="8"/>
      <c r="J482" s="8"/>
    </row>
    <row r="483" customFormat="false" ht="15" hidden="false" customHeight="false" outlineLevel="0" collapsed="false">
      <c r="A483" s="8"/>
      <c r="B483" s="27"/>
      <c r="C483" s="8"/>
      <c r="D483" s="8"/>
      <c r="E483" s="8"/>
      <c r="F483" s="8"/>
      <c r="G483" s="8"/>
      <c r="H483" s="8"/>
      <c r="I483" s="8"/>
      <c r="J483" s="8"/>
    </row>
    <row r="484" customFormat="false" ht="15" hidden="false" customHeight="false" outlineLevel="0" collapsed="false">
      <c r="A484" s="8"/>
      <c r="B484" s="27"/>
      <c r="C484" s="8"/>
      <c r="D484" s="8"/>
      <c r="E484" s="8"/>
      <c r="F484" s="8"/>
      <c r="G484" s="8"/>
      <c r="H484" s="8"/>
      <c r="I484" s="8"/>
      <c r="J484" s="8"/>
    </row>
    <row r="485" customFormat="false" ht="15" hidden="false" customHeight="false" outlineLevel="0" collapsed="false">
      <c r="A485" s="8"/>
      <c r="B485" s="27"/>
      <c r="C485" s="8"/>
      <c r="D485" s="8"/>
      <c r="E485" s="8"/>
      <c r="F485" s="8"/>
      <c r="G485" s="8"/>
      <c r="H485" s="8"/>
      <c r="I485" s="8"/>
      <c r="J485" s="8"/>
    </row>
    <row r="486" customFormat="false" ht="15" hidden="false" customHeight="false" outlineLevel="0" collapsed="false">
      <c r="A486" s="8"/>
      <c r="B486" s="27"/>
      <c r="C486" s="8"/>
      <c r="D486" s="8"/>
      <c r="E486" s="8"/>
      <c r="F486" s="8"/>
      <c r="G486" s="8"/>
      <c r="H486" s="8"/>
      <c r="I486" s="8"/>
      <c r="J486" s="8"/>
    </row>
    <row r="487" customFormat="false" ht="15" hidden="false" customHeight="false" outlineLevel="0" collapsed="false">
      <c r="A487" s="8"/>
      <c r="B487" s="27"/>
      <c r="C487" s="8"/>
      <c r="D487" s="8"/>
      <c r="E487" s="8"/>
      <c r="F487" s="8"/>
      <c r="G487" s="8"/>
      <c r="H487" s="8"/>
      <c r="I487" s="8"/>
      <c r="J487" s="8"/>
    </row>
    <row r="488" customFormat="false" ht="15" hidden="false" customHeight="false" outlineLevel="0" collapsed="false">
      <c r="A488" s="8"/>
      <c r="B488" s="27"/>
      <c r="C488" s="8"/>
      <c r="D488" s="8"/>
      <c r="E488" s="8"/>
      <c r="F488" s="8"/>
      <c r="G488" s="8"/>
      <c r="H488" s="8"/>
      <c r="I488" s="8"/>
      <c r="J488" s="8"/>
    </row>
    <row r="489" customFormat="false" ht="15" hidden="false" customHeight="false" outlineLevel="0" collapsed="false">
      <c r="A489" s="8"/>
      <c r="B489" s="27"/>
      <c r="C489" s="8"/>
      <c r="D489" s="8"/>
      <c r="E489" s="8"/>
      <c r="F489" s="8"/>
      <c r="G489" s="8"/>
      <c r="H489" s="8"/>
      <c r="I489" s="8"/>
      <c r="J489" s="8"/>
    </row>
    <row r="490" customFormat="false" ht="15" hidden="false" customHeight="false" outlineLevel="0" collapsed="false">
      <c r="A490" s="8"/>
      <c r="B490" s="27"/>
      <c r="C490" s="8"/>
      <c r="D490" s="8"/>
      <c r="E490" s="8"/>
      <c r="F490" s="8"/>
      <c r="G490" s="8"/>
      <c r="H490" s="8"/>
      <c r="I490" s="8"/>
      <c r="J490" s="8"/>
    </row>
    <row r="491" customFormat="false" ht="15" hidden="false" customHeight="false" outlineLevel="0" collapsed="false">
      <c r="A491" s="8"/>
      <c r="B491" s="27"/>
      <c r="C491" s="8"/>
      <c r="D491" s="8"/>
      <c r="E491" s="8"/>
      <c r="F491" s="8"/>
      <c r="G491" s="8"/>
      <c r="H491" s="8"/>
      <c r="I491" s="8"/>
      <c r="J491" s="8"/>
    </row>
    <row r="492" customFormat="false" ht="15" hidden="false" customHeight="false" outlineLevel="0" collapsed="false">
      <c r="A492" s="8"/>
      <c r="B492" s="27"/>
      <c r="C492" s="8"/>
      <c r="D492" s="8"/>
      <c r="E492" s="8"/>
      <c r="F492" s="8"/>
      <c r="G492" s="8"/>
      <c r="H492" s="8"/>
      <c r="I492" s="8"/>
      <c r="J492" s="8"/>
    </row>
    <row r="493" customFormat="false" ht="15" hidden="false" customHeight="false" outlineLevel="0" collapsed="false">
      <c r="A493" s="8"/>
      <c r="B493" s="27"/>
      <c r="C493" s="8"/>
      <c r="D493" s="8"/>
      <c r="E493" s="8"/>
      <c r="F493" s="8"/>
      <c r="G493" s="8"/>
      <c r="H493" s="8"/>
      <c r="I493" s="8"/>
      <c r="J493" s="8"/>
    </row>
    <row r="494" customFormat="false" ht="15" hidden="false" customHeight="false" outlineLevel="0" collapsed="false">
      <c r="A494" s="8"/>
      <c r="B494" s="27"/>
      <c r="C494" s="8"/>
      <c r="D494" s="8"/>
      <c r="E494" s="8"/>
      <c r="F494" s="8"/>
      <c r="G494" s="8"/>
      <c r="H494" s="8"/>
      <c r="I494" s="8"/>
      <c r="J494" s="8"/>
    </row>
    <row r="495" customFormat="false" ht="15" hidden="false" customHeight="false" outlineLevel="0" collapsed="false">
      <c r="A495" s="8"/>
      <c r="B495" s="27"/>
      <c r="C495" s="8"/>
      <c r="D495" s="8"/>
      <c r="E495" s="8"/>
      <c r="F495" s="8"/>
      <c r="G495" s="8"/>
      <c r="H495" s="8"/>
      <c r="I495" s="8"/>
      <c r="J495" s="8"/>
    </row>
    <row r="496" customFormat="false" ht="15" hidden="false" customHeight="false" outlineLevel="0" collapsed="false">
      <c r="A496" s="8"/>
      <c r="B496" s="27"/>
      <c r="C496" s="8"/>
      <c r="D496" s="8"/>
      <c r="E496" s="8"/>
      <c r="F496" s="8"/>
      <c r="G496" s="8"/>
      <c r="H496" s="8"/>
      <c r="I496" s="8"/>
      <c r="J496" s="8"/>
    </row>
    <row r="497" customFormat="false" ht="15" hidden="false" customHeight="false" outlineLevel="0" collapsed="false">
      <c r="A497" s="8"/>
      <c r="B497" s="27"/>
      <c r="C497" s="8"/>
      <c r="D497" s="8"/>
      <c r="E497" s="8"/>
      <c r="F497" s="8"/>
      <c r="G497" s="8"/>
      <c r="H497" s="8"/>
      <c r="I497" s="8"/>
      <c r="J497" s="8"/>
    </row>
    <row r="498" customFormat="false" ht="15" hidden="false" customHeight="false" outlineLevel="0" collapsed="false">
      <c r="A498" s="8"/>
      <c r="B498" s="27"/>
      <c r="C498" s="8"/>
      <c r="D498" s="8"/>
      <c r="E498" s="8"/>
      <c r="F498" s="8"/>
      <c r="G498" s="8"/>
      <c r="H498" s="8"/>
      <c r="I498" s="8"/>
      <c r="J498" s="8"/>
    </row>
    <row r="499" customFormat="false" ht="15" hidden="false" customHeight="false" outlineLevel="0" collapsed="false">
      <c r="A499" s="8"/>
      <c r="B499" s="27"/>
      <c r="C499" s="8"/>
      <c r="D499" s="8"/>
      <c r="E499" s="8"/>
      <c r="F499" s="8"/>
      <c r="G499" s="8"/>
      <c r="H499" s="8"/>
      <c r="I499" s="8"/>
      <c r="J499" s="8"/>
    </row>
    <row r="500" customFormat="false" ht="15" hidden="false" customHeight="false" outlineLevel="0" collapsed="false">
      <c r="A500" s="8"/>
      <c r="B500" s="27"/>
      <c r="C500" s="8"/>
      <c r="D500" s="8"/>
      <c r="E500" s="8"/>
      <c r="F500" s="8"/>
      <c r="G500" s="8"/>
      <c r="H500" s="8"/>
      <c r="I500" s="8"/>
      <c r="J500" s="8"/>
    </row>
    <row r="501" customFormat="false" ht="15" hidden="false" customHeight="false" outlineLevel="0" collapsed="false">
      <c r="A501" s="8"/>
      <c r="B501" s="27"/>
      <c r="C501" s="8"/>
      <c r="D501" s="8"/>
      <c r="E501" s="8"/>
      <c r="F501" s="8"/>
      <c r="G501" s="8"/>
      <c r="H501" s="8"/>
      <c r="I501" s="8"/>
      <c r="J501" s="8"/>
    </row>
    <row r="502" customFormat="false" ht="15" hidden="false" customHeight="false" outlineLevel="0" collapsed="false">
      <c r="A502" s="8"/>
      <c r="B502" s="27"/>
      <c r="C502" s="8"/>
      <c r="D502" s="8"/>
      <c r="E502" s="8"/>
      <c r="F502" s="8"/>
      <c r="G502" s="8"/>
      <c r="H502" s="8"/>
      <c r="I502" s="8"/>
      <c r="J502" s="8"/>
    </row>
    <row r="503" customFormat="false" ht="15" hidden="false" customHeight="false" outlineLevel="0" collapsed="false">
      <c r="A503" s="8"/>
      <c r="B503" s="27"/>
      <c r="C503" s="8"/>
      <c r="D503" s="8"/>
      <c r="E503" s="8"/>
      <c r="F503" s="8"/>
      <c r="G503" s="8"/>
      <c r="H503" s="8"/>
      <c r="I503" s="8"/>
      <c r="J503" s="8"/>
    </row>
  </sheetData>
  <dataValidations count="1">
    <dataValidation allowBlank="true" errorStyle="stop" operator="between" showDropDown="false" showErrorMessage="false" showInputMessage="false" sqref="C5:C503" type="list">
      <formula1>"G1 ED305 live digital twin,G2 SCooP dataset &amp; paper,Shared SCooP testbed,Dual-Link Communication,Semantic Communication"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2"/>
    <col collapsed="false" customWidth="true" hidden="false" outlineLevel="0" max="3" min="3" style="0" width="80"/>
    <col collapsed="false" customWidth="true" hidden="false" outlineLevel="0" max="9" min="5" style="0" width="26"/>
    <col collapsed="false" customWidth="true" hidden="false" outlineLevel="0" max="11" min="11" style="0" width="22"/>
  </cols>
  <sheetData>
    <row r="1" customFormat="false" ht="17.35" hidden="false" customHeight="false" outlineLevel="0" collapsed="false">
      <c r="A1" s="1" t="s">
        <v>19</v>
      </c>
    </row>
    <row r="2" customFormat="false" ht="15" hidden="false" customHeight="false" outlineLevel="0" collapsed="false">
      <c r="A2" s="2" t="s">
        <v>718</v>
      </c>
    </row>
    <row r="3" customFormat="false" ht="30" hidden="false" customHeight="true" outlineLevel="0" collapsed="false">
      <c r="A3" s="19" t="s">
        <v>719</v>
      </c>
      <c r="B3" s="19" t="s">
        <v>61</v>
      </c>
      <c r="C3" s="19" t="s">
        <v>720</v>
      </c>
      <c r="E3" s="10" t="s">
        <v>89</v>
      </c>
      <c r="F3" s="10" t="s">
        <v>45</v>
      </c>
      <c r="G3" s="10" t="s">
        <v>583</v>
      </c>
      <c r="H3" s="10" t="s">
        <v>721</v>
      </c>
      <c r="I3" s="10" t="s">
        <v>722</v>
      </c>
      <c r="K3" s="10" t="s">
        <v>723</v>
      </c>
    </row>
    <row r="4" customFormat="false" ht="15" hidden="false" customHeight="false" outlineLevel="0" collapsed="false">
      <c r="A4" s="8" t="s">
        <v>62</v>
      </c>
      <c r="B4" s="40" t="s">
        <v>649</v>
      </c>
      <c r="C4" s="8" t="s">
        <v>724</v>
      </c>
      <c r="E4" s="8" t="s">
        <v>46</v>
      </c>
      <c r="F4" s="8" t="s">
        <v>55</v>
      </c>
      <c r="G4" s="8" t="s">
        <v>76</v>
      </c>
      <c r="H4" s="8" t="s">
        <v>71</v>
      </c>
      <c r="I4" s="8" t="s">
        <v>80</v>
      </c>
      <c r="K4" s="8" t="s">
        <v>85</v>
      </c>
    </row>
    <row r="5" customFormat="false" ht="15" hidden="false" customHeight="false" outlineLevel="0" collapsed="false">
      <c r="A5" s="8" t="s">
        <v>63</v>
      </c>
      <c r="B5" s="40" t="s">
        <v>649</v>
      </c>
      <c r="C5" s="8" t="s">
        <v>725</v>
      </c>
      <c r="E5" s="8" t="s">
        <v>47</v>
      </c>
      <c r="F5" s="8" t="s">
        <v>56</v>
      </c>
      <c r="G5" s="8" t="s">
        <v>77</v>
      </c>
      <c r="H5" s="8" t="s">
        <v>72</v>
      </c>
      <c r="I5" s="8" t="s">
        <v>81</v>
      </c>
      <c r="K5" s="2" t="str">
        <f aca="false">B4</f>
        <v>TBD</v>
      </c>
    </row>
    <row r="6" customFormat="false" ht="15" hidden="false" customHeight="false" outlineLevel="0" collapsed="false">
      <c r="A6" s="8" t="s">
        <v>64</v>
      </c>
      <c r="B6" s="40" t="s">
        <v>649</v>
      </c>
      <c r="C6" s="8" t="s">
        <v>726</v>
      </c>
      <c r="E6" s="8" t="s">
        <v>48</v>
      </c>
      <c r="F6" s="8" t="s">
        <v>57</v>
      </c>
      <c r="G6" s="8" t="s">
        <v>78</v>
      </c>
      <c r="H6" s="8" t="s">
        <v>73</v>
      </c>
      <c r="I6" s="8" t="s">
        <v>82</v>
      </c>
      <c r="K6" s="2" t="str">
        <f aca="false">B5</f>
        <v>TBD</v>
      </c>
    </row>
    <row r="7" customFormat="false" ht="15" hidden="false" customHeight="false" outlineLevel="0" collapsed="false">
      <c r="A7" s="8" t="s">
        <v>65</v>
      </c>
      <c r="B7" s="40" t="s">
        <v>649</v>
      </c>
      <c r="C7" s="8" t="s">
        <v>727</v>
      </c>
      <c r="E7" s="8" t="s">
        <v>49</v>
      </c>
      <c r="F7" s="8" t="s">
        <v>58</v>
      </c>
      <c r="H7" s="8" t="s">
        <v>74</v>
      </c>
      <c r="I7" s="8" t="s">
        <v>83</v>
      </c>
      <c r="K7" s="2" t="str">
        <f aca="false">B6</f>
        <v>TBD</v>
      </c>
    </row>
    <row r="8" customFormat="false" ht="15" hidden="false" customHeight="false" outlineLevel="0" collapsed="false">
      <c r="A8" s="8" t="s">
        <v>66</v>
      </c>
      <c r="B8" s="40" t="s">
        <v>649</v>
      </c>
      <c r="C8" s="8" t="s">
        <v>728</v>
      </c>
      <c r="E8" s="8" t="s">
        <v>50</v>
      </c>
      <c r="F8" s="8" t="s">
        <v>59</v>
      </c>
      <c r="K8" s="2" t="str">
        <f aca="false">B7</f>
        <v>TBD</v>
      </c>
    </row>
    <row r="9" customFormat="false" ht="15" hidden="false" customHeight="false" outlineLevel="0" collapsed="false">
      <c r="A9" s="8" t="s">
        <v>67</v>
      </c>
      <c r="B9" s="40" t="s">
        <v>649</v>
      </c>
      <c r="C9" s="8" t="s">
        <v>729</v>
      </c>
      <c r="K9" s="2" t="str">
        <f aca="false">B8</f>
        <v>TBD</v>
      </c>
    </row>
    <row r="10" customFormat="false" ht="15" hidden="false" customHeight="false" outlineLevel="0" collapsed="false">
      <c r="A10" s="8" t="s">
        <v>68</v>
      </c>
      <c r="B10" s="40" t="s">
        <v>649</v>
      </c>
      <c r="C10" s="8" t="s">
        <v>730</v>
      </c>
      <c r="K10" s="2" t="str">
        <f aca="false">B9</f>
        <v>TBD</v>
      </c>
    </row>
    <row r="11" customFormat="false" ht="15" hidden="false" customHeight="false" outlineLevel="0" collapsed="false">
      <c r="A11" s="8" t="s">
        <v>69</v>
      </c>
      <c r="B11" s="40" t="s">
        <v>649</v>
      </c>
      <c r="C11" s="8" t="s">
        <v>731</v>
      </c>
      <c r="K11" s="2" t="str">
        <f aca="false">B10</f>
        <v>TBD</v>
      </c>
    </row>
    <row r="12" customFormat="false" ht="15" hidden="false" customHeight="false" outlineLevel="0" collapsed="false">
      <c r="A12" s="8" t="s">
        <v>70</v>
      </c>
      <c r="B12" s="40" t="s">
        <v>649</v>
      </c>
      <c r="C12" s="8" t="s">
        <v>732</v>
      </c>
      <c r="K12" s="2" t="str">
        <f aca="false">B11</f>
        <v>TBD</v>
      </c>
    </row>
    <row r="13" customFormat="false" ht="15" hidden="false" customHeight="false" outlineLevel="0" collapsed="false">
      <c r="K13" s="2" t="str">
        <f aca="false">B12</f>
        <v>TBD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2026-10-07T14:43:21Z</dcterms:created>
  <dc:creator>openpyxl</dc:creator>
  <dc:description/>
  <dc:language>en-US</dc:language>
  <cp:lastModifiedBy/>
  <dcterms:modified xsi:type="dcterms:W3CDTF">2026-10-07T14:43:23Z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